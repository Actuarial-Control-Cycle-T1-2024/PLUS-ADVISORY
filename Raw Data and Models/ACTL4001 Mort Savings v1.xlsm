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liver\Desktop\University\ACTL4001\"/>
    </mc:Choice>
  </mc:AlternateContent>
  <xr:revisionPtr revIDLastSave="0" documentId="13_ncr:1_{68F87946-9419-45D2-8559-83D14346F421}" xr6:coauthVersionLast="47" xr6:coauthVersionMax="47" xr10:uidLastSave="{00000000-0000-0000-0000-000000000000}"/>
  <bookViews>
    <workbookView xWindow="-120" yWindow="-120" windowWidth="29040" windowHeight="15840" tabRatio="862" xr2:uid="{5C0432FE-B30B-4432-94E7-2F0DE204059A}"/>
  </bookViews>
  <sheets>
    <sheet name="Total Mortality Savings" sheetId="41" r:id="rId1"/>
    <sheet name="T20_Savings" sheetId="37" r:id="rId2"/>
    <sheet name="SPWL_Savings" sheetId="39" r:id="rId3"/>
    <sheet name="Mortality Table" sheetId="42" r:id="rId4"/>
    <sheet name="T20" sheetId="1" r:id="rId5"/>
    <sheet name="SPWL" sheetId="4" r:id="rId6"/>
    <sheet name="Output_1_0_0" sheetId="33" r:id="rId7"/>
    <sheet name="Output_1_0_1" sheetId="34" r:id="rId8"/>
    <sheet name="Output_1_1_0" sheetId="35" r:id="rId9"/>
    <sheet name="Output_1_1_1" sheetId="36" r:id="rId10"/>
    <sheet name="T20_Demographic Split" sheetId="38" r:id="rId11"/>
    <sheet name="SPWL_Demographic Split" sheetId="40" r:id="rId12"/>
  </sheets>
  <definedNames>
    <definedName name="_xlnm._FilterDatabase" localSheetId="11" hidden="1">'SPWL_Demographic Split'!$A$3:$P$3</definedName>
    <definedName name="solver_adj" localSheetId="5" hidden="1">SPWL!$G$4</definedName>
    <definedName name="solver_adj" localSheetId="4" hidden="1">'T20'!$K$4</definedName>
    <definedName name="solver_cvg" localSheetId="5" hidden="1">0.0001</definedName>
    <definedName name="solver_cvg" localSheetId="4" hidden="1">0.0001</definedName>
    <definedName name="solver_drv" localSheetId="5" hidden="1">1</definedName>
    <definedName name="solver_drv" localSheetId="4" hidden="1">1</definedName>
    <definedName name="solver_eng" localSheetId="5" hidden="1">1</definedName>
    <definedName name="solver_eng" localSheetId="4" hidden="1">1</definedName>
    <definedName name="solver_est" localSheetId="5" hidden="1">1</definedName>
    <definedName name="solver_est" localSheetId="4" hidden="1">1</definedName>
    <definedName name="solver_itr" localSheetId="5" hidden="1">2147483647</definedName>
    <definedName name="solver_itr" localSheetId="4" hidden="1">2147483647</definedName>
    <definedName name="solver_lhs1" localSheetId="5" hidden="1">SPWL!$G$4</definedName>
    <definedName name="solver_lin" localSheetId="5" hidden="1">2</definedName>
    <definedName name="solver_mip" localSheetId="5" hidden="1">2147483647</definedName>
    <definedName name="solver_mip" localSheetId="4" hidden="1">2147483647</definedName>
    <definedName name="solver_mni" localSheetId="5" hidden="1">30</definedName>
    <definedName name="solver_mni" localSheetId="4" hidden="1">30</definedName>
    <definedName name="solver_mrt" localSheetId="5" hidden="1">0.075</definedName>
    <definedName name="solver_mrt" localSheetId="4" hidden="1">0.075</definedName>
    <definedName name="solver_msl" localSheetId="5" hidden="1">2</definedName>
    <definedName name="solver_msl" localSheetId="4" hidden="1">2</definedName>
    <definedName name="solver_neg" localSheetId="5" hidden="1">1</definedName>
    <definedName name="solver_neg" localSheetId="4" hidden="1">1</definedName>
    <definedName name="solver_nod" localSheetId="5" hidden="1">2147483647</definedName>
    <definedName name="solver_nod" localSheetId="4" hidden="1">2147483647</definedName>
    <definedName name="solver_num" localSheetId="5" hidden="1">1</definedName>
    <definedName name="solver_num" localSheetId="4" hidden="1">0</definedName>
    <definedName name="solver_nwt" localSheetId="5" hidden="1">1</definedName>
    <definedName name="solver_nwt" localSheetId="4" hidden="1">1</definedName>
    <definedName name="solver_opt" localSheetId="5" hidden="1">SPWL!$G$100</definedName>
    <definedName name="solver_opt" localSheetId="4" hidden="1">'T20'!$K$34</definedName>
    <definedName name="solver_pre" localSheetId="5" hidden="1">0.000001</definedName>
    <definedName name="solver_pre" localSheetId="4" hidden="1">0.000001</definedName>
    <definedName name="solver_rbv" localSheetId="5" hidden="1">1</definedName>
    <definedName name="solver_rbv" localSheetId="4" hidden="1">1</definedName>
    <definedName name="solver_rel1" localSheetId="5" hidden="1">3</definedName>
    <definedName name="solver_rhs1" localSheetId="5" hidden="1">1</definedName>
    <definedName name="solver_rlx" localSheetId="5" hidden="1">2</definedName>
    <definedName name="solver_rlx" localSheetId="4" hidden="1">2</definedName>
    <definedName name="solver_rsd" localSheetId="5" hidden="1">0</definedName>
    <definedName name="solver_rsd" localSheetId="4" hidden="1">0</definedName>
    <definedName name="solver_scl" localSheetId="5" hidden="1">1</definedName>
    <definedName name="solver_scl" localSheetId="4" hidden="1">1</definedName>
    <definedName name="solver_sho" localSheetId="5" hidden="1">2</definedName>
    <definedName name="solver_sho" localSheetId="4" hidden="1">2</definedName>
    <definedName name="solver_ssz" localSheetId="5" hidden="1">100</definedName>
    <definedName name="solver_ssz" localSheetId="4" hidden="1">100</definedName>
    <definedName name="solver_tim" localSheetId="5" hidden="1">2147483647</definedName>
    <definedName name="solver_tim" localSheetId="4" hidden="1">2147483647</definedName>
    <definedName name="solver_tol" localSheetId="5" hidden="1">0.01</definedName>
    <definedName name="solver_tol" localSheetId="4" hidden="1">0.01</definedName>
    <definedName name="solver_typ" localSheetId="5" hidden="1">3</definedName>
    <definedName name="solver_typ" localSheetId="4" hidden="1">3</definedName>
    <definedName name="solver_val" localSheetId="5" hidden="1">0.05</definedName>
    <definedName name="solver_val" localSheetId="4" hidden="1">0.05</definedName>
    <definedName name="solver_ver" localSheetId="5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7" i="37" l="1"/>
  <c r="K46" i="37"/>
  <c r="K45" i="37"/>
  <c r="K44" i="37"/>
  <c r="K43" i="37"/>
  <c r="K42" i="37"/>
  <c r="K41" i="37"/>
  <c r="K40" i="37"/>
  <c r="K39" i="37"/>
  <c r="K38" i="37"/>
  <c r="K37" i="37"/>
  <c r="K36" i="37"/>
  <c r="K35" i="37"/>
  <c r="K34" i="37"/>
  <c r="K33" i="37"/>
  <c r="K32" i="37"/>
  <c r="K31" i="37"/>
  <c r="K30" i="37"/>
  <c r="K29" i="37"/>
  <c r="K28" i="37"/>
  <c r="H47" i="37"/>
  <c r="H46" i="37"/>
  <c r="H45" i="37"/>
  <c r="H44" i="37"/>
  <c r="H43" i="37"/>
  <c r="H42" i="37"/>
  <c r="H41" i="37"/>
  <c r="H40" i="37"/>
  <c r="H39" i="37"/>
  <c r="H38" i="37"/>
  <c r="H37" i="37"/>
  <c r="H36" i="37"/>
  <c r="H35" i="37"/>
  <c r="H34" i="37"/>
  <c r="H33" i="37"/>
  <c r="H32" i="37"/>
  <c r="H31" i="37"/>
  <c r="H30" i="37"/>
  <c r="H29" i="37"/>
  <c r="H28" i="37"/>
  <c r="D28" i="37"/>
  <c r="E28" i="37"/>
  <c r="F28" i="37"/>
  <c r="D30" i="37"/>
  <c r="E30" i="37"/>
  <c r="F30" i="37"/>
  <c r="D31" i="37"/>
  <c r="E31" i="37"/>
  <c r="F31" i="37"/>
  <c r="D32" i="37"/>
  <c r="E32" i="37"/>
  <c r="F32" i="37"/>
  <c r="D33" i="37"/>
  <c r="E33" i="37"/>
  <c r="F33" i="37"/>
  <c r="D34" i="37"/>
  <c r="E34" i="37"/>
  <c r="F34" i="37"/>
  <c r="D35" i="37"/>
  <c r="E35" i="37"/>
  <c r="F35" i="37"/>
  <c r="D36" i="37"/>
  <c r="E36" i="37"/>
  <c r="F36" i="37"/>
  <c r="D37" i="37"/>
  <c r="E37" i="37"/>
  <c r="F37" i="37"/>
  <c r="D38" i="37"/>
  <c r="E38" i="37"/>
  <c r="F38" i="37"/>
  <c r="D39" i="37"/>
  <c r="E39" i="37"/>
  <c r="F39" i="37"/>
  <c r="D40" i="37"/>
  <c r="E40" i="37"/>
  <c r="F40" i="37"/>
  <c r="D41" i="37"/>
  <c r="E41" i="37"/>
  <c r="F41" i="37"/>
  <c r="D42" i="37"/>
  <c r="E42" i="37"/>
  <c r="F42" i="37"/>
  <c r="D43" i="37"/>
  <c r="E43" i="37"/>
  <c r="F43" i="37"/>
  <c r="D44" i="37"/>
  <c r="E44" i="37"/>
  <c r="F44" i="37"/>
  <c r="D45" i="37"/>
  <c r="E45" i="37"/>
  <c r="F45" i="37"/>
  <c r="D46" i="37"/>
  <c r="E46" i="37"/>
  <c r="F46" i="37"/>
  <c r="D47" i="37"/>
  <c r="E47" i="37"/>
  <c r="F47" i="37"/>
  <c r="E29" i="37"/>
  <c r="F29" i="37"/>
  <c r="D29" i="37"/>
  <c r="C28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29" i="37"/>
  <c r="H7" i="39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7" i="37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8" i="39"/>
  <c r="C4" i="4"/>
  <c r="G5" i="4"/>
  <c r="C4" i="1"/>
  <c r="K5" i="1"/>
  <c r="G5" i="1"/>
  <c r="C3" i="42"/>
  <c r="D3" i="42"/>
  <c r="E3" i="42"/>
  <c r="F3" i="42"/>
  <c r="G3" i="42"/>
  <c r="C4" i="42"/>
  <c r="D4" i="42"/>
  <c r="E4" i="42"/>
  <c r="F4" i="42"/>
  <c r="G4" i="42"/>
  <c r="C5" i="42"/>
  <c r="D5" i="42"/>
  <c r="E5" i="42"/>
  <c r="F5" i="42"/>
  <c r="G5" i="42"/>
  <c r="C6" i="42"/>
  <c r="D6" i="42"/>
  <c r="E6" i="42"/>
  <c r="F6" i="42"/>
  <c r="G6" i="42"/>
  <c r="C7" i="42"/>
  <c r="D7" i="42"/>
  <c r="E7" i="42"/>
  <c r="F7" i="42"/>
  <c r="G7" i="42"/>
  <c r="C8" i="42"/>
  <c r="D8" i="42"/>
  <c r="E8" i="42"/>
  <c r="F8" i="42"/>
  <c r="G8" i="42"/>
  <c r="C9" i="42"/>
  <c r="D9" i="42"/>
  <c r="E9" i="42"/>
  <c r="F9" i="42"/>
  <c r="G9" i="42"/>
  <c r="C10" i="42"/>
  <c r="D10" i="42"/>
  <c r="E10" i="42"/>
  <c r="F10" i="42"/>
  <c r="G10" i="42"/>
  <c r="C11" i="42"/>
  <c r="D11" i="42"/>
  <c r="E11" i="42"/>
  <c r="F11" i="42"/>
  <c r="G11" i="42"/>
  <c r="C12" i="42"/>
  <c r="D12" i="42"/>
  <c r="E12" i="42"/>
  <c r="F12" i="42"/>
  <c r="G12" i="42"/>
  <c r="C13" i="42"/>
  <c r="D13" i="42"/>
  <c r="E13" i="42"/>
  <c r="F13" i="42"/>
  <c r="G13" i="42"/>
  <c r="C14" i="42"/>
  <c r="D14" i="42"/>
  <c r="E14" i="42"/>
  <c r="F14" i="42"/>
  <c r="G14" i="42"/>
  <c r="C15" i="42"/>
  <c r="D15" i="42"/>
  <c r="E15" i="42"/>
  <c r="F15" i="42"/>
  <c r="G15" i="42"/>
  <c r="C16" i="42"/>
  <c r="D16" i="42"/>
  <c r="E16" i="42"/>
  <c r="F16" i="42"/>
  <c r="G16" i="42"/>
  <c r="C17" i="42"/>
  <c r="D17" i="42"/>
  <c r="E17" i="42"/>
  <c r="F17" i="42"/>
  <c r="G17" i="42"/>
  <c r="C18" i="42"/>
  <c r="D18" i="42"/>
  <c r="E18" i="42"/>
  <c r="F18" i="42"/>
  <c r="G18" i="42"/>
  <c r="C19" i="42"/>
  <c r="D19" i="42"/>
  <c r="E19" i="42"/>
  <c r="F19" i="42"/>
  <c r="G19" i="42"/>
  <c r="C20" i="42"/>
  <c r="D20" i="42"/>
  <c r="E20" i="42"/>
  <c r="F20" i="42"/>
  <c r="G20" i="42"/>
  <c r="C21" i="42"/>
  <c r="D21" i="42"/>
  <c r="E21" i="42"/>
  <c r="F21" i="42"/>
  <c r="G21" i="42"/>
  <c r="C22" i="42"/>
  <c r="D22" i="42"/>
  <c r="E22" i="42"/>
  <c r="F22" i="42"/>
  <c r="G22" i="42"/>
  <c r="C23" i="42"/>
  <c r="D23" i="42"/>
  <c r="E23" i="42"/>
  <c r="F23" i="42"/>
  <c r="G23" i="42"/>
  <c r="C24" i="42"/>
  <c r="D24" i="42"/>
  <c r="E24" i="42"/>
  <c r="F24" i="42"/>
  <c r="G24" i="42"/>
  <c r="C25" i="42"/>
  <c r="D25" i="42"/>
  <c r="E25" i="42"/>
  <c r="F25" i="42"/>
  <c r="G25" i="42"/>
  <c r="C26" i="42"/>
  <c r="D26" i="42"/>
  <c r="E26" i="42"/>
  <c r="F26" i="42"/>
  <c r="G26" i="42"/>
  <c r="C27" i="42"/>
  <c r="D27" i="42"/>
  <c r="E27" i="42"/>
  <c r="F27" i="42"/>
  <c r="G27" i="42"/>
  <c r="C28" i="42"/>
  <c r="D28" i="42"/>
  <c r="E28" i="42"/>
  <c r="F28" i="42"/>
  <c r="G28" i="42"/>
  <c r="C29" i="42"/>
  <c r="D29" i="42"/>
  <c r="E29" i="42"/>
  <c r="F29" i="42"/>
  <c r="G29" i="42"/>
  <c r="C30" i="42"/>
  <c r="D30" i="42"/>
  <c r="E30" i="42"/>
  <c r="F30" i="42"/>
  <c r="G30" i="42"/>
  <c r="C31" i="42"/>
  <c r="D31" i="42"/>
  <c r="E31" i="42"/>
  <c r="F31" i="42"/>
  <c r="G31" i="42"/>
  <c r="C32" i="42"/>
  <c r="D32" i="42"/>
  <c r="E32" i="42"/>
  <c r="F32" i="42"/>
  <c r="G32" i="42"/>
  <c r="C33" i="42"/>
  <c r="D33" i="42"/>
  <c r="E33" i="42"/>
  <c r="F33" i="42"/>
  <c r="G33" i="42"/>
  <c r="C34" i="42"/>
  <c r="D34" i="42"/>
  <c r="E34" i="42"/>
  <c r="F34" i="42"/>
  <c r="G34" i="42"/>
  <c r="C35" i="42"/>
  <c r="D35" i="42"/>
  <c r="E35" i="42"/>
  <c r="F35" i="42"/>
  <c r="G35" i="42"/>
  <c r="C36" i="42"/>
  <c r="D36" i="42"/>
  <c r="E36" i="42"/>
  <c r="F36" i="42"/>
  <c r="G36" i="42"/>
  <c r="C37" i="42"/>
  <c r="D37" i="42"/>
  <c r="E37" i="42"/>
  <c r="F37" i="42"/>
  <c r="G37" i="42"/>
  <c r="C38" i="42"/>
  <c r="D38" i="42"/>
  <c r="E38" i="42"/>
  <c r="F38" i="42"/>
  <c r="G38" i="42"/>
  <c r="C39" i="42"/>
  <c r="D39" i="42"/>
  <c r="E39" i="42"/>
  <c r="F39" i="42"/>
  <c r="G39" i="42"/>
  <c r="C40" i="42"/>
  <c r="D40" i="42"/>
  <c r="E40" i="42"/>
  <c r="F40" i="42"/>
  <c r="G40" i="42"/>
  <c r="C41" i="42"/>
  <c r="D41" i="42"/>
  <c r="E41" i="42"/>
  <c r="F41" i="42"/>
  <c r="G41" i="42"/>
  <c r="C42" i="42"/>
  <c r="D42" i="42"/>
  <c r="E42" i="42"/>
  <c r="F42" i="42"/>
  <c r="G42" i="42"/>
  <c r="C43" i="42"/>
  <c r="D43" i="42"/>
  <c r="E43" i="42"/>
  <c r="F43" i="42"/>
  <c r="G43" i="42"/>
  <c r="C44" i="42"/>
  <c r="D44" i="42"/>
  <c r="E44" i="42"/>
  <c r="F44" i="42"/>
  <c r="G44" i="42"/>
  <c r="C45" i="42"/>
  <c r="D45" i="42"/>
  <c r="E45" i="42"/>
  <c r="F45" i="42"/>
  <c r="G45" i="42"/>
  <c r="C46" i="42"/>
  <c r="D46" i="42"/>
  <c r="E46" i="42"/>
  <c r="F46" i="42"/>
  <c r="G46" i="42"/>
  <c r="C47" i="42"/>
  <c r="D47" i="42"/>
  <c r="E47" i="42"/>
  <c r="F47" i="42"/>
  <c r="G47" i="42"/>
  <c r="C48" i="42"/>
  <c r="D48" i="42"/>
  <c r="E48" i="42"/>
  <c r="F48" i="42"/>
  <c r="G48" i="42"/>
  <c r="C49" i="42"/>
  <c r="D49" i="42"/>
  <c r="E49" i="42"/>
  <c r="F49" i="42"/>
  <c r="G49" i="42"/>
  <c r="C50" i="42"/>
  <c r="D50" i="42"/>
  <c r="E50" i="42"/>
  <c r="F50" i="42"/>
  <c r="G50" i="42"/>
  <c r="C51" i="42"/>
  <c r="D51" i="42"/>
  <c r="E51" i="42"/>
  <c r="F51" i="42"/>
  <c r="G51" i="42"/>
  <c r="C52" i="42"/>
  <c r="D52" i="42"/>
  <c r="E52" i="42"/>
  <c r="F52" i="42"/>
  <c r="G52" i="42"/>
  <c r="C53" i="42"/>
  <c r="D53" i="42"/>
  <c r="E53" i="42"/>
  <c r="F53" i="42"/>
  <c r="G53" i="42"/>
  <c r="C54" i="42"/>
  <c r="D54" i="42"/>
  <c r="E54" i="42"/>
  <c r="F54" i="42"/>
  <c r="G54" i="42"/>
  <c r="C55" i="42"/>
  <c r="D55" i="42"/>
  <c r="E55" i="42"/>
  <c r="F55" i="42"/>
  <c r="G55" i="42"/>
  <c r="C56" i="42"/>
  <c r="D56" i="42"/>
  <c r="E56" i="42"/>
  <c r="F56" i="42"/>
  <c r="G56" i="42"/>
  <c r="C57" i="42"/>
  <c r="D57" i="42"/>
  <c r="E57" i="42"/>
  <c r="F57" i="42"/>
  <c r="G57" i="42"/>
  <c r="C58" i="42"/>
  <c r="D58" i="42"/>
  <c r="E58" i="42"/>
  <c r="F58" i="42"/>
  <c r="G58" i="42"/>
  <c r="C59" i="42"/>
  <c r="D59" i="42"/>
  <c r="E59" i="42"/>
  <c r="F59" i="42"/>
  <c r="G59" i="42"/>
  <c r="C60" i="42"/>
  <c r="D60" i="42"/>
  <c r="E60" i="42"/>
  <c r="F60" i="42"/>
  <c r="G60" i="42"/>
  <c r="C61" i="42"/>
  <c r="D61" i="42"/>
  <c r="E61" i="42"/>
  <c r="F61" i="42"/>
  <c r="G61" i="42"/>
  <c r="C62" i="42"/>
  <c r="D62" i="42"/>
  <c r="E62" i="42"/>
  <c r="F62" i="42"/>
  <c r="G62" i="42"/>
  <c r="C63" i="42"/>
  <c r="D63" i="42"/>
  <c r="E63" i="42"/>
  <c r="F63" i="42"/>
  <c r="G63" i="42"/>
  <c r="C64" i="42"/>
  <c r="D64" i="42"/>
  <c r="E64" i="42"/>
  <c r="F64" i="42"/>
  <c r="G64" i="42"/>
  <c r="C65" i="42"/>
  <c r="D65" i="42"/>
  <c r="E65" i="42"/>
  <c r="F65" i="42"/>
  <c r="G65" i="42"/>
  <c r="C66" i="42"/>
  <c r="D66" i="42"/>
  <c r="E66" i="42"/>
  <c r="F66" i="42"/>
  <c r="G66" i="42"/>
  <c r="C67" i="42"/>
  <c r="D67" i="42"/>
  <c r="E67" i="42"/>
  <c r="F67" i="42"/>
  <c r="G67" i="42"/>
  <c r="C68" i="42"/>
  <c r="D68" i="42"/>
  <c r="E68" i="42"/>
  <c r="F68" i="42"/>
  <c r="G68" i="42"/>
  <c r="C69" i="42"/>
  <c r="D69" i="42"/>
  <c r="E69" i="42"/>
  <c r="F69" i="42"/>
  <c r="G69" i="42"/>
  <c r="C70" i="42"/>
  <c r="D70" i="42"/>
  <c r="E70" i="42"/>
  <c r="F70" i="42"/>
  <c r="G70" i="42"/>
  <c r="C71" i="42"/>
  <c r="D71" i="42"/>
  <c r="E71" i="42"/>
  <c r="F71" i="42"/>
  <c r="G71" i="42"/>
  <c r="C72" i="42"/>
  <c r="D72" i="42"/>
  <c r="E72" i="42"/>
  <c r="F72" i="42"/>
  <c r="G72" i="42"/>
  <c r="C73" i="42"/>
  <c r="D73" i="42"/>
  <c r="E73" i="42"/>
  <c r="F73" i="42"/>
  <c r="G73" i="42"/>
  <c r="C74" i="42"/>
  <c r="D74" i="42"/>
  <c r="E74" i="42"/>
  <c r="F74" i="42"/>
  <c r="G74" i="42"/>
  <c r="C75" i="42"/>
  <c r="D75" i="42"/>
  <c r="E75" i="42"/>
  <c r="F75" i="42"/>
  <c r="G75" i="42"/>
  <c r="C76" i="42"/>
  <c r="D76" i="42"/>
  <c r="E76" i="42"/>
  <c r="F76" i="42"/>
  <c r="G76" i="42"/>
  <c r="C77" i="42"/>
  <c r="D77" i="42"/>
  <c r="E77" i="42"/>
  <c r="F77" i="42"/>
  <c r="G77" i="42"/>
  <c r="C78" i="42"/>
  <c r="D78" i="42"/>
  <c r="E78" i="42"/>
  <c r="F78" i="42"/>
  <c r="G78" i="42"/>
  <c r="C79" i="42"/>
  <c r="D79" i="42"/>
  <c r="E79" i="42"/>
  <c r="F79" i="42"/>
  <c r="G79" i="42"/>
  <c r="C80" i="42"/>
  <c r="D80" i="42"/>
  <c r="E80" i="42"/>
  <c r="F80" i="42"/>
  <c r="G80" i="42"/>
  <c r="C81" i="42"/>
  <c r="D81" i="42"/>
  <c r="E81" i="42"/>
  <c r="F81" i="42"/>
  <c r="G81" i="42"/>
  <c r="C82" i="42"/>
  <c r="D82" i="42"/>
  <c r="E82" i="42"/>
  <c r="F82" i="42"/>
  <c r="G82" i="42"/>
  <c r="C83" i="42"/>
  <c r="D83" i="42"/>
  <c r="E83" i="42"/>
  <c r="F83" i="42"/>
  <c r="G83" i="42"/>
  <c r="C84" i="42"/>
  <c r="D84" i="42"/>
  <c r="E84" i="42"/>
  <c r="F84" i="42"/>
  <c r="G84" i="42"/>
  <c r="C85" i="42"/>
  <c r="D85" i="42"/>
  <c r="E85" i="42"/>
  <c r="F85" i="42"/>
  <c r="G85" i="42"/>
  <c r="C86" i="42"/>
  <c r="D86" i="42"/>
  <c r="E86" i="42"/>
  <c r="F86" i="42"/>
  <c r="G86" i="42"/>
  <c r="C87" i="42"/>
  <c r="D87" i="42"/>
  <c r="E87" i="42"/>
  <c r="F87" i="42"/>
  <c r="G87" i="42"/>
  <c r="C88" i="42"/>
  <c r="D88" i="42"/>
  <c r="E88" i="42"/>
  <c r="F88" i="42"/>
  <c r="G88" i="42"/>
  <c r="C89" i="42"/>
  <c r="D89" i="42"/>
  <c r="E89" i="42"/>
  <c r="F89" i="42"/>
  <c r="G89" i="42"/>
  <c r="C90" i="42"/>
  <c r="D90" i="42"/>
  <c r="E90" i="42"/>
  <c r="F90" i="42"/>
  <c r="G90" i="42"/>
  <c r="C91" i="42"/>
  <c r="D91" i="42"/>
  <c r="E91" i="42"/>
  <c r="F91" i="42"/>
  <c r="G91" i="42"/>
  <c r="C92" i="42"/>
  <c r="D92" i="42"/>
  <c r="E92" i="42"/>
  <c r="F92" i="42"/>
  <c r="G92" i="42"/>
  <c r="C93" i="42"/>
  <c r="D93" i="42"/>
  <c r="E93" i="42"/>
  <c r="F93" i="42"/>
  <c r="G93" i="42"/>
  <c r="C94" i="42"/>
  <c r="D94" i="42"/>
  <c r="E94" i="42"/>
  <c r="F94" i="42"/>
  <c r="G94" i="42"/>
  <c r="C95" i="42"/>
  <c r="D95" i="42"/>
  <c r="E95" i="42"/>
  <c r="F95" i="42"/>
  <c r="G95" i="42"/>
  <c r="C96" i="42"/>
  <c r="D96" i="42"/>
  <c r="E96" i="42"/>
  <c r="F96" i="42"/>
  <c r="G96" i="42"/>
  <c r="C97" i="42"/>
  <c r="D97" i="42"/>
  <c r="E97" i="42"/>
  <c r="F97" i="42"/>
  <c r="G97" i="42"/>
  <c r="C98" i="42"/>
  <c r="D98" i="42"/>
  <c r="E98" i="42"/>
  <c r="F98" i="42"/>
  <c r="G98" i="42"/>
  <c r="C99" i="42"/>
  <c r="D99" i="42"/>
  <c r="E99" i="42"/>
  <c r="F99" i="42"/>
  <c r="G99" i="42"/>
  <c r="C100" i="42"/>
  <c r="D100" i="42"/>
  <c r="E100" i="42"/>
  <c r="F100" i="42"/>
  <c r="G100" i="42"/>
  <c r="C101" i="42"/>
  <c r="D101" i="42"/>
  <c r="E101" i="42"/>
  <c r="F101" i="42"/>
  <c r="G101" i="42"/>
  <c r="C102" i="42"/>
  <c r="D102" i="42"/>
  <c r="E102" i="42"/>
  <c r="F102" i="42"/>
  <c r="G102" i="42"/>
  <c r="C103" i="42"/>
  <c r="D103" i="42"/>
  <c r="E103" i="42"/>
  <c r="F103" i="42"/>
  <c r="G103" i="42"/>
  <c r="C104" i="42"/>
  <c r="D104" i="42"/>
  <c r="E104" i="42"/>
  <c r="F104" i="42"/>
  <c r="G104" i="42"/>
  <c r="C105" i="42"/>
  <c r="D105" i="42"/>
  <c r="E105" i="42"/>
  <c r="F105" i="42"/>
  <c r="G105" i="42"/>
  <c r="C106" i="42"/>
  <c r="D106" i="42"/>
  <c r="E106" i="42"/>
  <c r="F106" i="42"/>
  <c r="G106" i="42"/>
  <c r="C107" i="42"/>
  <c r="D107" i="42"/>
  <c r="E107" i="42"/>
  <c r="F107" i="42"/>
  <c r="G107" i="42"/>
  <c r="C108" i="42"/>
  <c r="D108" i="42"/>
  <c r="E108" i="42"/>
  <c r="F108" i="42"/>
  <c r="G108" i="42"/>
  <c r="C109" i="42"/>
  <c r="D109" i="42"/>
  <c r="E109" i="42"/>
  <c r="F109" i="42"/>
  <c r="G109" i="42"/>
  <c r="C110" i="42"/>
  <c r="D110" i="42"/>
  <c r="E110" i="42"/>
  <c r="F110" i="42"/>
  <c r="G110" i="42"/>
  <c r="C111" i="42"/>
  <c r="D111" i="42"/>
  <c r="E111" i="42"/>
  <c r="F111" i="42"/>
  <c r="G111" i="42"/>
  <c r="C112" i="42"/>
  <c r="D112" i="42"/>
  <c r="E112" i="42"/>
  <c r="F112" i="42"/>
  <c r="G112" i="42"/>
  <c r="C113" i="42"/>
  <c r="D113" i="42"/>
  <c r="E113" i="42"/>
  <c r="F113" i="42"/>
  <c r="G113" i="42"/>
  <c r="C114" i="42"/>
  <c r="D114" i="42"/>
  <c r="E114" i="42"/>
  <c r="F114" i="42"/>
  <c r="G114" i="42"/>
  <c r="C115" i="42"/>
  <c r="D115" i="42"/>
  <c r="E115" i="42"/>
  <c r="F115" i="42"/>
  <c r="G115" i="42"/>
  <c r="C116" i="42"/>
  <c r="D116" i="42"/>
  <c r="E116" i="42"/>
  <c r="F116" i="42"/>
  <c r="G116" i="42"/>
  <c r="C117" i="42"/>
  <c r="D117" i="42"/>
  <c r="E117" i="42"/>
  <c r="F117" i="42"/>
  <c r="G117" i="42"/>
  <c r="C118" i="42"/>
  <c r="D118" i="42"/>
  <c r="E118" i="42"/>
  <c r="F118" i="42"/>
  <c r="G118" i="42"/>
  <c r="C119" i="42"/>
  <c r="D119" i="42"/>
  <c r="E119" i="42"/>
  <c r="F119" i="42"/>
  <c r="G119" i="42"/>
  <c r="C120" i="42"/>
  <c r="D120" i="42"/>
  <c r="E120" i="42"/>
  <c r="F120" i="42"/>
  <c r="G120" i="42"/>
  <c r="C121" i="42"/>
  <c r="D121" i="42"/>
  <c r="E121" i="42"/>
  <c r="F121" i="42"/>
  <c r="G121" i="42"/>
  <c r="G2" i="42"/>
  <c r="F2" i="42"/>
  <c r="E2" i="42"/>
  <c r="D2" i="42"/>
  <c r="C2" i="42"/>
  <c r="B8" i="37"/>
  <c r="B9" i="37" s="1"/>
  <c r="B10" i="37" s="1"/>
  <c r="B11" i="37" s="1"/>
  <c r="B12" i="37" s="1"/>
  <c r="B13" i="37" s="1"/>
  <c r="B14" i="37" s="1"/>
  <c r="B15" i="37" s="1"/>
  <c r="B16" i="37" s="1"/>
  <c r="B17" i="37" s="1"/>
  <c r="B18" i="37" s="1"/>
  <c r="B19" i="37" s="1"/>
  <c r="B20" i="37" s="1"/>
  <c r="B21" i="37" s="1"/>
  <c r="B22" i="37" s="1"/>
  <c r="B23" i="37" s="1"/>
  <c r="B24" i="37" s="1"/>
  <c r="B25" i="37" s="1"/>
  <c r="B26" i="37" s="1"/>
  <c r="C6" i="1"/>
  <c r="J8" i="37"/>
  <c r="J9" i="37" s="1"/>
  <c r="J10" i="37" s="1"/>
  <c r="J11" i="37" s="1"/>
  <c r="J12" i="37" s="1"/>
  <c r="J13" i="37" s="1"/>
  <c r="J14" i="37" s="1"/>
  <c r="J15" i="37" s="1"/>
  <c r="J16" i="37" s="1"/>
  <c r="J17" i="37" s="1"/>
  <c r="J18" i="37" s="1"/>
  <c r="J19" i="37" s="1"/>
  <c r="J20" i="37" s="1"/>
  <c r="J21" i="37" s="1"/>
  <c r="J22" i="37" s="1"/>
  <c r="J23" i="37" s="1"/>
  <c r="J24" i="37" s="1"/>
  <c r="J25" i="37" s="1"/>
  <c r="J26" i="37" s="1"/>
  <c r="J8" i="39"/>
  <c r="J9" i="39" s="1"/>
  <c r="J10" i="39" s="1"/>
  <c r="J11" i="39" s="1"/>
  <c r="J12" i="39" s="1"/>
  <c r="J13" i="39" s="1"/>
  <c r="J14" i="39" s="1"/>
  <c r="J15" i="39" s="1"/>
  <c r="J16" i="39" s="1"/>
  <c r="J17" i="39" s="1"/>
  <c r="J18" i="39" s="1"/>
  <c r="J19" i="39" s="1"/>
  <c r="J20" i="39" s="1"/>
  <c r="J21" i="39" s="1"/>
  <c r="J22" i="39" s="1"/>
  <c r="J23" i="39" s="1"/>
  <c r="J24" i="39" s="1"/>
  <c r="J25" i="39" s="1"/>
  <c r="J26" i="39" s="1"/>
  <c r="G8" i="39"/>
  <c r="G9" i="39" s="1"/>
  <c r="G10" i="39" s="1"/>
  <c r="G11" i="39" s="1"/>
  <c r="G12" i="39" s="1"/>
  <c r="G13" i="39" s="1"/>
  <c r="G14" i="39" s="1"/>
  <c r="G15" i="39" s="1"/>
  <c r="G16" i="39" s="1"/>
  <c r="G17" i="39" s="1"/>
  <c r="G18" i="39" s="1"/>
  <c r="G19" i="39" s="1"/>
  <c r="G20" i="39" s="1"/>
  <c r="G21" i="39" s="1"/>
  <c r="G22" i="39" s="1"/>
  <c r="G23" i="39" s="1"/>
  <c r="G24" i="39" s="1"/>
  <c r="G25" i="39" s="1"/>
  <c r="G26" i="39" s="1"/>
  <c r="B8" i="39"/>
  <c r="B9" i="39" s="1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C12" i="4"/>
  <c r="B29" i="39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G40" i="37" l="1"/>
  <c r="G31" i="37"/>
  <c r="G34" i="37"/>
  <c r="G43" i="37"/>
  <c r="G42" i="37"/>
  <c r="G36" i="37"/>
  <c r="G33" i="37"/>
  <c r="H40" i="39"/>
  <c r="H35" i="39"/>
  <c r="H39" i="39"/>
  <c r="H37" i="39"/>
  <c r="H29" i="39"/>
  <c r="H32" i="39"/>
  <c r="H47" i="39"/>
  <c r="H33" i="39"/>
  <c r="H34" i="39"/>
  <c r="H36" i="39"/>
  <c r="H41" i="39"/>
  <c r="H44" i="39"/>
  <c r="H45" i="39"/>
  <c r="H46" i="39"/>
  <c r="H38" i="39"/>
  <c r="H42" i="39"/>
  <c r="H31" i="39"/>
  <c r="H30" i="39"/>
  <c r="H43" i="39"/>
  <c r="H3" i="42"/>
  <c r="H51" i="42"/>
  <c r="H49" i="42"/>
  <c r="H44" i="42"/>
  <c r="H39" i="42"/>
  <c r="H15" i="42"/>
  <c r="H13" i="42"/>
  <c r="H8" i="42"/>
  <c r="H95" i="42"/>
  <c r="H56" i="42"/>
  <c r="H83" i="42"/>
  <c r="H102" i="42"/>
  <c r="H90" i="42"/>
  <c r="H78" i="42"/>
  <c r="H66" i="42"/>
  <c r="H54" i="42"/>
  <c r="H63" i="42"/>
  <c r="H92" i="42"/>
  <c r="H116" i="42"/>
  <c r="H104" i="42"/>
  <c r="H80" i="42"/>
  <c r="H61" i="42"/>
  <c r="H59" i="42"/>
  <c r="H73" i="42"/>
  <c r="H99" i="42"/>
  <c r="H75" i="42"/>
  <c r="H68" i="42"/>
  <c r="H47" i="42"/>
  <c r="H42" i="42"/>
  <c r="H11" i="42"/>
  <c r="H52" i="42"/>
  <c r="H6" i="42"/>
  <c r="H111" i="42"/>
  <c r="H87" i="42"/>
  <c r="H106" i="42"/>
  <c r="H94" i="42"/>
  <c r="H82" i="42"/>
  <c r="H4" i="42"/>
  <c r="H71" i="42"/>
  <c r="H109" i="42"/>
  <c r="H118" i="42"/>
  <c r="H70" i="42"/>
  <c r="H88" i="42"/>
  <c r="H76" i="42"/>
  <c r="H64" i="42"/>
  <c r="H40" i="42"/>
  <c r="H16" i="42"/>
  <c r="H107" i="42"/>
  <c r="H114" i="42"/>
  <c r="H100" i="42"/>
  <c r="H58" i="42"/>
  <c r="H112" i="42"/>
  <c r="H97" i="42"/>
  <c r="H85" i="42"/>
  <c r="H115" i="42"/>
  <c r="H84" i="42"/>
  <c r="H2" i="42"/>
  <c r="H119" i="42"/>
  <c r="H121" i="42"/>
  <c r="H46" i="42"/>
  <c r="H117" i="42"/>
  <c r="H105" i="42"/>
  <c r="H93" i="42"/>
  <c r="H67" i="42"/>
  <c r="H48" i="42"/>
  <c r="H10" i="42"/>
  <c r="H86" i="42"/>
  <c r="H81" i="42"/>
  <c r="H69" i="42"/>
  <c r="H57" i="42"/>
  <c r="H50" i="42"/>
  <c r="H45" i="42"/>
  <c r="H9" i="42"/>
  <c r="H110" i="42"/>
  <c r="H103" i="42"/>
  <c r="H96" i="42"/>
  <c r="H74" i="42"/>
  <c r="H72" i="42"/>
  <c r="H62" i="42"/>
  <c r="H60" i="42"/>
  <c r="H55" i="42"/>
  <c r="H53" i="42"/>
  <c r="H43" i="42"/>
  <c r="H41" i="42"/>
  <c r="H38" i="42"/>
  <c r="H17" i="42"/>
  <c r="H14" i="42"/>
  <c r="H12" i="42"/>
  <c r="H7" i="42"/>
  <c r="H5" i="42"/>
  <c r="H108" i="42"/>
  <c r="H101" i="42"/>
  <c r="H65" i="42"/>
  <c r="H91" i="42"/>
  <c r="H79" i="42"/>
  <c r="H89" i="42"/>
  <c r="H113" i="42"/>
  <c r="H77" i="42"/>
  <c r="H120" i="42"/>
  <c r="H98" i="42"/>
  <c r="G32" i="37" l="1"/>
  <c r="G37" i="37"/>
  <c r="G39" i="37"/>
  <c r="G45" i="37"/>
  <c r="G30" i="37"/>
  <c r="G35" i="37"/>
  <c r="G41" i="37"/>
  <c r="E53" i="37"/>
  <c r="G28" i="37"/>
  <c r="G46" i="37"/>
  <c r="J53" i="37"/>
  <c r="G29" i="37"/>
  <c r="G44" i="37"/>
  <c r="G47" i="37"/>
  <c r="G38" i="37"/>
  <c r="D52" i="39"/>
  <c r="D55" i="39" s="1"/>
  <c r="M20" i="41" s="1"/>
  <c r="D24" i="1"/>
  <c r="D25" i="1"/>
  <c r="D26" i="1"/>
  <c r="D27" i="1"/>
  <c r="D28" i="1"/>
  <c r="D29" i="1"/>
  <c r="D30" i="1"/>
  <c r="D31" i="1"/>
  <c r="D32" i="1"/>
  <c r="D33" i="1"/>
  <c r="D23" i="1"/>
  <c r="D21" i="1"/>
  <c r="D22" i="1"/>
  <c r="D20" i="1"/>
  <c r="D39" i="1"/>
  <c r="D34" i="1"/>
  <c r="D35" i="1"/>
  <c r="D36" i="1"/>
  <c r="D37" i="1"/>
  <c r="D38" i="1"/>
  <c r="J24" i="41" l="1"/>
  <c r="C111" i="4"/>
  <c r="C110" i="4"/>
  <c r="C105" i="4"/>
  <c r="C106" i="4"/>
  <c r="C104" i="4"/>
  <c r="C8" i="4"/>
  <c r="C7" i="4"/>
  <c r="C6" i="4"/>
  <c r="F16" i="1"/>
  <c r="F15" i="1"/>
  <c r="F11" i="1"/>
  <c r="F10" i="1"/>
  <c r="F9" i="1"/>
  <c r="C8" i="1"/>
  <c r="C7" i="1"/>
  <c r="K28" i="39" l="1"/>
  <c r="K35" i="39"/>
  <c r="K33" i="39"/>
  <c r="K44" i="39"/>
  <c r="K43" i="39"/>
  <c r="K39" i="39"/>
  <c r="K38" i="39"/>
  <c r="K32" i="39"/>
  <c r="K41" i="39"/>
  <c r="K31" i="39"/>
  <c r="K36" i="39"/>
  <c r="K47" i="39"/>
  <c r="K45" i="39"/>
  <c r="K40" i="39"/>
  <c r="K42" i="39"/>
  <c r="K37" i="39"/>
  <c r="K30" i="39"/>
  <c r="K29" i="39"/>
  <c r="K46" i="39"/>
  <c r="K34" i="39"/>
  <c r="F3" i="1"/>
  <c r="J52" i="39" l="1"/>
  <c r="R1377" i="36"/>
  <c r="R1378" i="36" s="1"/>
  <c r="R1379" i="36" s="1"/>
  <c r="R1380" i="36" s="1"/>
  <c r="R1381" i="36" s="1"/>
  <c r="R1382" i="36" s="1"/>
  <c r="R1383" i="36" s="1"/>
  <c r="R1384" i="36" s="1"/>
  <c r="R1385" i="36" s="1"/>
  <c r="R1386" i="36" s="1"/>
  <c r="R1387" i="36" s="1"/>
  <c r="R1388" i="36" s="1"/>
  <c r="R1389" i="36" s="1"/>
  <c r="R1390" i="36" s="1"/>
  <c r="R1391" i="36" s="1"/>
  <c r="R1392" i="36" s="1"/>
  <c r="R1393" i="36" s="1"/>
  <c r="R1394" i="36" s="1"/>
  <c r="R1395" i="36" s="1"/>
  <c r="R1396" i="36" s="1"/>
  <c r="R1397" i="36" s="1"/>
  <c r="R1398" i="36" s="1"/>
  <c r="R1399" i="36" s="1"/>
  <c r="R1400" i="36" s="1"/>
  <c r="R1401" i="36" s="1"/>
  <c r="R1402" i="36" s="1"/>
  <c r="R1403" i="36" s="1"/>
  <c r="R1404" i="36" s="1"/>
  <c r="R1405" i="36" s="1"/>
  <c r="R1406" i="36" s="1"/>
  <c r="J1377" i="36"/>
  <c r="J1378" i="36" s="1"/>
  <c r="J1379" i="36" s="1"/>
  <c r="J1380" i="36" s="1"/>
  <c r="J1381" i="36" s="1"/>
  <c r="J1382" i="36" s="1"/>
  <c r="J1383" i="36" s="1"/>
  <c r="J1384" i="36" s="1"/>
  <c r="J1385" i="36" s="1"/>
  <c r="J1386" i="36" s="1"/>
  <c r="J1387" i="36" s="1"/>
  <c r="J1388" i="36" s="1"/>
  <c r="J1389" i="36" s="1"/>
  <c r="J1390" i="36" s="1"/>
  <c r="J1391" i="36" s="1"/>
  <c r="J1392" i="36" s="1"/>
  <c r="J1393" i="36" s="1"/>
  <c r="J1394" i="36" s="1"/>
  <c r="J1395" i="36" s="1"/>
  <c r="J1396" i="36" s="1"/>
  <c r="J1397" i="36" s="1"/>
  <c r="J1398" i="36" s="1"/>
  <c r="J1399" i="36" s="1"/>
  <c r="J1400" i="36" s="1"/>
  <c r="J1401" i="36" s="1"/>
  <c r="J1402" i="36" s="1"/>
  <c r="J1403" i="36" s="1"/>
  <c r="J1404" i="36" s="1"/>
  <c r="J1405" i="36" s="1"/>
  <c r="J1406" i="36" s="1"/>
  <c r="B1377" i="36"/>
  <c r="B1378" i="36" s="1"/>
  <c r="B1379" i="36" s="1"/>
  <c r="B1380" i="36" s="1"/>
  <c r="B1381" i="36" s="1"/>
  <c r="B1382" i="36" s="1"/>
  <c r="B1383" i="36" s="1"/>
  <c r="B1384" i="36" s="1"/>
  <c r="B1385" i="36" s="1"/>
  <c r="B1386" i="36" s="1"/>
  <c r="B1387" i="36" s="1"/>
  <c r="B1388" i="36" s="1"/>
  <c r="B1389" i="36" s="1"/>
  <c r="B1390" i="36" s="1"/>
  <c r="B1391" i="36" s="1"/>
  <c r="B1392" i="36" s="1"/>
  <c r="B1393" i="36" s="1"/>
  <c r="B1394" i="36" s="1"/>
  <c r="B1395" i="36" s="1"/>
  <c r="B1396" i="36" s="1"/>
  <c r="B1397" i="36" s="1"/>
  <c r="B1398" i="36" s="1"/>
  <c r="B1399" i="36" s="1"/>
  <c r="B1400" i="36" s="1"/>
  <c r="B1401" i="36" s="1"/>
  <c r="B1402" i="36" s="1"/>
  <c r="B1403" i="36" s="1"/>
  <c r="B1404" i="36" s="1"/>
  <c r="B1405" i="36" s="1"/>
  <c r="B1406" i="36" s="1"/>
  <c r="R1310" i="36"/>
  <c r="R1311" i="36" s="1"/>
  <c r="R1312" i="36" s="1"/>
  <c r="R1313" i="36" s="1"/>
  <c r="R1314" i="36" s="1"/>
  <c r="R1315" i="36" s="1"/>
  <c r="R1316" i="36" s="1"/>
  <c r="R1317" i="36" s="1"/>
  <c r="R1318" i="36" s="1"/>
  <c r="R1319" i="36" s="1"/>
  <c r="R1320" i="36" s="1"/>
  <c r="R1321" i="36" s="1"/>
  <c r="R1322" i="36" s="1"/>
  <c r="R1323" i="36" s="1"/>
  <c r="R1324" i="36" s="1"/>
  <c r="R1325" i="36" s="1"/>
  <c r="R1326" i="36" s="1"/>
  <c r="R1327" i="36" s="1"/>
  <c r="R1328" i="36" s="1"/>
  <c r="R1329" i="36" s="1"/>
  <c r="R1330" i="36" s="1"/>
  <c r="R1331" i="36" s="1"/>
  <c r="R1332" i="36" s="1"/>
  <c r="R1333" i="36" s="1"/>
  <c r="R1334" i="36" s="1"/>
  <c r="R1335" i="36" s="1"/>
  <c r="R1336" i="36" s="1"/>
  <c r="R1337" i="36" s="1"/>
  <c r="R1338" i="36" s="1"/>
  <c r="R1339" i="36" s="1"/>
  <c r="J1310" i="36"/>
  <c r="J1311" i="36" s="1"/>
  <c r="J1312" i="36" s="1"/>
  <c r="J1313" i="36" s="1"/>
  <c r="J1314" i="36" s="1"/>
  <c r="J1315" i="36" s="1"/>
  <c r="J1316" i="36" s="1"/>
  <c r="J1317" i="36" s="1"/>
  <c r="J1318" i="36" s="1"/>
  <c r="J1319" i="36" s="1"/>
  <c r="J1320" i="36" s="1"/>
  <c r="J1321" i="36" s="1"/>
  <c r="J1322" i="36" s="1"/>
  <c r="J1323" i="36" s="1"/>
  <c r="J1324" i="36" s="1"/>
  <c r="J1325" i="36" s="1"/>
  <c r="J1326" i="36" s="1"/>
  <c r="J1327" i="36" s="1"/>
  <c r="J1328" i="36" s="1"/>
  <c r="J1329" i="36" s="1"/>
  <c r="J1330" i="36" s="1"/>
  <c r="J1331" i="36" s="1"/>
  <c r="J1332" i="36" s="1"/>
  <c r="J1333" i="36" s="1"/>
  <c r="J1334" i="36" s="1"/>
  <c r="J1335" i="36" s="1"/>
  <c r="J1336" i="36" s="1"/>
  <c r="J1337" i="36" s="1"/>
  <c r="J1338" i="36" s="1"/>
  <c r="J1339" i="36" s="1"/>
  <c r="B1310" i="36"/>
  <c r="B1311" i="36" s="1"/>
  <c r="B1312" i="36" s="1"/>
  <c r="B1313" i="36" s="1"/>
  <c r="B1314" i="36" s="1"/>
  <c r="B1315" i="36" s="1"/>
  <c r="B1316" i="36" s="1"/>
  <c r="B1317" i="36" s="1"/>
  <c r="B1318" i="36" s="1"/>
  <c r="B1319" i="36" s="1"/>
  <c r="B1320" i="36" s="1"/>
  <c r="B1321" i="36" s="1"/>
  <c r="B1322" i="36" s="1"/>
  <c r="B1323" i="36" s="1"/>
  <c r="B1324" i="36" s="1"/>
  <c r="B1325" i="36" s="1"/>
  <c r="B1326" i="36" s="1"/>
  <c r="B1327" i="36" s="1"/>
  <c r="B1328" i="36" s="1"/>
  <c r="B1329" i="36" s="1"/>
  <c r="B1330" i="36" s="1"/>
  <c r="B1331" i="36" s="1"/>
  <c r="B1332" i="36" s="1"/>
  <c r="B1333" i="36" s="1"/>
  <c r="B1334" i="36" s="1"/>
  <c r="B1335" i="36" s="1"/>
  <c r="B1336" i="36" s="1"/>
  <c r="B1337" i="36" s="1"/>
  <c r="B1338" i="36" s="1"/>
  <c r="B1339" i="36" s="1"/>
  <c r="B1257" i="36"/>
  <c r="B1258" i="36" s="1"/>
  <c r="B1259" i="36" s="1"/>
  <c r="B1260" i="36" s="1"/>
  <c r="B1261" i="36" s="1"/>
  <c r="B1262" i="36" s="1"/>
  <c r="B1263" i="36" s="1"/>
  <c r="B1264" i="36" s="1"/>
  <c r="B1265" i="36" s="1"/>
  <c r="B1266" i="36" s="1"/>
  <c r="B1267" i="36" s="1"/>
  <c r="B1268" i="36" s="1"/>
  <c r="B1269" i="36" s="1"/>
  <c r="B1270" i="36" s="1"/>
  <c r="B1271" i="36" s="1"/>
  <c r="B1272" i="36" s="1"/>
  <c r="R1243" i="36"/>
  <c r="R1244" i="36" s="1"/>
  <c r="R1245" i="36" s="1"/>
  <c r="R1246" i="36" s="1"/>
  <c r="R1247" i="36" s="1"/>
  <c r="R1248" i="36" s="1"/>
  <c r="R1249" i="36" s="1"/>
  <c r="R1250" i="36" s="1"/>
  <c r="R1251" i="36" s="1"/>
  <c r="R1252" i="36" s="1"/>
  <c r="R1253" i="36" s="1"/>
  <c r="R1254" i="36" s="1"/>
  <c r="R1255" i="36" s="1"/>
  <c r="R1256" i="36" s="1"/>
  <c r="R1257" i="36" s="1"/>
  <c r="R1258" i="36" s="1"/>
  <c r="R1259" i="36" s="1"/>
  <c r="R1260" i="36" s="1"/>
  <c r="R1261" i="36" s="1"/>
  <c r="R1262" i="36" s="1"/>
  <c r="R1263" i="36" s="1"/>
  <c r="R1264" i="36" s="1"/>
  <c r="R1265" i="36" s="1"/>
  <c r="R1266" i="36" s="1"/>
  <c r="R1267" i="36" s="1"/>
  <c r="R1268" i="36" s="1"/>
  <c r="R1269" i="36" s="1"/>
  <c r="R1270" i="36" s="1"/>
  <c r="R1271" i="36" s="1"/>
  <c r="R1272" i="36" s="1"/>
  <c r="J1243" i="36"/>
  <c r="J1244" i="36" s="1"/>
  <c r="J1245" i="36" s="1"/>
  <c r="J1246" i="36" s="1"/>
  <c r="J1247" i="36" s="1"/>
  <c r="J1248" i="36" s="1"/>
  <c r="J1249" i="36" s="1"/>
  <c r="J1250" i="36" s="1"/>
  <c r="J1251" i="36" s="1"/>
  <c r="J1252" i="36" s="1"/>
  <c r="J1253" i="36" s="1"/>
  <c r="J1254" i="36" s="1"/>
  <c r="J1255" i="36" s="1"/>
  <c r="J1256" i="36" s="1"/>
  <c r="J1257" i="36" s="1"/>
  <c r="J1258" i="36" s="1"/>
  <c r="J1259" i="36" s="1"/>
  <c r="J1260" i="36" s="1"/>
  <c r="J1261" i="36" s="1"/>
  <c r="J1262" i="36" s="1"/>
  <c r="J1263" i="36" s="1"/>
  <c r="J1264" i="36" s="1"/>
  <c r="J1265" i="36" s="1"/>
  <c r="J1266" i="36" s="1"/>
  <c r="J1267" i="36" s="1"/>
  <c r="J1268" i="36" s="1"/>
  <c r="J1269" i="36" s="1"/>
  <c r="J1270" i="36" s="1"/>
  <c r="J1271" i="36" s="1"/>
  <c r="J1272" i="36" s="1"/>
  <c r="B1243" i="36"/>
  <c r="B1244" i="36" s="1"/>
  <c r="B1245" i="36" s="1"/>
  <c r="B1246" i="36" s="1"/>
  <c r="B1247" i="36" s="1"/>
  <c r="B1248" i="36" s="1"/>
  <c r="B1249" i="36" s="1"/>
  <c r="B1250" i="36" s="1"/>
  <c r="B1251" i="36" s="1"/>
  <c r="B1252" i="36" s="1"/>
  <c r="B1253" i="36" s="1"/>
  <c r="B1254" i="36" s="1"/>
  <c r="B1255" i="36" s="1"/>
  <c r="B1256" i="36" s="1"/>
  <c r="R1176" i="36"/>
  <c r="R1177" i="36" s="1"/>
  <c r="R1178" i="36" s="1"/>
  <c r="R1179" i="36" s="1"/>
  <c r="R1180" i="36" s="1"/>
  <c r="R1181" i="36" s="1"/>
  <c r="R1182" i="36" s="1"/>
  <c r="R1183" i="36" s="1"/>
  <c r="R1184" i="36" s="1"/>
  <c r="R1185" i="36" s="1"/>
  <c r="R1186" i="36" s="1"/>
  <c r="R1187" i="36" s="1"/>
  <c r="R1188" i="36" s="1"/>
  <c r="R1189" i="36" s="1"/>
  <c r="R1190" i="36" s="1"/>
  <c r="R1191" i="36" s="1"/>
  <c r="R1192" i="36" s="1"/>
  <c r="R1193" i="36" s="1"/>
  <c r="R1194" i="36" s="1"/>
  <c r="R1195" i="36" s="1"/>
  <c r="R1196" i="36" s="1"/>
  <c r="R1197" i="36" s="1"/>
  <c r="R1198" i="36" s="1"/>
  <c r="R1199" i="36" s="1"/>
  <c r="R1200" i="36" s="1"/>
  <c r="R1201" i="36" s="1"/>
  <c r="R1202" i="36" s="1"/>
  <c r="R1203" i="36" s="1"/>
  <c r="R1204" i="36" s="1"/>
  <c r="R1205" i="36" s="1"/>
  <c r="J1176" i="36"/>
  <c r="J1177" i="36" s="1"/>
  <c r="J1178" i="36" s="1"/>
  <c r="J1179" i="36" s="1"/>
  <c r="J1180" i="36" s="1"/>
  <c r="J1181" i="36" s="1"/>
  <c r="J1182" i="36" s="1"/>
  <c r="J1183" i="36" s="1"/>
  <c r="J1184" i="36" s="1"/>
  <c r="J1185" i="36" s="1"/>
  <c r="J1186" i="36" s="1"/>
  <c r="J1187" i="36" s="1"/>
  <c r="J1188" i="36" s="1"/>
  <c r="J1189" i="36" s="1"/>
  <c r="J1190" i="36" s="1"/>
  <c r="J1191" i="36" s="1"/>
  <c r="J1192" i="36" s="1"/>
  <c r="J1193" i="36" s="1"/>
  <c r="J1194" i="36" s="1"/>
  <c r="J1195" i="36" s="1"/>
  <c r="J1196" i="36" s="1"/>
  <c r="J1197" i="36" s="1"/>
  <c r="J1198" i="36" s="1"/>
  <c r="J1199" i="36" s="1"/>
  <c r="J1200" i="36" s="1"/>
  <c r="J1201" i="36" s="1"/>
  <c r="J1202" i="36" s="1"/>
  <c r="J1203" i="36" s="1"/>
  <c r="J1204" i="36" s="1"/>
  <c r="J1205" i="36" s="1"/>
  <c r="B1176" i="36"/>
  <c r="B1177" i="36" s="1"/>
  <c r="B1178" i="36" s="1"/>
  <c r="B1179" i="36" s="1"/>
  <c r="B1180" i="36" s="1"/>
  <c r="B1181" i="36" s="1"/>
  <c r="B1182" i="36" s="1"/>
  <c r="B1183" i="36" s="1"/>
  <c r="B1184" i="36" s="1"/>
  <c r="B1185" i="36" s="1"/>
  <c r="B1186" i="36" s="1"/>
  <c r="B1187" i="36" s="1"/>
  <c r="B1188" i="36" s="1"/>
  <c r="B1189" i="36" s="1"/>
  <c r="B1190" i="36" s="1"/>
  <c r="B1191" i="36" s="1"/>
  <c r="B1192" i="36" s="1"/>
  <c r="B1193" i="36" s="1"/>
  <c r="B1194" i="36" s="1"/>
  <c r="B1195" i="36" s="1"/>
  <c r="B1196" i="36" s="1"/>
  <c r="B1197" i="36" s="1"/>
  <c r="B1198" i="36" s="1"/>
  <c r="B1199" i="36" s="1"/>
  <c r="B1200" i="36" s="1"/>
  <c r="B1201" i="36" s="1"/>
  <c r="B1202" i="36" s="1"/>
  <c r="B1203" i="36" s="1"/>
  <c r="B1204" i="36" s="1"/>
  <c r="B1205" i="36" s="1"/>
  <c r="B1119" i="36"/>
  <c r="B1120" i="36" s="1"/>
  <c r="B1121" i="36" s="1"/>
  <c r="B1122" i="36" s="1"/>
  <c r="B1123" i="36" s="1"/>
  <c r="B1124" i="36" s="1"/>
  <c r="B1125" i="36" s="1"/>
  <c r="B1126" i="36" s="1"/>
  <c r="B1127" i="36" s="1"/>
  <c r="B1128" i="36" s="1"/>
  <c r="B1129" i="36" s="1"/>
  <c r="B1130" i="36" s="1"/>
  <c r="B1131" i="36" s="1"/>
  <c r="B1132" i="36" s="1"/>
  <c r="B1133" i="36" s="1"/>
  <c r="B1134" i="36" s="1"/>
  <c r="B1135" i="36" s="1"/>
  <c r="B1136" i="36" s="1"/>
  <c r="B1137" i="36" s="1"/>
  <c r="B1138" i="36" s="1"/>
  <c r="J1111" i="36"/>
  <c r="J1112" i="36" s="1"/>
  <c r="J1113" i="36" s="1"/>
  <c r="J1114" i="36" s="1"/>
  <c r="J1115" i="36" s="1"/>
  <c r="J1116" i="36" s="1"/>
  <c r="J1117" i="36" s="1"/>
  <c r="J1118" i="36" s="1"/>
  <c r="J1119" i="36" s="1"/>
  <c r="J1120" i="36" s="1"/>
  <c r="J1121" i="36" s="1"/>
  <c r="J1122" i="36" s="1"/>
  <c r="J1123" i="36" s="1"/>
  <c r="J1124" i="36" s="1"/>
  <c r="J1125" i="36" s="1"/>
  <c r="J1126" i="36" s="1"/>
  <c r="J1127" i="36" s="1"/>
  <c r="J1128" i="36" s="1"/>
  <c r="J1129" i="36" s="1"/>
  <c r="J1130" i="36" s="1"/>
  <c r="J1131" i="36" s="1"/>
  <c r="J1132" i="36" s="1"/>
  <c r="J1133" i="36" s="1"/>
  <c r="J1134" i="36" s="1"/>
  <c r="J1135" i="36" s="1"/>
  <c r="J1136" i="36" s="1"/>
  <c r="J1137" i="36" s="1"/>
  <c r="J1138" i="36" s="1"/>
  <c r="R1109" i="36"/>
  <c r="R1110" i="36" s="1"/>
  <c r="R1111" i="36" s="1"/>
  <c r="R1112" i="36" s="1"/>
  <c r="R1113" i="36" s="1"/>
  <c r="R1114" i="36" s="1"/>
  <c r="R1115" i="36" s="1"/>
  <c r="R1116" i="36" s="1"/>
  <c r="R1117" i="36" s="1"/>
  <c r="R1118" i="36" s="1"/>
  <c r="R1119" i="36" s="1"/>
  <c r="R1120" i="36" s="1"/>
  <c r="R1121" i="36" s="1"/>
  <c r="R1122" i="36" s="1"/>
  <c r="R1123" i="36" s="1"/>
  <c r="R1124" i="36" s="1"/>
  <c r="R1125" i="36" s="1"/>
  <c r="R1126" i="36" s="1"/>
  <c r="R1127" i="36" s="1"/>
  <c r="R1128" i="36" s="1"/>
  <c r="R1129" i="36" s="1"/>
  <c r="R1130" i="36" s="1"/>
  <c r="R1131" i="36" s="1"/>
  <c r="R1132" i="36" s="1"/>
  <c r="R1133" i="36" s="1"/>
  <c r="R1134" i="36" s="1"/>
  <c r="R1135" i="36" s="1"/>
  <c r="R1136" i="36" s="1"/>
  <c r="R1137" i="36" s="1"/>
  <c r="R1138" i="36" s="1"/>
  <c r="J1109" i="36"/>
  <c r="J1110" i="36" s="1"/>
  <c r="B1109" i="36"/>
  <c r="B1110" i="36" s="1"/>
  <c r="B1111" i="36" s="1"/>
  <c r="B1112" i="36" s="1"/>
  <c r="B1113" i="36" s="1"/>
  <c r="B1114" i="36" s="1"/>
  <c r="B1115" i="36" s="1"/>
  <c r="B1116" i="36" s="1"/>
  <c r="B1117" i="36" s="1"/>
  <c r="B1118" i="36" s="1"/>
  <c r="J1046" i="36"/>
  <c r="J1047" i="36" s="1"/>
  <c r="J1048" i="36" s="1"/>
  <c r="J1049" i="36" s="1"/>
  <c r="J1050" i="36" s="1"/>
  <c r="J1051" i="36" s="1"/>
  <c r="J1052" i="36" s="1"/>
  <c r="J1053" i="36" s="1"/>
  <c r="J1054" i="36" s="1"/>
  <c r="J1055" i="36" s="1"/>
  <c r="J1056" i="36" s="1"/>
  <c r="J1057" i="36" s="1"/>
  <c r="J1058" i="36" s="1"/>
  <c r="J1059" i="36" s="1"/>
  <c r="J1060" i="36" s="1"/>
  <c r="J1061" i="36" s="1"/>
  <c r="J1062" i="36" s="1"/>
  <c r="J1063" i="36" s="1"/>
  <c r="J1064" i="36" s="1"/>
  <c r="J1065" i="36" s="1"/>
  <c r="J1066" i="36" s="1"/>
  <c r="J1067" i="36" s="1"/>
  <c r="J1068" i="36" s="1"/>
  <c r="J1069" i="36" s="1"/>
  <c r="J1070" i="36" s="1"/>
  <c r="J1071" i="36" s="1"/>
  <c r="R1042" i="36"/>
  <c r="R1043" i="36" s="1"/>
  <c r="R1044" i="36" s="1"/>
  <c r="R1045" i="36" s="1"/>
  <c r="R1046" i="36" s="1"/>
  <c r="R1047" i="36" s="1"/>
  <c r="R1048" i="36" s="1"/>
  <c r="R1049" i="36" s="1"/>
  <c r="R1050" i="36" s="1"/>
  <c r="R1051" i="36" s="1"/>
  <c r="R1052" i="36" s="1"/>
  <c r="R1053" i="36" s="1"/>
  <c r="R1054" i="36" s="1"/>
  <c r="R1055" i="36" s="1"/>
  <c r="R1056" i="36" s="1"/>
  <c r="R1057" i="36" s="1"/>
  <c r="R1058" i="36" s="1"/>
  <c r="R1059" i="36" s="1"/>
  <c r="R1060" i="36" s="1"/>
  <c r="R1061" i="36" s="1"/>
  <c r="R1062" i="36" s="1"/>
  <c r="R1063" i="36" s="1"/>
  <c r="R1064" i="36" s="1"/>
  <c r="R1065" i="36" s="1"/>
  <c r="R1066" i="36" s="1"/>
  <c r="R1067" i="36" s="1"/>
  <c r="R1068" i="36" s="1"/>
  <c r="R1069" i="36" s="1"/>
  <c r="R1070" i="36" s="1"/>
  <c r="R1071" i="36" s="1"/>
  <c r="J1042" i="36"/>
  <c r="J1043" i="36" s="1"/>
  <c r="J1044" i="36" s="1"/>
  <c r="J1045" i="36" s="1"/>
  <c r="B1042" i="36"/>
  <c r="B1043" i="36" s="1"/>
  <c r="B1044" i="36" s="1"/>
  <c r="B1045" i="36" s="1"/>
  <c r="B1046" i="36" s="1"/>
  <c r="B1047" i="36" s="1"/>
  <c r="B1048" i="36" s="1"/>
  <c r="B1049" i="36" s="1"/>
  <c r="B1050" i="36" s="1"/>
  <c r="B1051" i="36" s="1"/>
  <c r="B1052" i="36" s="1"/>
  <c r="B1053" i="36" s="1"/>
  <c r="B1054" i="36" s="1"/>
  <c r="B1055" i="36" s="1"/>
  <c r="B1056" i="36" s="1"/>
  <c r="B1057" i="36" s="1"/>
  <c r="B1058" i="36" s="1"/>
  <c r="B1059" i="36" s="1"/>
  <c r="B1060" i="36" s="1"/>
  <c r="B1061" i="36" s="1"/>
  <c r="B1062" i="36" s="1"/>
  <c r="B1063" i="36" s="1"/>
  <c r="B1064" i="36" s="1"/>
  <c r="B1065" i="36" s="1"/>
  <c r="B1066" i="36" s="1"/>
  <c r="B1067" i="36" s="1"/>
  <c r="B1068" i="36" s="1"/>
  <c r="B1069" i="36" s="1"/>
  <c r="B1070" i="36" s="1"/>
  <c r="B1071" i="36" s="1"/>
  <c r="B989" i="36"/>
  <c r="B990" i="36" s="1"/>
  <c r="B991" i="36" s="1"/>
  <c r="B992" i="36" s="1"/>
  <c r="B993" i="36" s="1"/>
  <c r="B994" i="36" s="1"/>
  <c r="B995" i="36" s="1"/>
  <c r="B996" i="36" s="1"/>
  <c r="B997" i="36" s="1"/>
  <c r="B998" i="36" s="1"/>
  <c r="B999" i="36" s="1"/>
  <c r="B1000" i="36" s="1"/>
  <c r="B1001" i="36" s="1"/>
  <c r="B1002" i="36" s="1"/>
  <c r="B1003" i="36" s="1"/>
  <c r="B1004" i="36" s="1"/>
  <c r="R977" i="36"/>
  <c r="R978" i="36" s="1"/>
  <c r="R979" i="36" s="1"/>
  <c r="R980" i="36" s="1"/>
  <c r="R981" i="36" s="1"/>
  <c r="R982" i="36" s="1"/>
  <c r="R983" i="36" s="1"/>
  <c r="R984" i="36" s="1"/>
  <c r="R985" i="36" s="1"/>
  <c r="R986" i="36" s="1"/>
  <c r="R987" i="36" s="1"/>
  <c r="R988" i="36" s="1"/>
  <c r="R989" i="36" s="1"/>
  <c r="R990" i="36" s="1"/>
  <c r="R991" i="36" s="1"/>
  <c r="R992" i="36" s="1"/>
  <c r="R993" i="36" s="1"/>
  <c r="R994" i="36" s="1"/>
  <c r="R995" i="36" s="1"/>
  <c r="R996" i="36" s="1"/>
  <c r="R997" i="36" s="1"/>
  <c r="R998" i="36" s="1"/>
  <c r="R999" i="36" s="1"/>
  <c r="R1000" i="36" s="1"/>
  <c r="R1001" i="36" s="1"/>
  <c r="R1002" i="36" s="1"/>
  <c r="R1003" i="36" s="1"/>
  <c r="R1004" i="36" s="1"/>
  <c r="B977" i="36"/>
  <c r="B978" i="36" s="1"/>
  <c r="B979" i="36" s="1"/>
  <c r="B980" i="36" s="1"/>
  <c r="B981" i="36" s="1"/>
  <c r="B982" i="36" s="1"/>
  <c r="B983" i="36" s="1"/>
  <c r="B984" i="36" s="1"/>
  <c r="B985" i="36" s="1"/>
  <c r="B986" i="36" s="1"/>
  <c r="B987" i="36" s="1"/>
  <c r="B988" i="36" s="1"/>
  <c r="R975" i="36"/>
  <c r="R976" i="36" s="1"/>
  <c r="J975" i="36"/>
  <c r="J976" i="36" s="1"/>
  <c r="J977" i="36" s="1"/>
  <c r="J978" i="36" s="1"/>
  <c r="J979" i="36" s="1"/>
  <c r="J980" i="36" s="1"/>
  <c r="J981" i="36" s="1"/>
  <c r="J982" i="36" s="1"/>
  <c r="J983" i="36" s="1"/>
  <c r="J984" i="36" s="1"/>
  <c r="J985" i="36" s="1"/>
  <c r="J986" i="36" s="1"/>
  <c r="J987" i="36" s="1"/>
  <c r="J988" i="36" s="1"/>
  <c r="J989" i="36" s="1"/>
  <c r="J990" i="36" s="1"/>
  <c r="J991" i="36" s="1"/>
  <c r="J992" i="36" s="1"/>
  <c r="J993" i="36" s="1"/>
  <c r="J994" i="36" s="1"/>
  <c r="J995" i="36" s="1"/>
  <c r="J996" i="36" s="1"/>
  <c r="J997" i="36" s="1"/>
  <c r="J998" i="36" s="1"/>
  <c r="J999" i="36" s="1"/>
  <c r="J1000" i="36" s="1"/>
  <c r="J1001" i="36" s="1"/>
  <c r="J1002" i="36" s="1"/>
  <c r="J1003" i="36" s="1"/>
  <c r="J1004" i="36" s="1"/>
  <c r="B975" i="36"/>
  <c r="B976" i="36" s="1"/>
  <c r="R914" i="36"/>
  <c r="R915" i="36" s="1"/>
  <c r="R916" i="36" s="1"/>
  <c r="R917" i="36" s="1"/>
  <c r="R918" i="36" s="1"/>
  <c r="R919" i="36" s="1"/>
  <c r="R920" i="36" s="1"/>
  <c r="R921" i="36" s="1"/>
  <c r="R922" i="36" s="1"/>
  <c r="R923" i="36" s="1"/>
  <c r="R924" i="36" s="1"/>
  <c r="R925" i="36" s="1"/>
  <c r="R926" i="36" s="1"/>
  <c r="R927" i="36" s="1"/>
  <c r="R928" i="36" s="1"/>
  <c r="R929" i="36" s="1"/>
  <c r="R930" i="36" s="1"/>
  <c r="R931" i="36" s="1"/>
  <c r="R932" i="36" s="1"/>
  <c r="R933" i="36" s="1"/>
  <c r="R934" i="36" s="1"/>
  <c r="R935" i="36" s="1"/>
  <c r="R936" i="36" s="1"/>
  <c r="R937" i="36" s="1"/>
  <c r="B909" i="36"/>
  <c r="B910" i="36" s="1"/>
  <c r="B911" i="36" s="1"/>
  <c r="B912" i="36" s="1"/>
  <c r="B913" i="36" s="1"/>
  <c r="B914" i="36" s="1"/>
  <c r="B915" i="36" s="1"/>
  <c r="B916" i="36" s="1"/>
  <c r="B917" i="36" s="1"/>
  <c r="B918" i="36" s="1"/>
  <c r="B919" i="36" s="1"/>
  <c r="B920" i="36" s="1"/>
  <c r="B921" i="36" s="1"/>
  <c r="B922" i="36" s="1"/>
  <c r="B923" i="36" s="1"/>
  <c r="B924" i="36" s="1"/>
  <c r="B925" i="36" s="1"/>
  <c r="B926" i="36" s="1"/>
  <c r="B927" i="36" s="1"/>
  <c r="B928" i="36" s="1"/>
  <c r="B929" i="36" s="1"/>
  <c r="B930" i="36" s="1"/>
  <c r="B931" i="36" s="1"/>
  <c r="B932" i="36" s="1"/>
  <c r="B933" i="36" s="1"/>
  <c r="B934" i="36" s="1"/>
  <c r="B935" i="36" s="1"/>
  <c r="B936" i="36" s="1"/>
  <c r="B937" i="36" s="1"/>
  <c r="R908" i="36"/>
  <c r="R909" i="36" s="1"/>
  <c r="R910" i="36" s="1"/>
  <c r="R911" i="36" s="1"/>
  <c r="R912" i="36" s="1"/>
  <c r="R913" i="36" s="1"/>
  <c r="J908" i="36"/>
  <c r="J909" i="36" s="1"/>
  <c r="J910" i="36" s="1"/>
  <c r="J911" i="36" s="1"/>
  <c r="J912" i="36" s="1"/>
  <c r="J913" i="36" s="1"/>
  <c r="J914" i="36" s="1"/>
  <c r="J915" i="36" s="1"/>
  <c r="J916" i="36" s="1"/>
  <c r="J917" i="36" s="1"/>
  <c r="J918" i="36" s="1"/>
  <c r="J919" i="36" s="1"/>
  <c r="J920" i="36" s="1"/>
  <c r="J921" i="36" s="1"/>
  <c r="J922" i="36" s="1"/>
  <c r="J923" i="36" s="1"/>
  <c r="J924" i="36" s="1"/>
  <c r="J925" i="36" s="1"/>
  <c r="J926" i="36" s="1"/>
  <c r="J927" i="36" s="1"/>
  <c r="J928" i="36" s="1"/>
  <c r="J929" i="36" s="1"/>
  <c r="J930" i="36" s="1"/>
  <c r="J931" i="36" s="1"/>
  <c r="J932" i="36" s="1"/>
  <c r="J933" i="36" s="1"/>
  <c r="J934" i="36" s="1"/>
  <c r="J935" i="36" s="1"/>
  <c r="J936" i="36" s="1"/>
  <c r="J937" i="36" s="1"/>
  <c r="B908" i="36"/>
  <c r="R841" i="36"/>
  <c r="R842" i="36" s="1"/>
  <c r="R843" i="36" s="1"/>
  <c r="R844" i="36" s="1"/>
  <c r="R845" i="36" s="1"/>
  <c r="R846" i="36" s="1"/>
  <c r="R847" i="36" s="1"/>
  <c r="R848" i="36" s="1"/>
  <c r="R849" i="36" s="1"/>
  <c r="R850" i="36" s="1"/>
  <c r="R851" i="36" s="1"/>
  <c r="R852" i="36" s="1"/>
  <c r="R853" i="36" s="1"/>
  <c r="R854" i="36" s="1"/>
  <c r="R855" i="36" s="1"/>
  <c r="R856" i="36" s="1"/>
  <c r="R857" i="36" s="1"/>
  <c r="R858" i="36" s="1"/>
  <c r="R859" i="36" s="1"/>
  <c r="R860" i="36" s="1"/>
  <c r="R861" i="36" s="1"/>
  <c r="R862" i="36" s="1"/>
  <c r="R863" i="36" s="1"/>
  <c r="R864" i="36" s="1"/>
  <c r="R865" i="36" s="1"/>
  <c r="R866" i="36" s="1"/>
  <c r="R867" i="36" s="1"/>
  <c r="R868" i="36" s="1"/>
  <c r="R869" i="36" s="1"/>
  <c r="R870" i="36" s="1"/>
  <c r="J841" i="36"/>
  <c r="J842" i="36" s="1"/>
  <c r="J843" i="36" s="1"/>
  <c r="J844" i="36" s="1"/>
  <c r="J845" i="36" s="1"/>
  <c r="J846" i="36" s="1"/>
  <c r="J847" i="36" s="1"/>
  <c r="J848" i="36" s="1"/>
  <c r="J849" i="36" s="1"/>
  <c r="J850" i="36" s="1"/>
  <c r="J851" i="36" s="1"/>
  <c r="J852" i="36" s="1"/>
  <c r="J853" i="36" s="1"/>
  <c r="J854" i="36" s="1"/>
  <c r="J855" i="36" s="1"/>
  <c r="J856" i="36" s="1"/>
  <c r="J857" i="36" s="1"/>
  <c r="J858" i="36" s="1"/>
  <c r="J859" i="36" s="1"/>
  <c r="J860" i="36" s="1"/>
  <c r="J861" i="36" s="1"/>
  <c r="J862" i="36" s="1"/>
  <c r="J863" i="36" s="1"/>
  <c r="J864" i="36" s="1"/>
  <c r="J865" i="36" s="1"/>
  <c r="J866" i="36" s="1"/>
  <c r="J867" i="36" s="1"/>
  <c r="J868" i="36" s="1"/>
  <c r="J869" i="36" s="1"/>
  <c r="J870" i="36" s="1"/>
  <c r="B841" i="36"/>
  <c r="B842" i="36" s="1"/>
  <c r="B843" i="36" s="1"/>
  <c r="B844" i="36" s="1"/>
  <c r="B845" i="36" s="1"/>
  <c r="B846" i="36" s="1"/>
  <c r="B847" i="36" s="1"/>
  <c r="B848" i="36" s="1"/>
  <c r="B849" i="36" s="1"/>
  <c r="B850" i="36" s="1"/>
  <c r="B851" i="36" s="1"/>
  <c r="B852" i="36" s="1"/>
  <c r="B853" i="36" s="1"/>
  <c r="B854" i="36" s="1"/>
  <c r="B855" i="36" s="1"/>
  <c r="B856" i="36" s="1"/>
  <c r="B857" i="36" s="1"/>
  <c r="B858" i="36" s="1"/>
  <c r="B859" i="36" s="1"/>
  <c r="B860" i="36" s="1"/>
  <c r="B861" i="36" s="1"/>
  <c r="B862" i="36" s="1"/>
  <c r="B863" i="36" s="1"/>
  <c r="B864" i="36" s="1"/>
  <c r="B865" i="36" s="1"/>
  <c r="B866" i="36" s="1"/>
  <c r="B867" i="36" s="1"/>
  <c r="B868" i="36" s="1"/>
  <c r="B869" i="36" s="1"/>
  <c r="B870" i="36" s="1"/>
  <c r="R786" i="36"/>
  <c r="R787" i="36" s="1"/>
  <c r="R788" i="36" s="1"/>
  <c r="R789" i="36" s="1"/>
  <c r="R790" i="36" s="1"/>
  <c r="R791" i="36" s="1"/>
  <c r="R792" i="36" s="1"/>
  <c r="R793" i="36" s="1"/>
  <c r="R794" i="36" s="1"/>
  <c r="R795" i="36" s="1"/>
  <c r="R796" i="36" s="1"/>
  <c r="R797" i="36" s="1"/>
  <c r="R798" i="36" s="1"/>
  <c r="R799" i="36" s="1"/>
  <c r="R800" i="36" s="1"/>
  <c r="R801" i="36" s="1"/>
  <c r="R802" i="36" s="1"/>
  <c r="R803" i="36" s="1"/>
  <c r="R784" i="36"/>
  <c r="R785" i="36" s="1"/>
  <c r="J780" i="36"/>
  <c r="J781" i="36" s="1"/>
  <c r="J782" i="36" s="1"/>
  <c r="J783" i="36" s="1"/>
  <c r="J784" i="36" s="1"/>
  <c r="J785" i="36" s="1"/>
  <c r="J786" i="36" s="1"/>
  <c r="J787" i="36" s="1"/>
  <c r="J788" i="36" s="1"/>
  <c r="J789" i="36" s="1"/>
  <c r="J790" i="36" s="1"/>
  <c r="J791" i="36" s="1"/>
  <c r="J792" i="36" s="1"/>
  <c r="J793" i="36" s="1"/>
  <c r="J794" i="36" s="1"/>
  <c r="J795" i="36" s="1"/>
  <c r="J796" i="36" s="1"/>
  <c r="J797" i="36" s="1"/>
  <c r="J798" i="36" s="1"/>
  <c r="J799" i="36" s="1"/>
  <c r="J800" i="36" s="1"/>
  <c r="J801" i="36" s="1"/>
  <c r="J802" i="36" s="1"/>
  <c r="J803" i="36" s="1"/>
  <c r="B779" i="36"/>
  <c r="B780" i="36" s="1"/>
  <c r="B781" i="36" s="1"/>
  <c r="B782" i="36" s="1"/>
  <c r="B783" i="36" s="1"/>
  <c r="B784" i="36" s="1"/>
  <c r="B785" i="36" s="1"/>
  <c r="B786" i="36" s="1"/>
  <c r="B787" i="36" s="1"/>
  <c r="B788" i="36" s="1"/>
  <c r="B789" i="36" s="1"/>
  <c r="B790" i="36" s="1"/>
  <c r="B791" i="36" s="1"/>
  <c r="B792" i="36" s="1"/>
  <c r="B793" i="36" s="1"/>
  <c r="B794" i="36" s="1"/>
  <c r="B795" i="36" s="1"/>
  <c r="B796" i="36" s="1"/>
  <c r="B797" i="36" s="1"/>
  <c r="B798" i="36" s="1"/>
  <c r="B799" i="36" s="1"/>
  <c r="B800" i="36" s="1"/>
  <c r="B801" i="36" s="1"/>
  <c r="B802" i="36" s="1"/>
  <c r="B803" i="36" s="1"/>
  <c r="B775" i="36"/>
  <c r="B776" i="36" s="1"/>
  <c r="B777" i="36" s="1"/>
  <c r="B778" i="36" s="1"/>
  <c r="R774" i="36"/>
  <c r="R775" i="36" s="1"/>
  <c r="R776" i="36" s="1"/>
  <c r="R777" i="36" s="1"/>
  <c r="R778" i="36" s="1"/>
  <c r="R779" i="36" s="1"/>
  <c r="R780" i="36" s="1"/>
  <c r="R781" i="36" s="1"/>
  <c r="R782" i="36" s="1"/>
  <c r="R783" i="36" s="1"/>
  <c r="J774" i="36"/>
  <c r="J775" i="36" s="1"/>
  <c r="J776" i="36" s="1"/>
  <c r="J777" i="36" s="1"/>
  <c r="J778" i="36" s="1"/>
  <c r="J779" i="36" s="1"/>
  <c r="B774" i="36"/>
  <c r="J709" i="36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J722" i="36" s="1"/>
  <c r="J723" i="36" s="1"/>
  <c r="J724" i="36" s="1"/>
  <c r="J725" i="36" s="1"/>
  <c r="J726" i="36" s="1"/>
  <c r="J727" i="36" s="1"/>
  <c r="J728" i="36" s="1"/>
  <c r="J729" i="36" s="1"/>
  <c r="J730" i="36" s="1"/>
  <c r="J731" i="36" s="1"/>
  <c r="J732" i="36" s="1"/>
  <c r="J733" i="36" s="1"/>
  <c r="J734" i="36" s="1"/>
  <c r="J735" i="36" s="1"/>
  <c r="J736" i="36" s="1"/>
  <c r="B708" i="36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B722" i="36" s="1"/>
  <c r="B723" i="36" s="1"/>
  <c r="B724" i="36" s="1"/>
  <c r="B725" i="36" s="1"/>
  <c r="B726" i="36" s="1"/>
  <c r="B727" i="36" s="1"/>
  <c r="B728" i="36" s="1"/>
  <c r="B729" i="36" s="1"/>
  <c r="B730" i="36" s="1"/>
  <c r="B731" i="36" s="1"/>
  <c r="B732" i="36" s="1"/>
  <c r="B733" i="36" s="1"/>
  <c r="B734" i="36" s="1"/>
  <c r="B735" i="36" s="1"/>
  <c r="B736" i="36" s="1"/>
  <c r="R707" i="36"/>
  <c r="R708" i="36" s="1"/>
  <c r="R709" i="36" s="1"/>
  <c r="R710" i="36" s="1"/>
  <c r="R711" i="36" s="1"/>
  <c r="R712" i="36" s="1"/>
  <c r="R713" i="36" s="1"/>
  <c r="R714" i="36" s="1"/>
  <c r="R715" i="36" s="1"/>
  <c r="R716" i="36" s="1"/>
  <c r="R717" i="36" s="1"/>
  <c r="R718" i="36" s="1"/>
  <c r="R719" i="36" s="1"/>
  <c r="R720" i="36" s="1"/>
  <c r="R721" i="36" s="1"/>
  <c r="R722" i="36" s="1"/>
  <c r="R723" i="36" s="1"/>
  <c r="R724" i="36" s="1"/>
  <c r="R725" i="36" s="1"/>
  <c r="R726" i="36" s="1"/>
  <c r="R727" i="36" s="1"/>
  <c r="R728" i="36" s="1"/>
  <c r="R729" i="36" s="1"/>
  <c r="R730" i="36" s="1"/>
  <c r="R731" i="36" s="1"/>
  <c r="R732" i="36" s="1"/>
  <c r="R733" i="36" s="1"/>
  <c r="R734" i="36" s="1"/>
  <c r="R735" i="36" s="1"/>
  <c r="R736" i="36" s="1"/>
  <c r="J707" i="36"/>
  <c r="J708" i="36" s="1"/>
  <c r="B707" i="36"/>
  <c r="J641" i="36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R640" i="36"/>
  <c r="R641" i="36" s="1"/>
  <c r="R642" i="36" s="1"/>
  <c r="R643" i="36" s="1"/>
  <c r="R644" i="36" s="1"/>
  <c r="R645" i="36" s="1"/>
  <c r="R646" i="36" s="1"/>
  <c r="R647" i="36" s="1"/>
  <c r="R648" i="36" s="1"/>
  <c r="R649" i="36" s="1"/>
  <c r="R650" i="36" s="1"/>
  <c r="R651" i="36" s="1"/>
  <c r="R652" i="36" s="1"/>
  <c r="R653" i="36" s="1"/>
  <c r="R654" i="36" s="1"/>
  <c r="R655" i="36" s="1"/>
  <c r="R656" i="36" s="1"/>
  <c r="R657" i="36" s="1"/>
  <c r="R658" i="36" s="1"/>
  <c r="R659" i="36" s="1"/>
  <c r="R660" i="36" s="1"/>
  <c r="R661" i="36" s="1"/>
  <c r="R662" i="36" s="1"/>
  <c r="R663" i="36" s="1"/>
  <c r="R664" i="36" s="1"/>
  <c r="R665" i="36" s="1"/>
  <c r="R666" i="36" s="1"/>
  <c r="R667" i="36" s="1"/>
  <c r="R668" i="36" s="1"/>
  <c r="R669" i="36" s="1"/>
  <c r="J640" i="36"/>
  <c r="B640" i="36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R575" i="36"/>
  <c r="R576" i="36" s="1"/>
  <c r="R577" i="36" s="1"/>
  <c r="R578" i="36" s="1"/>
  <c r="R579" i="36" s="1"/>
  <c r="R580" i="36" s="1"/>
  <c r="R581" i="36" s="1"/>
  <c r="R582" i="36" s="1"/>
  <c r="R583" i="36" s="1"/>
  <c r="R584" i="36" s="1"/>
  <c r="R585" i="36" s="1"/>
  <c r="R586" i="36" s="1"/>
  <c r="R587" i="36" s="1"/>
  <c r="R588" i="36" s="1"/>
  <c r="R589" i="36" s="1"/>
  <c r="R590" i="36" s="1"/>
  <c r="R591" i="36" s="1"/>
  <c r="R592" i="36" s="1"/>
  <c r="R593" i="36" s="1"/>
  <c r="R594" i="36" s="1"/>
  <c r="R595" i="36" s="1"/>
  <c r="R596" i="36" s="1"/>
  <c r="R597" i="36" s="1"/>
  <c r="R598" i="36" s="1"/>
  <c r="R599" i="36" s="1"/>
  <c r="R600" i="36" s="1"/>
  <c r="R601" i="36" s="1"/>
  <c r="R602" i="36" s="1"/>
  <c r="J574" i="36"/>
  <c r="J575" i="36" s="1"/>
  <c r="J576" i="36" s="1"/>
  <c r="J577" i="36" s="1"/>
  <c r="J578" i="36" s="1"/>
  <c r="J579" i="36" s="1"/>
  <c r="J580" i="36" s="1"/>
  <c r="J581" i="36" s="1"/>
  <c r="J582" i="36" s="1"/>
  <c r="J583" i="36" s="1"/>
  <c r="J584" i="36" s="1"/>
  <c r="J585" i="36" s="1"/>
  <c r="J586" i="36" s="1"/>
  <c r="J587" i="36" s="1"/>
  <c r="J588" i="36" s="1"/>
  <c r="J589" i="36" s="1"/>
  <c r="J590" i="36" s="1"/>
  <c r="J591" i="36" s="1"/>
  <c r="J592" i="36" s="1"/>
  <c r="J593" i="36" s="1"/>
  <c r="J594" i="36" s="1"/>
  <c r="J595" i="36" s="1"/>
  <c r="J596" i="36" s="1"/>
  <c r="J597" i="36" s="1"/>
  <c r="J598" i="36" s="1"/>
  <c r="J599" i="36" s="1"/>
  <c r="J600" i="36" s="1"/>
  <c r="J601" i="36" s="1"/>
  <c r="J602" i="36" s="1"/>
  <c r="R573" i="36"/>
  <c r="R574" i="36" s="1"/>
  <c r="J573" i="36"/>
  <c r="B573" i="36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508" i="36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J507" i="36"/>
  <c r="J508" i="36" s="1"/>
  <c r="J509" i="36" s="1"/>
  <c r="J510" i="36" s="1"/>
  <c r="J511" i="36" s="1"/>
  <c r="J512" i="36" s="1"/>
  <c r="J513" i="36" s="1"/>
  <c r="J514" i="36" s="1"/>
  <c r="J515" i="36" s="1"/>
  <c r="J516" i="36" s="1"/>
  <c r="J517" i="36" s="1"/>
  <c r="J518" i="36" s="1"/>
  <c r="J519" i="36" s="1"/>
  <c r="J520" i="36" s="1"/>
  <c r="J521" i="36" s="1"/>
  <c r="J522" i="36" s="1"/>
  <c r="J523" i="36" s="1"/>
  <c r="J524" i="36" s="1"/>
  <c r="J525" i="36" s="1"/>
  <c r="J526" i="36" s="1"/>
  <c r="J527" i="36" s="1"/>
  <c r="J528" i="36" s="1"/>
  <c r="J529" i="36" s="1"/>
  <c r="J530" i="36" s="1"/>
  <c r="J531" i="36" s="1"/>
  <c r="J532" i="36" s="1"/>
  <c r="J533" i="36" s="1"/>
  <c r="J534" i="36" s="1"/>
  <c r="J535" i="36" s="1"/>
  <c r="R506" i="36"/>
  <c r="R507" i="36" s="1"/>
  <c r="R508" i="36" s="1"/>
  <c r="R509" i="36" s="1"/>
  <c r="R510" i="36" s="1"/>
  <c r="R511" i="36" s="1"/>
  <c r="R512" i="36" s="1"/>
  <c r="R513" i="36" s="1"/>
  <c r="R514" i="36" s="1"/>
  <c r="R515" i="36" s="1"/>
  <c r="R516" i="36" s="1"/>
  <c r="R517" i="36" s="1"/>
  <c r="R518" i="36" s="1"/>
  <c r="R519" i="36" s="1"/>
  <c r="R520" i="36" s="1"/>
  <c r="R521" i="36" s="1"/>
  <c r="R522" i="36" s="1"/>
  <c r="R523" i="36" s="1"/>
  <c r="R524" i="36" s="1"/>
  <c r="R525" i="36" s="1"/>
  <c r="R526" i="36" s="1"/>
  <c r="R527" i="36" s="1"/>
  <c r="R528" i="36" s="1"/>
  <c r="R529" i="36" s="1"/>
  <c r="R530" i="36" s="1"/>
  <c r="R531" i="36" s="1"/>
  <c r="R532" i="36" s="1"/>
  <c r="R533" i="36" s="1"/>
  <c r="R534" i="36" s="1"/>
  <c r="R535" i="36" s="1"/>
  <c r="J506" i="36"/>
  <c r="B506" i="36"/>
  <c r="B507" i="36" s="1"/>
  <c r="B441" i="36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J440" i="36"/>
  <c r="J441" i="36" s="1"/>
  <c r="J442" i="36" s="1"/>
  <c r="J443" i="36" s="1"/>
  <c r="J444" i="36" s="1"/>
  <c r="J445" i="36" s="1"/>
  <c r="J446" i="36" s="1"/>
  <c r="J447" i="36" s="1"/>
  <c r="J448" i="36" s="1"/>
  <c r="J449" i="36" s="1"/>
  <c r="J450" i="36" s="1"/>
  <c r="J451" i="36" s="1"/>
  <c r="J452" i="36" s="1"/>
  <c r="J453" i="36" s="1"/>
  <c r="J454" i="36" s="1"/>
  <c r="J455" i="36" s="1"/>
  <c r="J456" i="36" s="1"/>
  <c r="J457" i="36" s="1"/>
  <c r="J458" i="36" s="1"/>
  <c r="J459" i="36" s="1"/>
  <c r="J460" i="36" s="1"/>
  <c r="J461" i="36" s="1"/>
  <c r="J462" i="36" s="1"/>
  <c r="J463" i="36" s="1"/>
  <c r="J464" i="36" s="1"/>
  <c r="J465" i="36" s="1"/>
  <c r="J466" i="36" s="1"/>
  <c r="J467" i="36" s="1"/>
  <c r="J468" i="36" s="1"/>
  <c r="R439" i="36"/>
  <c r="R440" i="36" s="1"/>
  <c r="R441" i="36" s="1"/>
  <c r="R442" i="36" s="1"/>
  <c r="R443" i="36" s="1"/>
  <c r="R444" i="36" s="1"/>
  <c r="R445" i="36" s="1"/>
  <c r="R446" i="36" s="1"/>
  <c r="R447" i="36" s="1"/>
  <c r="R448" i="36" s="1"/>
  <c r="R449" i="36" s="1"/>
  <c r="R450" i="36" s="1"/>
  <c r="R451" i="36" s="1"/>
  <c r="R452" i="36" s="1"/>
  <c r="R453" i="36" s="1"/>
  <c r="R454" i="36" s="1"/>
  <c r="R455" i="36" s="1"/>
  <c r="R456" i="36" s="1"/>
  <c r="R457" i="36" s="1"/>
  <c r="R458" i="36" s="1"/>
  <c r="R459" i="36" s="1"/>
  <c r="R460" i="36" s="1"/>
  <c r="R461" i="36" s="1"/>
  <c r="R462" i="36" s="1"/>
  <c r="R463" i="36" s="1"/>
  <c r="R464" i="36" s="1"/>
  <c r="R465" i="36" s="1"/>
  <c r="R466" i="36" s="1"/>
  <c r="R467" i="36" s="1"/>
  <c r="R468" i="36" s="1"/>
  <c r="J439" i="36"/>
  <c r="B439" i="36"/>
  <c r="B440" i="36" s="1"/>
  <c r="R374" i="36"/>
  <c r="R375" i="36" s="1"/>
  <c r="R376" i="36" s="1"/>
  <c r="R377" i="36" s="1"/>
  <c r="R378" i="36" s="1"/>
  <c r="R379" i="36" s="1"/>
  <c r="R380" i="36" s="1"/>
  <c r="R381" i="36" s="1"/>
  <c r="R382" i="36" s="1"/>
  <c r="R383" i="36" s="1"/>
  <c r="R384" i="36" s="1"/>
  <c r="R385" i="36" s="1"/>
  <c r="R386" i="36" s="1"/>
  <c r="R387" i="36" s="1"/>
  <c r="R388" i="36" s="1"/>
  <c r="R389" i="36" s="1"/>
  <c r="R390" i="36" s="1"/>
  <c r="R391" i="36" s="1"/>
  <c r="R392" i="36" s="1"/>
  <c r="R393" i="36" s="1"/>
  <c r="R394" i="36" s="1"/>
  <c r="R395" i="36" s="1"/>
  <c r="R396" i="36" s="1"/>
  <c r="R397" i="36" s="1"/>
  <c r="R398" i="36" s="1"/>
  <c r="R399" i="36" s="1"/>
  <c r="R400" i="36" s="1"/>
  <c r="R401" i="36" s="1"/>
  <c r="R373" i="36"/>
  <c r="R372" i="36"/>
  <c r="J372" i="36"/>
  <c r="J373" i="36" s="1"/>
  <c r="J374" i="36" s="1"/>
  <c r="J375" i="36" s="1"/>
  <c r="J376" i="36" s="1"/>
  <c r="J377" i="36" s="1"/>
  <c r="J378" i="36" s="1"/>
  <c r="J379" i="36" s="1"/>
  <c r="J380" i="36" s="1"/>
  <c r="J381" i="36" s="1"/>
  <c r="J382" i="36" s="1"/>
  <c r="J383" i="36" s="1"/>
  <c r="J384" i="36" s="1"/>
  <c r="J385" i="36" s="1"/>
  <c r="J386" i="36" s="1"/>
  <c r="J387" i="36" s="1"/>
  <c r="J388" i="36" s="1"/>
  <c r="J389" i="36" s="1"/>
  <c r="J390" i="36" s="1"/>
  <c r="J391" i="36" s="1"/>
  <c r="J392" i="36" s="1"/>
  <c r="J393" i="36" s="1"/>
  <c r="J394" i="36" s="1"/>
  <c r="J395" i="36" s="1"/>
  <c r="J396" i="36" s="1"/>
  <c r="J397" i="36" s="1"/>
  <c r="J398" i="36" s="1"/>
  <c r="J399" i="36" s="1"/>
  <c r="J400" i="36" s="1"/>
  <c r="J401" i="36" s="1"/>
  <c r="B372" i="36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R306" i="36"/>
  <c r="R307" i="36" s="1"/>
  <c r="R308" i="36" s="1"/>
  <c r="R309" i="36" s="1"/>
  <c r="R310" i="36" s="1"/>
  <c r="R311" i="36" s="1"/>
  <c r="R312" i="36" s="1"/>
  <c r="R313" i="36" s="1"/>
  <c r="R314" i="36" s="1"/>
  <c r="R315" i="36" s="1"/>
  <c r="R316" i="36" s="1"/>
  <c r="R317" i="36" s="1"/>
  <c r="R318" i="36" s="1"/>
  <c r="R319" i="36" s="1"/>
  <c r="R320" i="36" s="1"/>
  <c r="R321" i="36" s="1"/>
  <c r="R322" i="36" s="1"/>
  <c r="R323" i="36" s="1"/>
  <c r="R324" i="36" s="1"/>
  <c r="R325" i="36" s="1"/>
  <c r="R326" i="36" s="1"/>
  <c r="R327" i="36" s="1"/>
  <c r="R328" i="36" s="1"/>
  <c r="R329" i="36" s="1"/>
  <c r="R330" i="36" s="1"/>
  <c r="R331" i="36" s="1"/>
  <c r="R332" i="36" s="1"/>
  <c r="R333" i="36" s="1"/>
  <c r="R334" i="36" s="1"/>
  <c r="R305" i="36"/>
  <c r="J305" i="36"/>
  <c r="J306" i="36" s="1"/>
  <c r="J307" i="36" s="1"/>
  <c r="J308" i="36" s="1"/>
  <c r="J309" i="36" s="1"/>
  <c r="J310" i="36" s="1"/>
  <c r="J311" i="36" s="1"/>
  <c r="J312" i="36" s="1"/>
  <c r="J313" i="36" s="1"/>
  <c r="J314" i="36" s="1"/>
  <c r="J315" i="36" s="1"/>
  <c r="J316" i="36" s="1"/>
  <c r="J317" i="36" s="1"/>
  <c r="J318" i="36" s="1"/>
  <c r="J319" i="36" s="1"/>
  <c r="J320" i="36" s="1"/>
  <c r="J321" i="36" s="1"/>
  <c r="J322" i="36" s="1"/>
  <c r="J323" i="36" s="1"/>
  <c r="J324" i="36" s="1"/>
  <c r="J325" i="36" s="1"/>
  <c r="J326" i="36" s="1"/>
  <c r="J327" i="36" s="1"/>
  <c r="J328" i="36" s="1"/>
  <c r="J329" i="36" s="1"/>
  <c r="J330" i="36" s="1"/>
  <c r="J331" i="36" s="1"/>
  <c r="J332" i="36" s="1"/>
  <c r="J333" i="36" s="1"/>
  <c r="J334" i="36" s="1"/>
  <c r="B305" i="36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240" i="36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R239" i="36"/>
  <c r="R240" i="36" s="1"/>
  <c r="R241" i="36" s="1"/>
  <c r="R242" i="36" s="1"/>
  <c r="R243" i="36" s="1"/>
  <c r="R244" i="36" s="1"/>
  <c r="R245" i="36" s="1"/>
  <c r="R246" i="36" s="1"/>
  <c r="R247" i="36" s="1"/>
  <c r="R248" i="36" s="1"/>
  <c r="R249" i="36" s="1"/>
  <c r="R250" i="36" s="1"/>
  <c r="R251" i="36" s="1"/>
  <c r="R252" i="36" s="1"/>
  <c r="R253" i="36" s="1"/>
  <c r="R254" i="36" s="1"/>
  <c r="R255" i="36" s="1"/>
  <c r="R256" i="36" s="1"/>
  <c r="R257" i="36" s="1"/>
  <c r="R258" i="36" s="1"/>
  <c r="R259" i="36" s="1"/>
  <c r="R260" i="36" s="1"/>
  <c r="R261" i="36" s="1"/>
  <c r="R262" i="36" s="1"/>
  <c r="R263" i="36" s="1"/>
  <c r="R264" i="36" s="1"/>
  <c r="R265" i="36" s="1"/>
  <c r="R266" i="36" s="1"/>
  <c r="R267" i="36" s="1"/>
  <c r="J239" i="36"/>
  <c r="J240" i="36" s="1"/>
  <c r="J241" i="36" s="1"/>
  <c r="J242" i="36" s="1"/>
  <c r="J243" i="36" s="1"/>
  <c r="J244" i="36" s="1"/>
  <c r="J245" i="36" s="1"/>
  <c r="J246" i="36" s="1"/>
  <c r="J247" i="36" s="1"/>
  <c r="J248" i="36" s="1"/>
  <c r="J249" i="36" s="1"/>
  <c r="J250" i="36" s="1"/>
  <c r="J251" i="36" s="1"/>
  <c r="J252" i="36" s="1"/>
  <c r="J253" i="36" s="1"/>
  <c r="J254" i="36" s="1"/>
  <c r="J255" i="36" s="1"/>
  <c r="J256" i="36" s="1"/>
  <c r="J257" i="36" s="1"/>
  <c r="J258" i="36" s="1"/>
  <c r="J259" i="36" s="1"/>
  <c r="J260" i="36" s="1"/>
  <c r="J261" i="36" s="1"/>
  <c r="J262" i="36" s="1"/>
  <c r="J263" i="36" s="1"/>
  <c r="J264" i="36" s="1"/>
  <c r="J265" i="36" s="1"/>
  <c r="J266" i="36" s="1"/>
  <c r="J267" i="36" s="1"/>
  <c r="R238" i="36"/>
  <c r="J238" i="36"/>
  <c r="B238" i="36"/>
  <c r="B239" i="36" s="1"/>
  <c r="R172" i="36"/>
  <c r="R173" i="36" s="1"/>
  <c r="R174" i="36" s="1"/>
  <c r="R175" i="36" s="1"/>
  <c r="R176" i="36" s="1"/>
  <c r="R177" i="36" s="1"/>
  <c r="R178" i="36" s="1"/>
  <c r="R179" i="36" s="1"/>
  <c r="R180" i="36" s="1"/>
  <c r="R181" i="36" s="1"/>
  <c r="R182" i="36" s="1"/>
  <c r="R183" i="36" s="1"/>
  <c r="R184" i="36" s="1"/>
  <c r="R185" i="36" s="1"/>
  <c r="R186" i="36" s="1"/>
  <c r="R187" i="36" s="1"/>
  <c r="R188" i="36" s="1"/>
  <c r="R189" i="36" s="1"/>
  <c r="R190" i="36" s="1"/>
  <c r="R191" i="36" s="1"/>
  <c r="R192" i="36" s="1"/>
  <c r="R193" i="36" s="1"/>
  <c r="R194" i="36" s="1"/>
  <c r="R195" i="36" s="1"/>
  <c r="R196" i="36" s="1"/>
  <c r="R197" i="36" s="1"/>
  <c r="R198" i="36" s="1"/>
  <c r="R199" i="36" s="1"/>
  <c r="R200" i="36" s="1"/>
  <c r="J172" i="36"/>
  <c r="J173" i="36" s="1"/>
  <c r="J174" i="36" s="1"/>
  <c r="J175" i="36" s="1"/>
  <c r="J176" i="36" s="1"/>
  <c r="J177" i="36" s="1"/>
  <c r="J178" i="36" s="1"/>
  <c r="J179" i="36" s="1"/>
  <c r="J180" i="36" s="1"/>
  <c r="J181" i="36" s="1"/>
  <c r="J182" i="36" s="1"/>
  <c r="J183" i="36" s="1"/>
  <c r="J184" i="36" s="1"/>
  <c r="J185" i="36" s="1"/>
  <c r="J186" i="36" s="1"/>
  <c r="J187" i="36" s="1"/>
  <c r="J188" i="36" s="1"/>
  <c r="J189" i="36" s="1"/>
  <c r="J190" i="36" s="1"/>
  <c r="J191" i="36" s="1"/>
  <c r="J192" i="36" s="1"/>
  <c r="J193" i="36" s="1"/>
  <c r="J194" i="36" s="1"/>
  <c r="J195" i="36" s="1"/>
  <c r="J196" i="36" s="1"/>
  <c r="J197" i="36" s="1"/>
  <c r="J198" i="36" s="1"/>
  <c r="J199" i="36" s="1"/>
  <c r="J200" i="36" s="1"/>
  <c r="B172" i="36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R171" i="36"/>
  <c r="J171" i="36"/>
  <c r="B171" i="36"/>
  <c r="J105" i="36"/>
  <c r="J106" i="36" s="1"/>
  <c r="J107" i="36" s="1"/>
  <c r="J108" i="36" s="1"/>
  <c r="J109" i="36" s="1"/>
  <c r="J110" i="36" s="1"/>
  <c r="J111" i="36" s="1"/>
  <c r="J112" i="36" s="1"/>
  <c r="J113" i="36" s="1"/>
  <c r="J114" i="36" s="1"/>
  <c r="J115" i="36" s="1"/>
  <c r="J116" i="36" s="1"/>
  <c r="J117" i="36" s="1"/>
  <c r="J118" i="36" s="1"/>
  <c r="J119" i="36" s="1"/>
  <c r="J120" i="36" s="1"/>
  <c r="J121" i="36" s="1"/>
  <c r="J122" i="36" s="1"/>
  <c r="J123" i="36" s="1"/>
  <c r="J124" i="36" s="1"/>
  <c r="J125" i="36" s="1"/>
  <c r="J126" i="36" s="1"/>
  <c r="J127" i="36" s="1"/>
  <c r="J128" i="36" s="1"/>
  <c r="J129" i="36" s="1"/>
  <c r="J130" i="36" s="1"/>
  <c r="J131" i="36" s="1"/>
  <c r="J132" i="36" s="1"/>
  <c r="J133" i="36" s="1"/>
  <c r="R104" i="36"/>
  <c r="R105" i="36" s="1"/>
  <c r="R106" i="36" s="1"/>
  <c r="R107" i="36" s="1"/>
  <c r="R108" i="36" s="1"/>
  <c r="R109" i="36" s="1"/>
  <c r="R110" i="36" s="1"/>
  <c r="R111" i="36" s="1"/>
  <c r="R112" i="36" s="1"/>
  <c r="R113" i="36" s="1"/>
  <c r="R114" i="36" s="1"/>
  <c r="R115" i="36" s="1"/>
  <c r="R116" i="36" s="1"/>
  <c r="R117" i="36" s="1"/>
  <c r="R118" i="36" s="1"/>
  <c r="R119" i="36" s="1"/>
  <c r="R120" i="36" s="1"/>
  <c r="R121" i="36" s="1"/>
  <c r="R122" i="36" s="1"/>
  <c r="R123" i="36" s="1"/>
  <c r="R124" i="36" s="1"/>
  <c r="R125" i="36" s="1"/>
  <c r="R126" i="36" s="1"/>
  <c r="R127" i="36" s="1"/>
  <c r="R128" i="36" s="1"/>
  <c r="R129" i="36" s="1"/>
  <c r="R130" i="36" s="1"/>
  <c r="R131" i="36" s="1"/>
  <c r="R132" i="36" s="1"/>
  <c r="R133" i="36" s="1"/>
  <c r="J104" i="36"/>
  <c r="B104" i="36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R1377" i="35"/>
  <c r="R1378" i="35" s="1"/>
  <c r="R1379" i="35" s="1"/>
  <c r="R1380" i="35" s="1"/>
  <c r="R1381" i="35" s="1"/>
  <c r="R1382" i="35" s="1"/>
  <c r="R1383" i="35" s="1"/>
  <c r="R1384" i="35" s="1"/>
  <c r="R1385" i="35" s="1"/>
  <c r="R1386" i="35" s="1"/>
  <c r="R1387" i="35" s="1"/>
  <c r="R1388" i="35" s="1"/>
  <c r="R1389" i="35" s="1"/>
  <c r="R1390" i="35" s="1"/>
  <c r="R1391" i="35" s="1"/>
  <c r="R1392" i="35" s="1"/>
  <c r="R1393" i="35" s="1"/>
  <c r="R1394" i="35" s="1"/>
  <c r="R1395" i="35" s="1"/>
  <c r="R1396" i="35" s="1"/>
  <c r="R1397" i="35" s="1"/>
  <c r="R1398" i="35" s="1"/>
  <c r="R1399" i="35" s="1"/>
  <c r="R1400" i="35" s="1"/>
  <c r="R1401" i="35" s="1"/>
  <c r="R1402" i="35" s="1"/>
  <c r="R1403" i="35" s="1"/>
  <c r="R1404" i="35" s="1"/>
  <c r="R1405" i="35" s="1"/>
  <c r="R1406" i="35" s="1"/>
  <c r="J1377" i="35"/>
  <c r="J1378" i="35" s="1"/>
  <c r="J1379" i="35" s="1"/>
  <c r="J1380" i="35" s="1"/>
  <c r="J1381" i="35" s="1"/>
  <c r="J1382" i="35" s="1"/>
  <c r="J1383" i="35" s="1"/>
  <c r="J1384" i="35" s="1"/>
  <c r="J1385" i="35" s="1"/>
  <c r="J1386" i="35" s="1"/>
  <c r="J1387" i="35" s="1"/>
  <c r="J1388" i="35" s="1"/>
  <c r="J1389" i="35" s="1"/>
  <c r="J1390" i="35" s="1"/>
  <c r="J1391" i="35" s="1"/>
  <c r="J1392" i="35" s="1"/>
  <c r="J1393" i="35" s="1"/>
  <c r="J1394" i="35" s="1"/>
  <c r="J1395" i="35" s="1"/>
  <c r="J1396" i="35" s="1"/>
  <c r="J1397" i="35" s="1"/>
  <c r="J1398" i="35" s="1"/>
  <c r="J1399" i="35" s="1"/>
  <c r="J1400" i="35" s="1"/>
  <c r="J1401" i="35" s="1"/>
  <c r="J1402" i="35" s="1"/>
  <c r="J1403" i="35" s="1"/>
  <c r="J1404" i="35" s="1"/>
  <c r="J1405" i="35" s="1"/>
  <c r="J1406" i="35" s="1"/>
  <c r="B1377" i="35"/>
  <c r="B1378" i="35" s="1"/>
  <c r="B1379" i="35" s="1"/>
  <c r="B1380" i="35" s="1"/>
  <c r="B1381" i="35" s="1"/>
  <c r="B1382" i="35" s="1"/>
  <c r="B1383" i="35" s="1"/>
  <c r="B1384" i="35" s="1"/>
  <c r="B1385" i="35" s="1"/>
  <c r="B1386" i="35" s="1"/>
  <c r="B1387" i="35" s="1"/>
  <c r="B1388" i="35" s="1"/>
  <c r="B1389" i="35" s="1"/>
  <c r="B1390" i="35" s="1"/>
  <c r="B1391" i="35" s="1"/>
  <c r="B1392" i="35" s="1"/>
  <c r="B1393" i="35" s="1"/>
  <c r="B1394" i="35" s="1"/>
  <c r="B1395" i="35" s="1"/>
  <c r="B1396" i="35" s="1"/>
  <c r="B1397" i="35" s="1"/>
  <c r="B1398" i="35" s="1"/>
  <c r="B1399" i="35" s="1"/>
  <c r="B1400" i="35" s="1"/>
  <c r="B1401" i="35" s="1"/>
  <c r="B1402" i="35" s="1"/>
  <c r="B1403" i="35" s="1"/>
  <c r="B1404" i="35" s="1"/>
  <c r="B1405" i="35" s="1"/>
  <c r="B1406" i="35" s="1"/>
  <c r="R1310" i="35"/>
  <c r="R1311" i="35" s="1"/>
  <c r="R1312" i="35" s="1"/>
  <c r="R1313" i="35" s="1"/>
  <c r="R1314" i="35" s="1"/>
  <c r="R1315" i="35" s="1"/>
  <c r="R1316" i="35" s="1"/>
  <c r="R1317" i="35" s="1"/>
  <c r="R1318" i="35" s="1"/>
  <c r="R1319" i="35" s="1"/>
  <c r="R1320" i="35" s="1"/>
  <c r="R1321" i="35" s="1"/>
  <c r="R1322" i="35" s="1"/>
  <c r="R1323" i="35" s="1"/>
  <c r="R1324" i="35" s="1"/>
  <c r="R1325" i="35" s="1"/>
  <c r="R1326" i="35" s="1"/>
  <c r="R1327" i="35" s="1"/>
  <c r="R1328" i="35" s="1"/>
  <c r="R1329" i="35" s="1"/>
  <c r="R1330" i="35" s="1"/>
  <c r="R1331" i="35" s="1"/>
  <c r="R1332" i="35" s="1"/>
  <c r="R1333" i="35" s="1"/>
  <c r="R1334" i="35" s="1"/>
  <c r="R1335" i="35" s="1"/>
  <c r="R1336" i="35" s="1"/>
  <c r="R1337" i="35" s="1"/>
  <c r="R1338" i="35" s="1"/>
  <c r="R1339" i="35" s="1"/>
  <c r="J1310" i="35"/>
  <c r="J1311" i="35" s="1"/>
  <c r="J1312" i="35" s="1"/>
  <c r="J1313" i="35" s="1"/>
  <c r="J1314" i="35" s="1"/>
  <c r="J1315" i="35" s="1"/>
  <c r="J1316" i="35" s="1"/>
  <c r="J1317" i="35" s="1"/>
  <c r="J1318" i="35" s="1"/>
  <c r="J1319" i="35" s="1"/>
  <c r="J1320" i="35" s="1"/>
  <c r="J1321" i="35" s="1"/>
  <c r="J1322" i="35" s="1"/>
  <c r="J1323" i="35" s="1"/>
  <c r="J1324" i="35" s="1"/>
  <c r="J1325" i="35" s="1"/>
  <c r="J1326" i="35" s="1"/>
  <c r="J1327" i="35" s="1"/>
  <c r="J1328" i="35" s="1"/>
  <c r="J1329" i="35" s="1"/>
  <c r="J1330" i="35" s="1"/>
  <c r="J1331" i="35" s="1"/>
  <c r="J1332" i="35" s="1"/>
  <c r="J1333" i="35" s="1"/>
  <c r="J1334" i="35" s="1"/>
  <c r="J1335" i="35" s="1"/>
  <c r="J1336" i="35" s="1"/>
  <c r="J1337" i="35" s="1"/>
  <c r="J1338" i="35" s="1"/>
  <c r="J1339" i="35" s="1"/>
  <c r="B1310" i="35"/>
  <c r="B1311" i="35" s="1"/>
  <c r="B1312" i="35" s="1"/>
  <c r="B1313" i="35" s="1"/>
  <c r="B1314" i="35" s="1"/>
  <c r="B1315" i="35" s="1"/>
  <c r="B1316" i="35" s="1"/>
  <c r="B1317" i="35" s="1"/>
  <c r="B1318" i="35" s="1"/>
  <c r="B1319" i="35" s="1"/>
  <c r="B1320" i="35" s="1"/>
  <c r="B1321" i="35" s="1"/>
  <c r="B1322" i="35" s="1"/>
  <c r="B1323" i="35" s="1"/>
  <c r="B1324" i="35" s="1"/>
  <c r="B1325" i="35" s="1"/>
  <c r="B1326" i="35" s="1"/>
  <c r="B1327" i="35" s="1"/>
  <c r="B1328" i="35" s="1"/>
  <c r="B1329" i="35" s="1"/>
  <c r="B1330" i="35" s="1"/>
  <c r="B1331" i="35" s="1"/>
  <c r="B1332" i="35" s="1"/>
  <c r="B1333" i="35" s="1"/>
  <c r="B1334" i="35" s="1"/>
  <c r="B1335" i="35" s="1"/>
  <c r="B1336" i="35" s="1"/>
  <c r="B1337" i="35" s="1"/>
  <c r="B1338" i="35" s="1"/>
  <c r="B1339" i="35" s="1"/>
  <c r="R1243" i="35"/>
  <c r="R1244" i="35" s="1"/>
  <c r="R1245" i="35" s="1"/>
  <c r="R1246" i="35" s="1"/>
  <c r="R1247" i="35" s="1"/>
  <c r="R1248" i="35" s="1"/>
  <c r="R1249" i="35" s="1"/>
  <c r="R1250" i="35" s="1"/>
  <c r="R1251" i="35" s="1"/>
  <c r="R1252" i="35" s="1"/>
  <c r="R1253" i="35" s="1"/>
  <c r="R1254" i="35" s="1"/>
  <c r="R1255" i="35" s="1"/>
  <c r="R1256" i="35" s="1"/>
  <c r="R1257" i="35" s="1"/>
  <c r="R1258" i="35" s="1"/>
  <c r="R1259" i="35" s="1"/>
  <c r="R1260" i="35" s="1"/>
  <c r="R1261" i="35" s="1"/>
  <c r="R1262" i="35" s="1"/>
  <c r="R1263" i="35" s="1"/>
  <c r="R1264" i="35" s="1"/>
  <c r="R1265" i="35" s="1"/>
  <c r="R1266" i="35" s="1"/>
  <c r="R1267" i="35" s="1"/>
  <c r="R1268" i="35" s="1"/>
  <c r="R1269" i="35" s="1"/>
  <c r="R1270" i="35" s="1"/>
  <c r="R1271" i="35" s="1"/>
  <c r="R1272" i="35" s="1"/>
  <c r="J1243" i="35"/>
  <c r="J1244" i="35" s="1"/>
  <c r="J1245" i="35" s="1"/>
  <c r="J1246" i="35" s="1"/>
  <c r="J1247" i="35" s="1"/>
  <c r="J1248" i="35" s="1"/>
  <c r="J1249" i="35" s="1"/>
  <c r="J1250" i="35" s="1"/>
  <c r="J1251" i="35" s="1"/>
  <c r="J1252" i="35" s="1"/>
  <c r="J1253" i="35" s="1"/>
  <c r="J1254" i="35" s="1"/>
  <c r="J1255" i="35" s="1"/>
  <c r="J1256" i="35" s="1"/>
  <c r="J1257" i="35" s="1"/>
  <c r="J1258" i="35" s="1"/>
  <c r="J1259" i="35" s="1"/>
  <c r="J1260" i="35" s="1"/>
  <c r="J1261" i="35" s="1"/>
  <c r="J1262" i="35" s="1"/>
  <c r="J1263" i="35" s="1"/>
  <c r="J1264" i="35" s="1"/>
  <c r="J1265" i="35" s="1"/>
  <c r="J1266" i="35" s="1"/>
  <c r="J1267" i="35" s="1"/>
  <c r="J1268" i="35" s="1"/>
  <c r="J1269" i="35" s="1"/>
  <c r="J1270" i="35" s="1"/>
  <c r="J1271" i="35" s="1"/>
  <c r="J1272" i="35" s="1"/>
  <c r="B1243" i="35"/>
  <c r="B1244" i="35" s="1"/>
  <c r="B1245" i="35" s="1"/>
  <c r="B1246" i="35" s="1"/>
  <c r="B1247" i="35" s="1"/>
  <c r="B1248" i="35" s="1"/>
  <c r="B1249" i="35" s="1"/>
  <c r="B1250" i="35" s="1"/>
  <c r="B1251" i="35" s="1"/>
  <c r="B1252" i="35" s="1"/>
  <c r="B1253" i="35" s="1"/>
  <c r="B1254" i="35" s="1"/>
  <c r="B1255" i="35" s="1"/>
  <c r="B1256" i="35" s="1"/>
  <c r="B1257" i="35" s="1"/>
  <c r="B1258" i="35" s="1"/>
  <c r="B1259" i="35" s="1"/>
  <c r="B1260" i="35" s="1"/>
  <c r="B1261" i="35" s="1"/>
  <c r="B1262" i="35" s="1"/>
  <c r="B1263" i="35" s="1"/>
  <c r="B1264" i="35" s="1"/>
  <c r="B1265" i="35" s="1"/>
  <c r="B1266" i="35" s="1"/>
  <c r="B1267" i="35" s="1"/>
  <c r="B1268" i="35" s="1"/>
  <c r="B1269" i="35" s="1"/>
  <c r="B1270" i="35" s="1"/>
  <c r="B1271" i="35" s="1"/>
  <c r="B1272" i="35" s="1"/>
  <c r="R1176" i="35"/>
  <c r="R1177" i="35" s="1"/>
  <c r="R1178" i="35" s="1"/>
  <c r="R1179" i="35" s="1"/>
  <c r="R1180" i="35" s="1"/>
  <c r="R1181" i="35" s="1"/>
  <c r="R1182" i="35" s="1"/>
  <c r="R1183" i="35" s="1"/>
  <c r="R1184" i="35" s="1"/>
  <c r="R1185" i="35" s="1"/>
  <c r="R1186" i="35" s="1"/>
  <c r="R1187" i="35" s="1"/>
  <c r="R1188" i="35" s="1"/>
  <c r="R1189" i="35" s="1"/>
  <c r="R1190" i="35" s="1"/>
  <c r="R1191" i="35" s="1"/>
  <c r="R1192" i="35" s="1"/>
  <c r="R1193" i="35" s="1"/>
  <c r="R1194" i="35" s="1"/>
  <c r="R1195" i="35" s="1"/>
  <c r="R1196" i="35" s="1"/>
  <c r="R1197" i="35" s="1"/>
  <c r="R1198" i="35" s="1"/>
  <c r="R1199" i="35" s="1"/>
  <c r="R1200" i="35" s="1"/>
  <c r="R1201" i="35" s="1"/>
  <c r="R1202" i="35" s="1"/>
  <c r="R1203" i="35" s="1"/>
  <c r="R1204" i="35" s="1"/>
  <c r="R1205" i="35" s="1"/>
  <c r="J1176" i="35"/>
  <c r="J1177" i="35" s="1"/>
  <c r="J1178" i="35" s="1"/>
  <c r="J1179" i="35" s="1"/>
  <c r="J1180" i="35" s="1"/>
  <c r="J1181" i="35" s="1"/>
  <c r="J1182" i="35" s="1"/>
  <c r="J1183" i="35" s="1"/>
  <c r="J1184" i="35" s="1"/>
  <c r="J1185" i="35" s="1"/>
  <c r="J1186" i="35" s="1"/>
  <c r="J1187" i="35" s="1"/>
  <c r="J1188" i="35" s="1"/>
  <c r="J1189" i="35" s="1"/>
  <c r="J1190" i="35" s="1"/>
  <c r="J1191" i="35" s="1"/>
  <c r="J1192" i="35" s="1"/>
  <c r="J1193" i="35" s="1"/>
  <c r="J1194" i="35" s="1"/>
  <c r="J1195" i="35" s="1"/>
  <c r="J1196" i="35" s="1"/>
  <c r="J1197" i="35" s="1"/>
  <c r="J1198" i="35" s="1"/>
  <c r="J1199" i="35" s="1"/>
  <c r="J1200" i="35" s="1"/>
  <c r="J1201" i="35" s="1"/>
  <c r="J1202" i="35" s="1"/>
  <c r="J1203" i="35" s="1"/>
  <c r="J1204" i="35" s="1"/>
  <c r="J1205" i="35" s="1"/>
  <c r="B1176" i="35"/>
  <c r="B1177" i="35" s="1"/>
  <c r="B1178" i="35" s="1"/>
  <c r="B1179" i="35" s="1"/>
  <c r="B1180" i="35" s="1"/>
  <c r="B1181" i="35" s="1"/>
  <c r="B1182" i="35" s="1"/>
  <c r="B1183" i="35" s="1"/>
  <c r="B1184" i="35" s="1"/>
  <c r="B1185" i="35" s="1"/>
  <c r="B1186" i="35" s="1"/>
  <c r="B1187" i="35" s="1"/>
  <c r="B1188" i="35" s="1"/>
  <c r="B1189" i="35" s="1"/>
  <c r="B1190" i="35" s="1"/>
  <c r="B1191" i="35" s="1"/>
  <c r="B1192" i="35" s="1"/>
  <c r="B1193" i="35" s="1"/>
  <c r="B1194" i="35" s="1"/>
  <c r="B1195" i="35" s="1"/>
  <c r="B1196" i="35" s="1"/>
  <c r="B1197" i="35" s="1"/>
  <c r="B1198" i="35" s="1"/>
  <c r="B1199" i="35" s="1"/>
  <c r="B1200" i="35" s="1"/>
  <c r="B1201" i="35" s="1"/>
  <c r="B1202" i="35" s="1"/>
  <c r="B1203" i="35" s="1"/>
  <c r="B1204" i="35" s="1"/>
  <c r="B1205" i="35" s="1"/>
  <c r="R1109" i="35"/>
  <c r="R1110" i="35" s="1"/>
  <c r="R1111" i="35" s="1"/>
  <c r="R1112" i="35" s="1"/>
  <c r="R1113" i="35" s="1"/>
  <c r="R1114" i="35" s="1"/>
  <c r="R1115" i="35" s="1"/>
  <c r="R1116" i="35" s="1"/>
  <c r="R1117" i="35" s="1"/>
  <c r="R1118" i="35" s="1"/>
  <c r="R1119" i="35" s="1"/>
  <c r="R1120" i="35" s="1"/>
  <c r="R1121" i="35" s="1"/>
  <c r="R1122" i="35" s="1"/>
  <c r="R1123" i="35" s="1"/>
  <c r="R1124" i="35" s="1"/>
  <c r="R1125" i="35" s="1"/>
  <c r="R1126" i="35" s="1"/>
  <c r="R1127" i="35" s="1"/>
  <c r="R1128" i="35" s="1"/>
  <c r="R1129" i="35" s="1"/>
  <c r="R1130" i="35" s="1"/>
  <c r="R1131" i="35" s="1"/>
  <c r="R1132" i="35" s="1"/>
  <c r="R1133" i="35" s="1"/>
  <c r="R1134" i="35" s="1"/>
  <c r="R1135" i="35" s="1"/>
  <c r="R1136" i="35" s="1"/>
  <c r="R1137" i="35" s="1"/>
  <c r="R1138" i="35" s="1"/>
  <c r="J1109" i="35"/>
  <c r="J1110" i="35" s="1"/>
  <c r="J1111" i="35" s="1"/>
  <c r="J1112" i="35" s="1"/>
  <c r="J1113" i="35" s="1"/>
  <c r="J1114" i="35" s="1"/>
  <c r="J1115" i="35" s="1"/>
  <c r="J1116" i="35" s="1"/>
  <c r="J1117" i="35" s="1"/>
  <c r="J1118" i="35" s="1"/>
  <c r="J1119" i="35" s="1"/>
  <c r="J1120" i="35" s="1"/>
  <c r="J1121" i="35" s="1"/>
  <c r="J1122" i="35" s="1"/>
  <c r="J1123" i="35" s="1"/>
  <c r="J1124" i="35" s="1"/>
  <c r="J1125" i="35" s="1"/>
  <c r="J1126" i="35" s="1"/>
  <c r="J1127" i="35" s="1"/>
  <c r="J1128" i="35" s="1"/>
  <c r="J1129" i="35" s="1"/>
  <c r="J1130" i="35" s="1"/>
  <c r="J1131" i="35" s="1"/>
  <c r="J1132" i="35" s="1"/>
  <c r="J1133" i="35" s="1"/>
  <c r="J1134" i="35" s="1"/>
  <c r="J1135" i="35" s="1"/>
  <c r="J1136" i="35" s="1"/>
  <c r="J1137" i="35" s="1"/>
  <c r="J1138" i="35" s="1"/>
  <c r="B1109" i="35"/>
  <c r="B1110" i="35" s="1"/>
  <c r="B1111" i="35" s="1"/>
  <c r="B1112" i="35" s="1"/>
  <c r="B1113" i="35" s="1"/>
  <c r="B1114" i="35" s="1"/>
  <c r="B1115" i="35" s="1"/>
  <c r="B1116" i="35" s="1"/>
  <c r="B1117" i="35" s="1"/>
  <c r="B1118" i="35" s="1"/>
  <c r="B1119" i="35" s="1"/>
  <c r="B1120" i="35" s="1"/>
  <c r="B1121" i="35" s="1"/>
  <c r="B1122" i="35" s="1"/>
  <c r="B1123" i="35" s="1"/>
  <c r="B1124" i="35" s="1"/>
  <c r="B1125" i="35" s="1"/>
  <c r="B1126" i="35" s="1"/>
  <c r="B1127" i="35" s="1"/>
  <c r="B1128" i="35" s="1"/>
  <c r="B1129" i="35" s="1"/>
  <c r="B1130" i="35" s="1"/>
  <c r="B1131" i="35" s="1"/>
  <c r="B1132" i="35" s="1"/>
  <c r="B1133" i="35" s="1"/>
  <c r="B1134" i="35" s="1"/>
  <c r="B1135" i="35" s="1"/>
  <c r="B1136" i="35" s="1"/>
  <c r="B1137" i="35" s="1"/>
  <c r="B1138" i="35" s="1"/>
  <c r="R1042" i="35"/>
  <c r="R1043" i="35" s="1"/>
  <c r="R1044" i="35" s="1"/>
  <c r="R1045" i="35" s="1"/>
  <c r="R1046" i="35" s="1"/>
  <c r="R1047" i="35" s="1"/>
  <c r="R1048" i="35" s="1"/>
  <c r="R1049" i="35" s="1"/>
  <c r="R1050" i="35" s="1"/>
  <c r="R1051" i="35" s="1"/>
  <c r="R1052" i="35" s="1"/>
  <c r="R1053" i="35" s="1"/>
  <c r="R1054" i="35" s="1"/>
  <c r="R1055" i="35" s="1"/>
  <c r="R1056" i="35" s="1"/>
  <c r="R1057" i="35" s="1"/>
  <c r="R1058" i="35" s="1"/>
  <c r="R1059" i="35" s="1"/>
  <c r="R1060" i="35" s="1"/>
  <c r="R1061" i="35" s="1"/>
  <c r="R1062" i="35" s="1"/>
  <c r="R1063" i="35" s="1"/>
  <c r="R1064" i="35" s="1"/>
  <c r="R1065" i="35" s="1"/>
  <c r="R1066" i="35" s="1"/>
  <c r="R1067" i="35" s="1"/>
  <c r="R1068" i="35" s="1"/>
  <c r="R1069" i="35" s="1"/>
  <c r="R1070" i="35" s="1"/>
  <c r="R1071" i="35" s="1"/>
  <c r="J1042" i="35"/>
  <c r="J1043" i="35" s="1"/>
  <c r="J1044" i="35" s="1"/>
  <c r="J1045" i="35" s="1"/>
  <c r="J1046" i="35" s="1"/>
  <c r="J1047" i="35" s="1"/>
  <c r="J1048" i="35" s="1"/>
  <c r="J1049" i="35" s="1"/>
  <c r="J1050" i="35" s="1"/>
  <c r="J1051" i="35" s="1"/>
  <c r="J1052" i="35" s="1"/>
  <c r="J1053" i="35" s="1"/>
  <c r="J1054" i="35" s="1"/>
  <c r="J1055" i="35" s="1"/>
  <c r="J1056" i="35" s="1"/>
  <c r="J1057" i="35" s="1"/>
  <c r="J1058" i="35" s="1"/>
  <c r="J1059" i="35" s="1"/>
  <c r="J1060" i="35" s="1"/>
  <c r="J1061" i="35" s="1"/>
  <c r="J1062" i="35" s="1"/>
  <c r="J1063" i="35" s="1"/>
  <c r="J1064" i="35" s="1"/>
  <c r="J1065" i="35" s="1"/>
  <c r="J1066" i="35" s="1"/>
  <c r="J1067" i="35" s="1"/>
  <c r="J1068" i="35" s="1"/>
  <c r="J1069" i="35" s="1"/>
  <c r="J1070" i="35" s="1"/>
  <c r="J1071" i="35" s="1"/>
  <c r="B1042" i="35"/>
  <c r="B1043" i="35" s="1"/>
  <c r="B1044" i="35" s="1"/>
  <c r="B1045" i="35" s="1"/>
  <c r="B1046" i="35" s="1"/>
  <c r="B1047" i="35" s="1"/>
  <c r="B1048" i="35" s="1"/>
  <c r="B1049" i="35" s="1"/>
  <c r="B1050" i="35" s="1"/>
  <c r="B1051" i="35" s="1"/>
  <c r="B1052" i="35" s="1"/>
  <c r="B1053" i="35" s="1"/>
  <c r="B1054" i="35" s="1"/>
  <c r="B1055" i="35" s="1"/>
  <c r="B1056" i="35" s="1"/>
  <c r="B1057" i="35" s="1"/>
  <c r="B1058" i="35" s="1"/>
  <c r="B1059" i="35" s="1"/>
  <c r="B1060" i="35" s="1"/>
  <c r="B1061" i="35" s="1"/>
  <c r="B1062" i="35" s="1"/>
  <c r="B1063" i="35" s="1"/>
  <c r="B1064" i="35" s="1"/>
  <c r="B1065" i="35" s="1"/>
  <c r="B1066" i="35" s="1"/>
  <c r="B1067" i="35" s="1"/>
  <c r="B1068" i="35" s="1"/>
  <c r="B1069" i="35" s="1"/>
  <c r="B1070" i="35" s="1"/>
  <c r="B1071" i="35" s="1"/>
  <c r="R975" i="35"/>
  <c r="R976" i="35" s="1"/>
  <c r="R977" i="35" s="1"/>
  <c r="R978" i="35" s="1"/>
  <c r="R979" i="35" s="1"/>
  <c r="R980" i="35" s="1"/>
  <c r="R981" i="35" s="1"/>
  <c r="R982" i="35" s="1"/>
  <c r="R983" i="35" s="1"/>
  <c r="R984" i="35" s="1"/>
  <c r="R985" i="35" s="1"/>
  <c r="R986" i="35" s="1"/>
  <c r="R987" i="35" s="1"/>
  <c r="R988" i="35" s="1"/>
  <c r="R989" i="35" s="1"/>
  <c r="R990" i="35" s="1"/>
  <c r="R991" i="35" s="1"/>
  <c r="R992" i="35" s="1"/>
  <c r="R993" i="35" s="1"/>
  <c r="R994" i="35" s="1"/>
  <c r="R995" i="35" s="1"/>
  <c r="R996" i="35" s="1"/>
  <c r="R997" i="35" s="1"/>
  <c r="R998" i="35" s="1"/>
  <c r="R999" i="35" s="1"/>
  <c r="R1000" i="35" s="1"/>
  <c r="R1001" i="35" s="1"/>
  <c r="R1002" i="35" s="1"/>
  <c r="R1003" i="35" s="1"/>
  <c r="R1004" i="35" s="1"/>
  <c r="J975" i="35"/>
  <c r="J976" i="35" s="1"/>
  <c r="J977" i="35" s="1"/>
  <c r="J978" i="35" s="1"/>
  <c r="J979" i="35" s="1"/>
  <c r="J980" i="35" s="1"/>
  <c r="J981" i="35" s="1"/>
  <c r="J982" i="35" s="1"/>
  <c r="J983" i="35" s="1"/>
  <c r="J984" i="35" s="1"/>
  <c r="J985" i="35" s="1"/>
  <c r="J986" i="35" s="1"/>
  <c r="J987" i="35" s="1"/>
  <c r="J988" i="35" s="1"/>
  <c r="J989" i="35" s="1"/>
  <c r="J990" i="35" s="1"/>
  <c r="J991" i="35" s="1"/>
  <c r="J992" i="35" s="1"/>
  <c r="J993" i="35" s="1"/>
  <c r="J994" i="35" s="1"/>
  <c r="J995" i="35" s="1"/>
  <c r="J996" i="35" s="1"/>
  <c r="J997" i="35" s="1"/>
  <c r="J998" i="35" s="1"/>
  <c r="J999" i="35" s="1"/>
  <c r="J1000" i="35" s="1"/>
  <c r="J1001" i="35" s="1"/>
  <c r="J1002" i="35" s="1"/>
  <c r="J1003" i="35" s="1"/>
  <c r="J1004" i="35" s="1"/>
  <c r="B975" i="35"/>
  <c r="B976" i="35" s="1"/>
  <c r="B977" i="35" s="1"/>
  <c r="B978" i="35" s="1"/>
  <c r="B979" i="35" s="1"/>
  <c r="B980" i="35" s="1"/>
  <c r="B981" i="35" s="1"/>
  <c r="B982" i="35" s="1"/>
  <c r="B983" i="35" s="1"/>
  <c r="B984" i="35" s="1"/>
  <c r="B985" i="35" s="1"/>
  <c r="B986" i="35" s="1"/>
  <c r="B987" i="35" s="1"/>
  <c r="B988" i="35" s="1"/>
  <c r="B989" i="35" s="1"/>
  <c r="B990" i="35" s="1"/>
  <c r="B991" i="35" s="1"/>
  <c r="B992" i="35" s="1"/>
  <c r="B993" i="35" s="1"/>
  <c r="B994" i="35" s="1"/>
  <c r="B995" i="35" s="1"/>
  <c r="B996" i="35" s="1"/>
  <c r="B997" i="35" s="1"/>
  <c r="B998" i="35" s="1"/>
  <c r="B999" i="35" s="1"/>
  <c r="B1000" i="35" s="1"/>
  <c r="B1001" i="35" s="1"/>
  <c r="B1002" i="35" s="1"/>
  <c r="B1003" i="35" s="1"/>
  <c r="B1004" i="35" s="1"/>
  <c r="R912" i="35"/>
  <c r="R913" i="35" s="1"/>
  <c r="R914" i="35" s="1"/>
  <c r="R915" i="35" s="1"/>
  <c r="R916" i="35" s="1"/>
  <c r="R917" i="35" s="1"/>
  <c r="R918" i="35" s="1"/>
  <c r="R919" i="35" s="1"/>
  <c r="R920" i="35" s="1"/>
  <c r="R921" i="35" s="1"/>
  <c r="R922" i="35" s="1"/>
  <c r="R923" i="35" s="1"/>
  <c r="R924" i="35" s="1"/>
  <c r="R925" i="35" s="1"/>
  <c r="R926" i="35" s="1"/>
  <c r="R927" i="35" s="1"/>
  <c r="R928" i="35" s="1"/>
  <c r="R929" i="35" s="1"/>
  <c r="R930" i="35" s="1"/>
  <c r="R931" i="35" s="1"/>
  <c r="R932" i="35" s="1"/>
  <c r="R933" i="35" s="1"/>
  <c r="R934" i="35" s="1"/>
  <c r="R935" i="35" s="1"/>
  <c r="R936" i="35" s="1"/>
  <c r="R937" i="35" s="1"/>
  <c r="B909" i="35"/>
  <c r="B910" i="35" s="1"/>
  <c r="B911" i="35" s="1"/>
  <c r="B912" i="35" s="1"/>
  <c r="B913" i="35" s="1"/>
  <c r="B914" i="35" s="1"/>
  <c r="B915" i="35" s="1"/>
  <c r="B916" i="35" s="1"/>
  <c r="B917" i="35" s="1"/>
  <c r="B918" i="35" s="1"/>
  <c r="B919" i="35" s="1"/>
  <c r="B920" i="35" s="1"/>
  <c r="B921" i="35" s="1"/>
  <c r="B922" i="35" s="1"/>
  <c r="B923" i="35" s="1"/>
  <c r="B924" i="35" s="1"/>
  <c r="B925" i="35" s="1"/>
  <c r="B926" i="35" s="1"/>
  <c r="B927" i="35" s="1"/>
  <c r="B928" i="35" s="1"/>
  <c r="B929" i="35" s="1"/>
  <c r="B930" i="35" s="1"/>
  <c r="B931" i="35" s="1"/>
  <c r="B932" i="35" s="1"/>
  <c r="B933" i="35" s="1"/>
  <c r="B934" i="35" s="1"/>
  <c r="B935" i="35" s="1"/>
  <c r="B936" i="35" s="1"/>
  <c r="B937" i="35" s="1"/>
  <c r="R908" i="35"/>
  <c r="R909" i="35" s="1"/>
  <c r="R910" i="35" s="1"/>
  <c r="R911" i="35" s="1"/>
  <c r="J908" i="35"/>
  <c r="J909" i="35" s="1"/>
  <c r="J910" i="35" s="1"/>
  <c r="J911" i="35" s="1"/>
  <c r="J912" i="35" s="1"/>
  <c r="J913" i="35" s="1"/>
  <c r="J914" i="35" s="1"/>
  <c r="J915" i="35" s="1"/>
  <c r="J916" i="35" s="1"/>
  <c r="J917" i="35" s="1"/>
  <c r="J918" i="35" s="1"/>
  <c r="J919" i="35" s="1"/>
  <c r="J920" i="35" s="1"/>
  <c r="J921" i="35" s="1"/>
  <c r="J922" i="35" s="1"/>
  <c r="J923" i="35" s="1"/>
  <c r="J924" i="35" s="1"/>
  <c r="J925" i="35" s="1"/>
  <c r="J926" i="35" s="1"/>
  <c r="J927" i="35" s="1"/>
  <c r="J928" i="35" s="1"/>
  <c r="J929" i="35" s="1"/>
  <c r="J930" i="35" s="1"/>
  <c r="J931" i="35" s="1"/>
  <c r="J932" i="35" s="1"/>
  <c r="J933" i="35" s="1"/>
  <c r="J934" i="35" s="1"/>
  <c r="J935" i="35" s="1"/>
  <c r="J936" i="35" s="1"/>
  <c r="J937" i="35" s="1"/>
  <c r="B908" i="35"/>
  <c r="J848" i="35"/>
  <c r="J849" i="35" s="1"/>
  <c r="J850" i="35" s="1"/>
  <c r="J851" i="35" s="1"/>
  <c r="J852" i="35" s="1"/>
  <c r="J853" i="35" s="1"/>
  <c r="J854" i="35" s="1"/>
  <c r="J855" i="35" s="1"/>
  <c r="J856" i="35" s="1"/>
  <c r="J857" i="35" s="1"/>
  <c r="J858" i="35" s="1"/>
  <c r="J859" i="35" s="1"/>
  <c r="J860" i="35" s="1"/>
  <c r="J861" i="35" s="1"/>
  <c r="J862" i="35" s="1"/>
  <c r="J863" i="35" s="1"/>
  <c r="J864" i="35" s="1"/>
  <c r="J865" i="35" s="1"/>
  <c r="J866" i="35" s="1"/>
  <c r="J867" i="35" s="1"/>
  <c r="J868" i="35" s="1"/>
  <c r="J869" i="35" s="1"/>
  <c r="J870" i="35" s="1"/>
  <c r="R843" i="35"/>
  <c r="R844" i="35" s="1"/>
  <c r="R845" i="35" s="1"/>
  <c r="R846" i="35" s="1"/>
  <c r="R847" i="35" s="1"/>
  <c r="R848" i="35" s="1"/>
  <c r="R849" i="35" s="1"/>
  <c r="R850" i="35" s="1"/>
  <c r="R851" i="35" s="1"/>
  <c r="R852" i="35" s="1"/>
  <c r="R853" i="35" s="1"/>
  <c r="R854" i="35" s="1"/>
  <c r="R855" i="35" s="1"/>
  <c r="R856" i="35" s="1"/>
  <c r="R857" i="35" s="1"/>
  <c r="R858" i="35" s="1"/>
  <c r="R859" i="35" s="1"/>
  <c r="R860" i="35" s="1"/>
  <c r="R861" i="35" s="1"/>
  <c r="R862" i="35" s="1"/>
  <c r="R863" i="35" s="1"/>
  <c r="R864" i="35" s="1"/>
  <c r="R865" i="35" s="1"/>
  <c r="R866" i="35" s="1"/>
  <c r="R867" i="35" s="1"/>
  <c r="R868" i="35" s="1"/>
  <c r="R869" i="35" s="1"/>
  <c r="R870" i="35" s="1"/>
  <c r="J843" i="35"/>
  <c r="J844" i="35" s="1"/>
  <c r="J845" i="35" s="1"/>
  <c r="J846" i="35" s="1"/>
  <c r="J847" i="35" s="1"/>
  <c r="R841" i="35"/>
  <c r="R842" i="35" s="1"/>
  <c r="J841" i="35"/>
  <c r="J842" i="35" s="1"/>
  <c r="B841" i="35"/>
  <c r="B842" i="35" s="1"/>
  <c r="B843" i="35" s="1"/>
  <c r="B844" i="35" s="1"/>
  <c r="B845" i="35" s="1"/>
  <c r="B846" i="35" s="1"/>
  <c r="B847" i="35" s="1"/>
  <c r="B848" i="35" s="1"/>
  <c r="B849" i="35" s="1"/>
  <c r="B850" i="35" s="1"/>
  <c r="B851" i="35" s="1"/>
  <c r="B852" i="35" s="1"/>
  <c r="B853" i="35" s="1"/>
  <c r="B854" i="35" s="1"/>
  <c r="B855" i="35" s="1"/>
  <c r="B856" i="35" s="1"/>
  <c r="B857" i="35" s="1"/>
  <c r="B858" i="35" s="1"/>
  <c r="B859" i="35" s="1"/>
  <c r="B860" i="35" s="1"/>
  <c r="B861" i="35" s="1"/>
  <c r="B862" i="35" s="1"/>
  <c r="B863" i="35" s="1"/>
  <c r="B864" i="35" s="1"/>
  <c r="B865" i="35" s="1"/>
  <c r="B866" i="35" s="1"/>
  <c r="B867" i="35" s="1"/>
  <c r="B868" i="35" s="1"/>
  <c r="B869" i="35" s="1"/>
  <c r="B870" i="35" s="1"/>
  <c r="J779" i="35"/>
  <c r="J780" i="35" s="1"/>
  <c r="J781" i="35" s="1"/>
  <c r="J782" i="35" s="1"/>
  <c r="J783" i="35" s="1"/>
  <c r="J784" i="35" s="1"/>
  <c r="J785" i="35" s="1"/>
  <c r="J786" i="35" s="1"/>
  <c r="J787" i="35" s="1"/>
  <c r="J788" i="35" s="1"/>
  <c r="J789" i="35" s="1"/>
  <c r="J790" i="35" s="1"/>
  <c r="J791" i="35" s="1"/>
  <c r="J792" i="35" s="1"/>
  <c r="J793" i="35" s="1"/>
  <c r="J794" i="35" s="1"/>
  <c r="J795" i="35" s="1"/>
  <c r="J796" i="35" s="1"/>
  <c r="J797" i="35" s="1"/>
  <c r="J798" i="35" s="1"/>
  <c r="J799" i="35" s="1"/>
  <c r="J800" i="35" s="1"/>
  <c r="J801" i="35" s="1"/>
  <c r="J802" i="35" s="1"/>
  <c r="J803" i="35" s="1"/>
  <c r="B775" i="35"/>
  <c r="B776" i="35" s="1"/>
  <c r="B777" i="35" s="1"/>
  <c r="B778" i="35" s="1"/>
  <c r="B779" i="35" s="1"/>
  <c r="B780" i="35" s="1"/>
  <c r="B781" i="35" s="1"/>
  <c r="B782" i="35" s="1"/>
  <c r="B783" i="35" s="1"/>
  <c r="B784" i="35" s="1"/>
  <c r="B785" i="35" s="1"/>
  <c r="B786" i="35" s="1"/>
  <c r="B787" i="35" s="1"/>
  <c r="B788" i="35" s="1"/>
  <c r="B789" i="35" s="1"/>
  <c r="B790" i="35" s="1"/>
  <c r="B791" i="35" s="1"/>
  <c r="B792" i="35" s="1"/>
  <c r="B793" i="35" s="1"/>
  <c r="B794" i="35" s="1"/>
  <c r="B795" i="35" s="1"/>
  <c r="B796" i="35" s="1"/>
  <c r="B797" i="35" s="1"/>
  <c r="B798" i="35" s="1"/>
  <c r="B799" i="35" s="1"/>
  <c r="B800" i="35" s="1"/>
  <c r="B801" i="35" s="1"/>
  <c r="B802" i="35" s="1"/>
  <c r="B803" i="35" s="1"/>
  <c r="R774" i="35"/>
  <c r="R775" i="35" s="1"/>
  <c r="R776" i="35" s="1"/>
  <c r="R777" i="35" s="1"/>
  <c r="R778" i="35" s="1"/>
  <c r="R779" i="35" s="1"/>
  <c r="R780" i="35" s="1"/>
  <c r="R781" i="35" s="1"/>
  <c r="R782" i="35" s="1"/>
  <c r="R783" i="35" s="1"/>
  <c r="R784" i="35" s="1"/>
  <c r="R785" i="35" s="1"/>
  <c r="R786" i="35" s="1"/>
  <c r="R787" i="35" s="1"/>
  <c r="R788" i="35" s="1"/>
  <c r="R789" i="35" s="1"/>
  <c r="R790" i="35" s="1"/>
  <c r="R791" i="35" s="1"/>
  <c r="R792" i="35" s="1"/>
  <c r="R793" i="35" s="1"/>
  <c r="R794" i="35" s="1"/>
  <c r="R795" i="35" s="1"/>
  <c r="R796" i="35" s="1"/>
  <c r="R797" i="35" s="1"/>
  <c r="R798" i="35" s="1"/>
  <c r="R799" i="35" s="1"/>
  <c r="R800" i="35" s="1"/>
  <c r="R801" i="35" s="1"/>
  <c r="R802" i="35" s="1"/>
  <c r="R803" i="35" s="1"/>
  <c r="J774" i="35"/>
  <c r="J775" i="35" s="1"/>
  <c r="J776" i="35" s="1"/>
  <c r="J777" i="35" s="1"/>
  <c r="J778" i="35" s="1"/>
  <c r="B774" i="35"/>
  <c r="J710" i="35"/>
  <c r="J711" i="35" s="1"/>
  <c r="J712" i="35" s="1"/>
  <c r="J713" i="35" s="1"/>
  <c r="J714" i="35" s="1"/>
  <c r="J715" i="35" s="1"/>
  <c r="J716" i="35" s="1"/>
  <c r="J717" i="35" s="1"/>
  <c r="J718" i="35" s="1"/>
  <c r="J719" i="35" s="1"/>
  <c r="J720" i="35" s="1"/>
  <c r="J721" i="35" s="1"/>
  <c r="J722" i="35" s="1"/>
  <c r="J723" i="35" s="1"/>
  <c r="J724" i="35" s="1"/>
  <c r="J725" i="35" s="1"/>
  <c r="J726" i="35" s="1"/>
  <c r="J727" i="35" s="1"/>
  <c r="J728" i="35" s="1"/>
  <c r="J729" i="35" s="1"/>
  <c r="J730" i="35" s="1"/>
  <c r="J731" i="35" s="1"/>
  <c r="J732" i="35" s="1"/>
  <c r="J733" i="35" s="1"/>
  <c r="J734" i="35" s="1"/>
  <c r="J735" i="35" s="1"/>
  <c r="J736" i="35" s="1"/>
  <c r="J709" i="35"/>
  <c r="B709" i="35"/>
  <c r="B710" i="35" s="1"/>
  <c r="B711" i="35" s="1"/>
  <c r="B712" i="35" s="1"/>
  <c r="B713" i="35" s="1"/>
  <c r="B714" i="35" s="1"/>
  <c r="B715" i="35" s="1"/>
  <c r="B716" i="35" s="1"/>
  <c r="B717" i="35" s="1"/>
  <c r="B718" i="35" s="1"/>
  <c r="B719" i="35" s="1"/>
  <c r="B720" i="35" s="1"/>
  <c r="B721" i="35" s="1"/>
  <c r="B722" i="35" s="1"/>
  <c r="B723" i="35" s="1"/>
  <c r="B724" i="35" s="1"/>
  <c r="B725" i="35" s="1"/>
  <c r="B726" i="35" s="1"/>
  <c r="B727" i="35" s="1"/>
  <c r="B728" i="35" s="1"/>
  <c r="B729" i="35" s="1"/>
  <c r="B730" i="35" s="1"/>
  <c r="B731" i="35" s="1"/>
  <c r="B732" i="35" s="1"/>
  <c r="B733" i="35" s="1"/>
  <c r="B734" i="35" s="1"/>
  <c r="B735" i="35" s="1"/>
  <c r="B736" i="35" s="1"/>
  <c r="R708" i="35"/>
  <c r="R709" i="35" s="1"/>
  <c r="R710" i="35" s="1"/>
  <c r="R711" i="35" s="1"/>
  <c r="R712" i="35" s="1"/>
  <c r="R713" i="35" s="1"/>
  <c r="R714" i="35" s="1"/>
  <c r="R715" i="35" s="1"/>
  <c r="R716" i="35" s="1"/>
  <c r="R717" i="35" s="1"/>
  <c r="R718" i="35" s="1"/>
  <c r="R719" i="35" s="1"/>
  <c r="R720" i="35" s="1"/>
  <c r="R721" i="35" s="1"/>
  <c r="R722" i="35" s="1"/>
  <c r="R723" i="35" s="1"/>
  <c r="R724" i="35" s="1"/>
  <c r="R725" i="35" s="1"/>
  <c r="R726" i="35" s="1"/>
  <c r="R727" i="35" s="1"/>
  <c r="R728" i="35" s="1"/>
  <c r="R729" i="35" s="1"/>
  <c r="R730" i="35" s="1"/>
  <c r="R731" i="35" s="1"/>
  <c r="R732" i="35" s="1"/>
  <c r="R733" i="35" s="1"/>
  <c r="R734" i="35" s="1"/>
  <c r="R735" i="35" s="1"/>
  <c r="R736" i="35" s="1"/>
  <c r="R707" i="35"/>
  <c r="J707" i="35"/>
  <c r="J708" i="35" s="1"/>
  <c r="B707" i="35"/>
  <c r="B708" i="35" s="1"/>
  <c r="B644" i="35"/>
  <c r="B645" i="35" s="1"/>
  <c r="B646" i="35" s="1"/>
  <c r="B647" i="35" s="1"/>
  <c r="B648" i="35" s="1"/>
  <c r="B649" i="35" s="1"/>
  <c r="B650" i="35" s="1"/>
  <c r="B651" i="35" s="1"/>
  <c r="B652" i="35" s="1"/>
  <c r="B653" i="35" s="1"/>
  <c r="B654" i="35" s="1"/>
  <c r="B655" i="35" s="1"/>
  <c r="B656" i="35" s="1"/>
  <c r="B657" i="35" s="1"/>
  <c r="B658" i="35" s="1"/>
  <c r="B659" i="35" s="1"/>
  <c r="B660" i="35" s="1"/>
  <c r="B661" i="35" s="1"/>
  <c r="B662" i="35" s="1"/>
  <c r="B663" i="35" s="1"/>
  <c r="B664" i="35" s="1"/>
  <c r="B665" i="35" s="1"/>
  <c r="B666" i="35" s="1"/>
  <c r="B667" i="35" s="1"/>
  <c r="B668" i="35" s="1"/>
  <c r="B669" i="35" s="1"/>
  <c r="R641" i="35"/>
  <c r="R642" i="35" s="1"/>
  <c r="R643" i="35" s="1"/>
  <c r="R644" i="35" s="1"/>
  <c r="R645" i="35" s="1"/>
  <c r="R646" i="35" s="1"/>
  <c r="R647" i="35" s="1"/>
  <c r="R648" i="35" s="1"/>
  <c r="R649" i="35" s="1"/>
  <c r="R650" i="35" s="1"/>
  <c r="R651" i="35" s="1"/>
  <c r="R652" i="35" s="1"/>
  <c r="R653" i="35" s="1"/>
  <c r="R654" i="35" s="1"/>
  <c r="R655" i="35" s="1"/>
  <c r="R656" i="35" s="1"/>
  <c r="R657" i="35" s="1"/>
  <c r="R658" i="35" s="1"/>
  <c r="R659" i="35" s="1"/>
  <c r="R660" i="35" s="1"/>
  <c r="R661" i="35" s="1"/>
  <c r="R662" i="35" s="1"/>
  <c r="R663" i="35" s="1"/>
  <c r="R664" i="35" s="1"/>
  <c r="R665" i="35" s="1"/>
  <c r="R666" i="35" s="1"/>
  <c r="R667" i="35" s="1"/>
  <c r="R668" i="35" s="1"/>
  <c r="R669" i="35" s="1"/>
  <c r="R640" i="35"/>
  <c r="J640" i="35"/>
  <c r="J641" i="35" s="1"/>
  <c r="J642" i="35" s="1"/>
  <c r="J643" i="35" s="1"/>
  <c r="J644" i="35" s="1"/>
  <c r="J645" i="35" s="1"/>
  <c r="J646" i="35" s="1"/>
  <c r="J647" i="35" s="1"/>
  <c r="J648" i="35" s="1"/>
  <c r="J649" i="35" s="1"/>
  <c r="J650" i="35" s="1"/>
  <c r="J651" i="35" s="1"/>
  <c r="J652" i="35" s="1"/>
  <c r="J653" i="35" s="1"/>
  <c r="J654" i="35" s="1"/>
  <c r="J655" i="35" s="1"/>
  <c r="J656" i="35" s="1"/>
  <c r="J657" i="35" s="1"/>
  <c r="J658" i="35" s="1"/>
  <c r="J659" i="35" s="1"/>
  <c r="J660" i="35" s="1"/>
  <c r="J661" i="35" s="1"/>
  <c r="J662" i="35" s="1"/>
  <c r="J663" i="35" s="1"/>
  <c r="J664" i="35" s="1"/>
  <c r="J665" i="35" s="1"/>
  <c r="J666" i="35" s="1"/>
  <c r="J667" i="35" s="1"/>
  <c r="J668" i="35" s="1"/>
  <c r="J669" i="35" s="1"/>
  <c r="B640" i="35"/>
  <c r="B641" i="35" s="1"/>
  <c r="B642" i="35" s="1"/>
  <c r="B643" i="35" s="1"/>
  <c r="J582" i="35"/>
  <c r="J583" i="35" s="1"/>
  <c r="J584" i="35" s="1"/>
  <c r="J585" i="35" s="1"/>
  <c r="J586" i="35" s="1"/>
  <c r="J587" i="35" s="1"/>
  <c r="J588" i="35" s="1"/>
  <c r="J589" i="35" s="1"/>
  <c r="J590" i="35" s="1"/>
  <c r="J591" i="35" s="1"/>
  <c r="J592" i="35" s="1"/>
  <c r="J593" i="35" s="1"/>
  <c r="J594" i="35" s="1"/>
  <c r="J595" i="35" s="1"/>
  <c r="J596" i="35" s="1"/>
  <c r="J597" i="35" s="1"/>
  <c r="J598" i="35" s="1"/>
  <c r="J599" i="35" s="1"/>
  <c r="J600" i="35" s="1"/>
  <c r="J601" i="35" s="1"/>
  <c r="J602" i="35" s="1"/>
  <c r="J578" i="35"/>
  <c r="J579" i="35" s="1"/>
  <c r="J580" i="35" s="1"/>
  <c r="J581" i="35" s="1"/>
  <c r="B575" i="35"/>
  <c r="B576" i="35" s="1"/>
  <c r="B577" i="35" s="1"/>
  <c r="B578" i="35" s="1"/>
  <c r="B579" i="35" s="1"/>
  <c r="B580" i="35" s="1"/>
  <c r="B581" i="35" s="1"/>
  <c r="B582" i="35" s="1"/>
  <c r="B583" i="35" s="1"/>
  <c r="B584" i="35" s="1"/>
  <c r="B585" i="35" s="1"/>
  <c r="B586" i="35" s="1"/>
  <c r="B587" i="35" s="1"/>
  <c r="B588" i="35" s="1"/>
  <c r="B589" i="35" s="1"/>
  <c r="B590" i="35" s="1"/>
  <c r="B591" i="35" s="1"/>
  <c r="B592" i="35" s="1"/>
  <c r="B593" i="35" s="1"/>
  <c r="B594" i="35" s="1"/>
  <c r="B595" i="35" s="1"/>
  <c r="B596" i="35" s="1"/>
  <c r="B597" i="35" s="1"/>
  <c r="B598" i="35" s="1"/>
  <c r="B599" i="35" s="1"/>
  <c r="B600" i="35" s="1"/>
  <c r="B601" i="35" s="1"/>
  <c r="B602" i="35" s="1"/>
  <c r="R574" i="35"/>
  <c r="R575" i="35" s="1"/>
  <c r="R576" i="35" s="1"/>
  <c r="R577" i="35" s="1"/>
  <c r="R578" i="35" s="1"/>
  <c r="R579" i="35" s="1"/>
  <c r="R580" i="35" s="1"/>
  <c r="R581" i="35" s="1"/>
  <c r="R582" i="35" s="1"/>
  <c r="R583" i="35" s="1"/>
  <c r="R584" i="35" s="1"/>
  <c r="R585" i="35" s="1"/>
  <c r="R586" i="35" s="1"/>
  <c r="R587" i="35" s="1"/>
  <c r="R588" i="35" s="1"/>
  <c r="R589" i="35" s="1"/>
  <c r="R590" i="35" s="1"/>
  <c r="R591" i="35" s="1"/>
  <c r="R592" i="35" s="1"/>
  <c r="R593" i="35" s="1"/>
  <c r="R594" i="35" s="1"/>
  <c r="R595" i="35" s="1"/>
  <c r="R596" i="35" s="1"/>
  <c r="R597" i="35" s="1"/>
  <c r="R598" i="35" s="1"/>
  <c r="R599" i="35" s="1"/>
  <c r="R600" i="35" s="1"/>
  <c r="R601" i="35" s="1"/>
  <c r="R602" i="35" s="1"/>
  <c r="J574" i="35"/>
  <c r="J575" i="35" s="1"/>
  <c r="J576" i="35" s="1"/>
  <c r="J577" i="35" s="1"/>
  <c r="R573" i="35"/>
  <c r="J573" i="35"/>
  <c r="B573" i="35"/>
  <c r="B574" i="35" s="1"/>
  <c r="B510" i="35"/>
  <c r="B511" i="35" s="1"/>
  <c r="B512" i="35" s="1"/>
  <c r="B513" i="35" s="1"/>
  <c r="B514" i="35" s="1"/>
  <c r="B515" i="35" s="1"/>
  <c r="B516" i="35" s="1"/>
  <c r="B517" i="35" s="1"/>
  <c r="B518" i="35" s="1"/>
  <c r="B519" i="35" s="1"/>
  <c r="B520" i="35" s="1"/>
  <c r="B521" i="35" s="1"/>
  <c r="B522" i="35" s="1"/>
  <c r="B523" i="35" s="1"/>
  <c r="B524" i="35" s="1"/>
  <c r="B525" i="35" s="1"/>
  <c r="B526" i="35" s="1"/>
  <c r="B527" i="35" s="1"/>
  <c r="B528" i="35" s="1"/>
  <c r="B529" i="35" s="1"/>
  <c r="B530" i="35" s="1"/>
  <c r="B531" i="35" s="1"/>
  <c r="B532" i="35" s="1"/>
  <c r="B533" i="35" s="1"/>
  <c r="B534" i="35" s="1"/>
  <c r="B535" i="35" s="1"/>
  <c r="R509" i="35"/>
  <c r="R510" i="35" s="1"/>
  <c r="R511" i="35" s="1"/>
  <c r="R512" i="35" s="1"/>
  <c r="R513" i="35" s="1"/>
  <c r="R514" i="35" s="1"/>
  <c r="R515" i="35" s="1"/>
  <c r="R516" i="35" s="1"/>
  <c r="R517" i="35" s="1"/>
  <c r="R518" i="35" s="1"/>
  <c r="R519" i="35" s="1"/>
  <c r="R520" i="35" s="1"/>
  <c r="R521" i="35" s="1"/>
  <c r="R522" i="35" s="1"/>
  <c r="R523" i="35" s="1"/>
  <c r="R524" i="35" s="1"/>
  <c r="R525" i="35" s="1"/>
  <c r="R526" i="35" s="1"/>
  <c r="R527" i="35" s="1"/>
  <c r="R528" i="35" s="1"/>
  <c r="R529" i="35" s="1"/>
  <c r="R530" i="35" s="1"/>
  <c r="R531" i="35" s="1"/>
  <c r="R532" i="35" s="1"/>
  <c r="R533" i="35" s="1"/>
  <c r="R534" i="35" s="1"/>
  <c r="R535" i="35" s="1"/>
  <c r="R507" i="35"/>
  <c r="R508" i="35" s="1"/>
  <c r="R506" i="35"/>
  <c r="J506" i="35"/>
  <c r="J507" i="35" s="1"/>
  <c r="J508" i="35" s="1"/>
  <c r="J509" i="35" s="1"/>
  <c r="J510" i="35" s="1"/>
  <c r="J511" i="35" s="1"/>
  <c r="J512" i="35" s="1"/>
  <c r="J513" i="35" s="1"/>
  <c r="J514" i="35" s="1"/>
  <c r="J515" i="35" s="1"/>
  <c r="J516" i="35" s="1"/>
  <c r="J517" i="35" s="1"/>
  <c r="J518" i="35" s="1"/>
  <c r="J519" i="35" s="1"/>
  <c r="J520" i="35" s="1"/>
  <c r="J521" i="35" s="1"/>
  <c r="J522" i="35" s="1"/>
  <c r="J523" i="35" s="1"/>
  <c r="J524" i="35" s="1"/>
  <c r="J525" i="35" s="1"/>
  <c r="J526" i="35" s="1"/>
  <c r="J527" i="35" s="1"/>
  <c r="J528" i="35" s="1"/>
  <c r="J529" i="35" s="1"/>
  <c r="J530" i="35" s="1"/>
  <c r="J531" i="35" s="1"/>
  <c r="J532" i="35" s="1"/>
  <c r="J533" i="35" s="1"/>
  <c r="J534" i="35" s="1"/>
  <c r="J535" i="35" s="1"/>
  <c r="B506" i="35"/>
  <c r="B507" i="35" s="1"/>
  <c r="B508" i="35" s="1"/>
  <c r="B509" i="35" s="1"/>
  <c r="R444" i="35"/>
  <c r="R445" i="35" s="1"/>
  <c r="R446" i="35" s="1"/>
  <c r="R447" i="35" s="1"/>
  <c r="R448" i="35" s="1"/>
  <c r="R449" i="35" s="1"/>
  <c r="R450" i="35" s="1"/>
  <c r="R451" i="35" s="1"/>
  <c r="R452" i="35" s="1"/>
  <c r="R453" i="35" s="1"/>
  <c r="R454" i="35" s="1"/>
  <c r="R455" i="35" s="1"/>
  <c r="R456" i="35" s="1"/>
  <c r="R457" i="35" s="1"/>
  <c r="R458" i="35" s="1"/>
  <c r="R459" i="35" s="1"/>
  <c r="R460" i="35" s="1"/>
  <c r="R461" i="35" s="1"/>
  <c r="R462" i="35" s="1"/>
  <c r="R463" i="35" s="1"/>
  <c r="R464" i="35" s="1"/>
  <c r="R465" i="35" s="1"/>
  <c r="R466" i="35" s="1"/>
  <c r="R467" i="35" s="1"/>
  <c r="R468" i="35" s="1"/>
  <c r="R442" i="35"/>
  <c r="R443" i="35" s="1"/>
  <c r="R440" i="35"/>
  <c r="R441" i="35" s="1"/>
  <c r="J440" i="35"/>
  <c r="J441" i="35" s="1"/>
  <c r="J442" i="35" s="1"/>
  <c r="J443" i="35" s="1"/>
  <c r="J444" i="35" s="1"/>
  <c r="J445" i="35" s="1"/>
  <c r="J446" i="35" s="1"/>
  <c r="J447" i="35" s="1"/>
  <c r="J448" i="35" s="1"/>
  <c r="J449" i="35" s="1"/>
  <c r="J450" i="35" s="1"/>
  <c r="J451" i="35" s="1"/>
  <c r="J452" i="35" s="1"/>
  <c r="J453" i="35" s="1"/>
  <c r="J454" i="35" s="1"/>
  <c r="J455" i="35" s="1"/>
  <c r="J456" i="35" s="1"/>
  <c r="J457" i="35" s="1"/>
  <c r="J458" i="35" s="1"/>
  <c r="J459" i="35" s="1"/>
  <c r="J460" i="35" s="1"/>
  <c r="J461" i="35" s="1"/>
  <c r="J462" i="35" s="1"/>
  <c r="J463" i="35" s="1"/>
  <c r="J464" i="35" s="1"/>
  <c r="J465" i="35" s="1"/>
  <c r="J466" i="35" s="1"/>
  <c r="J467" i="35" s="1"/>
  <c r="J468" i="35" s="1"/>
  <c r="R439" i="35"/>
  <c r="J439" i="35"/>
  <c r="B439" i="35"/>
  <c r="B440" i="35" s="1"/>
  <c r="B441" i="35" s="1"/>
  <c r="B442" i="35" s="1"/>
  <c r="B443" i="35" s="1"/>
  <c r="B444" i="35" s="1"/>
  <c r="B445" i="35" s="1"/>
  <c r="B446" i="35" s="1"/>
  <c r="B447" i="35" s="1"/>
  <c r="B448" i="35" s="1"/>
  <c r="B449" i="35" s="1"/>
  <c r="B450" i="35" s="1"/>
  <c r="B451" i="35" s="1"/>
  <c r="B452" i="35" s="1"/>
  <c r="B453" i="35" s="1"/>
  <c r="B454" i="35" s="1"/>
  <c r="B455" i="35" s="1"/>
  <c r="B456" i="35" s="1"/>
  <c r="B457" i="35" s="1"/>
  <c r="B458" i="35" s="1"/>
  <c r="B459" i="35" s="1"/>
  <c r="B460" i="35" s="1"/>
  <c r="B461" i="35" s="1"/>
  <c r="B462" i="35" s="1"/>
  <c r="B463" i="35" s="1"/>
  <c r="B464" i="35" s="1"/>
  <c r="B465" i="35" s="1"/>
  <c r="B466" i="35" s="1"/>
  <c r="B467" i="35" s="1"/>
  <c r="B468" i="35" s="1"/>
  <c r="R376" i="35"/>
  <c r="R377" i="35" s="1"/>
  <c r="R378" i="35" s="1"/>
  <c r="R379" i="35" s="1"/>
  <c r="R380" i="35" s="1"/>
  <c r="R381" i="35" s="1"/>
  <c r="R382" i="35" s="1"/>
  <c r="R383" i="35" s="1"/>
  <c r="R384" i="35" s="1"/>
  <c r="R385" i="35" s="1"/>
  <c r="R386" i="35" s="1"/>
  <c r="R387" i="35" s="1"/>
  <c r="R388" i="35" s="1"/>
  <c r="R389" i="35" s="1"/>
  <c r="R390" i="35" s="1"/>
  <c r="R391" i="35" s="1"/>
  <c r="R392" i="35" s="1"/>
  <c r="R393" i="35" s="1"/>
  <c r="R394" i="35" s="1"/>
  <c r="R395" i="35" s="1"/>
  <c r="R396" i="35" s="1"/>
  <c r="R397" i="35" s="1"/>
  <c r="R398" i="35" s="1"/>
  <c r="R399" i="35" s="1"/>
  <c r="R400" i="35" s="1"/>
  <c r="R401" i="35" s="1"/>
  <c r="R375" i="35"/>
  <c r="J374" i="35"/>
  <c r="J375" i="35" s="1"/>
  <c r="J376" i="35" s="1"/>
  <c r="J377" i="35" s="1"/>
  <c r="J378" i="35" s="1"/>
  <c r="J379" i="35" s="1"/>
  <c r="J380" i="35" s="1"/>
  <c r="J381" i="35" s="1"/>
  <c r="J382" i="35" s="1"/>
  <c r="J383" i="35" s="1"/>
  <c r="J384" i="35" s="1"/>
  <c r="J385" i="35" s="1"/>
  <c r="J386" i="35" s="1"/>
  <c r="J387" i="35" s="1"/>
  <c r="J388" i="35" s="1"/>
  <c r="J389" i="35" s="1"/>
  <c r="J390" i="35" s="1"/>
  <c r="J391" i="35" s="1"/>
  <c r="J392" i="35" s="1"/>
  <c r="J393" i="35" s="1"/>
  <c r="J394" i="35" s="1"/>
  <c r="J395" i="35" s="1"/>
  <c r="J396" i="35" s="1"/>
  <c r="J397" i="35" s="1"/>
  <c r="J398" i="35" s="1"/>
  <c r="J399" i="35" s="1"/>
  <c r="J400" i="35" s="1"/>
  <c r="J401" i="35" s="1"/>
  <c r="R373" i="35"/>
  <c r="R374" i="35" s="1"/>
  <c r="J373" i="35"/>
  <c r="R372" i="35"/>
  <c r="J372" i="35"/>
  <c r="B372" i="35"/>
  <c r="B373" i="35" s="1"/>
  <c r="B374" i="35" s="1"/>
  <c r="B375" i="35" s="1"/>
  <c r="B376" i="35" s="1"/>
  <c r="B377" i="35" s="1"/>
  <c r="B378" i="35" s="1"/>
  <c r="B379" i="35" s="1"/>
  <c r="B380" i="35" s="1"/>
  <c r="B381" i="35" s="1"/>
  <c r="B382" i="35" s="1"/>
  <c r="B383" i="35" s="1"/>
  <c r="B384" i="35" s="1"/>
  <c r="B385" i="35" s="1"/>
  <c r="B386" i="35" s="1"/>
  <c r="B387" i="35" s="1"/>
  <c r="B388" i="35" s="1"/>
  <c r="B389" i="35" s="1"/>
  <c r="B390" i="35" s="1"/>
  <c r="B391" i="35" s="1"/>
  <c r="B392" i="35" s="1"/>
  <c r="B393" i="35" s="1"/>
  <c r="B394" i="35" s="1"/>
  <c r="B395" i="35" s="1"/>
  <c r="B396" i="35" s="1"/>
  <c r="B397" i="35" s="1"/>
  <c r="B398" i="35" s="1"/>
  <c r="B399" i="35" s="1"/>
  <c r="B400" i="35" s="1"/>
  <c r="B401" i="35" s="1"/>
  <c r="R307" i="35"/>
  <c r="R308" i="35" s="1"/>
  <c r="R309" i="35" s="1"/>
  <c r="R310" i="35" s="1"/>
  <c r="R311" i="35" s="1"/>
  <c r="R312" i="35" s="1"/>
  <c r="R313" i="35" s="1"/>
  <c r="R314" i="35" s="1"/>
  <c r="R315" i="35" s="1"/>
  <c r="R316" i="35" s="1"/>
  <c r="R317" i="35" s="1"/>
  <c r="R318" i="35" s="1"/>
  <c r="R319" i="35" s="1"/>
  <c r="R320" i="35" s="1"/>
  <c r="R321" i="35" s="1"/>
  <c r="R322" i="35" s="1"/>
  <c r="R323" i="35" s="1"/>
  <c r="R324" i="35" s="1"/>
  <c r="R325" i="35" s="1"/>
  <c r="R326" i="35" s="1"/>
  <c r="R327" i="35" s="1"/>
  <c r="R328" i="35" s="1"/>
  <c r="R329" i="35" s="1"/>
  <c r="R330" i="35" s="1"/>
  <c r="R331" i="35" s="1"/>
  <c r="R332" i="35" s="1"/>
  <c r="R333" i="35" s="1"/>
  <c r="R334" i="35" s="1"/>
  <c r="R306" i="35"/>
  <c r="R305" i="35"/>
  <c r="J305" i="35"/>
  <c r="J306" i="35" s="1"/>
  <c r="J307" i="35" s="1"/>
  <c r="J308" i="35" s="1"/>
  <c r="J309" i="35" s="1"/>
  <c r="J310" i="35" s="1"/>
  <c r="J311" i="35" s="1"/>
  <c r="J312" i="35" s="1"/>
  <c r="J313" i="35" s="1"/>
  <c r="J314" i="35" s="1"/>
  <c r="J315" i="35" s="1"/>
  <c r="J316" i="35" s="1"/>
  <c r="J317" i="35" s="1"/>
  <c r="J318" i="35" s="1"/>
  <c r="J319" i="35" s="1"/>
  <c r="J320" i="35" s="1"/>
  <c r="J321" i="35" s="1"/>
  <c r="J322" i="35" s="1"/>
  <c r="J323" i="35" s="1"/>
  <c r="J324" i="35" s="1"/>
  <c r="J325" i="35" s="1"/>
  <c r="J326" i="35" s="1"/>
  <c r="J327" i="35" s="1"/>
  <c r="J328" i="35" s="1"/>
  <c r="J329" i="35" s="1"/>
  <c r="J330" i="35" s="1"/>
  <c r="J331" i="35" s="1"/>
  <c r="J332" i="35" s="1"/>
  <c r="J333" i="35" s="1"/>
  <c r="J334" i="35" s="1"/>
  <c r="B305" i="35"/>
  <c r="B306" i="35" s="1"/>
  <c r="B307" i="35" s="1"/>
  <c r="B308" i="35" s="1"/>
  <c r="B309" i="35" s="1"/>
  <c r="B310" i="35" s="1"/>
  <c r="B311" i="35" s="1"/>
  <c r="B312" i="35" s="1"/>
  <c r="B313" i="35" s="1"/>
  <c r="B314" i="35" s="1"/>
  <c r="B315" i="35" s="1"/>
  <c r="B316" i="35" s="1"/>
  <c r="B317" i="35" s="1"/>
  <c r="B318" i="35" s="1"/>
  <c r="B319" i="35" s="1"/>
  <c r="B320" i="35" s="1"/>
  <c r="B321" i="35" s="1"/>
  <c r="B322" i="35" s="1"/>
  <c r="B323" i="35" s="1"/>
  <c r="B324" i="35" s="1"/>
  <c r="B325" i="35" s="1"/>
  <c r="B326" i="35" s="1"/>
  <c r="B327" i="35" s="1"/>
  <c r="B328" i="35" s="1"/>
  <c r="B329" i="35" s="1"/>
  <c r="B330" i="35" s="1"/>
  <c r="B331" i="35" s="1"/>
  <c r="B332" i="35" s="1"/>
  <c r="B333" i="35" s="1"/>
  <c r="B334" i="35" s="1"/>
  <c r="J240" i="35"/>
  <c r="J241" i="35" s="1"/>
  <c r="J242" i="35" s="1"/>
  <c r="J243" i="35" s="1"/>
  <c r="J244" i="35" s="1"/>
  <c r="J245" i="35" s="1"/>
  <c r="J246" i="35" s="1"/>
  <c r="J247" i="35" s="1"/>
  <c r="J248" i="35" s="1"/>
  <c r="J249" i="35" s="1"/>
  <c r="J250" i="35" s="1"/>
  <c r="J251" i="35" s="1"/>
  <c r="J252" i="35" s="1"/>
  <c r="J253" i="35" s="1"/>
  <c r="J254" i="35" s="1"/>
  <c r="J255" i="35" s="1"/>
  <c r="J256" i="35" s="1"/>
  <c r="J257" i="35" s="1"/>
  <c r="J258" i="35" s="1"/>
  <c r="J259" i="35" s="1"/>
  <c r="J260" i="35" s="1"/>
  <c r="J261" i="35" s="1"/>
  <c r="J262" i="35" s="1"/>
  <c r="J263" i="35" s="1"/>
  <c r="J264" i="35" s="1"/>
  <c r="J265" i="35" s="1"/>
  <c r="J266" i="35" s="1"/>
  <c r="J267" i="35" s="1"/>
  <c r="B240" i="35"/>
  <c r="B241" i="35" s="1"/>
  <c r="B242" i="35" s="1"/>
  <c r="B243" i="35" s="1"/>
  <c r="B244" i="35" s="1"/>
  <c r="B245" i="35" s="1"/>
  <c r="B246" i="35" s="1"/>
  <c r="B247" i="35" s="1"/>
  <c r="B248" i="35" s="1"/>
  <c r="B249" i="35" s="1"/>
  <c r="B250" i="35" s="1"/>
  <c r="B251" i="35" s="1"/>
  <c r="B252" i="35" s="1"/>
  <c r="B253" i="35" s="1"/>
  <c r="B254" i="35" s="1"/>
  <c r="B255" i="35" s="1"/>
  <c r="B256" i="35" s="1"/>
  <c r="B257" i="35" s="1"/>
  <c r="B258" i="35" s="1"/>
  <c r="B259" i="35" s="1"/>
  <c r="B260" i="35" s="1"/>
  <c r="B261" i="35" s="1"/>
  <c r="B262" i="35" s="1"/>
  <c r="B263" i="35" s="1"/>
  <c r="B264" i="35" s="1"/>
  <c r="B265" i="35" s="1"/>
  <c r="B266" i="35" s="1"/>
  <c r="B267" i="35" s="1"/>
  <c r="J239" i="35"/>
  <c r="B239" i="35"/>
  <c r="R238" i="35"/>
  <c r="R239" i="35" s="1"/>
  <c r="R240" i="35" s="1"/>
  <c r="R241" i="35" s="1"/>
  <c r="R242" i="35" s="1"/>
  <c r="R243" i="35" s="1"/>
  <c r="R244" i="35" s="1"/>
  <c r="R245" i="35" s="1"/>
  <c r="R246" i="35" s="1"/>
  <c r="R247" i="35" s="1"/>
  <c r="R248" i="35" s="1"/>
  <c r="R249" i="35" s="1"/>
  <c r="R250" i="35" s="1"/>
  <c r="R251" i="35" s="1"/>
  <c r="R252" i="35" s="1"/>
  <c r="R253" i="35" s="1"/>
  <c r="R254" i="35" s="1"/>
  <c r="R255" i="35" s="1"/>
  <c r="R256" i="35" s="1"/>
  <c r="R257" i="35" s="1"/>
  <c r="R258" i="35" s="1"/>
  <c r="R259" i="35" s="1"/>
  <c r="R260" i="35" s="1"/>
  <c r="R261" i="35" s="1"/>
  <c r="R262" i="35" s="1"/>
  <c r="R263" i="35" s="1"/>
  <c r="R264" i="35" s="1"/>
  <c r="R265" i="35" s="1"/>
  <c r="R266" i="35" s="1"/>
  <c r="R267" i="35" s="1"/>
  <c r="J238" i="35"/>
  <c r="B238" i="35"/>
  <c r="J172" i="35"/>
  <c r="J173" i="35" s="1"/>
  <c r="J174" i="35" s="1"/>
  <c r="J175" i="35" s="1"/>
  <c r="J176" i="35" s="1"/>
  <c r="J177" i="35" s="1"/>
  <c r="J178" i="35" s="1"/>
  <c r="J179" i="35" s="1"/>
  <c r="J180" i="35" s="1"/>
  <c r="J181" i="35" s="1"/>
  <c r="J182" i="35" s="1"/>
  <c r="J183" i="35" s="1"/>
  <c r="J184" i="35" s="1"/>
  <c r="J185" i="35" s="1"/>
  <c r="J186" i="35" s="1"/>
  <c r="J187" i="35" s="1"/>
  <c r="J188" i="35" s="1"/>
  <c r="J189" i="35" s="1"/>
  <c r="J190" i="35" s="1"/>
  <c r="J191" i="35" s="1"/>
  <c r="J192" i="35" s="1"/>
  <c r="J193" i="35" s="1"/>
  <c r="J194" i="35" s="1"/>
  <c r="J195" i="35" s="1"/>
  <c r="J196" i="35" s="1"/>
  <c r="J197" i="35" s="1"/>
  <c r="J198" i="35" s="1"/>
  <c r="J199" i="35" s="1"/>
  <c r="J200" i="35" s="1"/>
  <c r="R171" i="35"/>
  <c r="R172" i="35" s="1"/>
  <c r="R173" i="35" s="1"/>
  <c r="R174" i="35" s="1"/>
  <c r="R175" i="35" s="1"/>
  <c r="R176" i="35" s="1"/>
  <c r="R177" i="35" s="1"/>
  <c r="R178" i="35" s="1"/>
  <c r="R179" i="35" s="1"/>
  <c r="R180" i="35" s="1"/>
  <c r="R181" i="35" s="1"/>
  <c r="R182" i="35" s="1"/>
  <c r="R183" i="35" s="1"/>
  <c r="R184" i="35" s="1"/>
  <c r="R185" i="35" s="1"/>
  <c r="R186" i="35" s="1"/>
  <c r="R187" i="35" s="1"/>
  <c r="R188" i="35" s="1"/>
  <c r="R189" i="35" s="1"/>
  <c r="R190" i="35" s="1"/>
  <c r="R191" i="35" s="1"/>
  <c r="R192" i="35" s="1"/>
  <c r="R193" i="35" s="1"/>
  <c r="R194" i="35" s="1"/>
  <c r="R195" i="35" s="1"/>
  <c r="R196" i="35" s="1"/>
  <c r="R197" i="35" s="1"/>
  <c r="R198" i="35" s="1"/>
  <c r="R199" i="35" s="1"/>
  <c r="R200" i="35" s="1"/>
  <c r="J171" i="35"/>
  <c r="B171" i="35"/>
  <c r="B172" i="35" s="1"/>
  <c r="B173" i="35" s="1"/>
  <c r="B174" i="35" s="1"/>
  <c r="B175" i="35" s="1"/>
  <c r="B176" i="35" s="1"/>
  <c r="B177" i="35" s="1"/>
  <c r="B178" i="35" s="1"/>
  <c r="B179" i="35" s="1"/>
  <c r="B180" i="35" s="1"/>
  <c r="B181" i="35" s="1"/>
  <c r="B182" i="35" s="1"/>
  <c r="B183" i="35" s="1"/>
  <c r="B184" i="35" s="1"/>
  <c r="B185" i="35" s="1"/>
  <c r="B186" i="35" s="1"/>
  <c r="B187" i="35" s="1"/>
  <c r="B188" i="35" s="1"/>
  <c r="B189" i="35" s="1"/>
  <c r="B190" i="35" s="1"/>
  <c r="B191" i="35" s="1"/>
  <c r="B192" i="35" s="1"/>
  <c r="B193" i="35" s="1"/>
  <c r="B194" i="35" s="1"/>
  <c r="B195" i="35" s="1"/>
  <c r="B196" i="35" s="1"/>
  <c r="B197" i="35" s="1"/>
  <c r="B198" i="35" s="1"/>
  <c r="B199" i="35" s="1"/>
  <c r="B200" i="35" s="1"/>
  <c r="B106" i="35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19" i="35" s="1"/>
  <c r="B120" i="35" s="1"/>
  <c r="B121" i="35" s="1"/>
  <c r="B122" i="35" s="1"/>
  <c r="B123" i="35" s="1"/>
  <c r="B124" i="35" s="1"/>
  <c r="B125" i="35" s="1"/>
  <c r="B126" i="35" s="1"/>
  <c r="B127" i="35" s="1"/>
  <c r="B128" i="35" s="1"/>
  <c r="B129" i="35" s="1"/>
  <c r="B130" i="35" s="1"/>
  <c r="B131" i="35" s="1"/>
  <c r="B132" i="35" s="1"/>
  <c r="B133" i="35" s="1"/>
  <c r="R105" i="35"/>
  <c r="R106" i="35" s="1"/>
  <c r="R107" i="35" s="1"/>
  <c r="R108" i="35" s="1"/>
  <c r="R109" i="35" s="1"/>
  <c r="R110" i="35" s="1"/>
  <c r="R111" i="35" s="1"/>
  <c r="R112" i="35" s="1"/>
  <c r="R113" i="35" s="1"/>
  <c r="R114" i="35" s="1"/>
  <c r="R115" i="35" s="1"/>
  <c r="R116" i="35" s="1"/>
  <c r="R117" i="35" s="1"/>
  <c r="R118" i="35" s="1"/>
  <c r="R119" i="35" s="1"/>
  <c r="R120" i="35" s="1"/>
  <c r="R121" i="35" s="1"/>
  <c r="R122" i="35" s="1"/>
  <c r="R123" i="35" s="1"/>
  <c r="R124" i="35" s="1"/>
  <c r="R125" i="35" s="1"/>
  <c r="R126" i="35" s="1"/>
  <c r="R127" i="35" s="1"/>
  <c r="R128" i="35" s="1"/>
  <c r="R129" i="35" s="1"/>
  <c r="R130" i="35" s="1"/>
  <c r="R131" i="35" s="1"/>
  <c r="R132" i="35" s="1"/>
  <c r="R133" i="35" s="1"/>
  <c r="B105" i="35"/>
  <c r="R104" i="35"/>
  <c r="J104" i="35"/>
  <c r="J105" i="35" s="1"/>
  <c r="J106" i="35" s="1"/>
  <c r="J107" i="35" s="1"/>
  <c r="J108" i="35" s="1"/>
  <c r="J109" i="35" s="1"/>
  <c r="J110" i="35" s="1"/>
  <c r="J111" i="35" s="1"/>
  <c r="J112" i="35" s="1"/>
  <c r="J113" i="35" s="1"/>
  <c r="J114" i="35" s="1"/>
  <c r="J115" i="35" s="1"/>
  <c r="J116" i="35" s="1"/>
  <c r="J117" i="35" s="1"/>
  <c r="J118" i="35" s="1"/>
  <c r="J119" i="35" s="1"/>
  <c r="J120" i="35" s="1"/>
  <c r="J121" i="35" s="1"/>
  <c r="J122" i="35" s="1"/>
  <c r="J123" i="35" s="1"/>
  <c r="J124" i="35" s="1"/>
  <c r="J125" i="35" s="1"/>
  <c r="J126" i="35" s="1"/>
  <c r="J127" i="35" s="1"/>
  <c r="J128" i="35" s="1"/>
  <c r="J129" i="35" s="1"/>
  <c r="J130" i="35" s="1"/>
  <c r="J131" i="35" s="1"/>
  <c r="J132" i="35" s="1"/>
  <c r="J133" i="35" s="1"/>
  <c r="B104" i="35"/>
  <c r="R1377" i="33"/>
  <c r="R1378" i="33" s="1"/>
  <c r="R1379" i="33" s="1"/>
  <c r="R1380" i="33" s="1"/>
  <c r="R1381" i="33" s="1"/>
  <c r="R1382" i="33" s="1"/>
  <c r="R1383" i="33" s="1"/>
  <c r="R1384" i="33" s="1"/>
  <c r="R1385" i="33" s="1"/>
  <c r="R1386" i="33" s="1"/>
  <c r="R1387" i="33" s="1"/>
  <c r="R1388" i="33" s="1"/>
  <c r="R1389" i="33" s="1"/>
  <c r="R1390" i="33" s="1"/>
  <c r="R1391" i="33" s="1"/>
  <c r="R1392" i="33" s="1"/>
  <c r="R1393" i="33" s="1"/>
  <c r="R1394" i="33" s="1"/>
  <c r="R1395" i="33" s="1"/>
  <c r="R1396" i="33" s="1"/>
  <c r="R1397" i="33" s="1"/>
  <c r="R1398" i="33" s="1"/>
  <c r="R1399" i="33" s="1"/>
  <c r="R1400" i="33" s="1"/>
  <c r="R1401" i="33" s="1"/>
  <c r="R1402" i="33" s="1"/>
  <c r="R1403" i="33" s="1"/>
  <c r="R1404" i="33" s="1"/>
  <c r="R1405" i="33" s="1"/>
  <c r="R1406" i="33" s="1"/>
  <c r="J1377" i="33"/>
  <c r="J1378" i="33" s="1"/>
  <c r="J1379" i="33" s="1"/>
  <c r="J1380" i="33" s="1"/>
  <c r="J1381" i="33" s="1"/>
  <c r="J1382" i="33" s="1"/>
  <c r="J1383" i="33" s="1"/>
  <c r="J1384" i="33" s="1"/>
  <c r="J1385" i="33" s="1"/>
  <c r="J1386" i="33" s="1"/>
  <c r="J1387" i="33" s="1"/>
  <c r="J1388" i="33" s="1"/>
  <c r="J1389" i="33" s="1"/>
  <c r="J1390" i="33" s="1"/>
  <c r="J1391" i="33" s="1"/>
  <c r="J1392" i="33" s="1"/>
  <c r="J1393" i="33" s="1"/>
  <c r="J1394" i="33" s="1"/>
  <c r="J1395" i="33" s="1"/>
  <c r="J1396" i="33" s="1"/>
  <c r="J1397" i="33" s="1"/>
  <c r="J1398" i="33" s="1"/>
  <c r="J1399" i="33" s="1"/>
  <c r="J1400" i="33" s="1"/>
  <c r="J1401" i="33" s="1"/>
  <c r="J1402" i="33" s="1"/>
  <c r="J1403" i="33" s="1"/>
  <c r="J1404" i="33" s="1"/>
  <c r="J1405" i="33" s="1"/>
  <c r="J1406" i="33" s="1"/>
  <c r="B1377" i="33"/>
  <c r="B1378" i="33" s="1"/>
  <c r="B1379" i="33" s="1"/>
  <c r="B1380" i="33" s="1"/>
  <c r="B1381" i="33" s="1"/>
  <c r="B1382" i="33" s="1"/>
  <c r="B1383" i="33" s="1"/>
  <c r="B1384" i="33" s="1"/>
  <c r="B1385" i="33" s="1"/>
  <c r="B1386" i="33" s="1"/>
  <c r="B1387" i="33" s="1"/>
  <c r="B1388" i="33" s="1"/>
  <c r="B1389" i="33" s="1"/>
  <c r="B1390" i="33" s="1"/>
  <c r="B1391" i="33" s="1"/>
  <c r="B1392" i="33" s="1"/>
  <c r="B1393" i="33" s="1"/>
  <c r="B1394" i="33" s="1"/>
  <c r="B1395" i="33" s="1"/>
  <c r="B1396" i="33" s="1"/>
  <c r="B1397" i="33" s="1"/>
  <c r="B1398" i="33" s="1"/>
  <c r="B1399" i="33" s="1"/>
  <c r="B1400" i="33" s="1"/>
  <c r="B1401" i="33" s="1"/>
  <c r="B1402" i="33" s="1"/>
  <c r="B1403" i="33" s="1"/>
  <c r="B1404" i="33" s="1"/>
  <c r="B1405" i="33" s="1"/>
  <c r="B1406" i="33" s="1"/>
  <c r="R1310" i="33"/>
  <c r="R1311" i="33" s="1"/>
  <c r="R1312" i="33" s="1"/>
  <c r="R1313" i="33" s="1"/>
  <c r="R1314" i="33" s="1"/>
  <c r="R1315" i="33" s="1"/>
  <c r="R1316" i="33" s="1"/>
  <c r="R1317" i="33" s="1"/>
  <c r="R1318" i="33" s="1"/>
  <c r="R1319" i="33" s="1"/>
  <c r="R1320" i="33" s="1"/>
  <c r="R1321" i="33" s="1"/>
  <c r="R1322" i="33" s="1"/>
  <c r="R1323" i="33" s="1"/>
  <c r="R1324" i="33" s="1"/>
  <c r="R1325" i="33" s="1"/>
  <c r="R1326" i="33" s="1"/>
  <c r="R1327" i="33" s="1"/>
  <c r="R1328" i="33" s="1"/>
  <c r="R1329" i="33" s="1"/>
  <c r="R1330" i="33" s="1"/>
  <c r="R1331" i="33" s="1"/>
  <c r="R1332" i="33" s="1"/>
  <c r="R1333" i="33" s="1"/>
  <c r="R1334" i="33" s="1"/>
  <c r="R1335" i="33" s="1"/>
  <c r="R1336" i="33" s="1"/>
  <c r="R1337" i="33" s="1"/>
  <c r="R1338" i="33" s="1"/>
  <c r="R1339" i="33" s="1"/>
  <c r="J1310" i="33"/>
  <c r="J1311" i="33" s="1"/>
  <c r="J1312" i="33" s="1"/>
  <c r="J1313" i="33" s="1"/>
  <c r="J1314" i="33" s="1"/>
  <c r="J1315" i="33" s="1"/>
  <c r="J1316" i="33" s="1"/>
  <c r="J1317" i="33" s="1"/>
  <c r="J1318" i="33" s="1"/>
  <c r="J1319" i="33" s="1"/>
  <c r="J1320" i="33" s="1"/>
  <c r="J1321" i="33" s="1"/>
  <c r="J1322" i="33" s="1"/>
  <c r="J1323" i="33" s="1"/>
  <c r="J1324" i="33" s="1"/>
  <c r="J1325" i="33" s="1"/>
  <c r="J1326" i="33" s="1"/>
  <c r="J1327" i="33" s="1"/>
  <c r="J1328" i="33" s="1"/>
  <c r="J1329" i="33" s="1"/>
  <c r="J1330" i="33" s="1"/>
  <c r="J1331" i="33" s="1"/>
  <c r="J1332" i="33" s="1"/>
  <c r="J1333" i="33" s="1"/>
  <c r="J1334" i="33" s="1"/>
  <c r="J1335" i="33" s="1"/>
  <c r="J1336" i="33" s="1"/>
  <c r="J1337" i="33" s="1"/>
  <c r="J1338" i="33" s="1"/>
  <c r="J1339" i="33" s="1"/>
  <c r="B1310" i="33"/>
  <c r="B1311" i="33" s="1"/>
  <c r="B1312" i="33" s="1"/>
  <c r="B1313" i="33" s="1"/>
  <c r="B1314" i="33" s="1"/>
  <c r="B1315" i="33" s="1"/>
  <c r="B1316" i="33" s="1"/>
  <c r="B1317" i="33" s="1"/>
  <c r="B1318" i="33" s="1"/>
  <c r="B1319" i="33" s="1"/>
  <c r="B1320" i="33" s="1"/>
  <c r="B1321" i="33" s="1"/>
  <c r="B1322" i="33" s="1"/>
  <c r="B1323" i="33" s="1"/>
  <c r="B1324" i="33" s="1"/>
  <c r="B1325" i="33" s="1"/>
  <c r="B1326" i="33" s="1"/>
  <c r="B1327" i="33" s="1"/>
  <c r="B1328" i="33" s="1"/>
  <c r="B1329" i="33" s="1"/>
  <c r="B1330" i="33" s="1"/>
  <c r="B1331" i="33" s="1"/>
  <c r="B1332" i="33" s="1"/>
  <c r="B1333" i="33" s="1"/>
  <c r="B1334" i="33" s="1"/>
  <c r="B1335" i="33" s="1"/>
  <c r="B1336" i="33" s="1"/>
  <c r="B1337" i="33" s="1"/>
  <c r="B1338" i="33" s="1"/>
  <c r="B1339" i="33" s="1"/>
  <c r="R1243" i="33"/>
  <c r="R1244" i="33" s="1"/>
  <c r="R1245" i="33" s="1"/>
  <c r="R1246" i="33" s="1"/>
  <c r="R1247" i="33" s="1"/>
  <c r="R1248" i="33" s="1"/>
  <c r="R1249" i="33" s="1"/>
  <c r="R1250" i="33" s="1"/>
  <c r="R1251" i="33" s="1"/>
  <c r="R1252" i="33" s="1"/>
  <c r="R1253" i="33" s="1"/>
  <c r="R1254" i="33" s="1"/>
  <c r="R1255" i="33" s="1"/>
  <c r="R1256" i="33" s="1"/>
  <c r="R1257" i="33" s="1"/>
  <c r="R1258" i="33" s="1"/>
  <c r="R1259" i="33" s="1"/>
  <c r="R1260" i="33" s="1"/>
  <c r="R1261" i="33" s="1"/>
  <c r="R1262" i="33" s="1"/>
  <c r="R1263" i="33" s="1"/>
  <c r="R1264" i="33" s="1"/>
  <c r="R1265" i="33" s="1"/>
  <c r="R1266" i="33" s="1"/>
  <c r="R1267" i="33" s="1"/>
  <c r="R1268" i="33" s="1"/>
  <c r="R1269" i="33" s="1"/>
  <c r="R1270" i="33" s="1"/>
  <c r="R1271" i="33" s="1"/>
  <c r="R1272" i="33" s="1"/>
  <c r="J1243" i="33"/>
  <c r="J1244" i="33" s="1"/>
  <c r="J1245" i="33" s="1"/>
  <c r="J1246" i="33" s="1"/>
  <c r="J1247" i="33" s="1"/>
  <c r="J1248" i="33" s="1"/>
  <c r="J1249" i="33" s="1"/>
  <c r="J1250" i="33" s="1"/>
  <c r="J1251" i="33" s="1"/>
  <c r="J1252" i="33" s="1"/>
  <c r="J1253" i="33" s="1"/>
  <c r="J1254" i="33" s="1"/>
  <c r="J1255" i="33" s="1"/>
  <c r="J1256" i="33" s="1"/>
  <c r="J1257" i="33" s="1"/>
  <c r="J1258" i="33" s="1"/>
  <c r="J1259" i="33" s="1"/>
  <c r="J1260" i="33" s="1"/>
  <c r="J1261" i="33" s="1"/>
  <c r="J1262" i="33" s="1"/>
  <c r="J1263" i="33" s="1"/>
  <c r="J1264" i="33" s="1"/>
  <c r="J1265" i="33" s="1"/>
  <c r="J1266" i="33" s="1"/>
  <c r="J1267" i="33" s="1"/>
  <c r="J1268" i="33" s="1"/>
  <c r="J1269" i="33" s="1"/>
  <c r="J1270" i="33" s="1"/>
  <c r="J1271" i="33" s="1"/>
  <c r="J1272" i="33" s="1"/>
  <c r="B1243" i="33"/>
  <c r="B1244" i="33" s="1"/>
  <c r="B1245" i="33" s="1"/>
  <c r="B1246" i="33" s="1"/>
  <c r="B1247" i="33" s="1"/>
  <c r="B1248" i="33" s="1"/>
  <c r="B1249" i="33" s="1"/>
  <c r="B1250" i="33" s="1"/>
  <c r="B1251" i="33" s="1"/>
  <c r="B1252" i="33" s="1"/>
  <c r="B1253" i="33" s="1"/>
  <c r="B1254" i="33" s="1"/>
  <c r="B1255" i="33" s="1"/>
  <c r="B1256" i="33" s="1"/>
  <c r="B1257" i="33" s="1"/>
  <c r="B1258" i="33" s="1"/>
  <c r="B1259" i="33" s="1"/>
  <c r="B1260" i="33" s="1"/>
  <c r="B1261" i="33" s="1"/>
  <c r="B1262" i="33" s="1"/>
  <c r="B1263" i="33" s="1"/>
  <c r="B1264" i="33" s="1"/>
  <c r="B1265" i="33" s="1"/>
  <c r="B1266" i="33" s="1"/>
  <c r="B1267" i="33" s="1"/>
  <c r="B1268" i="33" s="1"/>
  <c r="B1269" i="33" s="1"/>
  <c r="B1270" i="33" s="1"/>
  <c r="B1271" i="33" s="1"/>
  <c r="B1272" i="33" s="1"/>
  <c r="R1176" i="33"/>
  <c r="R1177" i="33" s="1"/>
  <c r="R1178" i="33" s="1"/>
  <c r="R1179" i="33" s="1"/>
  <c r="R1180" i="33" s="1"/>
  <c r="R1181" i="33" s="1"/>
  <c r="R1182" i="33" s="1"/>
  <c r="R1183" i="33" s="1"/>
  <c r="R1184" i="33" s="1"/>
  <c r="R1185" i="33" s="1"/>
  <c r="R1186" i="33" s="1"/>
  <c r="R1187" i="33" s="1"/>
  <c r="R1188" i="33" s="1"/>
  <c r="R1189" i="33" s="1"/>
  <c r="R1190" i="33" s="1"/>
  <c r="R1191" i="33" s="1"/>
  <c r="R1192" i="33" s="1"/>
  <c r="R1193" i="33" s="1"/>
  <c r="R1194" i="33" s="1"/>
  <c r="R1195" i="33" s="1"/>
  <c r="R1196" i="33" s="1"/>
  <c r="R1197" i="33" s="1"/>
  <c r="R1198" i="33" s="1"/>
  <c r="R1199" i="33" s="1"/>
  <c r="R1200" i="33" s="1"/>
  <c r="R1201" i="33" s="1"/>
  <c r="R1202" i="33" s="1"/>
  <c r="R1203" i="33" s="1"/>
  <c r="R1204" i="33" s="1"/>
  <c r="R1205" i="33" s="1"/>
  <c r="J1176" i="33"/>
  <c r="J1177" i="33" s="1"/>
  <c r="J1178" i="33" s="1"/>
  <c r="J1179" i="33" s="1"/>
  <c r="J1180" i="33" s="1"/>
  <c r="J1181" i="33" s="1"/>
  <c r="J1182" i="33" s="1"/>
  <c r="J1183" i="33" s="1"/>
  <c r="J1184" i="33" s="1"/>
  <c r="J1185" i="33" s="1"/>
  <c r="J1186" i="33" s="1"/>
  <c r="J1187" i="33" s="1"/>
  <c r="J1188" i="33" s="1"/>
  <c r="J1189" i="33" s="1"/>
  <c r="J1190" i="33" s="1"/>
  <c r="J1191" i="33" s="1"/>
  <c r="J1192" i="33" s="1"/>
  <c r="J1193" i="33" s="1"/>
  <c r="J1194" i="33" s="1"/>
  <c r="J1195" i="33" s="1"/>
  <c r="J1196" i="33" s="1"/>
  <c r="J1197" i="33" s="1"/>
  <c r="J1198" i="33" s="1"/>
  <c r="J1199" i="33" s="1"/>
  <c r="J1200" i="33" s="1"/>
  <c r="J1201" i="33" s="1"/>
  <c r="J1202" i="33" s="1"/>
  <c r="J1203" i="33" s="1"/>
  <c r="J1204" i="33" s="1"/>
  <c r="J1205" i="33" s="1"/>
  <c r="B1176" i="33"/>
  <c r="B1177" i="33" s="1"/>
  <c r="B1178" i="33" s="1"/>
  <c r="B1179" i="33" s="1"/>
  <c r="B1180" i="33" s="1"/>
  <c r="B1181" i="33" s="1"/>
  <c r="B1182" i="33" s="1"/>
  <c r="B1183" i="33" s="1"/>
  <c r="B1184" i="33" s="1"/>
  <c r="B1185" i="33" s="1"/>
  <c r="B1186" i="33" s="1"/>
  <c r="B1187" i="33" s="1"/>
  <c r="B1188" i="33" s="1"/>
  <c r="B1189" i="33" s="1"/>
  <c r="B1190" i="33" s="1"/>
  <c r="B1191" i="33" s="1"/>
  <c r="B1192" i="33" s="1"/>
  <c r="B1193" i="33" s="1"/>
  <c r="B1194" i="33" s="1"/>
  <c r="B1195" i="33" s="1"/>
  <c r="B1196" i="33" s="1"/>
  <c r="B1197" i="33" s="1"/>
  <c r="B1198" i="33" s="1"/>
  <c r="B1199" i="33" s="1"/>
  <c r="B1200" i="33" s="1"/>
  <c r="B1201" i="33" s="1"/>
  <c r="B1202" i="33" s="1"/>
  <c r="B1203" i="33" s="1"/>
  <c r="B1204" i="33" s="1"/>
  <c r="B1205" i="33" s="1"/>
  <c r="B1115" i="33"/>
  <c r="B1116" i="33" s="1"/>
  <c r="B1117" i="33" s="1"/>
  <c r="B1118" i="33" s="1"/>
  <c r="B1119" i="33" s="1"/>
  <c r="B1120" i="33" s="1"/>
  <c r="B1121" i="33" s="1"/>
  <c r="B1122" i="33" s="1"/>
  <c r="B1123" i="33" s="1"/>
  <c r="B1124" i="33" s="1"/>
  <c r="B1125" i="33" s="1"/>
  <c r="B1126" i="33" s="1"/>
  <c r="B1127" i="33" s="1"/>
  <c r="B1128" i="33" s="1"/>
  <c r="B1129" i="33" s="1"/>
  <c r="B1130" i="33" s="1"/>
  <c r="B1131" i="33" s="1"/>
  <c r="B1132" i="33" s="1"/>
  <c r="B1133" i="33" s="1"/>
  <c r="B1134" i="33" s="1"/>
  <c r="B1135" i="33" s="1"/>
  <c r="B1136" i="33" s="1"/>
  <c r="B1137" i="33" s="1"/>
  <c r="B1138" i="33" s="1"/>
  <c r="B1111" i="33"/>
  <c r="B1112" i="33" s="1"/>
  <c r="B1113" i="33" s="1"/>
  <c r="B1114" i="33" s="1"/>
  <c r="R1109" i="33"/>
  <c r="R1110" i="33" s="1"/>
  <c r="R1111" i="33" s="1"/>
  <c r="R1112" i="33" s="1"/>
  <c r="R1113" i="33" s="1"/>
  <c r="R1114" i="33" s="1"/>
  <c r="R1115" i="33" s="1"/>
  <c r="R1116" i="33" s="1"/>
  <c r="R1117" i="33" s="1"/>
  <c r="R1118" i="33" s="1"/>
  <c r="R1119" i="33" s="1"/>
  <c r="R1120" i="33" s="1"/>
  <c r="R1121" i="33" s="1"/>
  <c r="R1122" i="33" s="1"/>
  <c r="R1123" i="33" s="1"/>
  <c r="R1124" i="33" s="1"/>
  <c r="R1125" i="33" s="1"/>
  <c r="R1126" i="33" s="1"/>
  <c r="R1127" i="33" s="1"/>
  <c r="R1128" i="33" s="1"/>
  <c r="R1129" i="33" s="1"/>
  <c r="R1130" i="33" s="1"/>
  <c r="R1131" i="33" s="1"/>
  <c r="R1132" i="33" s="1"/>
  <c r="R1133" i="33" s="1"/>
  <c r="R1134" i="33" s="1"/>
  <c r="R1135" i="33" s="1"/>
  <c r="R1136" i="33" s="1"/>
  <c r="R1137" i="33" s="1"/>
  <c r="R1138" i="33" s="1"/>
  <c r="J1109" i="33"/>
  <c r="J1110" i="33" s="1"/>
  <c r="J1111" i="33" s="1"/>
  <c r="J1112" i="33" s="1"/>
  <c r="J1113" i="33" s="1"/>
  <c r="J1114" i="33" s="1"/>
  <c r="J1115" i="33" s="1"/>
  <c r="J1116" i="33" s="1"/>
  <c r="J1117" i="33" s="1"/>
  <c r="J1118" i="33" s="1"/>
  <c r="J1119" i="33" s="1"/>
  <c r="J1120" i="33" s="1"/>
  <c r="J1121" i="33" s="1"/>
  <c r="J1122" i="33" s="1"/>
  <c r="J1123" i="33" s="1"/>
  <c r="J1124" i="33" s="1"/>
  <c r="J1125" i="33" s="1"/>
  <c r="J1126" i="33" s="1"/>
  <c r="J1127" i="33" s="1"/>
  <c r="J1128" i="33" s="1"/>
  <c r="J1129" i="33" s="1"/>
  <c r="J1130" i="33" s="1"/>
  <c r="J1131" i="33" s="1"/>
  <c r="J1132" i="33" s="1"/>
  <c r="J1133" i="33" s="1"/>
  <c r="J1134" i="33" s="1"/>
  <c r="J1135" i="33" s="1"/>
  <c r="J1136" i="33" s="1"/>
  <c r="J1137" i="33" s="1"/>
  <c r="J1138" i="33" s="1"/>
  <c r="B1109" i="33"/>
  <c r="B1110" i="33" s="1"/>
  <c r="R1042" i="33"/>
  <c r="R1043" i="33" s="1"/>
  <c r="R1044" i="33" s="1"/>
  <c r="R1045" i="33" s="1"/>
  <c r="R1046" i="33" s="1"/>
  <c r="R1047" i="33" s="1"/>
  <c r="R1048" i="33" s="1"/>
  <c r="R1049" i="33" s="1"/>
  <c r="R1050" i="33" s="1"/>
  <c r="R1051" i="33" s="1"/>
  <c r="R1052" i="33" s="1"/>
  <c r="R1053" i="33" s="1"/>
  <c r="R1054" i="33" s="1"/>
  <c r="R1055" i="33" s="1"/>
  <c r="R1056" i="33" s="1"/>
  <c r="R1057" i="33" s="1"/>
  <c r="R1058" i="33" s="1"/>
  <c r="R1059" i="33" s="1"/>
  <c r="R1060" i="33" s="1"/>
  <c r="R1061" i="33" s="1"/>
  <c r="R1062" i="33" s="1"/>
  <c r="R1063" i="33" s="1"/>
  <c r="R1064" i="33" s="1"/>
  <c r="R1065" i="33" s="1"/>
  <c r="R1066" i="33" s="1"/>
  <c r="R1067" i="33" s="1"/>
  <c r="R1068" i="33" s="1"/>
  <c r="R1069" i="33" s="1"/>
  <c r="R1070" i="33" s="1"/>
  <c r="R1071" i="33" s="1"/>
  <c r="J1042" i="33"/>
  <c r="J1043" i="33" s="1"/>
  <c r="J1044" i="33" s="1"/>
  <c r="J1045" i="33" s="1"/>
  <c r="J1046" i="33" s="1"/>
  <c r="J1047" i="33" s="1"/>
  <c r="J1048" i="33" s="1"/>
  <c r="J1049" i="33" s="1"/>
  <c r="J1050" i="33" s="1"/>
  <c r="J1051" i="33" s="1"/>
  <c r="J1052" i="33" s="1"/>
  <c r="J1053" i="33" s="1"/>
  <c r="J1054" i="33" s="1"/>
  <c r="J1055" i="33" s="1"/>
  <c r="J1056" i="33" s="1"/>
  <c r="J1057" i="33" s="1"/>
  <c r="J1058" i="33" s="1"/>
  <c r="J1059" i="33" s="1"/>
  <c r="J1060" i="33" s="1"/>
  <c r="J1061" i="33" s="1"/>
  <c r="J1062" i="33" s="1"/>
  <c r="J1063" i="33" s="1"/>
  <c r="J1064" i="33" s="1"/>
  <c r="J1065" i="33" s="1"/>
  <c r="J1066" i="33" s="1"/>
  <c r="J1067" i="33" s="1"/>
  <c r="J1068" i="33" s="1"/>
  <c r="J1069" i="33" s="1"/>
  <c r="J1070" i="33" s="1"/>
  <c r="J1071" i="33" s="1"/>
  <c r="B1042" i="33"/>
  <c r="B1043" i="33" s="1"/>
  <c r="B1044" i="33" s="1"/>
  <c r="B1045" i="33" s="1"/>
  <c r="B1046" i="33" s="1"/>
  <c r="B1047" i="33" s="1"/>
  <c r="B1048" i="33" s="1"/>
  <c r="B1049" i="33" s="1"/>
  <c r="B1050" i="33" s="1"/>
  <c r="B1051" i="33" s="1"/>
  <c r="B1052" i="33" s="1"/>
  <c r="B1053" i="33" s="1"/>
  <c r="B1054" i="33" s="1"/>
  <c r="B1055" i="33" s="1"/>
  <c r="B1056" i="33" s="1"/>
  <c r="B1057" i="33" s="1"/>
  <c r="B1058" i="33" s="1"/>
  <c r="B1059" i="33" s="1"/>
  <c r="B1060" i="33" s="1"/>
  <c r="B1061" i="33" s="1"/>
  <c r="B1062" i="33" s="1"/>
  <c r="B1063" i="33" s="1"/>
  <c r="B1064" i="33" s="1"/>
  <c r="B1065" i="33" s="1"/>
  <c r="B1066" i="33" s="1"/>
  <c r="B1067" i="33" s="1"/>
  <c r="B1068" i="33" s="1"/>
  <c r="B1069" i="33" s="1"/>
  <c r="B1070" i="33" s="1"/>
  <c r="B1071" i="33" s="1"/>
  <c r="R977" i="33"/>
  <c r="R978" i="33" s="1"/>
  <c r="R979" i="33" s="1"/>
  <c r="R980" i="33" s="1"/>
  <c r="R981" i="33" s="1"/>
  <c r="R982" i="33" s="1"/>
  <c r="R983" i="33" s="1"/>
  <c r="R984" i="33" s="1"/>
  <c r="R985" i="33" s="1"/>
  <c r="R986" i="33" s="1"/>
  <c r="R987" i="33" s="1"/>
  <c r="R988" i="33" s="1"/>
  <c r="R989" i="33" s="1"/>
  <c r="R990" i="33" s="1"/>
  <c r="R991" i="33" s="1"/>
  <c r="R992" i="33" s="1"/>
  <c r="R993" i="33" s="1"/>
  <c r="R994" i="33" s="1"/>
  <c r="R995" i="33" s="1"/>
  <c r="R996" i="33" s="1"/>
  <c r="R997" i="33" s="1"/>
  <c r="R998" i="33" s="1"/>
  <c r="R999" i="33" s="1"/>
  <c r="R1000" i="33" s="1"/>
  <c r="R1001" i="33" s="1"/>
  <c r="R1002" i="33" s="1"/>
  <c r="R1003" i="33" s="1"/>
  <c r="R1004" i="33" s="1"/>
  <c r="J977" i="33"/>
  <c r="J978" i="33" s="1"/>
  <c r="J979" i="33" s="1"/>
  <c r="J980" i="33" s="1"/>
  <c r="J981" i="33" s="1"/>
  <c r="J982" i="33" s="1"/>
  <c r="J983" i="33" s="1"/>
  <c r="J984" i="33" s="1"/>
  <c r="J985" i="33" s="1"/>
  <c r="J986" i="33" s="1"/>
  <c r="J987" i="33" s="1"/>
  <c r="J988" i="33" s="1"/>
  <c r="J989" i="33" s="1"/>
  <c r="J990" i="33" s="1"/>
  <c r="J991" i="33" s="1"/>
  <c r="J992" i="33" s="1"/>
  <c r="J993" i="33" s="1"/>
  <c r="J994" i="33" s="1"/>
  <c r="J995" i="33" s="1"/>
  <c r="J996" i="33" s="1"/>
  <c r="J997" i="33" s="1"/>
  <c r="J998" i="33" s="1"/>
  <c r="J999" i="33" s="1"/>
  <c r="J1000" i="33" s="1"/>
  <c r="J1001" i="33" s="1"/>
  <c r="J1002" i="33" s="1"/>
  <c r="J1003" i="33" s="1"/>
  <c r="J1004" i="33" s="1"/>
  <c r="R976" i="33"/>
  <c r="R975" i="33"/>
  <c r="J975" i="33"/>
  <c r="J976" i="33" s="1"/>
  <c r="B975" i="33"/>
  <c r="B976" i="33" s="1"/>
  <c r="B977" i="33" s="1"/>
  <c r="B978" i="33" s="1"/>
  <c r="B979" i="33" s="1"/>
  <c r="B980" i="33" s="1"/>
  <c r="B981" i="33" s="1"/>
  <c r="B982" i="33" s="1"/>
  <c r="B983" i="33" s="1"/>
  <c r="B984" i="33" s="1"/>
  <c r="B985" i="33" s="1"/>
  <c r="B986" i="33" s="1"/>
  <c r="B987" i="33" s="1"/>
  <c r="B988" i="33" s="1"/>
  <c r="B989" i="33" s="1"/>
  <c r="B990" i="33" s="1"/>
  <c r="B991" i="33" s="1"/>
  <c r="B992" i="33" s="1"/>
  <c r="B993" i="33" s="1"/>
  <c r="B994" i="33" s="1"/>
  <c r="B995" i="33" s="1"/>
  <c r="B996" i="33" s="1"/>
  <c r="B997" i="33" s="1"/>
  <c r="B998" i="33" s="1"/>
  <c r="B999" i="33" s="1"/>
  <c r="B1000" i="33" s="1"/>
  <c r="B1001" i="33" s="1"/>
  <c r="B1002" i="33" s="1"/>
  <c r="B1003" i="33" s="1"/>
  <c r="B1004" i="33" s="1"/>
  <c r="J924" i="33"/>
  <c r="J925" i="33" s="1"/>
  <c r="J926" i="33" s="1"/>
  <c r="J927" i="33" s="1"/>
  <c r="J928" i="33" s="1"/>
  <c r="J929" i="33" s="1"/>
  <c r="J930" i="33" s="1"/>
  <c r="J931" i="33" s="1"/>
  <c r="J932" i="33" s="1"/>
  <c r="J933" i="33" s="1"/>
  <c r="J934" i="33" s="1"/>
  <c r="J935" i="33" s="1"/>
  <c r="J936" i="33" s="1"/>
  <c r="J937" i="33" s="1"/>
  <c r="R912" i="33"/>
  <c r="R913" i="33" s="1"/>
  <c r="R914" i="33" s="1"/>
  <c r="R915" i="33" s="1"/>
  <c r="R916" i="33" s="1"/>
  <c r="R917" i="33" s="1"/>
  <c r="R918" i="33" s="1"/>
  <c r="R919" i="33" s="1"/>
  <c r="R920" i="33" s="1"/>
  <c r="R921" i="33" s="1"/>
  <c r="R922" i="33" s="1"/>
  <c r="R923" i="33" s="1"/>
  <c r="R924" i="33" s="1"/>
  <c r="R925" i="33" s="1"/>
  <c r="R926" i="33" s="1"/>
  <c r="R927" i="33" s="1"/>
  <c r="R928" i="33" s="1"/>
  <c r="R929" i="33" s="1"/>
  <c r="R930" i="33" s="1"/>
  <c r="R931" i="33" s="1"/>
  <c r="R932" i="33" s="1"/>
  <c r="R933" i="33" s="1"/>
  <c r="R934" i="33" s="1"/>
  <c r="R935" i="33" s="1"/>
  <c r="R936" i="33" s="1"/>
  <c r="R937" i="33" s="1"/>
  <c r="B909" i="33"/>
  <c r="B910" i="33" s="1"/>
  <c r="B911" i="33" s="1"/>
  <c r="B912" i="33" s="1"/>
  <c r="B913" i="33" s="1"/>
  <c r="B914" i="33" s="1"/>
  <c r="B915" i="33" s="1"/>
  <c r="B916" i="33" s="1"/>
  <c r="B917" i="33" s="1"/>
  <c r="B918" i="33" s="1"/>
  <c r="B919" i="33" s="1"/>
  <c r="B920" i="33" s="1"/>
  <c r="B921" i="33" s="1"/>
  <c r="B922" i="33" s="1"/>
  <c r="B923" i="33" s="1"/>
  <c r="B924" i="33" s="1"/>
  <c r="B925" i="33" s="1"/>
  <c r="B926" i="33" s="1"/>
  <c r="B927" i="33" s="1"/>
  <c r="B928" i="33" s="1"/>
  <c r="B929" i="33" s="1"/>
  <c r="B930" i="33" s="1"/>
  <c r="B931" i="33" s="1"/>
  <c r="B932" i="33" s="1"/>
  <c r="B933" i="33" s="1"/>
  <c r="B934" i="33" s="1"/>
  <c r="B935" i="33" s="1"/>
  <c r="B936" i="33" s="1"/>
  <c r="B937" i="33" s="1"/>
  <c r="R908" i="33"/>
  <c r="R909" i="33" s="1"/>
  <c r="R910" i="33" s="1"/>
  <c r="R911" i="33" s="1"/>
  <c r="J908" i="33"/>
  <c r="J909" i="33" s="1"/>
  <c r="J910" i="33" s="1"/>
  <c r="J911" i="33" s="1"/>
  <c r="J912" i="33" s="1"/>
  <c r="J913" i="33" s="1"/>
  <c r="J914" i="33" s="1"/>
  <c r="J915" i="33" s="1"/>
  <c r="J916" i="33" s="1"/>
  <c r="J917" i="33" s="1"/>
  <c r="J918" i="33" s="1"/>
  <c r="J919" i="33" s="1"/>
  <c r="J920" i="33" s="1"/>
  <c r="J921" i="33" s="1"/>
  <c r="J922" i="33" s="1"/>
  <c r="J923" i="33" s="1"/>
  <c r="B908" i="33"/>
  <c r="B848" i="33"/>
  <c r="B849" i="33" s="1"/>
  <c r="B850" i="33" s="1"/>
  <c r="B851" i="33" s="1"/>
  <c r="B852" i="33" s="1"/>
  <c r="B853" i="33" s="1"/>
  <c r="B854" i="33" s="1"/>
  <c r="B855" i="33" s="1"/>
  <c r="B856" i="33" s="1"/>
  <c r="B857" i="33" s="1"/>
  <c r="B858" i="33" s="1"/>
  <c r="B859" i="33" s="1"/>
  <c r="B860" i="33" s="1"/>
  <c r="B861" i="33" s="1"/>
  <c r="B862" i="33" s="1"/>
  <c r="B863" i="33" s="1"/>
  <c r="B864" i="33" s="1"/>
  <c r="B865" i="33" s="1"/>
  <c r="B866" i="33" s="1"/>
  <c r="B867" i="33" s="1"/>
  <c r="B868" i="33" s="1"/>
  <c r="B869" i="33" s="1"/>
  <c r="B870" i="33" s="1"/>
  <c r="R847" i="33"/>
  <c r="R848" i="33" s="1"/>
  <c r="R849" i="33" s="1"/>
  <c r="R850" i="33" s="1"/>
  <c r="R851" i="33" s="1"/>
  <c r="R852" i="33" s="1"/>
  <c r="R853" i="33" s="1"/>
  <c r="R854" i="33" s="1"/>
  <c r="R855" i="33" s="1"/>
  <c r="R856" i="33" s="1"/>
  <c r="R857" i="33" s="1"/>
  <c r="R858" i="33" s="1"/>
  <c r="R859" i="33" s="1"/>
  <c r="R860" i="33" s="1"/>
  <c r="R861" i="33" s="1"/>
  <c r="R862" i="33" s="1"/>
  <c r="R863" i="33" s="1"/>
  <c r="R864" i="33" s="1"/>
  <c r="R865" i="33" s="1"/>
  <c r="R866" i="33" s="1"/>
  <c r="R867" i="33" s="1"/>
  <c r="R868" i="33" s="1"/>
  <c r="R869" i="33" s="1"/>
  <c r="R870" i="33" s="1"/>
  <c r="R843" i="33"/>
  <c r="R844" i="33" s="1"/>
  <c r="R845" i="33" s="1"/>
  <c r="R846" i="33" s="1"/>
  <c r="R842" i="33"/>
  <c r="R841" i="33"/>
  <c r="J841" i="33"/>
  <c r="J842" i="33" s="1"/>
  <c r="J843" i="33" s="1"/>
  <c r="J844" i="33" s="1"/>
  <c r="J845" i="33" s="1"/>
  <c r="J846" i="33" s="1"/>
  <c r="J847" i="33" s="1"/>
  <c r="J848" i="33" s="1"/>
  <c r="J849" i="33" s="1"/>
  <c r="J850" i="33" s="1"/>
  <c r="J851" i="33" s="1"/>
  <c r="J852" i="33" s="1"/>
  <c r="J853" i="33" s="1"/>
  <c r="J854" i="33" s="1"/>
  <c r="J855" i="33" s="1"/>
  <c r="J856" i="33" s="1"/>
  <c r="J857" i="33" s="1"/>
  <c r="J858" i="33" s="1"/>
  <c r="J859" i="33" s="1"/>
  <c r="J860" i="33" s="1"/>
  <c r="J861" i="33" s="1"/>
  <c r="J862" i="33" s="1"/>
  <c r="J863" i="33" s="1"/>
  <c r="J864" i="33" s="1"/>
  <c r="J865" i="33" s="1"/>
  <c r="J866" i="33" s="1"/>
  <c r="J867" i="33" s="1"/>
  <c r="J868" i="33" s="1"/>
  <c r="J869" i="33" s="1"/>
  <c r="J870" i="33" s="1"/>
  <c r="B841" i="33"/>
  <c r="B842" i="33" s="1"/>
  <c r="B843" i="33" s="1"/>
  <c r="B844" i="33" s="1"/>
  <c r="B845" i="33" s="1"/>
  <c r="B846" i="33" s="1"/>
  <c r="B847" i="33" s="1"/>
  <c r="J779" i="33"/>
  <c r="J780" i="33" s="1"/>
  <c r="J781" i="33" s="1"/>
  <c r="J782" i="33" s="1"/>
  <c r="J783" i="33" s="1"/>
  <c r="J784" i="33" s="1"/>
  <c r="J785" i="33" s="1"/>
  <c r="J786" i="33" s="1"/>
  <c r="J787" i="33" s="1"/>
  <c r="J788" i="33" s="1"/>
  <c r="J789" i="33" s="1"/>
  <c r="J790" i="33" s="1"/>
  <c r="J791" i="33" s="1"/>
  <c r="J792" i="33" s="1"/>
  <c r="J793" i="33" s="1"/>
  <c r="J794" i="33" s="1"/>
  <c r="J795" i="33" s="1"/>
  <c r="J796" i="33" s="1"/>
  <c r="J797" i="33" s="1"/>
  <c r="J798" i="33" s="1"/>
  <c r="J799" i="33" s="1"/>
  <c r="J800" i="33" s="1"/>
  <c r="J801" i="33" s="1"/>
  <c r="J802" i="33" s="1"/>
  <c r="J803" i="33" s="1"/>
  <c r="R774" i="33"/>
  <c r="R775" i="33" s="1"/>
  <c r="R776" i="33" s="1"/>
  <c r="R777" i="33" s="1"/>
  <c r="R778" i="33" s="1"/>
  <c r="R779" i="33" s="1"/>
  <c r="R780" i="33" s="1"/>
  <c r="R781" i="33" s="1"/>
  <c r="R782" i="33" s="1"/>
  <c r="R783" i="33" s="1"/>
  <c r="R784" i="33" s="1"/>
  <c r="R785" i="33" s="1"/>
  <c r="R786" i="33" s="1"/>
  <c r="R787" i="33" s="1"/>
  <c r="R788" i="33" s="1"/>
  <c r="R789" i="33" s="1"/>
  <c r="R790" i="33" s="1"/>
  <c r="R791" i="33" s="1"/>
  <c r="R792" i="33" s="1"/>
  <c r="R793" i="33" s="1"/>
  <c r="R794" i="33" s="1"/>
  <c r="R795" i="33" s="1"/>
  <c r="R796" i="33" s="1"/>
  <c r="R797" i="33" s="1"/>
  <c r="R798" i="33" s="1"/>
  <c r="R799" i="33" s="1"/>
  <c r="R800" i="33" s="1"/>
  <c r="R801" i="33" s="1"/>
  <c r="R802" i="33" s="1"/>
  <c r="R803" i="33" s="1"/>
  <c r="J774" i="33"/>
  <c r="J775" i="33" s="1"/>
  <c r="J776" i="33" s="1"/>
  <c r="J777" i="33" s="1"/>
  <c r="J778" i="33" s="1"/>
  <c r="B774" i="33"/>
  <c r="B775" i="33" s="1"/>
  <c r="B776" i="33" s="1"/>
  <c r="B777" i="33" s="1"/>
  <c r="B778" i="33" s="1"/>
  <c r="B779" i="33" s="1"/>
  <c r="B780" i="33" s="1"/>
  <c r="B781" i="33" s="1"/>
  <c r="B782" i="33" s="1"/>
  <c r="B783" i="33" s="1"/>
  <c r="B784" i="33" s="1"/>
  <c r="B785" i="33" s="1"/>
  <c r="B786" i="33" s="1"/>
  <c r="B787" i="33" s="1"/>
  <c r="B788" i="33" s="1"/>
  <c r="B789" i="33" s="1"/>
  <c r="B790" i="33" s="1"/>
  <c r="B791" i="33" s="1"/>
  <c r="B792" i="33" s="1"/>
  <c r="B793" i="33" s="1"/>
  <c r="B794" i="33" s="1"/>
  <c r="B795" i="33" s="1"/>
  <c r="B796" i="33" s="1"/>
  <c r="B797" i="33" s="1"/>
  <c r="B798" i="33" s="1"/>
  <c r="B799" i="33" s="1"/>
  <c r="B800" i="33" s="1"/>
  <c r="B801" i="33" s="1"/>
  <c r="B802" i="33" s="1"/>
  <c r="B803" i="33" s="1"/>
  <c r="R721" i="33"/>
  <c r="R722" i="33" s="1"/>
  <c r="R723" i="33" s="1"/>
  <c r="R724" i="33" s="1"/>
  <c r="R725" i="33" s="1"/>
  <c r="R726" i="33" s="1"/>
  <c r="R727" i="33" s="1"/>
  <c r="R728" i="33" s="1"/>
  <c r="R729" i="33" s="1"/>
  <c r="R730" i="33" s="1"/>
  <c r="R731" i="33" s="1"/>
  <c r="R732" i="33" s="1"/>
  <c r="R733" i="33" s="1"/>
  <c r="R734" i="33" s="1"/>
  <c r="R735" i="33" s="1"/>
  <c r="R736" i="33" s="1"/>
  <c r="R712" i="33"/>
  <c r="R713" i="33" s="1"/>
  <c r="R714" i="33" s="1"/>
  <c r="R715" i="33" s="1"/>
  <c r="R716" i="33" s="1"/>
  <c r="R717" i="33" s="1"/>
  <c r="R718" i="33" s="1"/>
  <c r="R719" i="33" s="1"/>
  <c r="R720" i="33" s="1"/>
  <c r="R709" i="33"/>
  <c r="R710" i="33" s="1"/>
  <c r="R711" i="33" s="1"/>
  <c r="R708" i="33"/>
  <c r="R707" i="33"/>
  <c r="J707" i="33"/>
  <c r="J708" i="33" s="1"/>
  <c r="J709" i="33" s="1"/>
  <c r="J710" i="33" s="1"/>
  <c r="J711" i="33" s="1"/>
  <c r="J712" i="33" s="1"/>
  <c r="J713" i="33" s="1"/>
  <c r="J714" i="33" s="1"/>
  <c r="J715" i="33" s="1"/>
  <c r="J716" i="33" s="1"/>
  <c r="J717" i="33" s="1"/>
  <c r="J718" i="33" s="1"/>
  <c r="J719" i="33" s="1"/>
  <c r="J720" i="33" s="1"/>
  <c r="J721" i="33" s="1"/>
  <c r="J722" i="33" s="1"/>
  <c r="J723" i="33" s="1"/>
  <c r="J724" i="33" s="1"/>
  <c r="J725" i="33" s="1"/>
  <c r="J726" i="33" s="1"/>
  <c r="J727" i="33" s="1"/>
  <c r="J728" i="33" s="1"/>
  <c r="J729" i="33" s="1"/>
  <c r="J730" i="33" s="1"/>
  <c r="J731" i="33" s="1"/>
  <c r="J732" i="33" s="1"/>
  <c r="J733" i="33" s="1"/>
  <c r="J734" i="33" s="1"/>
  <c r="J735" i="33" s="1"/>
  <c r="J736" i="33" s="1"/>
  <c r="B707" i="33"/>
  <c r="B708" i="33" s="1"/>
  <c r="B709" i="33" s="1"/>
  <c r="B710" i="33" s="1"/>
  <c r="B711" i="33" s="1"/>
  <c r="B712" i="33" s="1"/>
  <c r="B713" i="33" s="1"/>
  <c r="B714" i="33" s="1"/>
  <c r="B715" i="33" s="1"/>
  <c r="B716" i="33" s="1"/>
  <c r="B717" i="33" s="1"/>
  <c r="B718" i="33" s="1"/>
  <c r="B719" i="33" s="1"/>
  <c r="B720" i="33" s="1"/>
  <c r="B721" i="33" s="1"/>
  <c r="B722" i="33" s="1"/>
  <c r="B723" i="33" s="1"/>
  <c r="B724" i="33" s="1"/>
  <c r="B725" i="33" s="1"/>
  <c r="B726" i="33" s="1"/>
  <c r="B727" i="33" s="1"/>
  <c r="B728" i="33" s="1"/>
  <c r="B729" i="33" s="1"/>
  <c r="B730" i="33" s="1"/>
  <c r="B731" i="33" s="1"/>
  <c r="B732" i="33" s="1"/>
  <c r="B733" i="33" s="1"/>
  <c r="B734" i="33" s="1"/>
  <c r="B735" i="33" s="1"/>
  <c r="B736" i="33" s="1"/>
  <c r="B656" i="33"/>
  <c r="B657" i="33" s="1"/>
  <c r="B658" i="33" s="1"/>
  <c r="B659" i="33" s="1"/>
  <c r="B660" i="33" s="1"/>
  <c r="B661" i="33" s="1"/>
  <c r="B662" i="33" s="1"/>
  <c r="B663" i="33" s="1"/>
  <c r="B664" i="33" s="1"/>
  <c r="B665" i="33" s="1"/>
  <c r="B666" i="33" s="1"/>
  <c r="B667" i="33" s="1"/>
  <c r="B668" i="33" s="1"/>
  <c r="B669" i="33" s="1"/>
  <c r="R640" i="33"/>
  <c r="R641" i="33" s="1"/>
  <c r="R642" i="33" s="1"/>
  <c r="R643" i="33" s="1"/>
  <c r="R644" i="33" s="1"/>
  <c r="R645" i="33" s="1"/>
  <c r="R646" i="33" s="1"/>
  <c r="R647" i="33" s="1"/>
  <c r="R648" i="33" s="1"/>
  <c r="R649" i="33" s="1"/>
  <c r="R650" i="33" s="1"/>
  <c r="R651" i="33" s="1"/>
  <c r="R652" i="33" s="1"/>
  <c r="R653" i="33" s="1"/>
  <c r="R654" i="33" s="1"/>
  <c r="R655" i="33" s="1"/>
  <c r="R656" i="33" s="1"/>
  <c r="R657" i="33" s="1"/>
  <c r="R658" i="33" s="1"/>
  <c r="R659" i="33" s="1"/>
  <c r="R660" i="33" s="1"/>
  <c r="R661" i="33" s="1"/>
  <c r="R662" i="33" s="1"/>
  <c r="R663" i="33" s="1"/>
  <c r="R664" i="33" s="1"/>
  <c r="R665" i="33" s="1"/>
  <c r="R666" i="33" s="1"/>
  <c r="R667" i="33" s="1"/>
  <c r="R668" i="33" s="1"/>
  <c r="R669" i="33" s="1"/>
  <c r="J640" i="33"/>
  <c r="J641" i="33" s="1"/>
  <c r="J642" i="33" s="1"/>
  <c r="J643" i="33" s="1"/>
  <c r="J644" i="33" s="1"/>
  <c r="J645" i="33" s="1"/>
  <c r="J646" i="33" s="1"/>
  <c r="J647" i="33" s="1"/>
  <c r="J648" i="33" s="1"/>
  <c r="J649" i="33" s="1"/>
  <c r="J650" i="33" s="1"/>
  <c r="J651" i="33" s="1"/>
  <c r="J652" i="33" s="1"/>
  <c r="J653" i="33" s="1"/>
  <c r="J654" i="33" s="1"/>
  <c r="J655" i="33" s="1"/>
  <c r="J656" i="33" s="1"/>
  <c r="J657" i="33" s="1"/>
  <c r="J658" i="33" s="1"/>
  <c r="J659" i="33" s="1"/>
  <c r="J660" i="33" s="1"/>
  <c r="J661" i="33" s="1"/>
  <c r="J662" i="33" s="1"/>
  <c r="J663" i="33" s="1"/>
  <c r="J664" i="33" s="1"/>
  <c r="J665" i="33" s="1"/>
  <c r="J666" i="33" s="1"/>
  <c r="J667" i="33" s="1"/>
  <c r="J668" i="33" s="1"/>
  <c r="J669" i="33" s="1"/>
  <c r="B640" i="33"/>
  <c r="B641" i="33" s="1"/>
  <c r="B642" i="33" s="1"/>
  <c r="B643" i="33" s="1"/>
  <c r="B644" i="33" s="1"/>
  <c r="B645" i="33" s="1"/>
  <c r="B646" i="33" s="1"/>
  <c r="B647" i="33" s="1"/>
  <c r="B648" i="33" s="1"/>
  <c r="B649" i="33" s="1"/>
  <c r="B650" i="33" s="1"/>
  <c r="B651" i="33" s="1"/>
  <c r="B652" i="33" s="1"/>
  <c r="B653" i="33" s="1"/>
  <c r="B654" i="33" s="1"/>
  <c r="B655" i="33" s="1"/>
  <c r="J575" i="33"/>
  <c r="J576" i="33" s="1"/>
  <c r="J577" i="33" s="1"/>
  <c r="J578" i="33" s="1"/>
  <c r="J579" i="33" s="1"/>
  <c r="J580" i="33" s="1"/>
  <c r="J581" i="33" s="1"/>
  <c r="J582" i="33" s="1"/>
  <c r="J583" i="33" s="1"/>
  <c r="J584" i="33" s="1"/>
  <c r="J585" i="33" s="1"/>
  <c r="J586" i="33" s="1"/>
  <c r="J587" i="33" s="1"/>
  <c r="J588" i="33" s="1"/>
  <c r="J589" i="33" s="1"/>
  <c r="J590" i="33" s="1"/>
  <c r="J591" i="33" s="1"/>
  <c r="J592" i="33" s="1"/>
  <c r="J593" i="33" s="1"/>
  <c r="J594" i="33" s="1"/>
  <c r="J595" i="33" s="1"/>
  <c r="J596" i="33" s="1"/>
  <c r="J597" i="33" s="1"/>
  <c r="J598" i="33" s="1"/>
  <c r="J599" i="33" s="1"/>
  <c r="J600" i="33" s="1"/>
  <c r="J601" i="33" s="1"/>
  <c r="J602" i="33" s="1"/>
  <c r="R574" i="33"/>
  <c r="R575" i="33" s="1"/>
  <c r="R576" i="33" s="1"/>
  <c r="R577" i="33" s="1"/>
  <c r="R578" i="33" s="1"/>
  <c r="R579" i="33" s="1"/>
  <c r="R580" i="33" s="1"/>
  <c r="R581" i="33" s="1"/>
  <c r="R582" i="33" s="1"/>
  <c r="R583" i="33" s="1"/>
  <c r="R584" i="33" s="1"/>
  <c r="R585" i="33" s="1"/>
  <c r="R586" i="33" s="1"/>
  <c r="R587" i="33" s="1"/>
  <c r="R588" i="33" s="1"/>
  <c r="R589" i="33" s="1"/>
  <c r="R590" i="33" s="1"/>
  <c r="R591" i="33" s="1"/>
  <c r="R592" i="33" s="1"/>
  <c r="R593" i="33" s="1"/>
  <c r="R594" i="33" s="1"/>
  <c r="R595" i="33" s="1"/>
  <c r="R596" i="33" s="1"/>
  <c r="R597" i="33" s="1"/>
  <c r="R598" i="33" s="1"/>
  <c r="R599" i="33" s="1"/>
  <c r="R600" i="33" s="1"/>
  <c r="R601" i="33" s="1"/>
  <c r="R602" i="33" s="1"/>
  <c r="R573" i="33"/>
  <c r="J573" i="33"/>
  <c r="J574" i="33" s="1"/>
  <c r="B573" i="33"/>
  <c r="B574" i="33" s="1"/>
  <c r="B575" i="33" s="1"/>
  <c r="B576" i="33" s="1"/>
  <c r="B577" i="33" s="1"/>
  <c r="B578" i="33" s="1"/>
  <c r="B579" i="33" s="1"/>
  <c r="B580" i="33" s="1"/>
  <c r="B581" i="33" s="1"/>
  <c r="B582" i="33" s="1"/>
  <c r="B583" i="33" s="1"/>
  <c r="B584" i="33" s="1"/>
  <c r="B585" i="33" s="1"/>
  <c r="B586" i="33" s="1"/>
  <c r="B587" i="33" s="1"/>
  <c r="B588" i="33" s="1"/>
  <c r="B589" i="33" s="1"/>
  <c r="B590" i="33" s="1"/>
  <c r="B591" i="33" s="1"/>
  <c r="B592" i="33" s="1"/>
  <c r="B593" i="33" s="1"/>
  <c r="B594" i="33" s="1"/>
  <c r="B595" i="33" s="1"/>
  <c r="B596" i="33" s="1"/>
  <c r="B597" i="33" s="1"/>
  <c r="B598" i="33" s="1"/>
  <c r="B599" i="33" s="1"/>
  <c r="B600" i="33" s="1"/>
  <c r="B601" i="33" s="1"/>
  <c r="B602" i="33" s="1"/>
  <c r="R509" i="33"/>
  <c r="R510" i="33" s="1"/>
  <c r="R511" i="33" s="1"/>
  <c r="R512" i="33" s="1"/>
  <c r="R513" i="33" s="1"/>
  <c r="R514" i="33" s="1"/>
  <c r="R515" i="33" s="1"/>
  <c r="R516" i="33" s="1"/>
  <c r="R517" i="33" s="1"/>
  <c r="R518" i="33" s="1"/>
  <c r="R519" i="33" s="1"/>
  <c r="R520" i="33" s="1"/>
  <c r="R521" i="33" s="1"/>
  <c r="R522" i="33" s="1"/>
  <c r="R523" i="33" s="1"/>
  <c r="R524" i="33" s="1"/>
  <c r="R525" i="33" s="1"/>
  <c r="R526" i="33" s="1"/>
  <c r="R527" i="33" s="1"/>
  <c r="R528" i="33" s="1"/>
  <c r="R529" i="33" s="1"/>
  <c r="R530" i="33" s="1"/>
  <c r="R531" i="33" s="1"/>
  <c r="R532" i="33" s="1"/>
  <c r="R533" i="33" s="1"/>
  <c r="R534" i="33" s="1"/>
  <c r="R535" i="33" s="1"/>
  <c r="B507" i="33"/>
  <c r="B508" i="33" s="1"/>
  <c r="B509" i="33" s="1"/>
  <c r="B510" i="33" s="1"/>
  <c r="B511" i="33" s="1"/>
  <c r="B512" i="33" s="1"/>
  <c r="B513" i="33" s="1"/>
  <c r="B514" i="33" s="1"/>
  <c r="B515" i="33" s="1"/>
  <c r="B516" i="33" s="1"/>
  <c r="B517" i="33" s="1"/>
  <c r="B518" i="33" s="1"/>
  <c r="B519" i="33" s="1"/>
  <c r="B520" i="33" s="1"/>
  <c r="B521" i="33" s="1"/>
  <c r="B522" i="33" s="1"/>
  <c r="B523" i="33" s="1"/>
  <c r="B524" i="33" s="1"/>
  <c r="B525" i="33" s="1"/>
  <c r="B526" i="33" s="1"/>
  <c r="B527" i="33" s="1"/>
  <c r="B528" i="33" s="1"/>
  <c r="B529" i="33" s="1"/>
  <c r="B530" i="33" s="1"/>
  <c r="B531" i="33" s="1"/>
  <c r="B532" i="33" s="1"/>
  <c r="B533" i="33" s="1"/>
  <c r="B534" i="33" s="1"/>
  <c r="B535" i="33" s="1"/>
  <c r="R506" i="33"/>
  <c r="R507" i="33" s="1"/>
  <c r="R508" i="33" s="1"/>
  <c r="J506" i="33"/>
  <c r="J507" i="33" s="1"/>
  <c r="J508" i="33" s="1"/>
  <c r="J509" i="33" s="1"/>
  <c r="J510" i="33" s="1"/>
  <c r="J511" i="33" s="1"/>
  <c r="J512" i="33" s="1"/>
  <c r="J513" i="33" s="1"/>
  <c r="J514" i="33" s="1"/>
  <c r="J515" i="33" s="1"/>
  <c r="J516" i="33" s="1"/>
  <c r="J517" i="33" s="1"/>
  <c r="J518" i="33" s="1"/>
  <c r="J519" i="33" s="1"/>
  <c r="J520" i="33" s="1"/>
  <c r="J521" i="33" s="1"/>
  <c r="J522" i="33" s="1"/>
  <c r="J523" i="33" s="1"/>
  <c r="J524" i="33" s="1"/>
  <c r="J525" i="33" s="1"/>
  <c r="J526" i="33" s="1"/>
  <c r="J527" i="33" s="1"/>
  <c r="J528" i="33" s="1"/>
  <c r="J529" i="33" s="1"/>
  <c r="J530" i="33" s="1"/>
  <c r="J531" i="33" s="1"/>
  <c r="J532" i="33" s="1"/>
  <c r="J533" i="33" s="1"/>
  <c r="J534" i="33" s="1"/>
  <c r="J535" i="33" s="1"/>
  <c r="B506" i="33"/>
  <c r="B442" i="33"/>
  <c r="B443" i="33" s="1"/>
  <c r="B444" i="33" s="1"/>
  <c r="B445" i="33" s="1"/>
  <c r="B446" i="33" s="1"/>
  <c r="B447" i="33" s="1"/>
  <c r="B448" i="33" s="1"/>
  <c r="B449" i="33" s="1"/>
  <c r="B450" i="33" s="1"/>
  <c r="B451" i="33" s="1"/>
  <c r="B452" i="33" s="1"/>
  <c r="B453" i="33" s="1"/>
  <c r="B454" i="33" s="1"/>
  <c r="B455" i="33" s="1"/>
  <c r="B456" i="33" s="1"/>
  <c r="B457" i="33" s="1"/>
  <c r="B458" i="33" s="1"/>
  <c r="B459" i="33" s="1"/>
  <c r="B460" i="33" s="1"/>
  <c r="B461" i="33" s="1"/>
  <c r="B462" i="33" s="1"/>
  <c r="B463" i="33" s="1"/>
  <c r="B464" i="33" s="1"/>
  <c r="B465" i="33" s="1"/>
  <c r="B466" i="33" s="1"/>
  <c r="B467" i="33" s="1"/>
  <c r="B468" i="33" s="1"/>
  <c r="R441" i="33"/>
  <c r="R442" i="33" s="1"/>
  <c r="R443" i="33" s="1"/>
  <c r="R444" i="33" s="1"/>
  <c r="R445" i="33" s="1"/>
  <c r="R446" i="33" s="1"/>
  <c r="R447" i="33" s="1"/>
  <c r="R448" i="33" s="1"/>
  <c r="R449" i="33" s="1"/>
  <c r="R450" i="33" s="1"/>
  <c r="R451" i="33" s="1"/>
  <c r="R452" i="33" s="1"/>
  <c r="R453" i="33" s="1"/>
  <c r="R454" i="33" s="1"/>
  <c r="R455" i="33" s="1"/>
  <c r="R456" i="33" s="1"/>
  <c r="R457" i="33" s="1"/>
  <c r="R458" i="33" s="1"/>
  <c r="R459" i="33" s="1"/>
  <c r="R460" i="33" s="1"/>
  <c r="R461" i="33" s="1"/>
  <c r="R462" i="33" s="1"/>
  <c r="R463" i="33" s="1"/>
  <c r="R464" i="33" s="1"/>
  <c r="R465" i="33" s="1"/>
  <c r="R466" i="33" s="1"/>
  <c r="R467" i="33" s="1"/>
  <c r="R468" i="33" s="1"/>
  <c r="R440" i="33"/>
  <c r="R439" i="33"/>
  <c r="J439" i="33"/>
  <c r="J440" i="33" s="1"/>
  <c r="J441" i="33" s="1"/>
  <c r="J442" i="33" s="1"/>
  <c r="J443" i="33" s="1"/>
  <c r="J444" i="33" s="1"/>
  <c r="J445" i="33" s="1"/>
  <c r="J446" i="33" s="1"/>
  <c r="J447" i="33" s="1"/>
  <c r="J448" i="33" s="1"/>
  <c r="J449" i="33" s="1"/>
  <c r="J450" i="33" s="1"/>
  <c r="J451" i="33" s="1"/>
  <c r="J452" i="33" s="1"/>
  <c r="J453" i="33" s="1"/>
  <c r="J454" i="33" s="1"/>
  <c r="J455" i="33" s="1"/>
  <c r="J456" i="33" s="1"/>
  <c r="J457" i="33" s="1"/>
  <c r="J458" i="33" s="1"/>
  <c r="J459" i="33" s="1"/>
  <c r="J460" i="33" s="1"/>
  <c r="J461" i="33" s="1"/>
  <c r="J462" i="33" s="1"/>
  <c r="J463" i="33" s="1"/>
  <c r="J464" i="33" s="1"/>
  <c r="J465" i="33" s="1"/>
  <c r="J466" i="33" s="1"/>
  <c r="J467" i="33" s="1"/>
  <c r="J468" i="33" s="1"/>
  <c r="B439" i="33"/>
  <c r="B440" i="33" s="1"/>
  <c r="B441" i="33" s="1"/>
  <c r="J374" i="33"/>
  <c r="J375" i="33" s="1"/>
  <c r="J376" i="33" s="1"/>
  <c r="J377" i="33" s="1"/>
  <c r="J378" i="33" s="1"/>
  <c r="J379" i="33" s="1"/>
  <c r="J380" i="33" s="1"/>
  <c r="J381" i="33" s="1"/>
  <c r="J382" i="33" s="1"/>
  <c r="J383" i="33" s="1"/>
  <c r="J384" i="33" s="1"/>
  <c r="J385" i="33" s="1"/>
  <c r="J386" i="33" s="1"/>
  <c r="J387" i="33" s="1"/>
  <c r="J388" i="33" s="1"/>
  <c r="J389" i="33" s="1"/>
  <c r="J390" i="33" s="1"/>
  <c r="J391" i="33" s="1"/>
  <c r="J392" i="33" s="1"/>
  <c r="J393" i="33" s="1"/>
  <c r="J394" i="33" s="1"/>
  <c r="J395" i="33" s="1"/>
  <c r="J396" i="33" s="1"/>
  <c r="J397" i="33" s="1"/>
  <c r="J398" i="33" s="1"/>
  <c r="J399" i="33" s="1"/>
  <c r="J400" i="33" s="1"/>
  <c r="J401" i="33" s="1"/>
  <c r="B373" i="33"/>
  <c r="B374" i="33" s="1"/>
  <c r="B375" i="33" s="1"/>
  <c r="B376" i="33" s="1"/>
  <c r="B377" i="33" s="1"/>
  <c r="B378" i="33" s="1"/>
  <c r="B379" i="33" s="1"/>
  <c r="B380" i="33" s="1"/>
  <c r="B381" i="33" s="1"/>
  <c r="B382" i="33" s="1"/>
  <c r="B383" i="33" s="1"/>
  <c r="B384" i="33" s="1"/>
  <c r="B385" i="33" s="1"/>
  <c r="B386" i="33" s="1"/>
  <c r="B387" i="33" s="1"/>
  <c r="B388" i="33" s="1"/>
  <c r="B389" i="33" s="1"/>
  <c r="B390" i="33" s="1"/>
  <c r="B391" i="33" s="1"/>
  <c r="B392" i="33" s="1"/>
  <c r="B393" i="33" s="1"/>
  <c r="B394" i="33" s="1"/>
  <c r="B395" i="33" s="1"/>
  <c r="B396" i="33" s="1"/>
  <c r="B397" i="33" s="1"/>
  <c r="B398" i="33" s="1"/>
  <c r="B399" i="33" s="1"/>
  <c r="B400" i="33" s="1"/>
  <c r="B401" i="33" s="1"/>
  <c r="R372" i="33"/>
  <c r="R373" i="33" s="1"/>
  <c r="R374" i="33" s="1"/>
  <c r="R375" i="33" s="1"/>
  <c r="R376" i="33" s="1"/>
  <c r="R377" i="33" s="1"/>
  <c r="R378" i="33" s="1"/>
  <c r="R379" i="33" s="1"/>
  <c r="R380" i="33" s="1"/>
  <c r="R381" i="33" s="1"/>
  <c r="R382" i="33" s="1"/>
  <c r="R383" i="33" s="1"/>
  <c r="R384" i="33" s="1"/>
  <c r="R385" i="33" s="1"/>
  <c r="R386" i="33" s="1"/>
  <c r="R387" i="33" s="1"/>
  <c r="R388" i="33" s="1"/>
  <c r="R389" i="33" s="1"/>
  <c r="R390" i="33" s="1"/>
  <c r="R391" i="33" s="1"/>
  <c r="R392" i="33" s="1"/>
  <c r="R393" i="33" s="1"/>
  <c r="R394" i="33" s="1"/>
  <c r="R395" i="33" s="1"/>
  <c r="R396" i="33" s="1"/>
  <c r="R397" i="33" s="1"/>
  <c r="R398" i="33" s="1"/>
  <c r="R399" i="33" s="1"/>
  <c r="R400" i="33" s="1"/>
  <c r="R401" i="33" s="1"/>
  <c r="J372" i="33"/>
  <c r="J373" i="33" s="1"/>
  <c r="B372" i="33"/>
  <c r="B308" i="33"/>
  <c r="B309" i="33" s="1"/>
  <c r="B310" i="33" s="1"/>
  <c r="B311" i="33" s="1"/>
  <c r="B312" i="33" s="1"/>
  <c r="B313" i="33" s="1"/>
  <c r="B314" i="33" s="1"/>
  <c r="B315" i="33" s="1"/>
  <c r="B316" i="33" s="1"/>
  <c r="B317" i="33" s="1"/>
  <c r="B318" i="33" s="1"/>
  <c r="B319" i="33" s="1"/>
  <c r="B320" i="33" s="1"/>
  <c r="B321" i="33" s="1"/>
  <c r="B322" i="33" s="1"/>
  <c r="B323" i="33" s="1"/>
  <c r="B324" i="33" s="1"/>
  <c r="B325" i="33" s="1"/>
  <c r="B326" i="33" s="1"/>
  <c r="B327" i="33" s="1"/>
  <c r="B328" i="33" s="1"/>
  <c r="B329" i="33" s="1"/>
  <c r="B330" i="33" s="1"/>
  <c r="B331" i="33" s="1"/>
  <c r="B332" i="33" s="1"/>
  <c r="B333" i="33" s="1"/>
  <c r="B334" i="33" s="1"/>
  <c r="B307" i="33"/>
  <c r="R306" i="33"/>
  <c r="R307" i="33" s="1"/>
  <c r="R308" i="33" s="1"/>
  <c r="R309" i="33" s="1"/>
  <c r="R310" i="33" s="1"/>
  <c r="R311" i="33" s="1"/>
  <c r="R312" i="33" s="1"/>
  <c r="R313" i="33" s="1"/>
  <c r="R314" i="33" s="1"/>
  <c r="R315" i="33" s="1"/>
  <c r="R316" i="33" s="1"/>
  <c r="R317" i="33" s="1"/>
  <c r="R318" i="33" s="1"/>
  <c r="R319" i="33" s="1"/>
  <c r="R320" i="33" s="1"/>
  <c r="R321" i="33" s="1"/>
  <c r="R322" i="33" s="1"/>
  <c r="R323" i="33" s="1"/>
  <c r="R324" i="33" s="1"/>
  <c r="R325" i="33" s="1"/>
  <c r="R326" i="33" s="1"/>
  <c r="R327" i="33" s="1"/>
  <c r="R328" i="33" s="1"/>
  <c r="R329" i="33" s="1"/>
  <c r="R330" i="33" s="1"/>
  <c r="R331" i="33" s="1"/>
  <c r="R332" i="33" s="1"/>
  <c r="R333" i="33" s="1"/>
  <c r="R334" i="33" s="1"/>
  <c r="R305" i="33"/>
  <c r="J305" i="33"/>
  <c r="J306" i="33" s="1"/>
  <c r="J307" i="33" s="1"/>
  <c r="J308" i="33" s="1"/>
  <c r="J309" i="33" s="1"/>
  <c r="J310" i="33" s="1"/>
  <c r="J311" i="33" s="1"/>
  <c r="J312" i="33" s="1"/>
  <c r="J313" i="33" s="1"/>
  <c r="J314" i="33" s="1"/>
  <c r="J315" i="33" s="1"/>
  <c r="J316" i="33" s="1"/>
  <c r="J317" i="33" s="1"/>
  <c r="J318" i="33" s="1"/>
  <c r="J319" i="33" s="1"/>
  <c r="J320" i="33" s="1"/>
  <c r="J321" i="33" s="1"/>
  <c r="J322" i="33" s="1"/>
  <c r="J323" i="33" s="1"/>
  <c r="J324" i="33" s="1"/>
  <c r="J325" i="33" s="1"/>
  <c r="J326" i="33" s="1"/>
  <c r="J327" i="33" s="1"/>
  <c r="J328" i="33" s="1"/>
  <c r="J329" i="33" s="1"/>
  <c r="J330" i="33" s="1"/>
  <c r="J331" i="33" s="1"/>
  <c r="J332" i="33" s="1"/>
  <c r="J333" i="33" s="1"/>
  <c r="J334" i="33" s="1"/>
  <c r="B305" i="33"/>
  <c r="B306" i="33" s="1"/>
  <c r="R238" i="33"/>
  <c r="R239" i="33" s="1"/>
  <c r="R240" i="33" s="1"/>
  <c r="R241" i="33" s="1"/>
  <c r="R242" i="33" s="1"/>
  <c r="R243" i="33" s="1"/>
  <c r="R244" i="33" s="1"/>
  <c r="R245" i="33" s="1"/>
  <c r="R246" i="33" s="1"/>
  <c r="R247" i="33" s="1"/>
  <c r="R248" i="33" s="1"/>
  <c r="R249" i="33" s="1"/>
  <c r="R250" i="33" s="1"/>
  <c r="R251" i="33" s="1"/>
  <c r="R252" i="33" s="1"/>
  <c r="R253" i="33" s="1"/>
  <c r="R254" i="33" s="1"/>
  <c r="R255" i="33" s="1"/>
  <c r="R256" i="33" s="1"/>
  <c r="R257" i="33" s="1"/>
  <c r="R258" i="33" s="1"/>
  <c r="R259" i="33" s="1"/>
  <c r="R260" i="33" s="1"/>
  <c r="R261" i="33" s="1"/>
  <c r="R262" i="33" s="1"/>
  <c r="R263" i="33" s="1"/>
  <c r="R264" i="33" s="1"/>
  <c r="R265" i="33" s="1"/>
  <c r="R266" i="33" s="1"/>
  <c r="R267" i="33" s="1"/>
  <c r="J238" i="33"/>
  <c r="J239" i="33" s="1"/>
  <c r="J240" i="33" s="1"/>
  <c r="J241" i="33" s="1"/>
  <c r="J242" i="33" s="1"/>
  <c r="J243" i="33" s="1"/>
  <c r="J244" i="33" s="1"/>
  <c r="J245" i="33" s="1"/>
  <c r="J246" i="33" s="1"/>
  <c r="J247" i="33" s="1"/>
  <c r="J248" i="33" s="1"/>
  <c r="J249" i="33" s="1"/>
  <c r="J250" i="33" s="1"/>
  <c r="J251" i="33" s="1"/>
  <c r="J252" i="33" s="1"/>
  <c r="J253" i="33" s="1"/>
  <c r="J254" i="33" s="1"/>
  <c r="J255" i="33" s="1"/>
  <c r="J256" i="33" s="1"/>
  <c r="J257" i="33" s="1"/>
  <c r="J258" i="33" s="1"/>
  <c r="J259" i="33" s="1"/>
  <c r="J260" i="33" s="1"/>
  <c r="J261" i="33" s="1"/>
  <c r="J262" i="33" s="1"/>
  <c r="J263" i="33" s="1"/>
  <c r="J264" i="33" s="1"/>
  <c r="J265" i="33" s="1"/>
  <c r="J266" i="33" s="1"/>
  <c r="J267" i="33" s="1"/>
  <c r="B238" i="33"/>
  <c r="B239" i="33" s="1"/>
  <c r="B240" i="33" s="1"/>
  <c r="B241" i="33" s="1"/>
  <c r="B242" i="33" s="1"/>
  <c r="B243" i="33" s="1"/>
  <c r="B244" i="33" s="1"/>
  <c r="B245" i="33" s="1"/>
  <c r="B246" i="33" s="1"/>
  <c r="B247" i="33" s="1"/>
  <c r="B248" i="33" s="1"/>
  <c r="B249" i="33" s="1"/>
  <c r="B250" i="33" s="1"/>
  <c r="B251" i="33" s="1"/>
  <c r="B252" i="33" s="1"/>
  <c r="B253" i="33" s="1"/>
  <c r="B254" i="33" s="1"/>
  <c r="B255" i="33" s="1"/>
  <c r="B256" i="33" s="1"/>
  <c r="B257" i="33" s="1"/>
  <c r="B258" i="33" s="1"/>
  <c r="B259" i="33" s="1"/>
  <c r="B260" i="33" s="1"/>
  <c r="B261" i="33" s="1"/>
  <c r="B262" i="33" s="1"/>
  <c r="B263" i="33" s="1"/>
  <c r="B264" i="33" s="1"/>
  <c r="B265" i="33" s="1"/>
  <c r="B266" i="33" s="1"/>
  <c r="B267" i="33" s="1"/>
  <c r="R172" i="33"/>
  <c r="R173" i="33" s="1"/>
  <c r="R174" i="33" s="1"/>
  <c r="R175" i="33" s="1"/>
  <c r="R176" i="33" s="1"/>
  <c r="R177" i="33" s="1"/>
  <c r="R178" i="33" s="1"/>
  <c r="R179" i="33" s="1"/>
  <c r="R180" i="33" s="1"/>
  <c r="R181" i="33" s="1"/>
  <c r="R182" i="33" s="1"/>
  <c r="R183" i="33" s="1"/>
  <c r="R184" i="33" s="1"/>
  <c r="R185" i="33" s="1"/>
  <c r="R186" i="33" s="1"/>
  <c r="R187" i="33" s="1"/>
  <c r="R188" i="33" s="1"/>
  <c r="R189" i="33" s="1"/>
  <c r="R190" i="33" s="1"/>
  <c r="R191" i="33" s="1"/>
  <c r="R192" i="33" s="1"/>
  <c r="R193" i="33" s="1"/>
  <c r="R194" i="33" s="1"/>
  <c r="R195" i="33" s="1"/>
  <c r="R196" i="33" s="1"/>
  <c r="R197" i="33" s="1"/>
  <c r="R198" i="33" s="1"/>
  <c r="R199" i="33" s="1"/>
  <c r="R200" i="33" s="1"/>
  <c r="R171" i="33"/>
  <c r="J171" i="33"/>
  <c r="J172" i="33" s="1"/>
  <c r="J173" i="33" s="1"/>
  <c r="J174" i="33" s="1"/>
  <c r="J175" i="33" s="1"/>
  <c r="J176" i="33" s="1"/>
  <c r="J177" i="33" s="1"/>
  <c r="J178" i="33" s="1"/>
  <c r="J179" i="33" s="1"/>
  <c r="J180" i="33" s="1"/>
  <c r="J181" i="33" s="1"/>
  <c r="J182" i="33" s="1"/>
  <c r="J183" i="33" s="1"/>
  <c r="J184" i="33" s="1"/>
  <c r="J185" i="33" s="1"/>
  <c r="J186" i="33" s="1"/>
  <c r="J187" i="33" s="1"/>
  <c r="J188" i="33" s="1"/>
  <c r="J189" i="33" s="1"/>
  <c r="J190" i="33" s="1"/>
  <c r="J191" i="33" s="1"/>
  <c r="J192" i="33" s="1"/>
  <c r="J193" i="33" s="1"/>
  <c r="J194" i="33" s="1"/>
  <c r="J195" i="33" s="1"/>
  <c r="J196" i="33" s="1"/>
  <c r="J197" i="33" s="1"/>
  <c r="J198" i="33" s="1"/>
  <c r="J199" i="33" s="1"/>
  <c r="J200" i="33" s="1"/>
  <c r="B171" i="33"/>
  <c r="B172" i="33" s="1"/>
  <c r="B173" i="33" s="1"/>
  <c r="B174" i="33" s="1"/>
  <c r="B175" i="33" s="1"/>
  <c r="B176" i="33" s="1"/>
  <c r="B177" i="33" s="1"/>
  <c r="B178" i="33" s="1"/>
  <c r="B179" i="33" s="1"/>
  <c r="B180" i="33" s="1"/>
  <c r="B181" i="33" s="1"/>
  <c r="B182" i="33" s="1"/>
  <c r="B183" i="33" s="1"/>
  <c r="B184" i="33" s="1"/>
  <c r="B185" i="33" s="1"/>
  <c r="B186" i="33" s="1"/>
  <c r="B187" i="33" s="1"/>
  <c r="B188" i="33" s="1"/>
  <c r="B189" i="33" s="1"/>
  <c r="B190" i="33" s="1"/>
  <c r="B191" i="33" s="1"/>
  <c r="B192" i="33" s="1"/>
  <c r="B193" i="33" s="1"/>
  <c r="B194" i="33" s="1"/>
  <c r="B195" i="33" s="1"/>
  <c r="B196" i="33" s="1"/>
  <c r="B197" i="33" s="1"/>
  <c r="B198" i="33" s="1"/>
  <c r="B199" i="33" s="1"/>
  <c r="B200" i="33" s="1"/>
  <c r="R104" i="33"/>
  <c r="R105" i="33" s="1"/>
  <c r="R106" i="33" s="1"/>
  <c r="R107" i="33" s="1"/>
  <c r="R108" i="33" s="1"/>
  <c r="R109" i="33" s="1"/>
  <c r="R110" i="33" s="1"/>
  <c r="R111" i="33" s="1"/>
  <c r="R112" i="33" s="1"/>
  <c r="R113" i="33" s="1"/>
  <c r="R114" i="33" s="1"/>
  <c r="R115" i="33" s="1"/>
  <c r="R116" i="33" s="1"/>
  <c r="R117" i="33" s="1"/>
  <c r="R118" i="33" s="1"/>
  <c r="R119" i="33" s="1"/>
  <c r="R120" i="33" s="1"/>
  <c r="R121" i="33" s="1"/>
  <c r="R122" i="33" s="1"/>
  <c r="R123" i="33" s="1"/>
  <c r="R124" i="33" s="1"/>
  <c r="R125" i="33" s="1"/>
  <c r="R126" i="33" s="1"/>
  <c r="R127" i="33" s="1"/>
  <c r="R128" i="33" s="1"/>
  <c r="R129" i="33" s="1"/>
  <c r="R130" i="33" s="1"/>
  <c r="R131" i="33" s="1"/>
  <c r="R132" i="33" s="1"/>
  <c r="R133" i="33" s="1"/>
  <c r="J104" i="33"/>
  <c r="J105" i="33" s="1"/>
  <c r="J106" i="33" s="1"/>
  <c r="J107" i="33" s="1"/>
  <c r="J108" i="33" s="1"/>
  <c r="J109" i="33" s="1"/>
  <c r="J110" i="33" s="1"/>
  <c r="J111" i="33" s="1"/>
  <c r="J112" i="33" s="1"/>
  <c r="J113" i="33" s="1"/>
  <c r="J114" i="33" s="1"/>
  <c r="J115" i="33" s="1"/>
  <c r="J116" i="33" s="1"/>
  <c r="J117" i="33" s="1"/>
  <c r="J118" i="33" s="1"/>
  <c r="J119" i="33" s="1"/>
  <c r="J120" i="33" s="1"/>
  <c r="J121" i="33" s="1"/>
  <c r="J122" i="33" s="1"/>
  <c r="J123" i="33" s="1"/>
  <c r="J124" i="33" s="1"/>
  <c r="J125" i="33" s="1"/>
  <c r="J126" i="33" s="1"/>
  <c r="J127" i="33" s="1"/>
  <c r="J128" i="33" s="1"/>
  <c r="J129" i="33" s="1"/>
  <c r="J130" i="33" s="1"/>
  <c r="J131" i="33" s="1"/>
  <c r="J132" i="33" s="1"/>
  <c r="J133" i="33" s="1"/>
  <c r="B104" i="33"/>
  <c r="B105" i="33" s="1"/>
  <c r="B106" i="33" s="1"/>
  <c r="B107" i="33" s="1"/>
  <c r="B108" i="33" s="1"/>
  <c r="B109" i="33" s="1"/>
  <c r="B110" i="33" s="1"/>
  <c r="B111" i="33" s="1"/>
  <c r="B112" i="33" s="1"/>
  <c r="B113" i="33" s="1"/>
  <c r="B114" i="33" s="1"/>
  <c r="B115" i="33" s="1"/>
  <c r="B116" i="33" s="1"/>
  <c r="B117" i="33" s="1"/>
  <c r="B118" i="33" s="1"/>
  <c r="B119" i="33" s="1"/>
  <c r="B120" i="33" s="1"/>
  <c r="B121" i="33" s="1"/>
  <c r="B122" i="33" s="1"/>
  <c r="B123" i="33" s="1"/>
  <c r="B124" i="33" s="1"/>
  <c r="B125" i="33" s="1"/>
  <c r="B126" i="33" s="1"/>
  <c r="B127" i="33" s="1"/>
  <c r="B128" i="33" s="1"/>
  <c r="B129" i="33" s="1"/>
  <c r="B130" i="33" s="1"/>
  <c r="B131" i="33" s="1"/>
  <c r="B132" i="33" s="1"/>
  <c r="B133" i="33" s="1"/>
  <c r="R1377" i="34"/>
  <c r="R1378" i="34" s="1"/>
  <c r="R1379" i="34" s="1"/>
  <c r="R1380" i="34" s="1"/>
  <c r="R1381" i="34" s="1"/>
  <c r="R1382" i="34" s="1"/>
  <c r="R1383" i="34" s="1"/>
  <c r="R1384" i="34" s="1"/>
  <c r="R1385" i="34" s="1"/>
  <c r="R1386" i="34" s="1"/>
  <c r="R1387" i="34" s="1"/>
  <c r="R1388" i="34" s="1"/>
  <c r="R1389" i="34" s="1"/>
  <c r="R1390" i="34" s="1"/>
  <c r="R1391" i="34" s="1"/>
  <c r="R1392" i="34" s="1"/>
  <c r="R1393" i="34" s="1"/>
  <c r="R1394" i="34" s="1"/>
  <c r="R1395" i="34" s="1"/>
  <c r="R1396" i="34" s="1"/>
  <c r="R1397" i="34" s="1"/>
  <c r="R1398" i="34" s="1"/>
  <c r="R1399" i="34" s="1"/>
  <c r="R1400" i="34" s="1"/>
  <c r="R1401" i="34" s="1"/>
  <c r="R1402" i="34" s="1"/>
  <c r="R1403" i="34" s="1"/>
  <c r="R1404" i="34" s="1"/>
  <c r="R1405" i="34" s="1"/>
  <c r="R1406" i="34" s="1"/>
  <c r="J1377" i="34"/>
  <c r="J1378" i="34" s="1"/>
  <c r="J1379" i="34" s="1"/>
  <c r="J1380" i="34" s="1"/>
  <c r="J1381" i="34" s="1"/>
  <c r="J1382" i="34" s="1"/>
  <c r="J1383" i="34" s="1"/>
  <c r="J1384" i="34" s="1"/>
  <c r="J1385" i="34" s="1"/>
  <c r="J1386" i="34" s="1"/>
  <c r="J1387" i="34" s="1"/>
  <c r="J1388" i="34" s="1"/>
  <c r="J1389" i="34" s="1"/>
  <c r="J1390" i="34" s="1"/>
  <c r="J1391" i="34" s="1"/>
  <c r="J1392" i="34" s="1"/>
  <c r="J1393" i="34" s="1"/>
  <c r="J1394" i="34" s="1"/>
  <c r="J1395" i="34" s="1"/>
  <c r="J1396" i="34" s="1"/>
  <c r="J1397" i="34" s="1"/>
  <c r="J1398" i="34" s="1"/>
  <c r="J1399" i="34" s="1"/>
  <c r="J1400" i="34" s="1"/>
  <c r="J1401" i="34" s="1"/>
  <c r="J1402" i="34" s="1"/>
  <c r="J1403" i="34" s="1"/>
  <c r="J1404" i="34" s="1"/>
  <c r="J1405" i="34" s="1"/>
  <c r="J1406" i="34" s="1"/>
  <c r="B1377" i="34"/>
  <c r="B1378" i="34" s="1"/>
  <c r="B1379" i="34" s="1"/>
  <c r="B1380" i="34" s="1"/>
  <c r="B1381" i="34" s="1"/>
  <c r="B1382" i="34" s="1"/>
  <c r="B1383" i="34" s="1"/>
  <c r="B1384" i="34" s="1"/>
  <c r="B1385" i="34" s="1"/>
  <c r="B1386" i="34" s="1"/>
  <c r="B1387" i="34" s="1"/>
  <c r="B1388" i="34" s="1"/>
  <c r="B1389" i="34" s="1"/>
  <c r="B1390" i="34" s="1"/>
  <c r="B1391" i="34" s="1"/>
  <c r="B1392" i="34" s="1"/>
  <c r="B1393" i="34" s="1"/>
  <c r="B1394" i="34" s="1"/>
  <c r="B1395" i="34" s="1"/>
  <c r="B1396" i="34" s="1"/>
  <c r="B1397" i="34" s="1"/>
  <c r="B1398" i="34" s="1"/>
  <c r="B1399" i="34" s="1"/>
  <c r="B1400" i="34" s="1"/>
  <c r="B1401" i="34" s="1"/>
  <c r="B1402" i="34" s="1"/>
  <c r="B1403" i="34" s="1"/>
  <c r="B1404" i="34" s="1"/>
  <c r="B1405" i="34" s="1"/>
  <c r="B1406" i="34" s="1"/>
  <c r="R1310" i="34"/>
  <c r="R1311" i="34" s="1"/>
  <c r="R1312" i="34" s="1"/>
  <c r="R1313" i="34" s="1"/>
  <c r="R1314" i="34" s="1"/>
  <c r="R1315" i="34" s="1"/>
  <c r="R1316" i="34" s="1"/>
  <c r="R1317" i="34" s="1"/>
  <c r="R1318" i="34" s="1"/>
  <c r="R1319" i="34" s="1"/>
  <c r="R1320" i="34" s="1"/>
  <c r="R1321" i="34" s="1"/>
  <c r="R1322" i="34" s="1"/>
  <c r="R1323" i="34" s="1"/>
  <c r="R1324" i="34" s="1"/>
  <c r="R1325" i="34" s="1"/>
  <c r="R1326" i="34" s="1"/>
  <c r="R1327" i="34" s="1"/>
  <c r="R1328" i="34" s="1"/>
  <c r="R1329" i="34" s="1"/>
  <c r="R1330" i="34" s="1"/>
  <c r="R1331" i="34" s="1"/>
  <c r="R1332" i="34" s="1"/>
  <c r="R1333" i="34" s="1"/>
  <c r="R1334" i="34" s="1"/>
  <c r="R1335" i="34" s="1"/>
  <c r="R1336" i="34" s="1"/>
  <c r="R1337" i="34" s="1"/>
  <c r="R1338" i="34" s="1"/>
  <c r="R1339" i="34" s="1"/>
  <c r="J1310" i="34"/>
  <c r="J1311" i="34" s="1"/>
  <c r="J1312" i="34" s="1"/>
  <c r="J1313" i="34" s="1"/>
  <c r="J1314" i="34" s="1"/>
  <c r="J1315" i="34" s="1"/>
  <c r="J1316" i="34" s="1"/>
  <c r="J1317" i="34" s="1"/>
  <c r="J1318" i="34" s="1"/>
  <c r="J1319" i="34" s="1"/>
  <c r="J1320" i="34" s="1"/>
  <c r="J1321" i="34" s="1"/>
  <c r="J1322" i="34" s="1"/>
  <c r="J1323" i="34" s="1"/>
  <c r="J1324" i="34" s="1"/>
  <c r="J1325" i="34" s="1"/>
  <c r="J1326" i="34" s="1"/>
  <c r="J1327" i="34" s="1"/>
  <c r="J1328" i="34" s="1"/>
  <c r="J1329" i="34" s="1"/>
  <c r="J1330" i="34" s="1"/>
  <c r="J1331" i="34" s="1"/>
  <c r="J1332" i="34" s="1"/>
  <c r="J1333" i="34" s="1"/>
  <c r="J1334" i="34" s="1"/>
  <c r="J1335" i="34" s="1"/>
  <c r="J1336" i="34" s="1"/>
  <c r="J1337" i="34" s="1"/>
  <c r="J1338" i="34" s="1"/>
  <c r="J1339" i="34" s="1"/>
  <c r="B1310" i="34"/>
  <c r="B1311" i="34" s="1"/>
  <c r="B1312" i="34" s="1"/>
  <c r="B1313" i="34" s="1"/>
  <c r="B1314" i="34" s="1"/>
  <c r="B1315" i="34" s="1"/>
  <c r="B1316" i="34" s="1"/>
  <c r="B1317" i="34" s="1"/>
  <c r="B1318" i="34" s="1"/>
  <c r="B1319" i="34" s="1"/>
  <c r="B1320" i="34" s="1"/>
  <c r="B1321" i="34" s="1"/>
  <c r="B1322" i="34" s="1"/>
  <c r="B1323" i="34" s="1"/>
  <c r="B1324" i="34" s="1"/>
  <c r="B1325" i="34" s="1"/>
  <c r="B1326" i="34" s="1"/>
  <c r="B1327" i="34" s="1"/>
  <c r="B1328" i="34" s="1"/>
  <c r="B1329" i="34" s="1"/>
  <c r="B1330" i="34" s="1"/>
  <c r="B1331" i="34" s="1"/>
  <c r="B1332" i="34" s="1"/>
  <c r="B1333" i="34" s="1"/>
  <c r="B1334" i="34" s="1"/>
  <c r="B1335" i="34" s="1"/>
  <c r="B1336" i="34" s="1"/>
  <c r="B1337" i="34" s="1"/>
  <c r="B1338" i="34" s="1"/>
  <c r="B1339" i="34" s="1"/>
  <c r="R1243" i="34"/>
  <c r="R1244" i="34" s="1"/>
  <c r="R1245" i="34" s="1"/>
  <c r="R1246" i="34" s="1"/>
  <c r="R1247" i="34" s="1"/>
  <c r="R1248" i="34" s="1"/>
  <c r="R1249" i="34" s="1"/>
  <c r="R1250" i="34" s="1"/>
  <c r="R1251" i="34" s="1"/>
  <c r="R1252" i="34" s="1"/>
  <c r="R1253" i="34" s="1"/>
  <c r="R1254" i="34" s="1"/>
  <c r="R1255" i="34" s="1"/>
  <c r="R1256" i="34" s="1"/>
  <c r="R1257" i="34" s="1"/>
  <c r="R1258" i="34" s="1"/>
  <c r="R1259" i="34" s="1"/>
  <c r="R1260" i="34" s="1"/>
  <c r="R1261" i="34" s="1"/>
  <c r="R1262" i="34" s="1"/>
  <c r="R1263" i="34" s="1"/>
  <c r="R1264" i="34" s="1"/>
  <c r="R1265" i="34" s="1"/>
  <c r="R1266" i="34" s="1"/>
  <c r="R1267" i="34" s="1"/>
  <c r="R1268" i="34" s="1"/>
  <c r="R1269" i="34" s="1"/>
  <c r="R1270" i="34" s="1"/>
  <c r="R1271" i="34" s="1"/>
  <c r="R1272" i="34" s="1"/>
  <c r="J1243" i="34"/>
  <c r="J1244" i="34" s="1"/>
  <c r="J1245" i="34" s="1"/>
  <c r="J1246" i="34" s="1"/>
  <c r="J1247" i="34" s="1"/>
  <c r="J1248" i="34" s="1"/>
  <c r="J1249" i="34" s="1"/>
  <c r="J1250" i="34" s="1"/>
  <c r="J1251" i="34" s="1"/>
  <c r="J1252" i="34" s="1"/>
  <c r="J1253" i="34" s="1"/>
  <c r="J1254" i="34" s="1"/>
  <c r="J1255" i="34" s="1"/>
  <c r="J1256" i="34" s="1"/>
  <c r="J1257" i="34" s="1"/>
  <c r="J1258" i="34" s="1"/>
  <c r="J1259" i="34" s="1"/>
  <c r="J1260" i="34" s="1"/>
  <c r="J1261" i="34" s="1"/>
  <c r="J1262" i="34" s="1"/>
  <c r="J1263" i="34" s="1"/>
  <c r="J1264" i="34" s="1"/>
  <c r="J1265" i="34" s="1"/>
  <c r="J1266" i="34" s="1"/>
  <c r="J1267" i="34" s="1"/>
  <c r="J1268" i="34" s="1"/>
  <c r="J1269" i="34" s="1"/>
  <c r="J1270" i="34" s="1"/>
  <c r="J1271" i="34" s="1"/>
  <c r="J1272" i="34" s="1"/>
  <c r="B1243" i="34"/>
  <c r="B1244" i="34" s="1"/>
  <c r="B1245" i="34" s="1"/>
  <c r="B1246" i="34" s="1"/>
  <c r="B1247" i="34" s="1"/>
  <c r="B1248" i="34" s="1"/>
  <c r="B1249" i="34" s="1"/>
  <c r="B1250" i="34" s="1"/>
  <c r="B1251" i="34" s="1"/>
  <c r="B1252" i="34" s="1"/>
  <c r="B1253" i="34" s="1"/>
  <c r="B1254" i="34" s="1"/>
  <c r="B1255" i="34" s="1"/>
  <c r="B1256" i="34" s="1"/>
  <c r="B1257" i="34" s="1"/>
  <c r="B1258" i="34" s="1"/>
  <c r="B1259" i="34" s="1"/>
  <c r="B1260" i="34" s="1"/>
  <c r="B1261" i="34" s="1"/>
  <c r="B1262" i="34" s="1"/>
  <c r="B1263" i="34" s="1"/>
  <c r="B1264" i="34" s="1"/>
  <c r="B1265" i="34" s="1"/>
  <c r="B1266" i="34" s="1"/>
  <c r="B1267" i="34" s="1"/>
  <c r="B1268" i="34" s="1"/>
  <c r="B1269" i="34" s="1"/>
  <c r="B1270" i="34" s="1"/>
  <c r="B1271" i="34" s="1"/>
  <c r="B1272" i="34" s="1"/>
  <c r="R1176" i="34"/>
  <c r="R1177" i="34" s="1"/>
  <c r="R1178" i="34" s="1"/>
  <c r="R1179" i="34" s="1"/>
  <c r="R1180" i="34" s="1"/>
  <c r="R1181" i="34" s="1"/>
  <c r="R1182" i="34" s="1"/>
  <c r="R1183" i="34" s="1"/>
  <c r="R1184" i="34" s="1"/>
  <c r="R1185" i="34" s="1"/>
  <c r="R1186" i="34" s="1"/>
  <c r="R1187" i="34" s="1"/>
  <c r="R1188" i="34" s="1"/>
  <c r="R1189" i="34" s="1"/>
  <c r="R1190" i="34" s="1"/>
  <c r="R1191" i="34" s="1"/>
  <c r="R1192" i="34" s="1"/>
  <c r="R1193" i="34" s="1"/>
  <c r="R1194" i="34" s="1"/>
  <c r="R1195" i="34" s="1"/>
  <c r="R1196" i="34" s="1"/>
  <c r="R1197" i="34" s="1"/>
  <c r="R1198" i="34" s="1"/>
  <c r="R1199" i="34" s="1"/>
  <c r="R1200" i="34" s="1"/>
  <c r="R1201" i="34" s="1"/>
  <c r="R1202" i="34" s="1"/>
  <c r="R1203" i="34" s="1"/>
  <c r="R1204" i="34" s="1"/>
  <c r="R1205" i="34" s="1"/>
  <c r="J1176" i="34"/>
  <c r="J1177" i="34" s="1"/>
  <c r="J1178" i="34" s="1"/>
  <c r="J1179" i="34" s="1"/>
  <c r="J1180" i="34" s="1"/>
  <c r="J1181" i="34" s="1"/>
  <c r="J1182" i="34" s="1"/>
  <c r="J1183" i="34" s="1"/>
  <c r="J1184" i="34" s="1"/>
  <c r="J1185" i="34" s="1"/>
  <c r="J1186" i="34" s="1"/>
  <c r="J1187" i="34" s="1"/>
  <c r="J1188" i="34" s="1"/>
  <c r="J1189" i="34" s="1"/>
  <c r="J1190" i="34" s="1"/>
  <c r="J1191" i="34" s="1"/>
  <c r="J1192" i="34" s="1"/>
  <c r="J1193" i="34" s="1"/>
  <c r="J1194" i="34" s="1"/>
  <c r="J1195" i="34" s="1"/>
  <c r="J1196" i="34" s="1"/>
  <c r="J1197" i="34" s="1"/>
  <c r="J1198" i="34" s="1"/>
  <c r="J1199" i="34" s="1"/>
  <c r="J1200" i="34" s="1"/>
  <c r="J1201" i="34" s="1"/>
  <c r="J1202" i="34" s="1"/>
  <c r="J1203" i="34" s="1"/>
  <c r="J1204" i="34" s="1"/>
  <c r="J1205" i="34" s="1"/>
  <c r="B1176" i="34"/>
  <c r="B1177" i="34" s="1"/>
  <c r="B1178" i="34" s="1"/>
  <c r="B1179" i="34" s="1"/>
  <c r="B1180" i="34" s="1"/>
  <c r="B1181" i="34" s="1"/>
  <c r="B1182" i="34" s="1"/>
  <c r="B1183" i="34" s="1"/>
  <c r="B1184" i="34" s="1"/>
  <c r="B1185" i="34" s="1"/>
  <c r="B1186" i="34" s="1"/>
  <c r="B1187" i="34" s="1"/>
  <c r="B1188" i="34" s="1"/>
  <c r="B1189" i="34" s="1"/>
  <c r="B1190" i="34" s="1"/>
  <c r="B1191" i="34" s="1"/>
  <c r="B1192" i="34" s="1"/>
  <c r="B1193" i="34" s="1"/>
  <c r="B1194" i="34" s="1"/>
  <c r="B1195" i="34" s="1"/>
  <c r="B1196" i="34" s="1"/>
  <c r="B1197" i="34" s="1"/>
  <c r="B1198" i="34" s="1"/>
  <c r="B1199" i="34" s="1"/>
  <c r="B1200" i="34" s="1"/>
  <c r="B1201" i="34" s="1"/>
  <c r="B1202" i="34" s="1"/>
  <c r="B1203" i="34" s="1"/>
  <c r="B1204" i="34" s="1"/>
  <c r="B1205" i="34" s="1"/>
  <c r="R1109" i="34"/>
  <c r="R1110" i="34" s="1"/>
  <c r="R1111" i="34" s="1"/>
  <c r="R1112" i="34" s="1"/>
  <c r="R1113" i="34" s="1"/>
  <c r="R1114" i="34" s="1"/>
  <c r="R1115" i="34" s="1"/>
  <c r="R1116" i="34" s="1"/>
  <c r="R1117" i="34" s="1"/>
  <c r="R1118" i="34" s="1"/>
  <c r="R1119" i="34" s="1"/>
  <c r="R1120" i="34" s="1"/>
  <c r="R1121" i="34" s="1"/>
  <c r="R1122" i="34" s="1"/>
  <c r="R1123" i="34" s="1"/>
  <c r="R1124" i="34" s="1"/>
  <c r="R1125" i="34" s="1"/>
  <c r="R1126" i="34" s="1"/>
  <c r="R1127" i="34" s="1"/>
  <c r="R1128" i="34" s="1"/>
  <c r="R1129" i="34" s="1"/>
  <c r="R1130" i="34" s="1"/>
  <c r="R1131" i="34" s="1"/>
  <c r="R1132" i="34" s="1"/>
  <c r="R1133" i="34" s="1"/>
  <c r="R1134" i="34" s="1"/>
  <c r="R1135" i="34" s="1"/>
  <c r="R1136" i="34" s="1"/>
  <c r="R1137" i="34" s="1"/>
  <c r="R1138" i="34" s="1"/>
  <c r="J1109" i="34"/>
  <c r="J1110" i="34" s="1"/>
  <c r="J1111" i="34" s="1"/>
  <c r="J1112" i="34" s="1"/>
  <c r="J1113" i="34" s="1"/>
  <c r="J1114" i="34" s="1"/>
  <c r="J1115" i="34" s="1"/>
  <c r="J1116" i="34" s="1"/>
  <c r="J1117" i="34" s="1"/>
  <c r="J1118" i="34" s="1"/>
  <c r="J1119" i="34" s="1"/>
  <c r="J1120" i="34" s="1"/>
  <c r="J1121" i="34" s="1"/>
  <c r="J1122" i="34" s="1"/>
  <c r="J1123" i="34" s="1"/>
  <c r="J1124" i="34" s="1"/>
  <c r="J1125" i="34" s="1"/>
  <c r="J1126" i="34" s="1"/>
  <c r="J1127" i="34" s="1"/>
  <c r="J1128" i="34" s="1"/>
  <c r="J1129" i="34" s="1"/>
  <c r="J1130" i="34" s="1"/>
  <c r="J1131" i="34" s="1"/>
  <c r="J1132" i="34" s="1"/>
  <c r="J1133" i="34" s="1"/>
  <c r="J1134" i="34" s="1"/>
  <c r="J1135" i="34" s="1"/>
  <c r="J1136" i="34" s="1"/>
  <c r="J1137" i="34" s="1"/>
  <c r="J1138" i="34" s="1"/>
  <c r="B1109" i="34"/>
  <c r="B1110" i="34" s="1"/>
  <c r="B1111" i="34" s="1"/>
  <c r="B1112" i="34" s="1"/>
  <c r="B1113" i="34" s="1"/>
  <c r="B1114" i="34" s="1"/>
  <c r="B1115" i="34" s="1"/>
  <c r="B1116" i="34" s="1"/>
  <c r="B1117" i="34" s="1"/>
  <c r="B1118" i="34" s="1"/>
  <c r="B1119" i="34" s="1"/>
  <c r="B1120" i="34" s="1"/>
  <c r="B1121" i="34" s="1"/>
  <c r="B1122" i="34" s="1"/>
  <c r="B1123" i="34" s="1"/>
  <c r="B1124" i="34" s="1"/>
  <c r="B1125" i="34" s="1"/>
  <c r="B1126" i="34" s="1"/>
  <c r="B1127" i="34" s="1"/>
  <c r="B1128" i="34" s="1"/>
  <c r="B1129" i="34" s="1"/>
  <c r="B1130" i="34" s="1"/>
  <c r="B1131" i="34" s="1"/>
  <c r="B1132" i="34" s="1"/>
  <c r="B1133" i="34" s="1"/>
  <c r="B1134" i="34" s="1"/>
  <c r="B1135" i="34" s="1"/>
  <c r="B1136" i="34" s="1"/>
  <c r="B1137" i="34" s="1"/>
  <c r="B1138" i="34" s="1"/>
  <c r="R1042" i="34"/>
  <c r="R1043" i="34" s="1"/>
  <c r="R1044" i="34" s="1"/>
  <c r="R1045" i="34" s="1"/>
  <c r="R1046" i="34" s="1"/>
  <c r="R1047" i="34" s="1"/>
  <c r="R1048" i="34" s="1"/>
  <c r="R1049" i="34" s="1"/>
  <c r="R1050" i="34" s="1"/>
  <c r="R1051" i="34" s="1"/>
  <c r="R1052" i="34" s="1"/>
  <c r="R1053" i="34" s="1"/>
  <c r="R1054" i="34" s="1"/>
  <c r="R1055" i="34" s="1"/>
  <c r="R1056" i="34" s="1"/>
  <c r="R1057" i="34" s="1"/>
  <c r="R1058" i="34" s="1"/>
  <c r="R1059" i="34" s="1"/>
  <c r="R1060" i="34" s="1"/>
  <c r="R1061" i="34" s="1"/>
  <c r="R1062" i="34" s="1"/>
  <c r="R1063" i="34" s="1"/>
  <c r="R1064" i="34" s="1"/>
  <c r="R1065" i="34" s="1"/>
  <c r="R1066" i="34" s="1"/>
  <c r="R1067" i="34" s="1"/>
  <c r="R1068" i="34" s="1"/>
  <c r="R1069" i="34" s="1"/>
  <c r="R1070" i="34" s="1"/>
  <c r="R1071" i="34" s="1"/>
  <c r="J1042" i="34"/>
  <c r="J1043" i="34" s="1"/>
  <c r="J1044" i="34" s="1"/>
  <c r="J1045" i="34" s="1"/>
  <c r="J1046" i="34" s="1"/>
  <c r="J1047" i="34" s="1"/>
  <c r="J1048" i="34" s="1"/>
  <c r="J1049" i="34" s="1"/>
  <c r="J1050" i="34" s="1"/>
  <c r="J1051" i="34" s="1"/>
  <c r="J1052" i="34" s="1"/>
  <c r="J1053" i="34" s="1"/>
  <c r="J1054" i="34" s="1"/>
  <c r="J1055" i="34" s="1"/>
  <c r="J1056" i="34" s="1"/>
  <c r="J1057" i="34" s="1"/>
  <c r="J1058" i="34" s="1"/>
  <c r="J1059" i="34" s="1"/>
  <c r="J1060" i="34" s="1"/>
  <c r="J1061" i="34" s="1"/>
  <c r="J1062" i="34" s="1"/>
  <c r="J1063" i="34" s="1"/>
  <c r="J1064" i="34" s="1"/>
  <c r="J1065" i="34" s="1"/>
  <c r="J1066" i="34" s="1"/>
  <c r="J1067" i="34" s="1"/>
  <c r="J1068" i="34" s="1"/>
  <c r="J1069" i="34" s="1"/>
  <c r="J1070" i="34" s="1"/>
  <c r="J1071" i="34" s="1"/>
  <c r="B1042" i="34"/>
  <c r="B1043" i="34" s="1"/>
  <c r="B1044" i="34" s="1"/>
  <c r="B1045" i="34" s="1"/>
  <c r="B1046" i="34" s="1"/>
  <c r="B1047" i="34" s="1"/>
  <c r="B1048" i="34" s="1"/>
  <c r="B1049" i="34" s="1"/>
  <c r="B1050" i="34" s="1"/>
  <c r="B1051" i="34" s="1"/>
  <c r="B1052" i="34" s="1"/>
  <c r="B1053" i="34" s="1"/>
  <c r="B1054" i="34" s="1"/>
  <c r="B1055" i="34" s="1"/>
  <c r="B1056" i="34" s="1"/>
  <c r="B1057" i="34" s="1"/>
  <c r="B1058" i="34" s="1"/>
  <c r="B1059" i="34" s="1"/>
  <c r="B1060" i="34" s="1"/>
  <c r="B1061" i="34" s="1"/>
  <c r="B1062" i="34" s="1"/>
  <c r="B1063" i="34" s="1"/>
  <c r="B1064" i="34" s="1"/>
  <c r="B1065" i="34" s="1"/>
  <c r="B1066" i="34" s="1"/>
  <c r="B1067" i="34" s="1"/>
  <c r="B1068" i="34" s="1"/>
  <c r="B1069" i="34" s="1"/>
  <c r="B1070" i="34" s="1"/>
  <c r="B1071" i="34" s="1"/>
  <c r="R975" i="34"/>
  <c r="R976" i="34" s="1"/>
  <c r="R977" i="34" s="1"/>
  <c r="R978" i="34" s="1"/>
  <c r="R979" i="34" s="1"/>
  <c r="R980" i="34" s="1"/>
  <c r="R981" i="34" s="1"/>
  <c r="R982" i="34" s="1"/>
  <c r="R983" i="34" s="1"/>
  <c r="R984" i="34" s="1"/>
  <c r="R985" i="34" s="1"/>
  <c r="R986" i="34" s="1"/>
  <c r="R987" i="34" s="1"/>
  <c r="R988" i="34" s="1"/>
  <c r="R989" i="34" s="1"/>
  <c r="R990" i="34" s="1"/>
  <c r="R991" i="34" s="1"/>
  <c r="R992" i="34" s="1"/>
  <c r="R993" i="34" s="1"/>
  <c r="R994" i="34" s="1"/>
  <c r="R995" i="34" s="1"/>
  <c r="R996" i="34" s="1"/>
  <c r="R997" i="34" s="1"/>
  <c r="R998" i="34" s="1"/>
  <c r="R999" i="34" s="1"/>
  <c r="R1000" i="34" s="1"/>
  <c r="R1001" i="34" s="1"/>
  <c r="R1002" i="34" s="1"/>
  <c r="R1003" i="34" s="1"/>
  <c r="R1004" i="34" s="1"/>
  <c r="J975" i="34"/>
  <c r="J976" i="34" s="1"/>
  <c r="J977" i="34" s="1"/>
  <c r="J978" i="34" s="1"/>
  <c r="J979" i="34" s="1"/>
  <c r="J980" i="34" s="1"/>
  <c r="J981" i="34" s="1"/>
  <c r="J982" i="34" s="1"/>
  <c r="J983" i="34" s="1"/>
  <c r="J984" i="34" s="1"/>
  <c r="J985" i="34" s="1"/>
  <c r="J986" i="34" s="1"/>
  <c r="J987" i="34" s="1"/>
  <c r="J988" i="34" s="1"/>
  <c r="J989" i="34" s="1"/>
  <c r="J990" i="34" s="1"/>
  <c r="J991" i="34" s="1"/>
  <c r="J992" i="34" s="1"/>
  <c r="J993" i="34" s="1"/>
  <c r="J994" i="34" s="1"/>
  <c r="J995" i="34" s="1"/>
  <c r="J996" i="34" s="1"/>
  <c r="J997" i="34" s="1"/>
  <c r="J998" i="34" s="1"/>
  <c r="J999" i="34" s="1"/>
  <c r="J1000" i="34" s="1"/>
  <c r="J1001" i="34" s="1"/>
  <c r="J1002" i="34" s="1"/>
  <c r="J1003" i="34" s="1"/>
  <c r="J1004" i="34" s="1"/>
  <c r="B975" i="34"/>
  <c r="B976" i="34" s="1"/>
  <c r="B977" i="34" s="1"/>
  <c r="B978" i="34" s="1"/>
  <c r="B979" i="34" s="1"/>
  <c r="B980" i="34" s="1"/>
  <c r="B981" i="34" s="1"/>
  <c r="B982" i="34" s="1"/>
  <c r="B983" i="34" s="1"/>
  <c r="B984" i="34" s="1"/>
  <c r="B985" i="34" s="1"/>
  <c r="B986" i="34" s="1"/>
  <c r="B987" i="34" s="1"/>
  <c r="B988" i="34" s="1"/>
  <c r="B989" i="34" s="1"/>
  <c r="B990" i="34" s="1"/>
  <c r="B991" i="34" s="1"/>
  <c r="B992" i="34" s="1"/>
  <c r="B993" i="34" s="1"/>
  <c r="B994" i="34" s="1"/>
  <c r="B995" i="34" s="1"/>
  <c r="B996" i="34" s="1"/>
  <c r="B997" i="34" s="1"/>
  <c r="B998" i="34" s="1"/>
  <c r="B999" i="34" s="1"/>
  <c r="B1000" i="34" s="1"/>
  <c r="B1001" i="34" s="1"/>
  <c r="B1002" i="34" s="1"/>
  <c r="B1003" i="34" s="1"/>
  <c r="B1004" i="34" s="1"/>
  <c r="R908" i="34"/>
  <c r="R909" i="34" s="1"/>
  <c r="R910" i="34" s="1"/>
  <c r="R911" i="34" s="1"/>
  <c r="R912" i="34" s="1"/>
  <c r="R913" i="34" s="1"/>
  <c r="R914" i="34" s="1"/>
  <c r="R915" i="34" s="1"/>
  <c r="R916" i="34" s="1"/>
  <c r="R917" i="34" s="1"/>
  <c r="R918" i="34" s="1"/>
  <c r="R919" i="34" s="1"/>
  <c r="R920" i="34" s="1"/>
  <c r="R921" i="34" s="1"/>
  <c r="R922" i="34" s="1"/>
  <c r="R923" i="34" s="1"/>
  <c r="R924" i="34" s="1"/>
  <c r="R925" i="34" s="1"/>
  <c r="R926" i="34" s="1"/>
  <c r="R927" i="34" s="1"/>
  <c r="R928" i="34" s="1"/>
  <c r="R929" i="34" s="1"/>
  <c r="R930" i="34" s="1"/>
  <c r="R931" i="34" s="1"/>
  <c r="R932" i="34" s="1"/>
  <c r="R933" i="34" s="1"/>
  <c r="R934" i="34" s="1"/>
  <c r="R935" i="34" s="1"/>
  <c r="R936" i="34" s="1"/>
  <c r="R937" i="34" s="1"/>
  <c r="J908" i="34"/>
  <c r="J909" i="34" s="1"/>
  <c r="J910" i="34" s="1"/>
  <c r="J911" i="34" s="1"/>
  <c r="J912" i="34" s="1"/>
  <c r="J913" i="34" s="1"/>
  <c r="J914" i="34" s="1"/>
  <c r="J915" i="34" s="1"/>
  <c r="J916" i="34" s="1"/>
  <c r="J917" i="34" s="1"/>
  <c r="J918" i="34" s="1"/>
  <c r="J919" i="34" s="1"/>
  <c r="J920" i="34" s="1"/>
  <c r="J921" i="34" s="1"/>
  <c r="J922" i="34" s="1"/>
  <c r="J923" i="34" s="1"/>
  <c r="J924" i="34" s="1"/>
  <c r="J925" i="34" s="1"/>
  <c r="J926" i="34" s="1"/>
  <c r="J927" i="34" s="1"/>
  <c r="J928" i="34" s="1"/>
  <c r="J929" i="34" s="1"/>
  <c r="J930" i="34" s="1"/>
  <c r="J931" i="34" s="1"/>
  <c r="J932" i="34" s="1"/>
  <c r="J933" i="34" s="1"/>
  <c r="J934" i="34" s="1"/>
  <c r="J935" i="34" s="1"/>
  <c r="J936" i="34" s="1"/>
  <c r="J937" i="34" s="1"/>
  <c r="B908" i="34"/>
  <c r="B909" i="34" s="1"/>
  <c r="B910" i="34" s="1"/>
  <c r="B911" i="34" s="1"/>
  <c r="B912" i="34" s="1"/>
  <c r="B913" i="34" s="1"/>
  <c r="B914" i="34" s="1"/>
  <c r="B915" i="34" s="1"/>
  <c r="B916" i="34" s="1"/>
  <c r="B917" i="34" s="1"/>
  <c r="B918" i="34" s="1"/>
  <c r="B919" i="34" s="1"/>
  <c r="B920" i="34" s="1"/>
  <c r="B921" i="34" s="1"/>
  <c r="B922" i="34" s="1"/>
  <c r="B923" i="34" s="1"/>
  <c r="B924" i="34" s="1"/>
  <c r="B925" i="34" s="1"/>
  <c r="B926" i="34" s="1"/>
  <c r="B927" i="34" s="1"/>
  <c r="B928" i="34" s="1"/>
  <c r="B929" i="34" s="1"/>
  <c r="B930" i="34" s="1"/>
  <c r="B931" i="34" s="1"/>
  <c r="B932" i="34" s="1"/>
  <c r="B933" i="34" s="1"/>
  <c r="B934" i="34" s="1"/>
  <c r="B935" i="34" s="1"/>
  <c r="B936" i="34" s="1"/>
  <c r="B937" i="34" s="1"/>
  <c r="R841" i="34"/>
  <c r="R842" i="34" s="1"/>
  <c r="R843" i="34" s="1"/>
  <c r="R844" i="34" s="1"/>
  <c r="R845" i="34" s="1"/>
  <c r="R846" i="34" s="1"/>
  <c r="R847" i="34" s="1"/>
  <c r="R848" i="34" s="1"/>
  <c r="R849" i="34" s="1"/>
  <c r="R850" i="34" s="1"/>
  <c r="R851" i="34" s="1"/>
  <c r="R852" i="34" s="1"/>
  <c r="R853" i="34" s="1"/>
  <c r="R854" i="34" s="1"/>
  <c r="R855" i="34" s="1"/>
  <c r="R856" i="34" s="1"/>
  <c r="R857" i="34" s="1"/>
  <c r="R858" i="34" s="1"/>
  <c r="R859" i="34" s="1"/>
  <c r="R860" i="34" s="1"/>
  <c r="R861" i="34" s="1"/>
  <c r="R862" i="34" s="1"/>
  <c r="R863" i="34" s="1"/>
  <c r="R864" i="34" s="1"/>
  <c r="R865" i="34" s="1"/>
  <c r="R866" i="34" s="1"/>
  <c r="R867" i="34" s="1"/>
  <c r="R868" i="34" s="1"/>
  <c r="R869" i="34" s="1"/>
  <c r="R870" i="34" s="1"/>
  <c r="J841" i="34"/>
  <c r="J842" i="34" s="1"/>
  <c r="J843" i="34" s="1"/>
  <c r="J844" i="34" s="1"/>
  <c r="J845" i="34" s="1"/>
  <c r="J846" i="34" s="1"/>
  <c r="J847" i="34" s="1"/>
  <c r="J848" i="34" s="1"/>
  <c r="J849" i="34" s="1"/>
  <c r="J850" i="34" s="1"/>
  <c r="J851" i="34" s="1"/>
  <c r="J852" i="34" s="1"/>
  <c r="J853" i="34" s="1"/>
  <c r="J854" i="34" s="1"/>
  <c r="J855" i="34" s="1"/>
  <c r="J856" i="34" s="1"/>
  <c r="J857" i="34" s="1"/>
  <c r="J858" i="34" s="1"/>
  <c r="J859" i="34" s="1"/>
  <c r="J860" i="34" s="1"/>
  <c r="J861" i="34" s="1"/>
  <c r="J862" i="34" s="1"/>
  <c r="J863" i="34" s="1"/>
  <c r="J864" i="34" s="1"/>
  <c r="J865" i="34" s="1"/>
  <c r="J866" i="34" s="1"/>
  <c r="J867" i="34" s="1"/>
  <c r="J868" i="34" s="1"/>
  <c r="J869" i="34" s="1"/>
  <c r="J870" i="34" s="1"/>
  <c r="B841" i="34"/>
  <c r="B842" i="34" s="1"/>
  <c r="B843" i="34" s="1"/>
  <c r="B844" i="34" s="1"/>
  <c r="B845" i="34" s="1"/>
  <c r="B846" i="34" s="1"/>
  <c r="B847" i="34" s="1"/>
  <c r="B848" i="34" s="1"/>
  <c r="B849" i="34" s="1"/>
  <c r="B850" i="34" s="1"/>
  <c r="B851" i="34" s="1"/>
  <c r="B852" i="34" s="1"/>
  <c r="B853" i="34" s="1"/>
  <c r="B854" i="34" s="1"/>
  <c r="B855" i="34" s="1"/>
  <c r="B856" i="34" s="1"/>
  <c r="B857" i="34" s="1"/>
  <c r="B858" i="34" s="1"/>
  <c r="B859" i="34" s="1"/>
  <c r="B860" i="34" s="1"/>
  <c r="B861" i="34" s="1"/>
  <c r="B862" i="34" s="1"/>
  <c r="B863" i="34" s="1"/>
  <c r="B864" i="34" s="1"/>
  <c r="B865" i="34" s="1"/>
  <c r="B866" i="34" s="1"/>
  <c r="B867" i="34" s="1"/>
  <c r="B868" i="34" s="1"/>
  <c r="B869" i="34" s="1"/>
  <c r="B870" i="34" s="1"/>
  <c r="R774" i="34"/>
  <c r="R775" i="34" s="1"/>
  <c r="R776" i="34" s="1"/>
  <c r="R777" i="34" s="1"/>
  <c r="R778" i="34" s="1"/>
  <c r="R779" i="34" s="1"/>
  <c r="R780" i="34" s="1"/>
  <c r="R781" i="34" s="1"/>
  <c r="R782" i="34" s="1"/>
  <c r="R783" i="34" s="1"/>
  <c r="R784" i="34" s="1"/>
  <c r="R785" i="34" s="1"/>
  <c r="R786" i="34" s="1"/>
  <c r="R787" i="34" s="1"/>
  <c r="R788" i="34" s="1"/>
  <c r="R789" i="34" s="1"/>
  <c r="R790" i="34" s="1"/>
  <c r="R791" i="34" s="1"/>
  <c r="R792" i="34" s="1"/>
  <c r="R793" i="34" s="1"/>
  <c r="R794" i="34" s="1"/>
  <c r="R795" i="34" s="1"/>
  <c r="R796" i="34" s="1"/>
  <c r="R797" i="34" s="1"/>
  <c r="R798" i="34" s="1"/>
  <c r="R799" i="34" s="1"/>
  <c r="R800" i="34" s="1"/>
  <c r="R801" i="34" s="1"/>
  <c r="R802" i="34" s="1"/>
  <c r="R803" i="34" s="1"/>
  <c r="J774" i="34"/>
  <c r="J775" i="34" s="1"/>
  <c r="J776" i="34" s="1"/>
  <c r="J777" i="34" s="1"/>
  <c r="J778" i="34" s="1"/>
  <c r="J779" i="34" s="1"/>
  <c r="J780" i="34" s="1"/>
  <c r="J781" i="34" s="1"/>
  <c r="J782" i="34" s="1"/>
  <c r="J783" i="34" s="1"/>
  <c r="J784" i="34" s="1"/>
  <c r="J785" i="34" s="1"/>
  <c r="J786" i="34" s="1"/>
  <c r="J787" i="34" s="1"/>
  <c r="J788" i="34" s="1"/>
  <c r="J789" i="34" s="1"/>
  <c r="J790" i="34" s="1"/>
  <c r="J791" i="34" s="1"/>
  <c r="J792" i="34" s="1"/>
  <c r="J793" i="34" s="1"/>
  <c r="J794" i="34" s="1"/>
  <c r="J795" i="34" s="1"/>
  <c r="J796" i="34" s="1"/>
  <c r="J797" i="34" s="1"/>
  <c r="J798" i="34" s="1"/>
  <c r="J799" i="34" s="1"/>
  <c r="J800" i="34" s="1"/>
  <c r="J801" i="34" s="1"/>
  <c r="J802" i="34" s="1"/>
  <c r="J803" i="34" s="1"/>
  <c r="B774" i="34"/>
  <c r="B775" i="34" s="1"/>
  <c r="B776" i="34" s="1"/>
  <c r="B777" i="34" s="1"/>
  <c r="B778" i="34" s="1"/>
  <c r="B779" i="34" s="1"/>
  <c r="B780" i="34" s="1"/>
  <c r="B781" i="34" s="1"/>
  <c r="B782" i="34" s="1"/>
  <c r="B783" i="34" s="1"/>
  <c r="B784" i="34" s="1"/>
  <c r="B785" i="34" s="1"/>
  <c r="B786" i="34" s="1"/>
  <c r="B787" i="34" s="1"/>
  <c r="B788" i="34" s="1"/>
  <c r="B789" i="34" s="1"/>
  <c r="B790" i="34" s="1"/>
  <c r="B791" i="34" s="1"/>
  <c r="B792" i="34" s="1"/>
  <c r="B793" i="34" s="1"/>
  <c r="B794" i="34" s="1"/>
  <c r="B795" i="34" s="1"/>
  <c r="B796" i="34" s="1"/>
  <c r="B797" i="34" s="1"/>
  <c r="B798" i="34" s="1"/>
  <c r="B799" i="34" s="1"/>
  <c r="B800" i="34" s="1"/>
  <c r="B801" i="34" s="1"/>
  <c r="B802" i="34" s="1"/>
  <c r="B803" i="34" s="1"/>
  <c r="R707" i="34"/>
  <c r="R708" i="34" s="1"/>
  <c r="R709" i="34" s="1"/>
  <c r="R710" i="34" s="1"/>
  <c r="R711" i="34" s="1"/>
  <c r="R712" i="34" s="1"/>
  <c r="R713" i="34" s="1"/>
  <c r="R714" i="34" s="1"/>
  <c r="R715" i="34" s="1"/>
  <c r="R716" i="34" s="1"/>
  <c r="R717" i="34" s="1"/>
  <c r="R718" i="34" s="1"/>
  <c r="R719" i="34" s="1"/>
  <c r="R720" i="34" s="1"/>
  <c r="R721" i="34" s="1"/>
  <c r="R722" i="34" s="1"/>
  <c r="R723" i="34" s="1"/>
  <c r="R724" i="34" s="1"/>
  <c r="R725" i="34" s="1"/>
  <c r="R726" i="34" s="1"/>
  <c r="R727" i="34" s="1"/>
  <c r="R728" i="34" s="1"/>
  <c r="R729" i="34" s="1"/>
  <c r="R730" i="34" s="1"/>
  <c r="R731" i="34" s="1"/>
  <c r="R732" i="34" s="1"/>
  <c r="R733" i="34" s="1"/>
  <c r="R734" i="34" s="1"/>
  <c r="R735" i="34" s="1"/>
  <c r="R736" i="34" s="1"/>
  <c r="J707" i="34"/>
  <c r="J708" i="34" s="1"/>
  <c r="J709" i="34" s="1"/>
  <c r="J710" i="34" s="1"/>
  <c r="J711" i="34" s="1"/>
  <c r="J712" i="34" s="1"/>
  <c r="J713" i="34" s="1"/>
  <c r="J714" i="34" s="1"/>
  <c r="J715" i="34" s="1"/>
  <c r="J716" i="34" s="1"/>
  <c r="J717" i="34" s="1"/>
  <c r="J718" i="34" s="1"/>
  <c r="J719" i="34" s="1"/>
  <c r="J720" i="34" s="1"/>
  <c r="J721" i="34" s="1"/>
  <c r="J722" i="34" s="1"/>
  <c r="J723" i="34" s="1"/>
  <c r="J724" i="34" s="1"/>
  <c r="J725" i="34" s="1"/>
  <c r="J726" i="34" s="1"/>
  <c r="J727" i="34" s="1"/>
  <c r="J728" i="34" s="1"/>
  <c r="J729" i="34" s="1"/>
  <c r="J730" i="34" s="1"/>
  <c r="J731" i="34" s="1"/>
  <c r="J732" i="34" s="1"/>
  <c r="J733" i="34" s="1"/>
  <c r="J734" i="34" s="1"/>
  <c r="J735" i="34" s="1"/>
  <c r="J736" i="34" s="1"/>
  <c r="B707" i="34"/>
  <c r="B708" i="34" s="1"/>
  <c r="B709" i="34" s="1"/>
  <c r="B710" i="34" s="1"/>
  <c r="B711" i="34" s="1"/>
  <c r="B712" i="34" s="1"/>
  <c r="B713" i="34" s="1"/>
  <c r="B714" i="34" s="1"/>
  <c r="B715" i="34" s="1"/>
  <c r="B716" i="34" s="1"/>
  <c r="B717" i="34" s="1"/>
  <c r="B718" i="34" s="1"/>
  <c r="B719" i="34" s="1"/>
  <c r="B720" i="34" s="1"/>
  <c r="B721" i="34" s="1"/>
  <c r="B722" i="34" s="1"/>
  <c r="B723" i="34" s="1"/>
  <c r="B724" i="34" s="1"/>
  <c r="B725" i="34" s="1"/>
  <c r="B726" i="34" s="1"/>
  <c r="B727" i="34" s="1"/>
  <c r="B728" i="34" s="1"/>
  <c r="B729" i="34" s="1"/>
  <c r="B730" i="34" s="1"/>
  <c r="B731" i="34" s="1"/>
  <c r="B732" i="34" s="1"/>
  <c r="B733" i="34" s="1"/>
  <c r="B734" i="34" s="1"/>
  <c r="B735" i="34" s="1"/>
  <c r="B736" i="34" s="1"/>
  <c r="R640" i="34"/>
  <c r="R641" i="34" s="1"/>
  <c r="R642" i="34" s="1"/>
  <c r="R643" i="34" s="1"/>
  <c r="R644" i="34" s="1"/>
  <c r="R645" i="34" s="1"/>
  <c r="R646" i="34" s="1"/>
  <c r="R647" i="34" s="1"/>
  <c r="R648" i="34" s="1"/>
  <c r="R649" i="34" s="1"/>
  <c r="R650" i="34" s="1"/>
  <c r="R651" i="34" s="1"/>
  <c r="R652" i="34" s="1"/>
  <c r="R653" i="34" s="1"/>
  <c r="R654" i="34" s="1"/>
  <c r="R655" i="34" s="1"/>
  <c r="R656" i="34" s="1"/>
  <c r="R657" i="34" s="1"/>
  <c r="R658" i="34" s="1"/>
  <c r="R659" i="34" s="1"/>
  <c r="R660" i="34" s="1"/>
  <c r="R661" i="34" s="1"/>
  <c r="R662" i="34" s="1"/>
  <c r="R663" i="34" s="1"/>
  <c r="R664" i="34" s="1"/>
  <c r="R665" i="34" s="1"/>
  <c r="R666" i="34" s="1"/>
  <c r="R667" i="34" s="1"/>
  <c r="R668" i="34" s="1"/>
  <c r="R669" i="34" s="1"/>
  <c r="J640" i="34"/>
  <c r="J641" i="34" s="1"/>
  <c r="J642" i="34" s="1"/>
  <c r="J643" i="34" s="1"/>
  <c r="J644" i="34" s="1"/>
  <c r="J645" i="34" s="1"/>
  <c r="J646" i="34" s="1"/>
  <c r="J647" i="34" s="1"/>
  <c r="J648" i="34" s="1"/>
  <c r="J649" i="34" s="1"/>
  <c r="J650" i="34" s="1"/>
  <c r="J651" i="34" s="1"/>
  <c r="J652" i="34" s="1"/>
  <c r="J653" i="34" s="1"/>
  <c r="J654" i="34" s="1"/>
  <c r="J655" i="34" s="1"/>
  <c r="J656" i="34" s="1"/>
  <c r="J657" i="34" s="1"/>
  <c r="J658" i="34" s="1"/>
  <c r="J659" i="34" s="1"/>
  <c r="J660" i="34" s="1"/>
  <c r="J661" i="34" s="1"/>
  <c r="J662" i="34" s="1"/>
  <c r="J663" i="34" s="1"/>
  <c r="J664" i="34" s="1"/>
  <c r="J665" i="34" s="1"/>
  <c r="J666" i="34" s="1"/>
  <c r="J667" i="34" s="1"/>
  <c r="J668" i="34" s="1"/>
  <c r="J669" i="34" s="1"/>
  <c r="B640" i="34"/>
  <c r="B641" i="34" s="1"/>
  <c r="B642" i="34" s="1"/>
  <c r="B643" i="34" s="1"/>
  <c r="B644" i="34" s="1"/>
  <c r="B645" i="34" s="1"/>
  <c r="B646" i="34" s="1"/>
  <c r="B647" i="34" s="1"/>
  <c r="B648" i="34" s="1"/>
  <c r="B649" i="34" s="1"/>
  <c r="B650" i="34" s="1"/>
  <c r="B651" i="34" s="1"/>
  <c r="B652" i="34" s="1"/>
  <c r="B653" i="34" s="1"/>
  <c r="B654" i="34" s="1"/>
  <c r="B655" i="34" s="1"/>
  <c r="B656" i="34" s="1"/>
  <c r="B657" i="34" s="1"/>
  <c r="B658" i="34" s="1"/>
  <c r="B659" i="34" s="1"/>
  <c r="B660" i="34" s="1"/>
  <c r="B661" i="34" s="1"/>
  <c r="B662" i="34" s="1"/>
  <c r="B663" i="34" s="1"/>
  <c r="B664" i="34" s="1"/>
  <c r="B665" i="34" s="1"/>
  <c r="B666" i="34" s="1"/>
  <c r="B667" i="34" s="1"/>
  <c r="B668" i="34" s="1"/>
  <c r="B669" i="34" s="1"/>
  <c r="R573" i="34"/>
  <c r="R574" i="34" s="1"/>
  <c r="R575" i="34" s="1"/>
  <c r="R576" i="34" s="1"/>
  <c r="R577" i="34" s="1"/>
  <c r="R578" i="34" s="1"/>
  <c r="R579" i="34" s="1"/>
  <c r="R580" i="34" s="1"/>
  <c r="R581" i="34" s="1"/>
  <c r="R582" i="34" s="1"/>
  <c r="R583" i="34" s="1"/>
  <c r="R584" i="34" s="1"/>
  <c r="R585" i="34" s="1"/>
  <c r="R586" i="34" s="1"/>
  <c r="R587" i="34" s="1"/>
  <c r="R588" i="34" s="1"/>
  <c r="R589" i="34" s="1"/>
  <c r="R590" i="34" s="1"/>
  <c r="R591" i="34" s="1"/>
  <c r="R592" i="34" s="1"/>
  <c r="R593" i="34" s="1"/>
  <c r="R594" i="34" s="1"/>
  <c r="R595" i="34" s="1"/>
  <c r="R596" i="34" s="1"/>
  <c r="R597" i="34" s="1"/>
  <c r="R598" i="34" s="1"/>
  <c r="R599" i="34" s="1"/>
  <c r="R600" i="34" s="1"/>
  <c r="R601" i="34" s="1"/>
  <c r="R602" i="34" s="1"/>
  <c r="J573" i="34"/>
  <c r="J574" i="34" s="1"/>
  <c r="J575" i="34" s="1"/>
  <c r="J576" i="34" s="1"/>
  <c r="J577" i="34" s="1"/>
  <c r="J578" i="34" s="1"/>
  <c r="J579" i="34" s="1"/>
  <c r="J580" i="34" s="1"/>
  <c r="J581" i="34" s="1"/>
  <c r="J582" i="34" s="1"/>
  <c r="J583" i="34" s="1"/>
  <c r="J584" i="34" s="1"/>
  <c r="J585" i="34" s="1"/>
  <c r="J586" i="34" s="1"/>
  <c r="J587" i="34" s="1"/>
  <c r="J588" i="34" s="1"/>
  <c r="J589" i="34" s="1"/>
  <c r="J590" i="34" s="1"/>
  <c r="J591" i="34" s="1"/>
  <c r="J592" i="34" s="1"/>
  <c r="J593" i="34" s="1"/>
  <c r="J594" i="34" s="1"/>
  <c r="J595" i="34" s="1"/>
  <c r="J596" i="34" s="1"/>
  <c r="J597" i="34" s="1"/>
  <c r="J598" i="34" s="1"/>
  <c r="J599" i="34" s="1"/>
  <c r="J600" i="34" s="1"/>
  <c r="J601" i="34" s="1"/>
  <c r="J602" i="34" s="1"/>
  <c r="B573" i="34"/>
  <c r="B574" i="34" s="1"/>
  <c r="B575" i="34" s="1"/>
  <c r="B576" i="34" s="1"/>
  <c r="B577" i="34" s="1"/>
  <c r="B578" i="34" s="1"/>
  <c r="B579" i="34" s="1"/>
  <c r="B580" i="34" s="1"/>
  <c r="B581" i="34" s="1"/>
  <c r="B582" i="34" s="1"/>
  <c r="B583" i="34" s="1"/>
  <c r="B584" i="34" s="1"/>
  <c r="B585" i="34" s="1"/>
  <c r="B586" i="34" s="1"/>
  <c r="B587" i="34" s="1"/>
  <c r="B588" i="34" s="1"/>
  <c r="B589" i="34" s="1"/>
  <c r="B590" i="34" s="1"/>
  <c r="B591" i="34" s="1"/>
  <c r="B592" i="34" s="1"/>
  <c r="B593" i="34" s="1"/>
  <c r="B594" i="34" s="1"/>
  <c r="B595" i="34" s="1"/>
  <c r="B596" i="34" s="1"/>
  <c r="B597" i="34" s="1"/>
  <c r="B598" i="34" s="1"/>
  <c r="B599" i="34" s="1"/>
  <c r="B600" i="34" s="1"/>
  <c r="B601" i="34" s="1"/>
  <c r="B602" i="34" s="1"/>
  <c r="R506" i="34"/>
  <c r="R507" i="34" s="1"/>
  <c r="R508" i="34" s="1"/>
  <c r="R509" i="34" s="1"/>
  <c r="R510" i="34" s="1"/>
  <c r="R511" i="34" s="1"/>
  <c r="R512" i="34" s="1"/>
  <c r="R513" i="34" s="1"/>
  <c r="R514" i="34" s="1"/>
  <c r="R515" i="34" s="1"/>
  <c r="R516" i="34" s="1"/>
  <c r="R517" i="34" s="1"/>
  <c r="R518" i="34" s="1"/>
  <c r="R519" i="34" s="1"/>
  <c r="R520" i="34" s="1"/>
  <c r="R521" i="34" s="1"/>
  <c r="R522" i="34" s="1"/>
  <c r="R523" i="34" s="1"/>
  <c r="R524" i="34" s="1"/>
  <c r="R525" i="34" s="1"/>
  <c r="R526" i="34" s="1"/>
  <c r="R527" i="34" s="1"/>
  <c r="R528" i="34" s="1"/>
  <c r="R529" i="34" s="1"/>
  <c r="R530" i="34" s="1"/>
  <c r="R531" i="34" s="1"/>
  <c r="R532" i="34" s="1"/>
  <c r="R533" i="34" s="1"/>
  <c r="R534" i="34" s="1"/>
  <c r="R535" i="34" s="1"/>
  <c r="J506" i="34"/>
  <c r="J507" i="34" s="1"/>
  <c r="J508" i="34" s="1"/>
  <c r="J509" i="34" s="1"/>
  <c r="J510" i="34" s="1"/>
  <c r="J511" i="34" s="1"/>
  <c r="J512" i="34" s="1"/>
  <c r="J513" i="34" s="1"/>
  <c r="J514" i="34" s="1"/>
  <c r="J515" i="34" s="1"/>
  <c r="J516" i="34" s="1"/>
  <c r="J517" i="34" s="1"/>
  <c r="J518" i="34" s="1"/>
  <c r="J519" i="34" s="1"/>
  <c r="J520" i="34" s="1"/>
  <c r="J521" i="34" s="1"/>
  <c r="J522" i="34" s="1"/>
  <c r="J523" i="34" s="1"/>
  <c r="J524" i="34" s="1"/>
  <c r="J525" i="34" s="1"/>
  <c r="J526" i="34" s="1"/>
  <c r="J527" i="34" s="1"/>
  <c r="J528" i="34" s="1"/>
  <c r="J529" i="34" s="1"/>
  <c r="J530" i="34" s="1"/>
  <c r="J531" i="34" s="1"/>
  <c r="J532" i="34" s="1"/>
  <c r="J533" i="34" s="1"/>
  <c r="J534" i="34" s="1"/>
  <c r="J535" i="34" s="1"/>
  <c r="B506" i="34"/>
  <c r="B507" i="34" s="1"/>
  <c r="B508" i="34" s="1"/>
  <c r="B509" i="34" s="1"/>
  <c r="B510" i="34" s="1"/>
  <c r="B511" i="34" s="1"/>
  <c r="B512" i="34" s="1"/>
  <c r="B513" i="34" s="1"/>
  <c r="B514" i="34" s="1"/>
  <c r="B515" i="34" s="1"/>
  <c r="B516" i="34" s="1"/>
  <c r="B517" i="34" s="1"/>
  <c r="B518" i="34" s="1"/>
  <c r="B519" i="34" s="1"/>
  <c r="B520" i="34" s="1"/>
  <c r="B521" i="34" s="1"/>
  <c r="B522" i="34" s="1"/>
  <c r="B523" i="34" s="1"/>
  <c r="B524" i="34" s="1"/>
  <c r="B525" i="34" s="1"/>
  <c r="B526" i="34" s="1"/>
  <c r="B527" i="34" s="1"/>
  <c r="B528" i="34" s="1"/>
  <c r="B529" i="34" s="1"/>
  <c r="B530" i="34" s="1"/>
  <c r="B531" i="34" s="1"/>
  <c r="B532" i="34" s="1"/>
  <c r="B533" i="34" s="1"/>
  <c r="B534" i="34" s="1"/>
  <c r="B535" i="34" s="1"/>
  <c r="R439" i="34"/>
  <c r="R440" i="34" s="1"/>
  <c r="R441" i="34" s="1"/>
  <c r="R442" i="34" s="1"/>
  <c r="R443" i="34" s="1"/>
  <c r="R444" i="34" s="1"/>
  <c r="R445" i="34" s="1"/>
  <c r="R446" i="34" s="1"/>
  <c r="R447" i="34" s="1"/>
  <c r="R448" i="34" s="1"/>
  <c r="R449" i="34" s="1"/>
  <c r="R450" i="34" s="1"/>
  <c r="R451" i="34" s="1"/>
  <c r="R452" i="34" s="1"/>
  <c r="R453" i="34" s="1"/>
  <c r="R454" i="34" s="1"/>
  <c r="R455" i="34" s="1"/>
  <c r="R456" i="34" s="1"/>
  <c r="R457" i="34" s="1"/>
  <c r="R458" i="34" s="1"/>
  <c r="R459" i="34" s="1"/>
  <c r="R460" i="34" s="1"/>
  <c r="R461" i="34" s="1"/>
  <c r="R462" i="34" s="1"/>
  <c r="R463" i="34" s="1"/>
  <c r="R464" i="34" s="1"/>
  <c r="R465" i="34" s="1"/>
  <c r="R466" i="34" s="1"/>
  <c r="R467" i="34" s="1"/>
  <c r="R468" i="34" s="1"/>
  <c r="J439" i="34"/>
  <c r="J440" i="34" s="1"/>
  <c r="J441" i="34" s="1"/>
  <c r="J442" i="34" s="1"/>
  <c r="J443" i="34" s="1"/>
  <c r="J444" i="34" s="1"/>
  <c r="J445" i="34" s="1"/>
  <c r="J446" i="34" s="1"/>
  <c r="J447" i="34" s="1"/>
  <c r="J448" i="34" s="1"/>
  <c r="J449" i="34" s="1"/>
  <c r="J450" i="34" s="1"/>
  <c r="J451" i="34" s="1"/>
  <c r="J452" i="34" s="1"/>
  <c r="J453" i="34" s="1"/>
  <c r="J454" i="34" s="1"/>
  <c r="J455" i="34" s="1"/>
  <c r="J456" i="34" s="1"/>
  <c r="J457" i="34" s="1"/>
  <c r="J458" i="34" s="1"/>
  <c r="J459" i="34" s="1"/>
  <c r="J460" i="34" s="1"/>
  <c r="J461" i="34" s="1"/>
  <c r="J462" i="34" s="1"/>
  <c r="J463" i="34" s="1"/>
  <c r="J464" i="34" s="1"/>
  <c r="J465" i="34" s="1"/>
  <c r="J466" i="34" s="1"/>
  <c r="J467" i="34" s="1"/>
  <c r="J468" i="34" s="1"/>
  <c r="B439" i="34"/>
  <c r="B440" i="34" s="1"/>
  <c r="B441" i="34" s="1"/>
  <c r="B442" i="34" s="1"/>
  <c r="B443" i="34" s="1"/>
  <c r="B444" i="34" s="1"/>
  <c r="B445" i="34" s="1"/>
  <c r="B446" i="34" s="1"/>
  <c r="B447" i="34" s="1"/>
  <c r="B448" i="34" s="1"/>
  <c r="B449" i="34" s="1"/>
  <c r="B450" i="34" s="1"/>
  <c r="B451" i="34" s="1"/>
  <c r="B452" i="34" s="1"/>
  <c r="B453" i="34" s="1"/>
  <c r="B454" i="34" s="1"/>
  <c r="B455" i="34" s="1"/>
  <c r="B456" i="34" s="1"/>
  <c r="B457" i="34" s="1"/>
  <c r="B458" i="34" s="1"/>
  <c r="B459" i="34" s="1"/>
  <c r="B460" i="34" s="1"/>
  <c r="B461" i="34" s="1"/>
  <c r="B462" i="34" s="1"/>
  <c r="B463" i="34" s="1"/>
  <c r="B464" i="34" s="1"/>
  <c r="B465" i="34" s="1"/>
  <c r="B466" i="34" s="1"/>
  <c r="B467" i="34" s="1"/>
  <c r="B468" i="34" s="1"/>
  <c r="R372" i="34"/>
  <c r="R373" i="34" s="1"/>
  <c r="R374" i="34" s="1"/>
  <c r="R375" i="34" s="1"/>
  <c r="R376" i="34" s="1"/>
  <c r="R377" i="34" s="1"/>
  <c r="R378" i="34" s="1"/>
  <c r="R379" i="34" s="1"/>
  <c r="R380" i="34" s="1"/>
  <c r="R381" i="34" s="1"/>
  <c r="R382" i="34" s="1"/>
  <c r="R383" i="34" s="1"/>
  <c r="R384" i="34" s="1"/>
  <c r="R385" i="34" s="1"/>
  <c r="R386" i="34" s="1"/>
  <c r="R387" i="34" s="1"/>
  <c r="R388" i="34" s="1"/>
  <c r="R389" i="34" s="1"/>
  <c r="R390" i="34" s="1"/>
  <c r="R391" i="34" s="1"/>
  <c r="R392" i="34" s="1"/>
  <c r="R393" i="34" s="1"/>
  <c r="R394" i="34" s="1"/>
  <c r="R395" i="34" s="1"/>
  <c r="R396" i="34" s="1"/>
  <c r="R397" i="34" s="1"/>
  <c r="R398" i="34" s="1"/>
  <c r="R399" i="34" s="1"/>
  <c r="R400" i="34" s="1"/>
  <c r="R401" i="34" s="1"/>
  <c r="J372" i="34"/>
  <c r="J373" i="34" s="1"/>
  <c r="J374" i="34" s="1"/>
  <c r="J375" i="34" s="1"/>
  <c r="J376" i="34" s="1"/>
  <c r="J377" i="34" s="1"/>
  <c r="J378" i="34" s="1"/>
  <c r="J379" i="34" s="1"/>
  <c r="J380" i="34" s="1"/>
  <c r="J381" i="34" s="1"/>
  <c r="J382" i="34" s="1"/>
  <c r="J383" i="34" s="1"/>
  <c r="J384" i="34" s="1"/>
  <c r="J385" i="34" s="1"/>
  <c r="J386" i="34" s="1"/>
  <c r="J387" i="34" s="1"/>
  <c r="J388" i="34" s="1"/>
  <c r="J389" i="34" s="1"/>
  <c r="J390" i="34" s="1"/>
  <c r="J391" i="34" s="1"/>
  <c r="J392" i="34" s="1"/>
  <c r="J393" i="34" s="1"/>
  <c r="J394" i="34" s="1"/>
  <c r="J395" i="34" s="1"/>
  <c r="J396" i="34" s="1"/>
  <c r="J397" i="34" s="1"/>
  <c r="J398" i="34" s="1"/>
  <c r="J399" i="34" s="1"/>
  <c r="J400" i="34" s="1"/>
  <c r="J401" i="34" s="1"/>
  <c r="B372" i="34"/>
  <c r="B373" i="34" s="1"/>
  <c r="B374" i="34" s="1"/>
  <c r="B375" i="34" s="1"/>
  <c r="B376" i="34" s="1"/>
  <c r="B377" i="34" s="1"/>
  <c r="B378" i="34" s="1"/>
  <c r="B379" i="34" s="1"/>
  <c r="B380" i="34" s="1"/>
  <c r="B381" i="34" s="1"/>
  <c r="B382" i="34" s="1"/>
  <c r="B383" i="34" s="1"/>
  <c r="B384" i="34" s="1"/>
  <c r="B385" i="34" s="1"/>
  <c r="B386" i="34" s="1"/>
  <c r="B387" i="34" s="1"/>
  <c r="B388" i="34" s="1"/>
  <c r="B389" i="34" s="1"/>
  <c r="B390" i="34" s="1"/>
  <c r="B391" i="34" s="1"/>
  <c r="B392" i="34" s="1"/>
  <c r="B393" i="34" s="1"/>
  <c r="B394" i="34" s="1"/>
  <c r="B395" i="34" s="1"/>
  <c r="B396" i="34" s="1"/>
  <c r="B397" i="34" s="1"/>
  <c r="B398" i="34" s="1"/>
  <c r="B399" i="34" s="1"/>
  <c r="B400" i="34" s="1"/>
  <c r="B401" i="34" s="1"/>
  <c r="R305" i="34"/>
  <c r="R306" i="34" s="1"/>
  <c r="R307" i="34" s="1"/>
  <c r="R308" i="34" s="1"/>
  <c r="R309" i="34" s="1"/>
  <c r="R310" i="34" s="1"/>
  <c r="R311" i="34" s="1"/>
  <c r="R312" i="34" s="1"/>
  <c r="R313" i="34" s="1"/>
  <c r="R314" i="34" s="1"/>
  <c r="R315" i="34" s="1"/>
  <c r="R316" i="34" s="1"/>
  <c r="R317" i="34" s="1"/>
  <c r="R318" i="34" s="1"/>
  <c r="R319" i="34" s="1"/>
  <c r="R320" i="34" s="1"/>
  <c r="R321" i="34" s="1"/>
  <c r="R322" i="34" s="1"/>
  <c r="R323" i="34" s="1"/>
  <c r="R324" i="34" s="1"/>
  <c r="R325" i="34" s="1"/>
  <c r="R326" i="34" s="1"/>
  <c r="R327" i="34" s="1"/>
  <c r="R328" i="34" s="1"/>
  <c r="R329" i="34" s="1"/>
  <c r="R330" i="34" s="1"/>
  <c r="R331" i="34" s="1"/>
  <c r="R332" i="34" s="1"/>
  <c r="R333" i="34" s="1"/>
  <c r="R334" i="34" s="1"/>
  <c r="J305" i="34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B305" i="34"/>
  <c r="B306" i="34" s="1"/>
  <c r="B307" i="34" s="1"/>
  <c r="B308" i="34" s="1"/>
  <c r="B309" i="34" s="1"/>
  <c r="B310" i="34" s="1"/>
  <c r="B311" i="34" s="1"/>
  <c r="B312" i="34" s="1"/>
  <c r="B313" i="34" s="1"/>
  <c r="B314" i="34" s="1"/>
  <c r="B315" i="34" s="1"/>
  <c r="B316" i="34" s="1"/>
  <c r="B317" i="34" s="1"/>
  <c r="B318" i="34" s="1"/>
  <c r="B319" i="34" s="1"/>
  <c r="B320" i="34" s="1"/>
  <c r="B321" i="34" s="1"/>
  <c r="B322" i="34" s="1"/>
  <c r="B323" i="34" s="1"/>
  <c r="B324" i="34" s="1"/>
  <c r="B325" i="34" s="1"/>
  <c r="B326" i="34" s="1"/>
  <c r="B327" i="34" s="1"/>
  <c r="B328" i="34" s="1"/>
  <c r="B329" i="34" s="1"/>
  <c r="B330" i="34" s="1"/>
  <c r="B331" i="34" s="1"/>
  <c r="B332" i="34" s="1"/>
  <c r="B333" i="34" s="1"/>
  <c r="B334" i="34" s="1"/>
  <c r="R238" i="34"/>
  <c r="R239" i="34" s="1"/>
  <c r="R240" i="34" s="1"/>
  <c r="R241" i="34" s="1"/>
  <c r="R242" i="34" s="1"/>
  <c r="R243" i="34" s="1"/>
  <c r="R244" i="34" s="1"/>
  <c r="R245" i="34" s="1"/>
  <c r="R246" i="34" s="1"/>
  <c r="R247" i="34" s="1"/>
  <c r="R248" i="34" s="1"/>
  <c r="R249" i="34" s="1"/>
  <c r="R250" i="34" s="1"/>
  <c r="R251" i="34" s="1"/>
  <c r="R252" i="34" s="1"/>
  <c r="R253" i="34" s="1"/>
  <c r="R254" i="34" s="1"/>
  <c r="R255" i="34" s="1"/>
  <c r="R256" i="34" s="1"/>
  <c r="R257" i="34" s="1"/>
  <c r="R258" i="34" s="1"/>
  <c r="R259" i="34" s="1"/>
  <c r="R260" i="34" s="1"/>
  <c r="R261" i="34" s="1"/>
  <c r="R262" i="34" s="1"/>
  <c r="R263" i="34" s="1"/>
  <c r="R264" i="34" s="1"/>
  <c r="R265" i="34" s="1"/>
  <c r="R266" i="34" s="1"/>
  <c r="R267" i="34" s="1"/>
  <c r="J238" i="34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B238" i="34"/>
  <c r="B239" i="34" s="1"/>
  <c r="B240" i="34" s="1"/>
  <c r="B241" i="34" s="1"/>
  <c r="B242" i="34" s="1"/>
  <c r="B243" i="34" s="1"/>
  <c r="B244" i="34" s="1"/>
  <c r="B245" i="34" s="1"/>
  <c r="B246" i="34" s="1"/>
  <c r="B247" i="34" s="1"/>
  <c r="B248" i="34" s="1"/>
  <c r="B249" i="34" s="1"/>
  <c r="B250" i="34" s="1"/>
  <c r="B251" i="34" s="1"/>
  <c r="B252" i="34" s="1"/>
  <c r="B253" i="34" s="1"/>
  <c r="B254" i="34" s="1"/>
  <c r="B255" i="34" s="1"/>
  <c r="B256" i="34" s="1"/>
  <c r="B257" i="34" s="1"/>
  <c r="B258" i="34" s="1"/>
  <c r="B259" i="34" s="1"/>
  <c r="B260" i="34" s="1"/>
  <c r="B261" i="34" s="1"/>
  <c r="B262" i="34" s="1"/>
  <c r="B263" i="34" s="1"/>
  <c r="B264" i="34" s="1"/>
  <c r="B265" i="34" s="1"/>
  <c r="B266" i="34" s="1"/>
  <c r="B267" i="34" s="1"/>
  <c r="R171" i="34"/>
  <c r="R172" i="34" s="1"/>
  <c r="R173" i="34" s="1"/>
  <c r="R174" i="34" s="1"/>
  <c r="R175" i="34" s="1"/>
  <c r="R176" i="34" s="1"/>
  <c r="R177" i="34" s="1"/>
  <c r="R178" i="34" s="1"/>
  <c r="R179" i="34" s="1"/>
  <c r="R180" i="34" s="1"/>
  <c r="R181" i="34" s="1"/>
  <c r="R182" i="34" s="1"/>
  <c r="R183" i="34" s="1"/>
  <c r="R184" i="34" s="1"/>
  <c r="R185" i="34" s="1"/>
  <c r="R186" i="34" s="1"/>
  <c r="R187" i="34" s="1"/>
  <c r="R188" i="34" s="1"/>
  <c r="R189" i="34" s="1"/>
  <c r="R190" i="34" s="1"/>
  <c r="R191" i="34" s="1"/>
  <c r="R192" i="34" s="1"/>
  <c r="R193" i="34" s="1"/>
  <c r="R194" i="34" s="1"/>
  <c r="R195" i="34" s="1"/>
  <c r="R196" i="34" s="1"/>
  <c r="R197" i="34" s="1"/>
  <c r="R198" i="34" s="1"/>
  <c r="R199" i="34" s="1"/>
  <c r="R200" i="34" s="1"/>
  <c r="J171" i="34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B171" i="34"/>
  <c r="B172" i="34" s="1"/>
  <c r="B173" i="34" s="1"/>
  <c r="B174" i="34" s="1"/>
  <c r="B175" i="34" s="1"/>
  <c r="B176" i="34" s="1"/>
  <c r="B177" i="34" s="1"/>
  <c r="B178" i="34" s="1"/>
  <c r="B179" i="34" s="1"/>
  <c r="B180" i="34" s="1"/>
  <c r="B181" i="34" s="1"/>
  <c r="B182" i="34" s="1"/>
  <c r="B183" i="34" s="1"/>
  <c r="B184" i="34" s="1"/>
  <c r="B185" i="34" s="1"/>
  <c r="B186" i="34" s="1"/>
  <c r="B187" i="34" s="1"/>
  <c r="B188" i="34" s="1"/>
  <c r="B189" i="34" s="1"/>
  <c r="B190" i="34" s="1"/>
  <c r="B191" i="34" s="1"/>
  <c r="B192" i="34" s="1"/>
  <c r="B193" i="34" s="1"/>
  <c r="B194" i="34" s="1"/>
  <c r="B195" i="34" s="1"/>
  <c r="B196" i="34" s="1"/>
  <c r="B197" i="34" s="1"/>
  <c r="B198" i="34" s="1"/>
  <c r="B199" i="34" s="1"/>
  <c r="B200" i="34" s="1"/>
  <c r="R104" i="34"/>
  <c r="R105" i="34" s="1"/>
  <c r="R106" i="34" s="1"/>
  <c r="R107" i="34" s="1"/>
  <c r="R108" i="34" s="1"/>
  <c r="R109" i="34" s="1"/>
  <c r="R110" i="34" s="1"/>
  <c r="R111" i="34" s="1"/>
  <c r="R112" i="34" s="1"/>
  <c r="R113" i="34" s="1"/>
  <c r="R114" i="34" s="1"/>
  <c r="R115" i="34" s="1"/>
  <c r="R116" i="34" s="1"/>
  <c r="R117" i="34" s="1"/>
  <c r="R118" i="34" s="1"/>
  <c r="R119" i="34" s="1"/>
  <c r="R120" i="34" s="1"/>
  <c r="R121" i="34" s="1"/>
  <c r="R122" i="34" s="1"/>
  <c r="R123" i="34" s="1"/>
  <c r="R124" i="34" s="1"/>
  <c r="R125" i="34" s="1"/>
  <c r="R126" i="34" s="1"/>
  <c r="R127" i="34" s="1"/>
  <c r="R128" i="34" s="1"/>
  <c r="R129" i="34" s="1"/>
  <c r="R130" i="34" s="1"/>
  <c r="R131" i="34" s="1"/>
  <c r="R132" i="34" s="1"/>
  <c r="R133" i="34" s="1"/>
  <c r="J104" i="34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B104" i="34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119" i="34" s="1"/>
  <c r="B120" i="34" s="1"/>
  <c r="B121" i="34" s="1"/>
  <c r="B122" i="34" s="1"/>
  <c r="B123" i="34" s="1"/>
  <c r="B124" i="34" s="1"/>
  <c r="B125" i="34" s="1"/>
  <c r="B126" i="34" s="1"/>
  <c r="B127" i="34" s="1"/>
  <c r="B128" i="34" s="1"/>
  <c r="B129" i="34" s="1"/>
  <c r="B130" i="34" s="1"/>
  <c r="B131" i="34" s="1"/>
  <c r="B132" i="34" s="1"/>
  <c r="B133" i="34" s="1"/>
  <c r="R37" i="36"/>
  <c r="R38" i="36" s="1"/>
  <c r="R39" i="36" s="1"/>
  <c r="R40" i="36" s="1"/>
  <c r="R41" i="36" s="1"/>
  <c r="R42" i="36" s="1"/>
  <c r="R43" i="36" s="1"/>
  <c r="R44" i="36" s="1"/>
  <c r="R45" i="36" s="1"/>
  <c r="R46" i="36" s="1"/>
  <c r="R47" i="36" s="1"/>
  <c r="R48" i="36" s="1"/>
  <c r="R49" i="36" s="1"/>
  <c r="R50" i="36" s="1"/>
  <c r="R51" i="36" s="1"/>
  <c r="R52" i="36" s="1"/>
  <c r="R53" i="36" s="1"/>
  <c r="R54" i="36" s="1"/>
  <c r="R55" i="36" s="1"/>
  <c r="R56" i="36" s="1"/>
  <c r="R57" i="36" s="1"/>
  <c r="R58" i="36" s="1"/>
  <c r="R59" i="36" s="1"/>
  <c r="R60" i="36" s="1"/>
  <c r="R61" i="36" s="1"/>
  <c r="R62" i="36" s="1"/>
  <c r="R63" i="36" s="1"/>
  <c r="R64" i="36" s="1"/>
  <c r="R65" i="36" s="1"/>
  <c r="R66" i="36" s="1"/>
  <c r="J37" i="36"/>
  <c r="J38" i="36" s="1"/>
  <c r="J39" i="36" s="1"/>
  <c r="J40" i="36" s="1"/>
  <c r="J41" i="36" s="1"/>
  <c r="J42" i="36" s="1"/>
  <c r="J43" i="36" s="1"/>
  <c r="J44" i="36" s="1"/>
  <c r="J45" i="36" s="1"/>
  <c r="J46" i="36" s="1"/>
  <c r="J47" i="36" s="1"/>
  <c r="J48" i="36" s="1"/>
  <c r="J49" i="36" s="1"/>
  <c r="J50" i="36" s="1"/>
  <c r="J51" i="36" s="1"/>
  <c r="J52" i="36" s="1"/>
  <c r="J53" i="36" s="1"/>
  <c r="J54" i="36" s="1"/>
  <c r="J55" i="36" s="1"/>
  <c r="J56" i="36" s="1"/>
  <c r="J57" i="36" s="1"/>
  <c r="J58" i="36" s="1"/>
  <c r="J59" i="36" s="1"/>
  <c r="J60" i="36" s="1"/>
  <c r="J61" i="36" s="1"/>
  <c r="J62" i="36" s="1"/>
  <c r="J63" i="36" s="1"/>
  <c r="J64" i="36" s="1"/>
  <c r="J65" i="36" s="1"/>
  <c r="J66" i="36" s="1"/>
  <c r="B37" i="36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R37" i="35"/>
  <c r="R38" i="35" s="1"/>
  <c r="R39" i="35" s="1"/>
  <c r="R40" i="35" s="1"/>
  <c r="R41" i="35" s="1"/>
  <c r="R42" i="35" s="1"/>
  <c r="R43" i="35" s="1"/>
  <c r="R44" i="35" s="1"/>
  <c r="R45" i="35" s="1"/>
  <c r="R46" i="35" s="1"/>
  <c r="R47" i="35" s="1"/>
  <c r="R48" i="35" s="1"/>
  <c r="R49" i="35" s="1"/>
  <c r="R50" i="35" s="1"/>
  <c r="R51" i="35" s="1"/>
  <c r="R52" i="35" s="1"/>
  <c r="R53" i="35" s="1"/>
  <c r="R54" i="35" s="1"/>
  <c r="R55" i="35" s="1"/>
  <c r="R56" i="35" s="1"/>
  <c r="R57" i="35" s="1"/>
  <c r="R58" i="35" s="1"/>
  <c r="R59" i="35" s="1"/>
  <c r="R60" i="35" s="1"/>
  <c r="R61" i="35" s="1"/>
  <c r="R62" i="35" s="1"/>
  <c r="R63" i="35" s="1"/>
  <c r="R64" i="35" s="1"/>
  <c r="R65" i="35" s="1"/>
  <c r="R66" i="35" s="1"/>
  <c r="J37" i="35"/>
  <c r="J38" i="35" s="1"/>
  <c r="J39" i="35" s="1"/>
  <c r="J40" i="35" s="1"/>
  <c r="J41" i="35" s="1"/>
  <c r="J42" i="35" s="1"/>
  <c r="J43" i="35" s="1"/>
  <c r="J44" i="35" s="1"/>
  <c r="J45" i="35" s="1"/>
  <c r="J46" i="35" s="1"/>
  <c r="J47" i="35" s="1"/>
  <c r="J48" i="35" s="1"/>
  <c r="J49" i="35" s="1"/>
  <c r="J50" i="35" s="1"/>
  <c r="J51" i="35" s="1"/>
  <c r="J52" i="35" s="1"/>
  <c r="J53" i="35" s="1"/>
  <c r="J54" i="35" s="1"/>
  <c r="J55" i="35" s="1"/>
  <c r="J56" i="35" s="1"/>
  <c r="J57" i="35" s="1"/>
  <c r="J58" i="35" s="1"/>
  <c r="J59" i="35" s="1"/>
  <c r="J60" i="35" s="1"/>
  <c r="J61" i="35" s="1"/>
  <c r="J62" i="35" s="1"/>
  <c r="J63" i="35" s="1"/>
  <c r="J64" i="35" s="1"/>
  <c r="J65" i="35" s="1"/>
  <c r="J66" i="35" s="1"/>
  <c r="B37" i="35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R37" i="34"/>
  <c r="R38" i="34" s="1"/>
  <c r="R39" i="34" s="1"/>
  <c r="R40" i="34" s="1"/>
  <c r="R41" i="34" s="1"/>
  <c r="R42" i="34" s="1"/>
  <c r="R43" i="34" s="1"/>
  <c r="R44" i="34" s="1"/>
  <c r="R45" i="34" s="1"/>
  <c r="R46" i="34" s="1"/>
  <c r="R47" i="34" s="1"/>
  <c r="R48" i="34" s="1"/>
  <c r="R49" i="34" s="1"/>
  <c r="R50" i="34" s="1"/>
  <c r="R51" i="34" s="1"/>
  <c r="R52" i="34" s="1"/>
  <c r="R53" i="34" s="1"/>
  <c r="R54" i="34" s="1"/>
  <c r="R55" i="34" s="1"/>
  <c r="R56" i="34" s="1"/>
  <c r="R57" i="34" s="1"/>
  <c r="R58" i="34" s="1"/>
  <c r="R59" i="34" s="1"/>
  <c r="R60" i="34" s="1"/>
  <c r="R61" i="34" s="1"/>
  <c r="R62" i="34" s="1"/>
  <c r="R63" i="34" s="1"/>
  <c r="R64" i="34" s="1"/>
  <c r="R65" i="34" s="1"/>
  <c r="R66" i="34" s="1"/>
  <c r="J37" i="34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B37" i="34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R37" i="33"/>
  <c r="R38" i="33" s="1"/>
  <c r="R39" i="33" s="1"/>
  <c r="R40" i="33" s="1"/>
  <c r="R41" i="33" s="1"/>
  <c r="R42" i="33" s="1"/>
  <c r="R43" i="33" s="1"/>
  <c r="R44" i="33" s="1"/>
  <c r="R45" i="33" s="1"/>
  <c r="R46" i="33" s="1"/>
  <c r="R47" i="33" s="1"/>
  <c r="R48" i="33" s="1"/>
  <c r="R49" i="33" s="1"/>
  <c r="R50" i="33" s="1"/>
  <c r="R51" i="33" s="1"/>
  <c r="R52" i="33" s="1"/>
  <c r="R53" i="33" s="1"/>
  <c r="R54" i="33" s="1"/>
  <c r="R55" i="33" s="1"/>
  <c r="R56" i="33" s="1"/>
  <c r="R57" i="33" s="1"/>
  <c r="R58" i="33" s="1"/>
  <c r="R59" i="33" s="1"/>
  <c r="R60" i="33" s="1"/>
  <c r="R61" i="33" s="1"/>
  <c r="R62" i="33" s="1"/>
  <c r="R63" i="33" s="1"/>
  <c r="R64" i="33" s="1"/>
  <c r="R65" i="33" s="1"/>
  <c r="R66" i="33" s="1"/>
  <c r="J37" i="33"/>
  <c r="J38" i="33" s="1"/>
  <c r="J39" i="33" s="1"/>
  <c r="J40" i="33" s="1"/>
  <c r="J41" i="33" s="1"/>
  <c r="J42" i="33" s="1"/>
  <c r="J43" i="33" s="1"/>
  <c r="J44" i="33" s="1"/>
  <c r="J45" i="33" s="1"/>
  <c r="J46" i="33" s="1"/>
  <c r="J47" i="33" s="1"/>
  <c r="J48" i="33" s="1"/>
  <c r="J49" i="33" s="1"/>
  <c r="J50" i="33" s="1"/>
  <c r="J51" i="33" s="1"/>
  <c r="J52" i="33" s="1"/>
  <c r="J53" i="33" s="1"/>
  <c r="J54" i="33" s="1"/>
  <c r="J55" i="33" s="1"/>
  <c r="J56" i="33" s="1"/>
  <c r="J57" i="33" s="1"/>
  <c r="J58" i="33" s="1"/>
  <c r="J59" i="33" s="1"/>
  <c r="J60" i="33" s="1"/>
  <c r="J61" i="33" s="1"/>
  <c r="J62" i="33" s="1"/>
  <c r="J63" i="33" s="1"/>
  <c r="J64" i="33" s="1"/>
  <c r="J65" i="33" s="1"/>
  <c r="J66" i="33" s="1"/>
  <c r="B37" i="33"/>
  <c r="B38" i="33" s="1"/>
  <c r="B39" i="33" s="1"/>
  <c r="B40" i="33" s="1"/>
  <c r="B41" i="33" s="1"/>
  <c r="B42" i="33" s="1"/>
  <c r="B43" i="33" s="1"/>
  <c r="B44" i="33" s="1"/>
  <c r="B45" i="33" s="1"/>
  <c r="B46" i="33" s="1"/>
  <c r="B47" i="33" s="1"/>
  <c r="B48" i="33" s="1"/>
  <c r="B49" i="33" s="1"/>
  <c r="B50" i="33" s="1"/>
  <c r="B51" i="33" s="1"/>
  <c r="B52" i="33" s="1"/>
  <c r="B53" i="33" s="1"/>
  <c r="B54" i="33" s="1"/>
  <c r="B55" i="33" s="1"/>
  <c r="B56" i="33" s="1"/>
  <c r="B57" i="33" s="1"/>
  <c r="B58" i="33" s="1"/>
  <c r="B59" i="33" s="1"/>
  <c r="B60" i="33" s="1"/>
  <c r="B61" i="33" s="1"/>
  <c r="B62" i="33" s="1"/>
  <c r="B63" i="33" s="1"/>
  <c r="B64" i="33" s="1"/>
  <c r="B65" i="33" s="1"/>
  <c r="B66" i="33" s="1"/>
  <c r="K10" i="1" l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9" i="1"/>
  <c r="L9" i="1" s="1"/>
  <c r="O158" i="40"/>
  <c r="K158" i="40"/>
  <c r="G158" i="40"/>
  <c r="C158" i="40"/>
  <c r="O157" i="40"/>
  <c r="K157" i="40"/>
  <c r="G157" i="40"/>
  <c r="C157" i="40"/>
  <c r="O156" i="40"/>
  <c r="K156" i="40"/>
  <c r="G156" i="40"/>
  <c r="C156" i="40"/>
  <c r="O155" i="40"/>
  <c r="K155" i="40"/>
  <c r="G155" i="40"/>
  <c r="C155" i="40"/>
  <c r="O154" i="40"/>
  <c r="K154" i="40"/>
  <c r="G154" i="40"/>
  <c r="C154" i="40"/>
  <c r="O153" i="40"/>
  <c r="K153" i="40"/>
  <c r="G153" i="40"/>
  <c r="C153" i="40"/>
  <c r="O152" i="40"/>
  <c r="K152" i="40"/>
  <c r="G152" i="40"/>
  <c r="C152" i="40"/>
  <c r="O151" i="40"/>
  <c r="K151" i="40"/>
  <c r="G151" i="40"/>
  <c r="C151" i="40"/>
  <c r="O150" i="40"/>
  <c r="K150" i="40"/>
  <c r="G150" i="40"/>
  <c r="C150" i="40"/>
  <c r="O149" i="40"/>
  <c r="K149" i="40"/>
  <c r="G149" i="40"/>
  <c r="C149" i="40"/>
  <c r="O148" i="40"/>
  <c r="K148" i="40"/>
  <c r="G148" i="40"/>
  <c r="C148" i="40"/>
  <c r="O147" i="40"/>
  <c r="K147" i="40"/>
  <c r="G147" i="40"/>
  <c r="C147" i="40"/>
  <c r="O146" i="40"/>
  <c r="K146" i="40"/>
  <c r="G146" i="40"/>
  <c r="C146" i="40"/>
  <c r="O145" i="40"/>
  <c r="K145" i="40"/>
  <c r="G145" i="40"/>
  <c r="C145" i="40"/>
  <c r="O144" i="40"/>
  <c r="K144" i="40"/>
  <c r="G144" i="40"/>
  <c r="C144" i="40"/>
  <c r="O143" i="40"/>
  <c r="K143" i="40"/>
  <c r="G143" i="40"/>
  <c r="C143" i="40"/>
  <c r="O142" i="40"/>
  <c r="K142" i="40"/>
  <c r="G142" i="40"/>
  <c r="C142" i="40"/>
  <c r="O141" i="40"/>
  <c r="K141" i="40"/>
  <c r="G141" i="40"/>
  <c r="C141" i="40"/>
  <c r="O140" i="40"/>
  <c r="K140" i="40"/>
  <c r="G140" i="40"/>
  <c r="C140" i="40"/>
  <c r="O139" i="40"/>
  <c r="K139" i="40"/>
  <c r="G139" i="40"/>
  <c r="C139" i="40"/>
  <c r="O138" i="40"/>
  <c r="K138" i="40"/>
  <c r="G138" i="40"/>
  <c r="C138" i="40"/>
  <c r="O137" i="40"/>
  <c r="K137" i="40"/>
  <c r="G137" i="40"/>
  <c r="C137" i="40"/>
  <c r="O136" i="40"/>
  <c r="K136" i="40"/>
  <c r="G136" i="40"/>
  <c r="C136" i="40"/>
  <c r="O135" i="40"/>
  <c r="K135" i="40"/>
  <c r="G135" i="40"/>
  <c r="C135" i="40"/>
  <c r="O134" i="40"/>
  <c r="K134" i="40"/>
  <c r="G134" i="40"/>
  <c r="C134" i="40"/>
  <c r="O133" i="40"/>
  <c r="K133" i="40"/>
  <c r="G133" i="40"/>
  <c r="C133" i="40"/>
  <c r="O132" i="40"/>
  <c r="K132" i="40"/>
  <c r="G132" i="40"/>
  <c r="C132" i="40"/>
  <c r="O131" i="40"/>
  <c r="K131" i="40"/>
  <c r="G131" i="40"/>
  <c r="C131" i="40"/>
  <c r="O130" i="40"/>
  <c r="K130" i="40"/>
  <c r="G130" i="40"/>
  <c r="C130" i="40"/>
  <c r="O129" i="40"/>
  <c r="K129" i="40"/>
  <c r="G129" i="40"/>
  <c r="C129" i="40"/>
  <c r="O128" i="40"/>
  <c r="K128" i="40"/>
  <c r="G128" i="40"/>
  <c r="C128" i="40"/>
  <c r="O127" i="40"/>
  <c r="K127" i="40"/>
  <c r="G127" i="40"/>
  <c r="C127" i="40"/>
  <c r="O126" i="40"/>
  <c r="K126" i="40"/>
  <c r="G126" i="40"/>
  <c r="C126" i="40"/>
  <c r="O125" i="40"/>
  <c r="K125" i="40"/>
  <c r="G125" i="40"/>
  <c r="C125" i="40"/>
  <c r="O124" i="40"/>
  <c r="K124" i="40"/>
  <c r="G124" i="40"/>
  <c r="C124" i="40"/>
  <c r="O123" i="40"/>
  <c r="K123" i="40"/>
  <c r="G123" i="40"/>
  <c r="C123" i="40"/>
  <c r="O122" i="40"/>
  <c r="K122" i="40"/>
  <c r="G122" i="40"/>
  <c r="C122" i="40"/>
  <c r="O121" i="40"/>
  <c r="K121" i="40"/>
  <c r="G121" i="40"/>
  <c r="C121" i="40"/>
  <c r="O120" i="40"/>
  <c r="K120" i="40"/>
  <c r="G120" i="40"/>
  <c r="C120" i="40"/>
  <c r="O119" i="40"/>
  <c r="K119" i="40"/>
  <c r="G119" i="40"/>
  <c r="C119" i="40"/>
  <c r="O118" i="40"/>
  <c r="K118" i="40"/>
  <c r="G118" i="40"/>
  <c r="C118" i="40"/>
  <c r="O117" i="40"/>
  <c r="K117" i="40"/>
  <c r="G117" i="40"/>
  <c r="C117" i="40"/>
  <c r="O116" i="40"/>
  <c r="K116" i="40"/>
  <c r="G116" i="40"/>
  <c r="C116" i="40"/>
  <c r="O115" i="40"/>
  <c r="K115" i="40"/>
  <c r="G115" i="40"/>
  <c r="C115" i="40"/>
  <c r="O114" i="40"/>
  <c r="K114" i="40"/>
  <c r="G114" i="40"/>
  <c r="C114" i="40"/>
  <c r="O113" i="40"/>
  <c r="K113" i="40"/>
  <c r="G113" i="40"/>
  <c r="C113" i="40"/>
  <c r="O112" i="40"/>
  <c r="K112" i="40"/>
  <c r="G112" i="40"/>
  <c r="C112" i="40"/>
  <c r="O111" i="40"/>
  <c r="K111" i="40"/>
  <c r="G111" i="40"/>
  <c r="C111" i="40"/>
  <c r="O110" i="40"/>
  <c r="K110" i="40"/>
  <c r="G110" i="40"/>
  <c r="C110" i="40"/>
  <c r="O109" i="40"/>
  <c r="K109" i="40"/>
  <c r="G109" i="40"/>
  <c r="C109" i="40"/>
  <c r="O108" i="40"/>
  <c r="K108" i="40"/>
  <c r="G108" i="40"/>
  <c r="C108" i="40"/>
  <c r="O107" i="40"/>
  <c r="K107" i="40"/>
  <c r="G107" i="40"/>
  <c r="C107" i="40"/>
  <c r="O106" i="40"/>
  <c r="K106" i="40"/>
  <c r="G106" i="40"/>
  <c r="C106" i="40"/>
  <c r="O105" i="40"/>
  <c r="K105" i="40"/>
  <c r="G105" i="40"/>
  <c r="C105" i="40"/>
  <c r="O104" i="40"/>
  <c r="K104" i="40"/>
  <c r="G104" i="40"/>
  <c r="C104" i="40"/>
  <c r="O103" i="40"/>
  <c r="K103" i="40"/>
  <c r="G103" i="40"/>
  <c r="C103" i="40"/>
  <c r="O102" i="40"/>
  <c r="K102" i="40"/>
  <c r="G102" i="40"/>
  <c r="C102" i="40"/>
  <c r="O101" i="40"/>
  <c r="K101" i="40"/>
  <c r="G101" i="40"/>
  <c r="C101" i="40"/>
  <c r="O100" i="40"/>
  <c r="K100" i="40"/>
  <c r="G100" i="40"/>
  <c r="C100" i="40"/>
  <c r="O99" i="40"/>
  <c r="K99" i="40"/>
  <c r="G99" i="40"/>
  <c r="C99" i="40"/>
  <c r="O98" i="40"/>
  <c r="K98" i="40"/>
  <c r="G98" i="40"/>
  <c r="C98" i="40"/>
  <c r="O97" i="40"/>
  <c r="K97" i="40"/>
  <c r="G97" i="40"/>
  <c r="C97" i="40"/>
  <c r="O96" i="40"/>
  <c r="K96" i="40"/>
  <c r="G96" i="40"/>
  <c r="C96" i="40"/>
  <c r="O95" i="40"/>
  <c r="K95" i="40"/>
  <c r="G95" i="40"/>
  <c r="C95" i="40"/>
  <c r="O94" i="40"/>
  <c r="K94" i="40"/>
  <c r="G94" i="40"/>
  <c r="C94" i="40"/>
  <c r="O93" i="40"/>
  <c r="K93" i="40"/>
  <c r="G93" i="40"/>
  <c r="C93" i="40"/>
  <c r="O92" i="40"/>
  <c r="K92" i="40"/>
  <c r="G92" i="40"/>
  <c r="C92" i="40"/>
  <c r="O91" i="40"/>
  <c r="K91" i="40"/>
  <c r="G91" i="40"/>
  <c r="C91" i="40"/>
  <c r="O90" i="40"/>
  <c r="K90" i="40"/>
  <c r="G90" i="40"/>
  <c r="C90" i="40"/>
  <c r="O89" i="40"/>
  <c r="K89" i="40"/>
  <c r="G89" i="40"/>
  <c r="C89" i="40"/>
  <c r="O88" i="40"/>
  <c r="K88" i="40"/>
  <c r="G88" i="40"/>
  <c r="C88" i="40"/>
  <c r="O87" i="40"/>
  <c r="K87" i="40"/>
  <c r="G87" i="40"/>
  <c r="C87" i="40"/>
  <c r="O86" i="40"/>
  <c r="K86" i="40"/>
  <c r="G86" i="40"/>
  <c r="C86" i="40"/>
  <c r="O85" i="40"/>
  <c r="K85" i="40"/>
  <c r="G85" i="40"/>
  <c r="C85" i="40"/>
  <c r="O84" i="40"/>
  <c r="K84" i="40"/>
  <c r="G84" i="40"/>
  <c r="C84" i="40"/>
  <c r="O83" i="40"/>
  <c r="K83" i="40"/>
  <c r="G83" i="40"/>
  <c r="C83" i="40"/>
  <c r="O82" i="40"/>
  <c r="K82" i="40"/>
  <c r="G82" i="40"/>
  <c r="C82" i="40"/>
  <c r="O81" i="40"/>
  <c r="K81" i="40"/>
  <c r="G81" i="40"/>
  <c r="C81" i="40"/>
  <c r="O80" i="40"/>
  <c r="K80" i="40"/>
  <c r="G80" i="40"/>
  <c r="C80" i="40"/>
  <c r="O79" i="40"/>
  <c r="K79" i="40"/>
  <c r="G79" i="40"/>
  <c r="C79" i="40"/>
  <c r="O78" i="40"/>
  <c r="K78" i="40"/>
  <c r="G78" i="40"/>
  <c r="C78" i="40"/>
  <c r="O77" i="40"/>
  <c r="K77" i="40"/>
  <c r="G77" i="40"/>
  <c r="C77" i="40"/>
  <c r="O76" i="40"/>
  <c r="K76" i="40"/>
  <c r="G76" i="40"/>
  <c r="C76" i="40"/>
  <c r="O75" i="40"/>
  <c r="K75" i="40"/>
  <c r="G75" i="40"/>
  <c r="C75" i="40"/>
  <c r="O74" i="40"/>
  <c r="K74" i="40"/>
  <c r="G74" i="40"/>
  <c r="C74" i="40"/>
  <c r="O73" i="40"/>
  <c r="K73" i="40"/>
  <c r="G73" i="40"/>
  <c r="C73" i="40"/>
  <c r="O72" i="40"/>
  <c r="K72" i="40"/>
  <c r="G72" i="40"/>
  <c r="C72" i="40"/>
  <c r="O71" i="40"/>
  <c r="K71" i="40"/>
  <c r="G71" i="40"/>
  <c r="C71" i="40"/>
  <c r="O70" i="40"/>
  <c r="K70" i="40"/>
  <c r="G70" i="40"/>
  <c r="C70" i="40"/>
  <c r="O69" i="40"/>
  <c r="K69" i="40"/>
  <c r="G69" i="40"/>
  <c r="C69" i="40"/>
  <c r="O68" i="40"/>
  <c r="K68" i="40"/>
  <c r="G68" i="40"/>
  <c r="C68" i="40"/>
  <c r="O67" i="40"/>
  <c r="K67" i="40"/>
  <c r="G67" i="40"/>
  <c r="C67" i="40"/>
  <c r="O66" i="40"/>
  <c r="K66" i="40"/>
  <c r="G66" i="40"/>
  <c r="C66" i="40"/>
  <c r="O65" i="40"/>
  <c r="K65" i="40"/>
  <c r="G65" i="40"/>
  <c r="C65" i="40"/>
  <c r="O64" i="40"/>
  <c r="K64" i="40"/>
  <c r="G64" i="40"/>
  <c r="C64" i="40"/>
  <c r="O63" i="40"/>
  <c r="K63" i="40"/>
  <c r="G63" i="40"/>
  <c r="C63" i="40"/>
  <c r="O62" i="40"/>
  <c r="K62" i="40"/>
  <c r="G62" i="40"/>
  <c r="C62" i="40"/>
  <c r="O61" i="40"/>
  <c r="K61" i="40"/>
  <c r="G61" i="40"/>
  <c r="C61" i="40"/>
  <c r="O60" i="40"/>
  <c r="K60" i="40"/>
  <c r="G60" i="40"/>
  <c r="C60" i="40"/>
  <c r="O59" i="40"/>
  <c r="K59" i="40"/>
  <c r="G59" i="40"/>
  <c r="C59" i="40"/>
  <c r="O58" i="40"/>
  <c r="K58" i="40"/>
  <c r="G58" i="40"/>
  <c r="C58" i="40"/>
  <c r="O57" i="40"/>
  <c r="K57" i="40"/>
  <c r="G57" i="40"/>
  <c r="C57" i="40"/>
  <c r="O56" i="40"/>
  <c r="K56" i="40"/>
  <c r="G56" i="40"/>
  <c r="C56" i="40"/>
  <c r="O55" i="40"/>
  <c r="K55" i="40"/>
  <c r="G55" i="40"/>
  <c r="C55" i="40"/>
  <c r="O54" i="40"/>
  <c r="K54" i="40"/>
  <c r="G54" i="40"/>
  <c r="C54" i="40"/>
  <c r="O53" i="40"/>
  <c r="K53" i="40"/>
  <c r="G53" i="40"/>
  <c r="C53" i="40"/>
  <c r="O52" i="40"/>
  <c r="K52" i="40"/>
  <c r="G52" i="40"/>
  <c r="C52" i="40"/>
  <c r="O51" i="40"/>
  <c r="K51" i="40"/>
  <c r="G51" i="40"/>
  <c r="C51" i="40"/>
  <c r="O50" i="40"/>
  <c r="K50" i="40"/>
  <c r="G50" i="40"/>
  <c r="C50" i="40"/>
  <c r="O49" i="40"/>
  <c r="K49" i="40"/>
  <c r="G49" i="40"/>
  <c r="C49" i="40"/>
  <c r="O48" i="40"/>
  <c r="K48" i="40"/>
  <c r="G48" i="40"/>
  <c r="C48" i="40"/>
  <c r="O47" i="40"/>
  <c r="K47" i="40"/>
  <c r="G47" i="40"/>
  <c r="C47" i="40"/>
  <c r="O46" i="40"/>
  <c r="K46" i="40"/>
  <c r="G46" i="40"/>
  <c r="C46" i="40"/>
  <c r="O45" i="40"/>
  <c r="K45" i="40"/>
  <c r="G45" i="40"/>
  <c r="C45" i="40"/>
  <c r="O44" i="40"/>
  <c r="K44" i="40"/>
  <c r="G44" i="40"/>
  <c r="C44" i="40"/>
  <c r="O43" i="40"/>
  <c r="K43" i="40"/>
  <c r="G43" i="40"/>
  <c r="C43" i="40"/>
  <c r="O42" i="40"/>
  <c r="K42" i="40"/>
  <c r="G42" i="40"/>
  <c r="C42" i="40"/>
  <c r="O41" i="40"/>
  <c r="K41" i="40"/>
  <c r="G41" i="40"/>
  <c r="C41" i="40"/>
  <c r="O40" i="40"/>
  <c r="K40" i="40"/>
  <c r="G40" i="40"/>
  <c r="C40" i="40"/>
  <c r="O39" i="40"/>
  <c r="K39" i="40"/>
  <c r="G39" i="40"/>
  <c r="C39" i="40"/>
  <c r="O38" i="40"/>
  <c r="K38" i="40"/>
  <c r="G38" i="40"/>
  <c r="C38" i="40"/>
  <c r="O37" i="40"/>
  <c r="K37" i="40"/>
  <c r="G37" i="40"/>
  <c r="C37" i="40"/>
  <c r="O36" i="40"/>
  <c r="K36" i="40"/>
  <c r="G36" i="40"/>
  <c r="C36" i="40"/>
  <c r="O35" i="40"/>
  <c r="K35" i="40"/>
  <c r="G35" i="40"/>
  <c r="C35" i="40"/>
  <c r="O34" i="40"/>
  <c r="K34" i="40"/>
  <c r="G34" i="40"/>
  <c r="C34" i="40"/>
  <c r="O33" i="40"/>
  <c r="K33" i="40"/>
  <c r="G33" i="40"/>
  <c r="C33" i="40"/>
  <c r="O32" i="40"/>
  <c r="K32" i="40"/>
  <c r="G32" i="40"/>
  <c r="C32" i="40"/>
  <c r="O31" i="40"/>
  <c r="K31" i="40"/>
  <c r="G31" i="40"/>
  <c r="C31" i="40"/>
  <c r="O30" i="40"/>
  <c r="K30" i="40"/>
  <c r="G30" i="40"/>
  <c r="C30" i="40"/>
  <c r="O29" i="40"/>
  <c r="K29" i="40"/>
  <c r="G29" i="40"/>
  <c r="C29" i="40"/>
  <c r="O28" i="40"/>
  <c r="K28" i="40"/>
  <c r="G28" i="40"/>
  <c r="C28" i="40"/>
  <c r="O27" i="40"/>
  <c r="K27" i="40"/>
  <c r="G27" i="40"/>
  <c r="C27" i="40"/>
  <c r="O26" i="40"/>
  <c r="K26" i="40"/>
  <c r="G26" i="40"/>
  <c r="C26" i="40"/>
  <c r="O25" i="40"/>
  <c r="K25" i="40"/>
  <c r="G25" i="40"/>
  <c r="C25" i="40"/>
  <c r="O24" i="40"/>
  <c r="K24" i="40"/>
  <c r="G24" i="40"/>
  <c r="C24" i="40"/>
  <c r="O23" i="40"/>
  <c r="K23" i="40"/>
  <c r="G23" i="40"/>
  <c r="C23" i="40"/>
  <c r="O22" i="40"/>
  <c r="K22" i="40"/>
  <c r="G22" i="40"/>
  <c r="C22" i="40"/>
  <c r="O21" i="40"/>
  <c r="K21" i="40"/>
  <c r="G21" i="40"/>
  <c r="C21" i="40"/>
  <c r="O20" i="40"/>
  <c r="K20" i="40"/>
  <c r="G20" i="40"/>
  <c r="C20" i="40"/>
  <c r="O19" i="40"/>
  <c r="K19" i="40"/>
  <c r="G19" i="40"/>
  <c r="C19" i="40"/>
  <c r="O18" i="40"/>
  <c r="K18" i="40"/>
  <c r="G18" i="40"/>
  <c r="C18" i="40"/>
  <c r="O17" i="40"/>
  <c r="K17" i="40"/>
  <c r="G17" i="40"/>
  <c r="C17" i="40"/>
  <c r="O16" i="40"/>
  <c r="K16" i="40"/>
  <c r="G16" i="40"/>
  <c r="C16" i="40"/>
  <c r="O15" i="40"/>
  <c r="K15" i="40"/>
  <c r="G15" i="40"/>
  <c r="C15" i="40"/>
  <c r="O14" i="40"/>
  <c r="K14" i="40"/>
  <c r="G14" i="40"/>
  <c r="C14" i="40"/>
  <c r="O13" i="40"/>
  <c r="K13" i="40"/>
  <c r="G13" i="40"/>
  <c r="C13" i="40"/>
  <c r="O12" i="40"/>
  <c r="K12" i="40"/>
  <c r="G12" i="40"/>
  <c r="C12" i="40"/>
  <c r="O11" i="40"/>
  <c r="K11" i="40"/>
  <c r="G11" i="40"/>
  <c r="C11" i="40"/>
  <c r="O10" i="40"/>
  <c r="K10" i="40"/>
  <c r="G10" i="40"/>
  <c r="C10" i="40"/>
  <c r="O9" i="40"/>
  <c r="K9" i="40"/>
  <c r="G9" i="40"/>
  <c r="C9" i="40"/>
  <c r="O8" i="40"/>
  <c r="K8" i="40"/>
  <c r="G8" i="40"/>
  <c r="C8" i="40"/>
  <c r="O7" i="40"/>
  <c r="K7" i="40"/>
  <c r="G7" i="40"/>
  <c r="C7" i="40"/>
  <c r="O6" i="40"/>
  <c r="K6" i="40"/>
  <c r="G6" i="40"/>
  <c r="C6" i="40"/>
  <c r="O5" i="40"/>
  <c r="K5" i="40"/>
  <c r="G5" i="40"/>
  <c r="C5" i="40"/>
  <c r="O4" i="40"/>
  <c r="K4" i="40"/>
  <c r="G4" i="40"/>
  <c r="C4" i="40"/>
  <c r="W73" i="39" a="1"/>
  <c r="W73" i="39" s="1"/>
  <c r="P73" i="39" a="1"/>
  <c r="P73" i="39" s="1"/>
  <c r="I73" i="39" a="1"/>
  <c r="N103" i="39" s="1"/>
  <c r="B73" i="39" a="1"/>
  <c r="D79" i="39" s="1"/>
  <c r="O183" i="38"/>
  <c r="K183" i="38"/>
  <c r="G183" i="38"/>
  <c r="C183" i="38"/>
  <c r="O182" i="38"/>
  <c r="K182" i="38"/>
  <c r="G182" i="38"/>
  <c r="C182" i="38"/>
  <c r="O181" i="38"/>
  <c r="K181" i="38"/>
  <c r="G181" i="38"/>
  <c r="C181" i="38"/>
  <c r="O180" i="38"/>
  <c r="K180" i="38"/>
  <c r="G180" i="38"/>
  <c r="C180" i="38"/>
  <c r="O179" i="38"/>
  <c r="K179" i="38"/>
  <c r="G179" i="38"/>
  <c r="C179" i="38"/>
  <c r="O178" i="38"/>
  <c r="K178" i="38"/>
  <c r="G178" i="38"/>
  <c r="C178" i="38"/>
  <c r="O177" i="38"/>
  <c r="K177" i="38"/>
  <c r="G177" i="38"/>
  <c r="C177" i="38"/>
  <c r="O176" i="38"/>
  <c r="K176" i="38"/>
  <c r="G176" i="38"/>
  <c r="C176" i="38"/>
  <c r="O175" i="38"/>
  <c r="K175" i="38"/>
  <c r="G175" i="38"/>
  <c r="C175" i="38"/>
  <c r="O174" i="38"/>
  <c r="K174" i="38"/>
  <c r="G174" i="38"/>
  <c r="C174" i="38"/>
  <c r="O173" i="38"/>
  <c r="K173" i="38"/>
  <c r="G173" i="38"/>
  <c r="C173" i="38"/>
  <c r="O172" i="38"/>
  <c r="K172" i="38"/>
  <c r="G172" i="38"/>
  <c r="C172" i="38"/>
  <c r="O171" i="38"/>
  <c r="K171" i="38"/>
  <c r="G171" i="38"/>
  <c r="C171" i="38"/>
  <c r="O170" i="38"/>
  <c r="K170" i="38"/>
  <c r="G170" i="38"/>
  <c r="C170" i="38"/>
  <c r="O169" i="38"/>
  <c r="K169" i="38"/>
  <c r="G169" i="38"/>
  <c r="C169" i="38"/>
  <c r="O168" i="38"/>
  <c r="K168" i="38"/>
  <c r="G168" i="38"/>
  <c r="C168" i="38"/>
  <c r="O167" i="38"/>
  <c r="K167" i="38"/>
  <c r="G167" i="38"/>
  <c r="C167" i="38"/>
  <c r="O166" i="38"/>
  <c r="K166" i="38"/>
  <c r="G166" i="38"/>
  <c r="C166" i="38"/>
  <c r="O165" i="38"/>
  <c r="K165" i="38"/>
  <c r="G165" i="38"/>
  <c r="C165" i="38"/>
  <c r="O164" i="38"/>
  <c r="K164" i="38"/>
  <c r="G164" i="38"/>
  <c r="C164" i="38"/>
  <c r="O163" i="38"/>
  <c r="K163" i="38"/>
  <c r="G163" i="38"/>
  <c r="C163" i="38"/>
  <c r="O162" i="38"/>
  <c r="K162" i="38"/>
  <c r="G162" i="38"/>
  <c r="C162" i="38"/>
  <c r="O161" i="38"/>
  <c r="K161" i="38"/>
  <c r="G161" i="38"/>
  <c r="C161" i="38"/>
  <c r="O160" i="38"/>
  <c r="K160" i="38"/>
  <c r="G160" i="38"/>
  <c r="C160" i="38"/>
  <c r="O159" i="38"/>
  <c r="K159" i="38"/>
  <c r="G159" i="38"/>
  <c r="C159" i="38"/>
  <c r="O158" i="38"/>
  <c r="K158" i="38"/>
  <c r="G158" i="38"/>
  <c r="C158" i="38"/>
  <c r="O157" i="38"/>
  <c r="K157" i="38"/>
  <c r="G157" i="38"/>
  <c r="C157" i="38"/>
  <c r="O156" i="38"/>
  <c r="K156" i="38"/>
  <c r="G156" i="38"/>
  <c r="C156" i="38"/>
  <c r="O155" i="38"/>
  <c r="K155" i="38"/>
  <c r="G155" i="38"/>
  <c r="C155" i="38"/>
  <c r="O154" i="38"/>
  <c r="K154" i="38"/>
  <c r="G154" i="38"/>
  <c r="C154" i="38"/>
  <c r="O153" i="38"/>
  <c r="K153" i="38"/>
  <c r="G153" i="38"/>
  <c r="C153" i="38"/>
  <c r="O152" i="38"/>
  <c r="K152" i="38"/>
  <c r="G152" i="38"/>
  <c r="C152" i="38"/>
  <c r="O151" i="38"/>
  <c r="K151" i="38"/>
  <c r="G151" i="38"/>
  <c r="C151" i="38"/>
  <c r="O150" i="38"/>
  <c r="K150" i="38"/>
  <c r="G150" i="38"/>
  <c r="C150" i="38"/>
  <c r="O149" i="38"/>
  <c r="K149" i="38"/>
  <c r="G149" i="38"/>
  <c r="C149" i="38"/>
  <c r="O148" i="38"/>
  <c r="K148" i="38"/>
  <c r="G148" i="38"/>
  <c r="C148" i="38"/>
  <c r="O147" i="38"/>
  <c r="K147" i="38"/>
  <c r="G147" i="38"/>
  <c r="C147" i="38"/>
  <c r="O146" i="38"/>
  <c r="K146" i="38"/>
  <c r="G146" i="38"/>
  <c r="C146" i="38"/>
  <c r="O145" i="38"/>
  <c r="K145" i="38"/>
  <c r="G145" i="38"/>
  <c r="C145" i="38"/>
  <c r="O144" i="38"/>
  <c r="K144" i="38"/>
  <c r="G144" i="38"/>
  <c r="C144" i="38"/>
  <c r="O143" i="38"/>
  <c r="K143" i="38"/>
  <c r="G143" i="38"/>
  <c r="C143" i="38"/>
  <c r="O142" i="38"/>
  <c r="K142" i="38"/>
  <c r="G142" i="38"/>
  <c r="C142" i="38"/>
  <c r="O141" i="38"/>
  <c r="K141" i="38"/>
  <c r="G141" i="38"/>
  <c r="C141" i="38"/>
  <c r="O140" i="38"/>
  <c r="K140" i="38"/>
  <c r="G140" i="38"/>
  <c r="C140" i="38"/>
  <c r="O139" i="38"/>
  <c r="K139" i="38"/>
  <c r="G139" i="38"/>
  <c r="C139" i="38"/>
  <c r="O138" i="38"/>
  <c r="K138" i="38"/>
  <c r="G138" i="38"/>
  <c r="C138" i="38"/>
  <c r="O137" i="38"/>
  <c r="K137" i="38"/>
  <c r="G137" i="38"/>
  <c r="C137" i="38"/>
  <c r="O136" i="38"/>
  <c r="K136" i="38"/>
  <c r="G136" i="38"/>
  <c r="C136" i="38"/>
  <c r="O135" i="38"/>
  <c r="K135" i="38"/>
  <c r="G135" i="38"/>
  <c r="C135" i="38"/>
  <c r="O134" i="38"/>
  <c r="K134" i="38"/>
  <c r="G134" i="38"/>
  <c r="C134" i="38"/>
  <c r="O133" i="38"/>
  <c r="K133" i="38"/>
  <c r="G133" i="38"/>
  <c r="C133" i="38"/>
  <c r="O132" i="38"/>
  <c r="K132" i="38"/>
  <c r="G132" i="38"/>
  <c r="C132" i="38"/>
  <c r="O131" i="38"/>
  <c r="K131" i="38"/>
  <c r="G131" i="38"/>
  <c r="C131" i="38"/>
  <c r="O130" i="38"/>
  <c r="K130" i="38"/>
  <c r="G130" i="38"/>
  <c r="C130" i="38"/>
  <c r="O129" i="38"/>
  <c r="K129" i="38"/>
  <c r="G129" i="38"/>
  <c r="C129" i="38"/>
  <c r="O128" i="38"/>
  <c r="K128" i="38"/>
  <c r="G128" i="38"/>
  <c r="C128" i="38"/>
  <c r="O127" i="38"/>
  <c r="K127" i="38"/>
  <c r="G127" i="38"/>
  <c r="C127" i="38"/>
  <c r="O126" i="38"/>
  <c r="K126" i="38"/>
  <c r="G126" i="38"/>
  <c r="C126" i="38"/>
  <c r="O125" i="38"/>
  <c r="K125" i="38"/>
  <c r="G125" i="38"/>
  <c r="C125" i="38"/>
  <c r="O124" i="38"/>
  <c r="K124" i="38"/>
  <c r="G124" i="38"/>
  <c r="C124" i="38"/>
  <c r="O123" i="38"/>
  <c r="K123" i="38"/>
  <c r="G123" i="38"/>
  <c r="C123" i="38"/>
  <c r="O122" i="38"/>
  <c r="K122" i="38"/>
  <c r="G122" i="38"/>
  <c r="C122" i="38"/>
  <c r="O121" i="38"/>
  <c r="K121" i="38"/>
  <c r="G121" i="38"/>
  <c r="C121" i="38"/>
  <c r="O120" i="38"/>
  <c r="K120" i="38"/>
  <c r="G120" i="38"/>
  <c r="C120" i="38"/>
  <c r="O119" i="38"/>
  <c r="K119" i="38"/>
  <c r="G119" i="38"/>
  <c r="C119" i="38"/>
  <c r="O118" i="38"/>
  <c r="K118" i="38"/>
  <c r="G118" i="38"/>
  <c r="C118" i="38"/>
  <c r="O117" i="38"/>
  <c r="K117" i="38"/>
  <c r="G117" i="38"/>
  <c r="C117" i="38"/>
  <c r="O116" i="38"/>
  <c r="K116" i="38"/>
  <c r="G116" i="38"/>
  <c r="C116" i="38"/>
  <c r="O115" i="38"/>
  <c r="K115" i="38"/>
  <c r="G115" i="38"/>
  <c r="C115" i="38"/>
  <c r="O114" i="38"/>
  <c r="K114" i="38"/>
  <c r="G114" i="38"/>
  <c r="C114" i="38"/>
  <c r="O113" i="38"/>
  <c r="K113" i="38"/>
  <c r="G113" i="38"/>
  <c r="C113" i="38"/>
  <c r="O112" i="38"/>
  <c r="K112" i="38"/>
  <c r="G112" i="38"/>
  <c r="C112" i="38"/>
  <c r="O111" i="38"/>
  <c r="K111" i="38"/>
  <c r="G111" i="38"/>
  <c r="C111" i="38"/>
  <c r="O110" i="38"/>
  <c r="K110" i="38"/>
  <c r="G110" i="38"/>
  <c r="C110" i="38"/>
  <c r="O109" i="38"/>
  <c r="K109" i="38"/>
  <c r="G109" i="38"/>
  <c r="C109" i="38"/>
  <c r="O108" i="38"/>
  <c r="K108" i="38"/>
  <c r="G108" i="38"/>
  <c r="C108" i="38"/>
  <c r="O107" i="38"/>
  <c r="K107" i="38"/>
  <c r="G107" i="38"/>
  <c r="C107" i="38"/>
  <c r="O106" i="38"/>
  <c r="K106" i="38"/>
  <c r="G106" i="38"/>
  <c r="C106" i="38"/>
  <c r="O105" i="38"/>
  <c r="K105" i="38"/>
  <c r="G105" i="38"/>
  <c r="C105" i="38"/>
  <c r="O104" i="38"/>
  <c r="K104" i="38"/>
  <c r="G104" i="38"/>
  <c r="C104" i="38"/>
  <c r="O103" i="38"/>
  <c r="K103" i="38"/>
  <c r="G103" i="38"/>
  <c r="C103" i="38"/>
  <c r="O102" i="38"/>
  <c r="K102" i="38"/>
  <c r="G102" i="38"/>
  <c r="C102" i="38"/>
  <c r="O101" i="38"/>
  <c r="K101" i="38"/>
  <c r="G101" i="38"/>
  <c r="C101" i="38"/>
  <c r="O100" i="38"/>
  <c r="K100" i="38"/>
  <c r="G100" i="38"/>
  <c r="C100" i="38"/>
  <c r="O99" i="38"/>
  <c r="K99" i="38"/>
  <c r="G99" i="38"/>
  <c r="C99" i="38"/>
  <c r="O98" i="38"/>
  <c r="K98" i="38"/>
  <c r="G98" i="38"/>
  <c r="C98" i="38"/>
  <c r="O97" i="38"/>
  <c r="K97" i="38"/>
  <c r="G97" i="38"/>
  <c r="C97" i="38"/>
  <c r="O96" i="38"/>
  <c r="K96" i="38"/>
  <c r="G96" i="38"/>
  <c r="C96" i="38"/>
  <c r="O95" i="38"/>
  <c r="K95" i="38"/>
  <c r="G95" i="38"/>
  <c r="C95" i="38"/>
  <c r="O94" i="38"/>
  <c r="K94" i="38"/>
  <c r="G94" i="38"/>
  <c r="C94" i="38"/>
  <c r="O93" i="38"/>
  <c r="K93" i="38"/>
  <c r="G93" i="38"/>
  <c r="C93" i="38"/>
  <c r="O92" i="38"/>
  <c r="K92" i="38"/>
  <c r="G92" i="38"/>
  <c r="C92" i="38"/>
  <c r="O91" i="38"/>
  <c r="K91" i="38"/>
  <c r="G91" i="38"/>
  <c r="C91" i="38"/>
  <c r="O90" i="38"/>
  <c r="K90" i="38"/>
  <c r="G90" i="38"/>
  <c r="C90" i="38"/>
  <c r="O89" i="38"/>
  <c r="K89" i="38"/>
  <c r="G89" i="38"/>
  <c r="C89" i="38"/>
  <c r="O88" i="38"/>
  <c r="K88" i="38"/>
  <c r="G88" i="38"/>
  <c r="C88" i="38"/>
  <c r="O87" i="38"/>
  <c r="K87" i="38"/>
  <c r="G87" i="38"/>
  <c r="C87" i="38"/>
  <c r="O86" i="38"/>
  <c r="K86" i="38"/>
  <c r="G86" i="38"/>
  <c r="C86" i="38"/>
  <c r="O85" i="38"/>
  <c r="K85" i="38"/>
  <c r="G85" i="38"/>
  <c r="C85" i="38"/>
  <c r="O84" i="38"/>
  <c r="K84" i="38"/>
  <c r="G84" i="38"/>
  <c r="C84" i="38"/>
  <c r="O83" i="38"/>
  <c r="K83" i="38"/>
  <c r="G83" i="38"/>
  <c r="C83" i="38"/>
  <c r="O82" i="38"/>
  <c r="K82" i="38"/>
  <c r="G82" i="38"/>
  <c r="C82" i="38"/>
  <c r="O81" i="38"/>
  <c r="K81" i="38"/>
  <c r="G81" i="38"/>
  <c r="C81" i="38"/>
  <c r="O80" i="38"/>
  <c r="K80" i="38"/>
  <c r="G80" i="38"/>
  <c r="C80" i="38"/>
  <c r="O79" i="38"/>
  <c r="K79" i="38"/>
  <c r="G79" i="38"/>
  <c r="C79" i="38"/>
  <c r="O78" i="38"/>
  <c r="K78" i="38"/>
  <c r="G78" i="38"/>
  <c r="C78" i="38"/>
  <c r="O77" i="38"/>
  <c r="K77" i="38"/>
  <c r="G77" i="38"/>
  <c r="C77" i="38"/>
  <c r="O76" i="38"/>
  <c r="K76" i="38"/>
  <c r="G76" i="38"/>
  <c r="C76" i="38"/>
  <c r="O75" i="38"/>
  <c r="K75" i="38"/>
  <c r="G75" i="38"/>
  <c r="C75" i="38"/>
  <c r="O74" i="38"/>
  <c r="K74" i="38"/>
  <c r="G74" i="38"/>
  <c r="C74" i="38"/>
  <c r="O73" i="38"/>
  <c r="K73" i="38"/>
  <c r="G73" i="38"/>
  <c r="C73" i="38"/>
  <c r="O72" i="38"/>
  <c r="K72" i="38"/>
  <c r="G72" i="38"/>
  <c r="C72" i="38"/>
  <c r="O71" i="38"/>
  <c r="K71" i="38"/>
  <c r="G71" i="38"/>
  <c r="C71" i="38"/>
  <c r="O70" i="38"/>
  <c r="K70" i="38"/>
  <c r="G70" i="38"/>
  <c r="C70" i="38"/>
  <c r="O69" i="38"/>
  <c r="K69" i="38"/>
  <c r="G69" i="38"/>
  <c r="C69" i="38"/>
  <c r="O68" i="38"/>
  <c r="K68" i="38"/>
  <c r="G68" i="38"/>
  <c r="C68" i="38"/>
  <c r="O67" i="38"/>
  <c r="K67" i="38"/>
  <c r="G67" i="38"/>
  <c r="C67" i="38"/>
  <c r="O66" i="38"/>
  <c r="K66" i="38"/>
  <c r="G66" i="38"/>
  <c r="C66" i="38"/>
  <c r="O65" i="38"/>
  <c r="K65" i="38"/>
  <c r="G65" i="38"/>
  <c r="C65" i="38"/>
  <c r="O64" i="38"/>
  <c r="K64" i="38"/>
  <c r="G64" i="38"/>
  <c r="C64" i="38"/>
  <c r="O63" i="38"/>
  <c r="K63" i="38"/>
  <c r="G63" i="38"/>
  <c r="C63" i="38"/>
  <c r="O62" i="38"/>
  <c r="K62" i="38"/>
  <c r="G62" i="38"/>
  <c r="C62" i="38"/>
  <c r="O61" i="38"/>
  <c r="K61" i="38"/>
  <c r="G61" i="38"/>
  <c r="C61" i="38"/>
  <c r="O60" i="38"/>
  <c r="K60" i="38"/>
  <c r="G60" i="38"/>
  <c r="C60" i="38"/>
  <c r="O59" i="38"/>
  <c r="K59" i="38"/>
  <c r="G59" i="38"/>
  <c r="C59" i="38"/>
  <c r="O58" i="38"/>
  <c r="K58" i="38"/>
  <c r="G58" i="38"/>
  <c r="C58" i="38"/>
  <c r="O57" i="38"/>
  <c r="K57" i="38"/>
  <c r="G57" i="38"/>
  <c r="C57" i="38"/>
  <c r="O56" i="38"/>
  <c r="K56" i="38"/>
  <c r="G56" i="38"/>
  <c r="C56" i="38"/>
  <c r="O55" i="38"/>
  <c r="K55" i="38"/>
  <c r="G55" i="38"/>
  <c r="C55" i="38"/>
  <c r="O54" i="38"/>
  <c r="K54" i="38"/>
  <c r="G54" i="38"/>
  <c r="C54" i="38"/>
  <c r="O53" i="38"/>
  <c r="K53" i="38"/>
  <c r="G53" i="38"/>
  <c r="C53" i="38"/>
  <c r="O52" i="38"/>
  <c r="K52" i="38"/>
  <c r="G52" i="38"/>
  <c r="C52" i="38"/>
  <c r="O51" i="38"/>
  <c r="K51" i="38"/>
  <c r="G51" i="38"/>
  <c r="C51" i="38"/>
  <c r="O50" i="38"/>
  <c r="K50" i="38"/>
  <c r="G50" i="38"/>
  <c r="C50" i="38"/>
  <c r="O49" i="38"/>
  <c r="K49" i="38"/>
  <c r="G49" i="38"/>
  <c r="C49" i="38"/>
  <c r="O48" i="38"/>
  <c r="K48" i="38"/>
  <c r="G48" i="38"/>
  <c r="C48" i="38"/>
  <c r="O47" i="38"/>
  <c r="K47" i="38"/>
  <c r="G47" i="38"/>
  <c r="C47" i="38"/>
  <c r="O46" i="38"/>
  <c r="K46" i="38"/>
  <c r="G46" i="38"/>
  <c r="C46" i="38"/>
  <c r="O45" i="38"/>
  <c r="K45" i="38"/>
  <c r="G45" i="38"/>
  <c r="C45" i="38"/>
  <c r="O44" i="38"/>
  <c r="K44" i="38"/>
  <c r="G44" i="38"/>
  <c r="C44" i="38"/>
  <c r="O43" i="38"/>
  <c r="K43" i="38"/>
  <c r="G43" i="38"/>
  <c r="C43" i="38"/>
  <c r="O42" i="38"/>
  <c r="K42" i="38"/>
  <c r="G42" i="38"/>
  <c r="C42" i="38"/>
  <c r="O41" i="38"/>
  <c r="K41" i="38"/>
  <c r="G41" i="38"/>
  <c r="C41" i="38"/>
  <c r="O40" i="38"/>
  <c r="K40" i="38"/>
  <c r="G40" i="38"/>
  <c r="C40" i="38"/>
  <c r="O39" i="38"/>
  <c r="K39" i="38"/>
  <c r="G39" i="38"/>
  <c r="C39" i="38"/>
  <c r="O38" i="38"/>
  <c r="K38" i="38"/>
  <c r="G38" i="38"/>
  <c r="C38" i="38"/>
  <c r="O37" i="38"/>
  <c r="K37" i="38"/>
  <c r="G37" i="38"/>
  <c r="C37" i="38"/>
  <c r="O36" i="38"/>
  <c r="K36" i="38"/>
  <c r="G36" i="38"/>
  <c r="C36" i="38"/>
  <c r="O35" i="38"/>
  <c r="K35" i="38"/>
  <c r="G35" i="38"/>
  <c r="C35" i="38"/>
  <c r="O34" i="38"/>
  <c r="K34" i="38"/>
  <c r="G34" i="38"/>
  <c r="C34" i="38"/>
  <c r="O33" i="38"/>
  <c r="K33" i="38"/>
  <c r="G33" i="38"/>
  <c r="C33" i="38"/>
  <c r="O32" i="38"/>
  <c r="K32" i="38"/>
  <c r="G32" i="38"/>
  <c r="C32" i="38"/>
  <c r="O31" i="38"/>
  <c r="K31" i="38"/>
  <c r="G31" i="38"/>
  <c r="C31" i="38"/>
  <c r="O30" i="38"/>
  <c r="K30" i="38"/>
  <c r="G30" i="38"/>
  <c r="C30" i="38"/>
  <c r="O29" i="38"/>
  <c r="K29" i="38"/>
  <c r="G29" i="38"/>
  <c r="C29" i="38"/>
  <c r="O28" i="38"/>
  <c r="K28" i="38"/>
  <c r="G28" i="38"/>
  <c r="C28" i="38"/>
  <c r="O27" i="38"/>
  <c r="K27" i="38"/>
  <c r="G27" i="38"/>
  <c r="C27" i="38"/>
  <c r="O26" i="38"/>
  <c r="K26" i="38"/>
  <c r="G26" i="38"/>
  <c r="C26" i="38"/>
  <c r="O25" i="38"/>
  <c r="K25" i="38"/>
  <c r="G25" i="38"/>
  <c r="C25" i="38"/>
  <c r="O24" i="38"/>
  <c r="K24" i="38"/>
  <c r="G24" i="38"/>
  <c r="C24" i="38"/>
  <c r="O23" i="38"/>
  <c r="K23" i="38"/>
  <c r="G23" i="38"/>
  <c r="C23" i="38"/>
  <c r="O22" i="38"/>
  <c r="K22" i="38"/>
  <c r="G22" i="38"/>
  <c r="C22" i="38"/>
  <c r="O21" i="38"/>
  <c r="K21" i="38"/>
  <c r="G21" i="38"/>
  <c r="C21" i="38"/>
  <c r="O20" i="38"/>
  <c r="K20" i="38"/>
  <c r="G20" i="38"/>
  <c r="C20" i="38"/>
  <c r="O19" i="38"/>
  <c r="K19" i="38"/>
  <c r="G19" i="38"/>
  <c r="C19" i="38"/>
  <c r="O18" i="38"/>
  <c r="K18" i="38"/>
  <c r="G18" i="38"/>
  <c r="C18" i="38"/>
  <c r="O17" i="38"/>
  <c r="K17" i="38"/>
  <c r="G17" i="38"/>
  <c r="C17" i="38"/>
  <c r="O16" i="38"/>
  <c r="K16" i="38"/>
  <c r="G16" i="38"/>
  <c r="C16" i="38"/>
  <c r="O15" i="38"/>
  <c r="K15" i="38"/>
  <c r="G15" i="38"/>
  <c r="C15" i="38"/>
  <c r="O14" i="38"/>
  <c r="K14" i="38"/>
  <c r="G14" i="38"/>
  <c r="C14" i="38"/>
  <c r="O13" i="38"/>
  <c r="K13" i="38"/>
  <c r="G13" i="38"/>
  <c r="C13" i="38"/>
  <c r="O12" i="38"/>
  <c r="K12" i="38"/>
  <c r="G12" i="38"/>
  <c r="C12" i="38"/>
  <c r="O11" i="38"/>
  <c r="K11" i="38"/>
  <c r="G11" i="38"/>
  <c r="C11" i="38"/>
  <c r="O10" i="38"/>
  <c r="K10" i="38"/>
  <c r="G10" i="38"/>
  <c r="C10" i="38"/>
  <c r="O9" i="38"/>
  <c r="K9" i="38"/>
  <c r="G9" i="38"/>
  <c r="C9" i="38"/>
  <c r="O8" i="38"/>
  <c r="K8" i="38"/>
  <c r="G8" i="38"/>
  <c r="C8" i="38"/>
  <c r="O7" i="38"/>
  <c r="K7" i="38"/>
  <c r="G7" i="38"/>
  <c r="C7" i="38"/>
  <c r="O6" i="38"/>
  <c r="K6" i="38"/>
  <c r="G6" i="38"/>
  <c r="C6" i="38"/>
  <c r="O5" i="38"/>
  <c r="K5" i="38"/>
  <c r="G5" i="38"/>
  <c r="C5" i="38"/>
  <c r="O4" i="38"/>
  <c r="K4" i="38"/>
  <c r="G4" i="38"/>
  <c r="C4" i="38"/>
  <c r="Z77" i="37" a="1"/>
  <c r="Z77" i="37" s="1"/>
  <c r="R77" i="37" a="1"/>
  <c r="R77" i="37" s="1"/>
  <c r="J77" i="37" a="1"/>
  <c r="J77" i="37" s="1"/>
  <c r="B77" i="37" a="1"/>
  <c r="X9" i="1" l="1"/>
  <c r="L32" i="1"/>
  <c r="N75" i="39"/>
  <c r="K84" i="39"/>
  <c r="K74" i="39"/>
  <c r="M75" i="39"/>
  <c r="S76" i="39"/>
  <c r="Z77" i="39"/>
  <c r="S79" i="39"/>
  <c r="N81" i="39"/>
  <c r="Z83" i="39"/>
  <c r="Z86" i="39"/>
  <c r="Q91" i="39"/>
  <c r="Q97" i="39"/>
  <c r="Q103" i="39"/>
  <c r="AA77" i="39"/>
  <c r="U92" i="39"/>
  <c r="Q75" i="39"/>
  <c r="K93" i="39"/>
  <c r="U74" i="39"/>
  <c r="S75" i="39"/>
  <c r="J77" i="39"/>
  <c r="M78" i="39"/>
  <c r="U80" i="39"/>
  <c r="S82" i="39"/>
  <c r="AA84" i="39"/>
  <c r="AA87" i="39"/>
  <c r="AA93" i="39"/>
  <c r="AA99" i="39"/>
  <c r="T79" i="39"/>
  <c r="U98" i="39"/>
  <c r="S74" i="39"/>
  <c r="Q82" i="39"/>
  <c r="K99" i="39"/>
  <c r="Y74" i="39"/>
  <c r="Y75" i="39"/>
  <c r="K77" i="39"/>
  <c r="N78" i="39"/>
  <c r="Y80" i="39"/>
  <c r="T82" i="39"/>
  <c r="Q85" i="39"/>
  <c r="Q88" i="39"/>
  <c r="Q94" i="39"/>
  <c r="Q100" i="39"/>
  <c r="M74" i="39"/>
  <c r="T76" i="39"/>
  <c r="K87" i="39"/>
  <c r="U76" i="39"/>
  <c r="N84" i="39"/>
  <c r="Z74" i="39"/>
  <c r="AA75" i="39"/>
  <c r="S77" i="39"/>
  <c r="AA78" i="39"/>
  <c r="Z80" i="39"/>
  <c r="J83" i="39"/>
  <c r="T85" i="39"/>
  <c r="U89" i="39"/>
  <c r="U95" i="39"/>
  <c r="U101" i="39"/>
  <c r="AA81" i="39"/>
  <c r="J80" i="39"/>
  <c r="AA74" i="39"/>
  <c r="M76" i="39"/>
  <c r="U77" i="39"/>
  <c r="K81" i="39"/>
  <c r="U83" i="39"/>
  <c r="J86" i="39"/>
  <c r="K90" i="39"/>
  <c r="K96" i="39"/>
  <c r="K102" i="39"/>
  <c r="I73" i="39"/>
  <c r="T73" i="39" s="1"/>
  <c r="K78" i="39"/>
  <c r="N87" i="39"/>
  <c r="J74" i="39"/>
  <c r="K75" i="39"/>
  <c r="Q76" i="39"/>
  <c r="Y77" i="39"/>
  <c r="Q79" i="39"/>
  <c r="M81" i="39"/>
  <c r="Y83" i="39"/>
  <c r="U86" i="39"/>
  <c r="AA90" i="39"/>
  <c r="AA96" i="39"/>
  <c r="AA102" i="39"/>
  <c r="AD80" i="37"/>
  <c r="AD92" i="37"/>
  <c r="N96" i="37"/>
  <c r="N99" i="37"/>
  <c r="O106" i="37"/>
  <c r="B77" i="37"/>
  <c r="M78" i="37"/>
  <c r="AE78" i="37"/>
  <c r="E79" i="37"/>
  <c r="AA79" i="37"/>
  <c r="E80" i="37"/>
  <c r="AE80" i="37"/>
  <c r="O81" i="37"/>
  <c r="AD82" i="37"/>
  <c r="S83" i="37"/>
  <c r="M84" i="37"/>
  <c r="AD85" i="37"/>
  <c r="AC86" i="37"/>
  <c r="D87" i="37"/>
  <c r="K88" i="37"/>
  <c r="AF89" i="37"/>
  <c r="P90" i="37"/>
  <c r="AF92" i="37"/>
  <c r="P93" i="37"/>
  <c r="AF95" i="37"/>
  <c r="P96" i="37"/>
  <c r="AF98" i="37"/>
  <c r="P99" i="37"/>
  <c r="D100" i="37"/>
  <c r="E101" i="37"/>
  <c r="X102" i="37"/>
  <c r="S106" i="37"/>
  <c r="P83" i="37"/>
  <c r="E84" i="37"/>
  <c r="AB86" i="37"/>
  <c r="N90" i="37"/>
  <c r="AD98" i="37"/>
  <c r="N78" i="37"/>
  <c r="AF78" i="37"/>
  <c r="F79" i="37"/>
  <c r="AC79" i="37"/>
  <c r="K80" i="37"/>
  <c r="AF80" i="37"/>
  <c r="P81" i="37"/>
  <c r="C82" i="37"/>
  <c r="AE82" i="37"/>
  <c r="T83" i="37"/>
  <c r="N84" i="37"/>
  <c r="C85" i="37"/>
  <c r="AE85" i="37"/>
  <c r="C86" i="37"/>
  <c r="AD86" i="37"/>
  <c r="F87" i="37"/>
  <c r="L88" i="37"/>
  <c r="S90" i="37"/>
  <c r="C91" i="37"/>
  <c r="S93" i="37"/>
  <c r="C94" i="37"/>
  <c r="S96" i="37"/>
  <c r="C97" i="37"/>
  <c r="S99" i="37"/>
  <c r="E100" i="37"/>
  <c r="F101" i="37"/>
  <c r="AA102" i="37"/>
  <c r="T106" i="37"/>
  <c r="D80" i="37"/>
  <c r="AC82" i="37"/>
  <c r="AC85" i="37"/>
  <c r="H88" i="37"/>
  <c r="AD95" i="37"/>
  <c r="N102" i="37"/>
  <c r="O78" i="37"/>
  <c r="G79" i="37"/>
  <c r="AD79" i="37"/>
  <c r="M80" i="37"/>
  <c r="S81" i="37"/>
  <c r="D82" i="37"/>
  <c r="AF82" i="37"/>
  <c r="U83" i="37"/>
  <c r="O84" i="37"/>
  <c r="D85" i="37"/>
  <c r="AF85" i="37"/>
  <c r="D86" i="37"/>
  <c r="AF86" i="37"/>
  <c r="H87" i="37"/>
  <c r="V88" i="37"/>
  <c r="T90" i="37"/>
  <c r="D91" i="37"/>
  <c r="T93" i="37"/>
  <c r="D94" i="37"/>
  <c r="T96" i="37"/>
  <c r="D97" i="37"/>
  <c r="T99" i="37"/>
  <c r="F100" i="37"/>
  <c r="H101" i="37"/>
  <c r="AB102" i="37"/>
  <c r="G105" i="37"/>
  <c r="V106" i="37"/>
  <c r="AC83" i="37"/>
  <c r="C95" i="37"/>
  <c r="AD78" i="37"/>
  <c r="D101" i="37"/>
  <c r="E82" i="37"/>
  <c r="S91" i="37"/>
  <c r="S97" i="37"/>
  <c r="AB105" i="37"/>
  <c r="S78" i="37"/>
  <c r="M79" i="37"/>
  <c r="AF79" i="37"/>
  <c r="O80" i="37"/>
  <c r="U81" i="37"/>
  <c r="M82" i="37"/>
  <c r="AD83" i="37"/>
  <c r="S84" i="37"/>
  <c r="M85" i="37"/>
  <c r="H86" i="37"/>
  <c r="L87" i="37"/>
  <c r="AA88" i="37"/>
  <c r="D89" i="37"/>
  <c r="T91" i="37"/>
  <c r="D92" i="37"/>
  <c r="T94" i="37"/>
  <c r="D95" i="37"/>
  <c r="T97" i="37"/>
  <c r="D98" i="37"/>
  <c r="AD100" i="37"/>
  <c r="H104" i="37"/>
  <c r="AC105" i="37"/>
  <c r="D79" i="37"/>
  <c r="N81" i="37"/>
  <c r="N93" i="37"/>
  <c r="X88" i="37"/>
  <c r="V100" i="37"/>
  <c r="AF106" i="37"/>
  <c r="P106" i="37"/>
  <c r="AF105" i="37"/>
  <c r="P105" i="37"/>
  <c r="AF104" i="37"/>
  <c r="P104" i="37"/>
  <c r="AF103" i="37"/>
  <c r="P103" i="37"/>
  <c r="AF102" i="37"/>
  <c r="P102" i="37"/>
  <c r="AF101" i="37"/>
  <c r="P101" i="37"/>
  <c r="AF100" i="37"/>
  <c r="P100" i="37"/>
  <c r="AD106" i="37"/>
  <c r="N106" i="37"/>
  <c r="AE106" i="37"/>
  <c r="L106" i="37"/>
  <c r="W105" i="37"/>
  <c r="F105" i="37"/>
  <c r="S104" i="37"/>
  <c r="AC103" i="37"/>
  <c r="L103" i="37"/>
  <c r="W102" i="37"/>
  <c r="F102" i="37"/>
  <c r="S101" i="37"/>
  <c r="AC100" i="37"/>
  <c r="L100" i="37"/>
  <c r="X99" i="37"/>
  <c r="H99" i="37"/>
  <c r="X98" i="37"/>
  <c r="H98" i="37"/>
  <c r="X97" i="37"/>
  <c r="H97" i="37"/>
  <c r="X96" i="37"/>
  <c r="H96" i="37"/>
  <c r="X95" i="37"/>
  <c r="H95" i="37"/>
  <c r="X94" i="37"/>
  <c r="H94" i="37"/>
  <c r="X93" i="37"/>
  <c r="H93" i="37"/>
  <c r="X92" i="37"/>
  <c r="H92" i="37"/>
  <c r="X91" i="37"/>
  <c r="H91" i="37"/>
  <c r="X90" i="37"/>
  <c r="H90" i="37"/>
  <c r="X89" i="37"/>
  <c r="H89" i="37"/>
  <c r="AC106" i="37"/>
  <c r="K106" i="37"/>
  <c r="V105" i="37"/>
  <c r="E105" i="37"/>
  <c r="O104" i="37"/>
  <c r="AB103" i="37"/>
  <c r="K103" i="37"/>
  <c r="V102" i="37"/>
  <c r="E102" i="37"/>
  <c r="O101" i="37"/>
  <c r="AB100" i="37"/>
  <c r="K100" i="37"/>
  <c r="W99" i="37"/>
  <c r="G99" i="37"/>
  <c r="W98" i="37"/>
  <c r="G98" i="37"/>
  <c r="W97" i="37"/>
  <c r="G97" i="37"/>
  <c r="W96" i="37"/>
  <c r="G96" i="37"/>
  <c r="W95" i="37"/>
  <c r="G95" i="37"/>
  <c r="W94" i="37"/>
  <c r="G94" i="37"/>
  <c r="W93" i="37"/>
  <c r="G93" i="37"/>
  <c r="W92" i="37"/>
  <c r="G92" i="37"/>
  <c r="W91" i="37"/>
  <c r="G91" i="37"/>
  <c r="W90" i="37"/>
  <c r="G90" i="37"/>
  <c r="W89" i="37"/>
  <c r="G89" i="37"/>
  <c r="W88" i="37"/>
  <c r="G88" i="37"/>
  <c r="W87" i="37"/>
  <c r="G87" i="37"/>
  <c r="W86" i="37"/>
  <c r="G86" i="37"/>
  <c r="AB106" i="37"/>
  <c r="H106" i="37"/>
  <c r="U105" i="37"/>
  <c r="D105" i="37"/>
  <c r="AE104" i="37"/>
  <c r="N104" i="37"/>
  <c r="AA103" i="37"/>
  <c r="H103" i="37"/>
  <c r="U102" i="37"/>
  <c r="D102" i="37"/>
  <c r="AE101" i="37"/>
  <c r="N101" i="37"/>
  <c r="AA100" i="37"/>
  <c r="AA106" i="37"/>
  <c r="G106" i="37"/>
  <c r="T105" i="37"/>
  <c r="C105" i="37"/>
  <c r="AD104" i="37"/>
  <c r="M104" i="37"/>
  <c r="X103" i="37"/>
  <c r="G103" i="37"/>
  <c r="T102" i="37"/>
  <c r="C102" i="37"/>
  <c r="AD101" i="37"/>
  <c r="M101" i="37"/>
  <c r="X100" i="37"/>
  <c r="G100" i="37"/>
  <c r="U99" i="37"/>
  <c r="E99" i="37"/>
  <c r="U98" i="37"/>
  <c r="E98" i="37"/>
  <c r="U97" i="37"/>
  <c r="E97" i="37"/>
  <c r="U96" i="37"/>
  <c r="E96" i="37"/>
  <c r="U95" i="37"/>
  <c r="E95" i="37"/>
  <c r="U94" i="37"/>
  <c r="E94" i="37"/>
  <c r="U93" i="37"/>
  <c r="E93" i="37"/>
  <c r="U92" i="37"/>
  <c r="E92" i="37"/>
  <c r="U91" i="37"/>
  <c r="E91" i="37"/>
  <c r="U90" i="37"/>
  <c r="E90" i="37"/>
  <c r="U89" i="37"/>
  <c r="E89" i="37"/>
  <c r="U88" i="37"/>
  <c r="E88" i="37"/>
  <c r="U87" i="37"/>
  <c r="E87" i="37"/>
  <c r="U86" i="37"/>
  <c r="E86" i="37"/>
  <c r="X106" i="37"/>
  <c r="F106" i="37"/>
  <c r="S105" i="37"/>
  <c r="AC104" i="37"/>
  <c r="L104" i="37"/>
  <c r="W103" i="37"/>
  <c r="F103" i="37"/>
  <c r="S102" i="37"/>
  <c r="AC101" i="37"/>
  <c r="L101" i="37"/>
  <c r="W100" i="37"/>
  <c r="W106" i="37"/>
  <c r="E106" i="37"/>
  <c r="O105" i="37"/>
  <c r="AB104" i="37"/>
  <c r="K104" i="37"/>
  <c r="V103" i="37"/>
  <c r="E103" i="37"/>
  <c r="O102" i="37"/>
  <c r="AB101" i="37"/>
  <c r="U106" i="37"/>
  <c r="C106" i="37"/>
  <c r="AD105" i="37"/>
  <c r="M105" i="37"/>
  <c r="X104" i="37"/>
  <c r="G104" i="37"/>
  <c r="T103" i="37"/>
  <c r="C103" i="37"/>
  <c r="AD102" i="37"/>
  <c r="M102" i="37"/>
  <c r="X101" i="37"/>
  <c r="G101" i="37"/>
  <c r="T100" i="37"/>
  <c r="C100" i="37"/>
  <c r="AE99" i="37"/>
  <c r="O99" i="37"/>
  <c r="AE98" i="37"/>
  <c r="O98" i="37"/>
  <c r="AE97" i="37"/>
  <c r="O97" i="37"/>
  <c r="AE96" i="37"/>
  <c r="O96" i="37"/>
  <c r="AE95" i="37"/>
  <c r="O95" i="37"/>
  <c r="AE94" i="37"/>
  <c r="O94" i="37"/>
  <c r="AE93" i="37"/>
  <c r="O93" i="37"/>
  <c r="AE92" i="37"/>
  <c r="O92" i="37"/>
  <c r="AE91" i="37"/>
  <c r="O91" i="37"/>
  <c r="AE90" i="37"/>
  <c r="O90" i="37"/>
  <c r="AE89" i="37"/>
  <c r="O89" i="37"/>
  <c r="AE88" i="37"/>
  <c r="O88" i="37"/>
  <c r="AE87" i="37"/>
  <c r="O87" i="37"/>
  <c r="AE86" i="37"/>
  <c r="AA105" i="37"/>
  <c r="E104" i="37"/>
  <c r="AD103" i="37"/>
  <c r="H102" i="37"/>
  <c r="AA101" i="37"/>
  <c r="U100" i="37"/>
  <c r="AF99" i="37"/>
  <c r="K99" i="37"/>
  <c r="AA98" i="37"/>
  <c r="P97" i="37"/>
  <c r="AF96" i="37"/>
  <c r="K96" i="37"/>
  <c r="AA95" i="37"/>
  <c r="P94" i="37"/>
  <c r="AF93" i="37"/>
  <c r="K93" i="37"/>
  <c r="AA92" i="37"/>
  <c r="P91" i="37"/>
  <c r="AF90" i="37"/>
  <c r="K90" i="37"/>
  <c r="AA89" i="37"/>
  <c r="T88" i="37"/>
  <c r="T87" i="37"/>
  <c r="T86" i="37"/>
  <c r="AB85" i="37"/>
  <c r="L85" i="37"/>
  <c r="AB84" i="37"/>
  <c r="L84" i="37"/>
  <c r="AB83" i="37"/>
  <c r="L83" i="37"/>
  <c r="AB82" i="37"/>
  <c r="L82" i="37"/>
  <c r="AB81" i="37"/>
  <c r="L81" i="37"/>
  <c r="AB80" i="37"/>
  <c r="L80" i="37"/>
  <c r="AB79" i="37"/>
  <c r="L79" i="37"/>
  <c r="AB78" i="37"/>
  <c r="L78" i="37"/>
  <c r="X105" i="37"/>
  <c r="D104" i="37"/>
  <c r="U103" i="37"/>
  <c r="G102" i="37"/>
  <c r="W101" i="37"/>
  <c r="S100" i="37"/>
  <c r="AD99" i="37"/>
  <c r="F99" i="37"/>
  <c r="V98" i="37"/>
  <c r="N97" i="37"/>
  <c r="AD96" i="37"/>
  <c r="F96" i="37"/>
  <c r="V95" i="37"/>
  <c r="N94" i="37"/>
  <c r="AD93" i="37"/>
  <c r="F93" i="37"/>
  <c r="V92" i="37"/>
  <c r="N91" i="37"/>
  <c r="AD90" i="37"/>
  <c r="F90" i="37"/>
  <c r="V89" i="37"/>
  <c r="S88" i="37"/>
  <c r="S87" i="37"/>
  <c r="S86" i="37"/>
  <c r="AA85" i="37"/>
  <c r="K85" i="37"/>
  <c r="AA84" i="37"/>
  <c r="K84" i="37"/>
  <c r="AA83" i="37"/>
  <c r="K83" i="37"/>
  <c r="AA82" i="37"/>
  <c r="K82" i="37"/>
  <c r="N105" i="37"/>
  <c r="C104" i="37"/>
  <c r="S103" i="37"/>
  <c r="V101" i="37"/>
  <c r="O100" i="37"/>
  <c r="AC99" i="37"/>
  <c r="D99" i="37"/>
  <c r="T98" i="37"/>
  <c r="M97" i="37"/>
  <c r="AC96" i="37"/>
  <c r="D96" i="37"/>
  <c r="T95" i="37"/>
  <c r="M94" i="37"/>
  <c r="AC93" i="37"/>
  <c r="D93" i="37"/>
  <c r="T92" i="37"/>
  <c r="M91" i="37"/>
  <c r="AC90" i="37"/>
  <c r="D90" i="37"/>
  <c r="T89" i="37"/>
  <c r="P88" i="37"/>
  <c r="P87" i="37"/>
  <c r="P86" i="37"/>
  <c r="X85" i="37"/>
  <c r="H85" i="37"/>
  <c r="X84" i="37"/>
  <c r="H84" i="37"/>
  <c r="X83" i="37"/>
  <c r="H83" i="37"/>
  <c r="X82" i="37"/>
  <c r="H82" i="37"/>
  <c r="X81" i="37"/>
  <c r="H81" i="37"/>
  <c r="X80" i="37"/>
  <c r="H80" i="37"/>
  <c r="X79" i="37"/>
  <c r="H79" i="37"/>
  <c r="X78" i="37"/>
  <c r="H78" i="37"/>
  <c r="L105" i="37"/>
  <c r="O103" i="37"/>
  <c r="U101" i="37"/>
  <c r="N100" i="37"/>
  <c r="AB99" i="37"/>
  <c r="C99" i="37"/>
  <c r="S98" i="37"/>
  <c r="L97" i="37"/>
  <c r="AB96" i="37"/>
  <c r="C96" i="37"/>
  <c r="S95" i="37"/>
  <c r="L94" i="37"/>
  <c r="AB93" i="37"/>
  <c r="C93" i="37"/>
  <c r="S92" i="37"/>
  <c r="L91" i="37"/>
  <c r="AB90" i="37"/>
  <c r="C90" i="37"/>
  <c r="S89" i="37"/>
  <c r="N88" i="37"/>
  <c r="N87" i="37"/>
  <c r="O86" i="37"/>
  <c r="W85" i="37"/>
  <c r="G85" i="37"/>
  <c r="W84" i="37"/>
  <c r="G84" i="37"/>
  <c r="W83" i="37"/>
  <c r="G83" i="37"/>
  <c r="W82" i="37"/>
  <c r="G82" i="37"/>
  <c r="W81" i="37"/>
  <c r="G81" i="37"/>
  <c r="W80" i="37"/>
  <c r="G80" i="37"/>
  <c r="W79" i="37"/>
  <c r="K105" i="37"/>
  <c r="N103" i="37"/>
  <c r="AE102" i="37"/>
  <c r="T101" i="37"/>
  <c r="M100" i="37"/>
  <c r="AA99" i="37"/>
  <c r="P98" i="37"/>
  <c r="AF97" i="37"/>
  <c r="K97" i="37"/>
  <c r="AA96" i="37"/>
  <c r="P95" i="37"/>
  <c r="AF94" i="37"/>
  <c r="K94" i="37"/>
  <c r="AA93" i="37"/>
  <c r="P92" i="37"/>
  <c r="AF91" i="37"/>
  <c r="K91" i="37"/>
  <c r="AA90" i="37"/>
  <c r="P89" i="37"/>
  <c r="M88" i="37"/>
  <c r="M87" i="37"/>
  <c r="N86" i="37"/>
  <c r="V85" i="37"/>
  <c r="F85" i="37"/>
  <c r="V84" i="37"/>
  <c r="F84" i="37"/>
  <c r="V83" i="37"/>
  <c r="F83" i="37"/>
  <c r="V82" i="37"/>
  <c r="F82" i="37"/>
  <c r="V81" i="37"/>
  <c r="F81" i="37"/>
  <c r="V80" i="37"/>
  <c r="F80" i="37"/>
  <c r="H105" i="37"/>
  <c r="AA104" i="37"/>
  <c r="M103" i="37"/>
  <c r="AC102" i="37"/>
  <c r="K101" i="37"/>
  <c r="H100" i="37"/>
  <c r="V99" i="37"/>
  <c r="N98" i="37"/>
  <c r="AD97" i="37"/>
  <c r="F97" i="37"/>
  <c r="V96" i="37"/>
  <c r="N95" i="37"/>
  <c r="AD94" i="37"/>
  <c r="F94" i="37"/>
  <c r="V93" i="37"/>
  <c r="N92" i="37"/>
  <c r="AD91" i="37"/>
  <c r="F91" i="37"/>
  <c r="V90" i="37"/>
  <c r="N89" i="37"/>
  <c r="AD89" i="37"/>
  <c r="P78" i="37"/>
  <c r="AE79" i="37"/>
  <c r="T81" i="37"/>
  <c r="S94" i="37"/>
  <c r="C98" i="37"/>
  <c r="N85" i="37"/>
  <c r="AB88" i="37"/>
  <c r="F92" i="37"/>
  <c r="F95" i="37"/>
  <c r="F98" i="37"/>
  <c r="T104" i="37"/>
  <c r="C78" i="37"/>
  <c r="U78" i="37"/>
  <c r="O79" i="37"/>
  <c r="S80" i="37"/>
  <c r="C81" i="37"/>
  <c r="AC81" i="37"/>
  <c r="O82" i="37"/>
  <c r="D83" i="37"/>
  <c r="AF83" i="37"/>
  <c r="U84" i="37"/>
  <c r="O85" i="37"/>
  <c r="L86" i="37"/>
  <c r="X87" i="37"/>
  <c r="AC88" i="37"/>
  <c r="K89" i="37"/>
  <c r="AA91" i="37"/>
  <c r="K92" i="37"/>
  <c r="AA94" i="37"/>
  <c r="K95" i="37"/>
  <c r="AA97" i="37"/>
  <c r="K98" i="37"/>
  <c r="U104" i="37"/>
  <c r="V79" i="37"/>
  <c r="P84" i="37"/>
  <c r="F86" i="37"/>
  <c r="C89" i="37"/>
  <c r="C92" i="37"/>
  <c r="D78" i="37"/>
  <c r="P79" i="37"/>
  <c r="T80" i="37"/>
  <c r="D81" i="37"/>
  <c r="AD81" i="37"/>
  <c r="P82" i="37"/>
  <c r="E83" i="37"/>
  <c r="AC84" i="37"/>
  <c r="P85" i="37"/>
  <c r="M86" i="37"/>
  <c r="AA87" i="37"/>
  <c r="AD88" i="37"/>
  <c r="L89" i="37"/>
  <c r="AB91" i="37"/>
  <c r="L92" i="37"/>
  <c r="AB94" i="37"/>
  <c r="L95" i="37"/>
  <c r="AB97" i="37"/>
  <c r="L98" i="37"/>
  <c r="V104" i="37"/>
  <c r="N80" i="37"/>
  <c r="E85" i="37"/>
  <c r="P80" i="37"/>
  <c r="AA81" i="37"/>
  <c r="C83" i="37"/>
  <c r="T84" i="37"/>
  <c r="K86" i="37"/>
  <c r="V87" i="37"/>
  <c r="V91" i="37"/>
  <c r="E78" i="37"/>
  <c r="S79" i="37"/>
  <c r="AE81" i="37"/>
  <c r="S82" i="37"/>
  <c r="M83" i="37"/>
  <c r="AD84" i="37"/>
  <c r="S85" i="37"/>
  <c r="V86" i="37"/>
  <c r="AB87" i="37"/>
  <c r="C88" i="37"/>
  <c r="AF88" i="37"/>
  <c r="M89" i="37"/>
  <c r="AC91" i="37"/>
  <c r="M92" i="37"/>
  <c r="AC94" i="37"/>
  <c r="M95" i="37"/>
  <c r="AC97" i="37"/>
  <c r="M98" i="37"/>
  <c r="D103" i="37"/>
  <c r="W104" i="37"/>
  <c r="AF87" i="37"/>
  <c r="E76" i="39"/>
  <c r="D85" i="39"/>
  <c r="D82" i="39"/>
  <c r="G80" i="39"/>
  <c r="C79" i="39"/>
  <c r="G77" i="39"/>
  <c r="C76" i="39"/>
  <c r="G74" i="39"/>
  <c r="E95" i="39"/>
  <c r="E101" i="39"/>
  <c r="D76" i="39"/>
  <c r="E83" i="39"/>
  <c r="E80" i="39"/>
  <c r="E92" i="39"/>
  <c r="E86" i="39"/>
  <c r="E74" i="39"/>
  <c r="E98" i="39"/>
  <c r="E77" i="39"/>
  <c r="E89" i="39"/>
  <c r="K79" i="37"/>
  <c r="K87" i="37"/>
  <c r="F104" i="37"/>
  <c r="T78" i="37"/>
  <c r="N79" i="37"/>
  <c r="AE83" i="37"/>
  <c r="V94" i="37"/>
  <c r="V97" i="37"/>
  <c r="AE100" i="37"/>
  <c r="AE105" i="37"/>
  <c r="V78" i="37"/>
  <c r="W78" i="37"/>
  <c r="U80" i="37"/>
  <c r="E81" i="37"/>
  <c r="F78" i="37"/>
  <c r="AA78" i="37"/>
  <c r="T79" i="37"/>
  <c r="AA80" i="37"/>
  <c r="K81" i="37"/>
  <c r="AF81" i="37"/>
  <c r="T82" i="37"/>
  <c r="N83" i="37"/>
  <c r="C84" i="37"/>
  <c r="AE84" i="37"/>
  <c r="T85" i="37"/>
  <c r="X86" i="37"/>
  <c r="AC87" i="37"/>
  <c r="D88" i="37"/>
  <c r="AB89" i="37"/>
  <c r="L90" i="37"/>
  <c r="AB92" i="37"/>
  <c r="L93" i="37"/>
  <c r="AB95" i="37"/>
  <c r="L96" i="37"/>
  <c r="AB98" i="37"/>
  <c r="L99" i="37"/>
  <c r="K102" i="37"/>
  <c r="AE103" i="37"/>
  <c r="D106" i="37"/>
  <c r="K78" i="37"/>
  <c r="C87" i="37"/>
  <c r="N82" i="37"/>
  <c r="F89" i="37"/>
  <c r="G78" i="37"/>
  <c r="AC78" i="37"/>
  <c r="C79" i="37"/>
  <c r="U79" i="37"/>
  <c r="C80" i="37"/>
  <c r="AC80" i="37"/>
  <c r="M81" i="37"/>
  <c r="U82" i="37"/>
  <c r="O83" i="37"/>
  <c r="D84" i="37"/>
  <c r="AF84" i="37"/>
  <c r="U85" i="37"/>
  <c r="AA86" i="37"/>
  <c r="AD87" i="37"/>
  <c r="F88" i="37"/>
  <c r="AC89" i="37"/>
  <c r="M90" i="37"/>
  <c r="AC92" i="37"/>
  <c r="M93" i="37"/>
  <c r="AC95" i="37"/>
  <c r="M96" i="37"/>
  <c r="AC98" i="37"/>
  <c r="M99" i="37"/>
  <c r="C101" i="37"/>
  <c r="L102" i="37"/>
  <c r="M106" i="37"/>
  <c r="D101" i="39"/>
  <c r="F74" i="39"/>
  <c r="X74" i="39"/>
  <c r="L75" i="39"/>
  <c r="AB75" i="39"/>
  <c r="R76" i="39"/>
  <c r="F77" i="39"/>
  <c r="X77" i="39"/>
  <c r="L78" i="39"/>
  <c r="AB78" i="39"/>
  <c r="R79" i="39"/>
  <c r="F80" i="39"/>
  <c r="X80" i="39"/>
  <c r="L81" i="39"/>
  <c r="AB81" i="39"/>
  <c r="R82" i="39"/>
  <c r="F83" i="39"/>
  <c r="X83" i="39"/>
  <c r="L84" i="39"/>
  <c r="AB84" i="39"/>
  <c r="R85" i="39"/>
  <c r="F86" i="39"/>
  <c r="X86" i="39"/>
  <c r="L87" i="39"/>
  <c r="AB87" i="39"/>
  <c r="R88" i="39"/>
  <c r="F89" i="39"/>
  <c r="X89" i="39"/>
  <c r="L90" i="39"/>
  <c r="AB90" i="39"/>
  <c r="R91" i="39"/>
  <c r="F92" i="39"/>
  <c r="X92" i="39"/>
  <c r="L93" i="39"/>
  <c r="AB93" i="39"/>
  <c r="R94" i="39"/>
  <c r="F95" i="39"/>
  <c r="X95" i="39"/>
  <c r="L96" i="39"/>
  <c r="AB96" i="39"/>
  <c r="R97" i="39"/>
  <c r="F98" i="39"/>
  <c r="X98" i="39"/>
  <c r="L99" i="39"/>
  <c r="AB99" i="39"/>
  <c r="R100" i="39"/>
  <c r="F101" i="39"/>
  <c r="X101" i="39"/>
  <c r="L102" i="39"/>
  <c r="AB102" i="39"/>
  <c r="R103" i="39"/>
  <c r="C82" i="39"/>
  <c r="G83" i="39"/>
  <c r="M84" i="39"/>
  <c r="C85" i="39"/>
  <c r="S85" i="39"/>
  <c r="G86" i="39"/>
  <c r="Y86" i="39"/>
  <c r="M87" i="39"/>
  <c r="C88" i="39"/>
  <c r="S88" i="39"/>
  <c r="G89" i="39"/>
  <c r="Y89" i="39"/>
  <c r="M90" i="39"/>
  <c r="C91" i="39"/>
  <c r="S91" i="39"/>
  <c r="G92" i="39"/>
  <c r="Y92" i="39"/>
  <c r="M93" i="39"/>
  <c r="C94" i="39"/>
  <c r="S94" i="39"/>
  <c r="G95" i="39"/>
  <c r="Y95" i="39"/>
  <c r="M96" i="39"/>
  <c r="C97" i="39"/>
  <c r="S97" i="39"/>
  <c r="G98" i="39"/>
  <c r="Y98" i="39"/>
  <c r="M99" i="39"/>
  <c r="C100" i="39"/>
  <c r="S100" i="39"/>
  <c r="G101" i="39"/>
  <c r="Y101" i="39"/>
  <c r="M102" i="39"/>
  <c r="C103" i="39"/>
  <c r="S103" i="39"/>
  <c r="D88" i="39"/>
  <c r="T88" i="39"/>
  <c r="J89" i="39"/>
  <c r="Z89" i="39"/>
  <c r="N90" i="39"/>
  <c r="D91" i="39"/>
  <c r="T91" i="39"/>
  <c r="J92" i="39"/>
  <c r="Z92" i="39"/>
  <c r="N93" i="39"/>
  <c r="D94" i="39"/>
  <c r="T94" i="39"/>
  <c r="J95" i="39"/>
  <c r="Z95" i="39"/>
  <c r="N96" i="39"/>
  <c r="D97" i="39"/>
  <c r="T97" i="39"/>
  <c r="J98" i="39"/>
  <c r="Z98" i="39"/>
  <c r="N99" i="39"/>
  <c r="D100" i="39"/>
  <c r="T100" i="39"/>
  <c r="J101" i="39"/>
  <c r="Z101" i="39"/>
  <c r="N102" i="39"/>
  <c r="D103" i="39"/>
  <c r="T103" i="39"/>
  <c r="Q78" i="39"/>
  <c r="E79" i="39"/>
  <c r="U79" i="39"/>
  <c r="K80" i="39"/>
  <c r="AA80" i="39"/>
  <c r="Q81" i="39"/>
  <c r="E82" i="39"/>
  <c r="U82" i="39"/>
  <c r="K83" i="39"/>
  <c r="AA83" i="39"/>
  <c r="Q84" i="39"/>
  <c r="E85" i="39"/>
  <c r="U85" i="39"/>
  <c r="K86" i="39"/>
  <c r="AA86" i="39"/>
  <c r="Q87" i="39"/>
  <c r="E88" i="39"/>
  <c r="U88" i="39"/>
  <c r="K89" i="39"/>
  <c r="AA89" i="39"/>
  <c r="Q90" i="39"/>
  <c r="E91" i="39"/>
  <c r="U91" i="39"/>
  <c r="K92" i="39"/>
  <c r="AA92" i="39"/>
  <c r="Q93" i="39"/>
  <c r="E94" i="39"/>
  <c r="U94" i="39"/>
  <c r="K95" i="39"/>
  <c r="AA95" i="39"/>
  <c r="Q96" i="39"/>
  <c r="E97" i="39"/>
  <c r="U97" i="39"/>
  <c r="K98" i="39"/>
  <c r="AA98" i="39"/>
  <c r="Q99" i="39"/>
  <c r="E100" i="39"/>
  <c r="U100" i="39"/>
  <c r="K101" i="39"/>
  <c r="AA101" i="39"/>
  <c r="Q102" i="39"/>
  <c r="E103" i="39"/>
  <c r="U103" i="39"/>
  <c r="L74" i="39"/>
  <c r="AB74" i="39"/>
  <c r="R75" i="39"/>
  <c r="F76" i="39"/>
  <c r="X76" i="39"/>
  <c r="L77" i="39"/>
  <c r="AB77" i="39"/>
  <c r="R78" i="39"/>
  <c r="F79" i="39"/>
  <c r="X79" i="39"/>
  <c r="L80" i="39"/>
  <c r="AB80" i="39"/>
  <c r="R81" i="39"/>
  <c r="F82" i="39"/>
  <c r="X82" i="39"/>
  <c r="L83" i="39"/>
  <c r="AB83" i="39"/>
  <c r="R84" i="39"/>
  <c r="F85" i="39"/>
  <c r="X85" i="39"/>
  <c r="L86" i="39"/>
  <c r="AB86" i="39"/>
  <c r="R87" i="39"/>
  <c r="F88" i="39"/>
  <c r="X88" i="39"/>
  <c r="L89" i="39"/>
  <c r="AB89" i="39"/>
  <c r="R90" i="39"/>
  <c r="F91" i="39"/>
  <c r="X91" i="39"/>
  <c r="L92" i="39"/>
  <c r="AB92" i="39"/>
  <c r="R93" i="39"/>
  <c r="F94" i="39"/>
  <c r="X94" i="39"/>
  <c r="L95" i="39"/>
  <c r="AB95" i="39"/>
  <c r="R96" i="39"/>
  <c r="F97" i="39"/>
  <c r="X97" i="39"/>
  <c r="L98" i="39"/>
  <c r="AB98" i="39"/>
  <c r="R99" i="39"/>
  <c r="F100" i="39"/>
  <c r="X100" i="39"/>
  <c r="L101" i="39"/>
  <c r="AB101" i="39"/>
  <c r="R102" i="39"/>
  <c r="F103" i="39"/>
  <c r="X103" i="39"/>
  <c r="C75" i="39"/>
  <c r="G76" i="39"/>
  <c r="Y76" i="39"/>
  <c r="M77" i="39"/>
  <c r="C78" i="39"/>
  <c r="S78" i="39"/>
  <c r="G79" i="39"/>
  <c r="Y79" i="39"/>
  <c r="M80" i="39"/>
  <c r="C81" i="39"/>
  <c r="S81" i="39"/>
  <c r="G82" i="39"/>
  <c r="Y82" i="39"/>
  <c r="M83" i="39"/>
  <c r="C84" i="39"/>
  <c r="S84" i="39"/>
  <c r="G85" i="39"/>
  <c r="Y85" i="39"/>
  <c r="M86" i="39"/>
  <c r="C87" i="39"/>
  <c r="S87" i="39"/>
  <c r="G88" i="39"/>
  <c r="Y88" i="39"/>
  <c r="M89" i="39"/>
  <c r="C90" i="39"/>
  <c r="S90" i="39"/>
  <c r="G91" i="39"/>
  <c r="Y91" i="39"/>
  <c r="M92" i="39"/>
  <c r="C93" i="39"/>
  <c r="S93" i="39"/>
  <c r="G94" i="39"/>
  <c r="Y94" i="39"/>
  <c r="M95" i="39"/>
  <c r="C96" i="39"/>
  <c r="S96" i="39"/>
  <c r="G97" i="39"/>
  <c r="Y97" i="39"/>
  <c r="M98" i="39"/>
  <c r="C99" i="39"/>
  <c r="S99" i="39"/>
  <c r="G100" i="39"/>
  <c r="Y100" i="39"/>
  <c r="M101" i="39"/>
  <c r="C102" i="39"/>
  <c r="S102" i="39"/>
  <c r="G103" i="39"/>
  <c r="Y103" i="39"/>
  <c r="B73" i="39"/>
  <c r="N74" i="39"/>
  <c r="D75" i="39"/>
  <c r="T75" i="39"/>
  <c r="J76" i="39"/>
  <c r="Z76" i="39"/>
  <c r="N77" i="39"/>
  <c r="D78" i="39"/>
  <c r="T78" i="39"/>
  <c r="J79" i="39"/>
  <c r="Z79" i="39"/>
  <c r="N80" i="39"/>
  <c r="D81" i="39"/>
  <c r="T81" i="39"/>
  <c r="J82" i="39"/>
  <c r="Z82" i="39"/>
  <c r="N83" i="39"/>
  <c r="D84" i="39"/>
  <c r="T84" i="39"/>
  <c r="J85" i="39"/>
  <c r="Z85" i="39"/>
  <c r="N86" i="39"/>
  <c r="D87" i="39"/>
  <c r="T87" i="39"/>
  <c r="J88" i="39"/>
  <c r="Z88" i="39"/>
  <c r="N89" i="39"/>
  <c r="D90" i="39"/>
  <c r="T90" i="39"/>
  <c r="J91" i="39"/>
  <c r="Z91" i="39"/>
  <c r="N92" i="39"/>
  <c r="D93" i="39"/>
  <c r="T93" i="39"/>
  <c r="J94" i="39"/>
  <c r="Z94" i="39"/>
  <c r="N95" i="39"/>
  <c r="D96" i="39"/>
  <c r="T96" i="39"/>
  <c r="J97" i="39"/>
  <c r="Z97" i="39"/>
  <c r="N98" i="39"/>
  <c r="D99" i="39"/>
  <c r="T99" i="39"/>
  <c r="J100" i="39"/>
  <c r="Z100" i="39"/>
  <c r="N101" i="39"/>
  <c r="D102" i="39"/>
  <c r="T102" i="39"/>
  <c r="J103" i="39"/>
  <c r="Z103" i="39"/>
  <c r="Q74" i="39"/>
  <c r="E75" i="39"/>
  <c r="U75" i="39"/>
  <c r="K76" i="39"/>
  <c r="AA76" i="39"/>
  <c r="Q77" i="39"/>
  <c r="E78" i="39"/>
  <c r="U78" i="39"/>
  <c r="K79" i="39"/>
  <c r="AA79" i="39"/>
  <c r="Q80" i="39"/>
  <c r="E81" i="39"/>
  <c r="U81" i="39"/>
  <c r="K82" i="39"/>
  <c r="AA82" i="39"/>
  <c r="Q83" i="39"/>
  <c r="E84" i="39"/>
  <c r="U84" i="39"/>
  <c r="K85" i="39"/>
  <c r="AA85" i="39"/>
  <c r="Q86" i="39"/>
  <c r="E87" i="39"/>
  <c r="U87" i="39"/>
  <c r="K88" i="39"/>
  <c r="AA88" i="39"/>
  <c r="Q89" i="39"/>
  <c r="E90" i="39"/>
  <c r="U90" i="39"/>
  <c r="K91" i="39"/>
  <c r="AA91" i="39"/>
  <c r="Q92" i="39"/>
  <c r="E93" i="39"/>
  <c r="U93" i="39"/>
  <c r="K94" i="39"/>
  <c r="AA94" i="39"/>
  <c r="Q95" i="39"/>
  <c r="E96" i="39"/>
  <c r="U96" i="39"/>
  <c r="K97" i="39"/>
  <c r="AA97" i="39"/>
  <c r="Q98" i="39"/>
  <c r="E99" i="39"/>
  <c r="U99" i="39"/>
  <c r="K100" i="39"/>
  <c r="AA100" i="39"/>
  <c r="Q101" i="39"/>
  <c r="E102" i="39"/>
  <c r="U102" i="39"/>
  <c r="K103" i="39"/>
  <c r="AA103" i="39"/>
  <c r="R74" i="39"/>
  <c r="F75" i="39"/>
  <c r="X75" i="39"/>
  <c r="L76" i="39"/>
  <c r="AB76" i="39"/>
  <c r="R77" i="39"/>
  <c r="F78" i="39"/>
  <c r="X78" i="39"/>
  <c r="L79" i="39"/>
  <c r="AB79" i="39"/>
  <c r="R80" i="39"/>
  <c r="F81" i="39"/>
  <c r="X81" i="39"/>
  <c r="L82" i="39"/>
  <c r="AB82" i="39"/>
  <c r="R83" i="39"/>
  <c r="F84" i="39"/>
  <c r="X84" i="39"/>
  <c r="L85" i="39"/>
  <c r="AB85" i="39"/>
  <c r="R86" i="39"/>
  <c r="F87" i="39"/>
  <c r="X87" i="39"/>
  <c r="L88" i="39"/>
  <c r="AB88" i="39"/>
  <c r="R89" i="39"/>
  <c r="F90" i="39"/>
  <c r="X90" i="39"/>
  <c r="L91" i="39"/>
  <c r="AB91" i="39"/>
  <c r="R92" i="39"/>
  <c r="F93" i="39"/>
  <c r="X93" i="39"/>
  <c r="L94" i="39"/>
  <c r="AB94" i="39"/>
  <c r="R95" i="39"/>
  <c r="F96" i="39"/>
  <c r="X96" i="39"/>
  <c r="L97" i="39"/>
  <c r="AB97" i="39"/>
  <c r="R98" i="39"/>
  <c r="F99" i="39"/>
  <c r="X99" i="39"/>
  <c r="L100" i="39"/>
  <c r="AB100" i="39"/>
  <c r="R101" i="39"/>
  <c r="F102" i="39"/>
  <c r="X102" i="39"/>
  <c r="L103" i="39"/>
  <c r="AB103" i="39"/>
  <c r="C74" i="39"/>
  <c r="G75" i="39"/>
  <c r="C77" i="39"/>
  <c r="G78" i="39"/>
  <c r="Y78" i="39"/>
  <c r="M79" i="39"/>
  <c r="C80" i="39"/>
  <c r="S80" i="39"/>
  <c r="G81" i="39"/>
  <c r="Y81" i="39"/>
  <c r="M82" i="39"/>
  <c r="C83" i="39"/>
  <c r="S83" i="39"/>
  <c r="G84" i="39"/>
  <c r="Y84" i="39"/>
  <c r="M85" i="39"/>
  <c r="C86" i="39"/>
  <c r="S86" i="39"/>
  <c r="G87" i="39"/>
  <c r="Y87" i="39"/>
  <c r="M88" i="39"/>
  <c r="C89" i="39"/>
  <c r="S89" i="39"/>
  <c r="G90" i="39"/>
  <c r="Y90" i="39"/>
  <c r="M91" i="39"/>
  <c r="C92" i="39"/>
  <c r="S92" i="39"/>
  <c r="G93" i="39"/>
  <c r="Y93" i="39"/>
  <c r="M94" i="39"/>
  <c r="C95" i="39"/>
  <c r="S95" i="39"/>
  <c r="G96" i="39"/>
  <c r="Y96" i="39"/>
  <c r="M97" i="39"/>
  <c r="C98" i="39"/>
  <c r="S98" i="39"/>
  <c r="G99" i="39"/>
  <c r="Y99" i="39"/>
  <c r="M100" i="39"/>
  <c r="C101" i="39"/>
  <c r="S101" i="39"/>
  <c r="G102" i="39"/>
  <c r="Y102" i="39"/>
  <c r="M103" i="39"/>
  <c r="D74" i="39"/>
  <c r="T74" i="39"/>
  <c r="J75" i="39"/>
  <c r="Z75" i="39"/>
  <c r="N76" i="39"/>
  <c r="D77" i="39"/>
  <c r="T77" i="39"/>
  <c r="J78" i="39"/>
  <c r="Z78" i="39"/>
  <c r="N79" i="39"/>
  <c r="D80" i="39"/>
  <c r="T80" i="39"/>
  <c r="J81" i="39"/>
  <c r="Z81" i="39"/>
  <c r="N82" i="39"/>
  <c r="D83" i="39"/>
  <c r="T83" i="39"/>
  <c r="J84" i="39"/>
  <c r="Z84" i="39"/>
  <c r="N85" i="39"/>
  <c r="D86" i="39"/>
  <c r="T86" i="39"/>
  <c r="J87" i="39"/>
  <c r="Z87" i="39"/>
  <c r="N88" i="39"/>
  <c r="D89" i="39"/>
  <c r="T89" i="39"/>
  <c r="J90" i="39"/>
  <c r="Z90" i="39"/>
  <c r="N91" i="39"/>
  <c r="D92" i="39"/>
  <c r="T92" i="39"/>
  <c r="J93" i="39"/>
  <c r="Z93" i="39"/>
  <c r="N94" i="39"/>
  <c r="D95" i="39"/>
  <c r="T95" i="39"/>
  <c r="J96" i="39"/>
  <c r="Z96" i="39"/>
  <c r="N97" i="39"/>
  <c r="D98" i="39"/>
  <c r="T98" i="39"/>
  <c r="J99" i="39"/>
  <c r="Z99" i="39"/>
  <c r="N100" i="39"/>
  <c r="T101" i="39"/>
  <c r="J102" i="39"/>
  <c r="Z102" i="39"/>
  <c r="X73" i="39" l="1"/>
  <c r="AB73" i="39"/>
  <c r="L73" i="39"/>
  <c r="AA73" i="39"/>
  <c r="Z73" i="39"/>
  <c r="N73" i="39"/>
  <c r="Q73" i="39"/>
  <c r="Y73" i="39"/>
  <c r="F22" i="39" s="1"/>
  <c r="M73" i="39"/>
  <c r="K73" i="39"/>
  <c r="F24" i="39"/>
  <c r="F11" i="39"/>
  <c r="R73" i="39"/>
  <c r="S73" i="39"/>
  <c r="J73" i="39"/>
  <c r="U73" i="39"/>
  <c r="F73" i="39"/>
  <c r="E73" i="39"/>
  <c r="D73" i="39"/>
  <c r="C73" i="39"/>
  <c r="G73" i="39"/>
  <c r="X77" i="37"/>
  <c r="L77" i="37"/>
  <c r="V77" i="37"/>
  <c r="AA77" i="37"/>
  <c r="M77" i="37"/>
  <c r="K77" i="37"/>
  <c r="W77" i="37"/>
  <c r="T77" i="37"/>
  <c r="AB77" i="37"/>
  <c r="G77" i="37"/>
  <c r="U77" i="37"/>
  <c r="H77" i="37"/>
  <c r="E77" i="37"/>
  <c r="AF77" i="37"/>
  <c r="N77" i="37"/>
  <c r="S77" i="37"/>
  <c r="F77" i="37"/>
  <c r="D77" i="37"/>
  <c r="AE77" i="37"/>
  <c r="AD77" i="37"/>
  <c r="P77" i="37"/>
  <c r="C77" i="37"/>
  <c r="AC77" i="37"/>
  <c r="O77" i="37"/>
  <c r="C8" i="39" l="1"/>
  <c r="C20" i="39"/>
  <c r="C9" i="39"/>
  <c r="C21" i="39"/>
  <c r="C10" i="39"/>
  <c r="C22" i="39"/>
  <c r="C11" i="39"/>
  <c r="C23" i="39"/>
  <c r="C12" i="39"/>
  <c r="C33" i="39" s="1"/>
  <c r="C24" i="39"/>
  <c r="C45" i="39" s="1"/>
  <c r="C13" i="39"/>
  <c r="C34" i="39" s="1"/>
  <c r="C25" i="39"/>
  <c r="C46" i="39" s="1"/>
  <c r="C14" i="39"/>
  <c r="C26" i="39"/>
  <c r="C15" i="39"/>
  <c r="C7" i="39"/>
  <c r="C16" i="39"/>
  <c r="C17" i="39"/>
  <c r="C18" i="39"/>
  <c r="C19" i="39"/>
  <c r="F15" i="39"/>
  <c r="F36" i="39" s="1"/>
  <c r="F26" i="39"/>
  <c r="F47" i="39" s="1"/>
  <c r="F19" i="39"/>
  <c r="F40" i="39" s="1"/>
  <c r="F7" i="39"/>
  <c r="F28" i="39" s="1"/>
  <c r="F21" i="39"/>
  <c r="F42" i="39" s="1"/>
  <c r="F17" i="39"/>
  <c r="F13" i="39"/>
  <c r="F34" i="39" s="1"/>
  <c r="F9" i="39"/>
  <c r="F10" i="39"/>
  <c r="F31" i="39" s="1"/>
  <c r="F20" i="39"/>
  <c r="F41" i="39" s="1"/>
  <c r="F18" i="39"/>
  <c r="F39" i="39" s="1"/>
  <c r="F14" i="39"/>
  <c r="F35" i="39" s="1"/>
  <c r="F25" i="39"/>
  <c r="F46" i="39" s="1"/>
  <c r="F16" i="39"/>
  <c r="F37" i="39" s="1"/>
  <c r="F12" i="39"/>
  <c r="F33" i="39" s="1"/>
  <c r="F8" i="39"/>
  <c r="F29" i="39" s="1"/>
  <c r="F23" i="39"/>
  <c r="F44" i="39" s="1"/>
  <c r="E20" i="39"/>
  <c r="E12" i="39"/>
  <c r="E33" i="39" s="1"/>
  <c r="E18" i="39"/>
  <c r="E24" i="39"/>
  <c r="E45" i="39" s="1"/>
  <c r="E26" i="39"/>
  <c r="E47" i="39" s="1"/>
  <c r="E22" i="39"/>
  <c r="E43" i="39" s="1"/>
  <c r="E16" i="39"/>
  <c r="E37" i="39" s="1"/>
  <c r="E14" i="39"/>
  <c r="E35" i="39" s="1"/>
  <c r="E8" i="39"/>
  <c r="E29" i="39" s="1"/>
  <c r="E10" i="39"/>
  <c r="E31" i="39" s="1"/>
  <c r="C28" i="39"/>
  <c r="E7" i="39"/>
  <c r="E28" i="39" s="1"/>
  <c r="E25" i="39"/>
  <c r="E46" i="39" s="1"/>
  <c r="E21" i="39"/>
  <c r="E42" i="39" s="1"/>
  <c r="D8" i="39"/>
  <c r="D12" i="39"/>
  <c r="D33" i="39" s="1"/>
  <c r="D16" i="39"/>
  <c r="D37" i="39" s="1"/>
  <c r="D20" i="39"/>
  <c r="D41" i="39" s="1"/>
  <c r="D24" i="39"/>
  <c r="D45" i="39" s="1"/>
  <c r="D9" i="39"/>
  <c r="D30" i="39" s="1"/>
  <c r="D13" i="39"/>
  <c r="D34" i="39" s="1"/>
  <c r="D17" i="39"/>
  <c r="D38" i="39" s="1"/>
  <c r="D21" i="39"/>
  <c r="D42" i="39" s="1"/>
  <c r="D25" i="39"/>
  <c r="D46" i="39" s="1"/>
  <c r="D11" i="39"/>
  <c r="D32" i="39" s="1"/>
  <c r="D23" i="39"/>
  <c r="D44" i="39" s="1"/>
  <c r="D26" i="39"/>
  <c r="D47" i="39" s="1"/>
  <c r="D10" i="39"/>
  <c r="D31" i="39" s="1"/>
  <c r="D14" i="39"/>
  <c r="D35" i="39" s="1"/>
  <c r="D18" i="39"/>
  <c r="D39" i="39" s="1"/>
  <c r="D22" i="39"/>
  <c r="D43" i="39" s="1"/>
  <c r="D7" i="39"/>
  <c r="D28" i="39" s="1"/>
  <c r="D19" i="39"/>
  <c r="D40" i="39" s="1"/>
  <c r="D15" i="39"/>
  <c r="D36" i="39" s="1"/>
  <c r="E23" i="39"/>
  <c r="E44" i="39" s="1"/>
  <c r="E17" i="39"/>
  <c r="E38" i="39" s="1"/>
  <c r="E19" i="39"/>
  <c r="E40" i="39" s="1"/>
  <c r="E13" i="39"/>
  <c r="E34" i="39" s="1"/>
  <c r="E15" i="39"/>
  <c r="E36" i="39" s="1"/>
  <c r="E9" i="39"/>
  <c r="E30" i="39" s="1"/>
  <c r="E11" i="39"/>
  <c r="E32" i="39" s="1"/>
  <c r="D12" i="37"/>
  <c r="D24" i="37"/>
  <c r="D19" i="37"/>
  <c r="D7" i="37"/>
  <c r="D14" i="37"/>
  <c r="D26" i="37"/>
  <c r="D9" i="37"/>
  <c r="D21" i="37"/>
  <c r="D16" i="37"/>
  <c r="D11" i="37"/>
  <c r="D23" i="37"/>
  <c r="D18" i="37"/>
  <c r="D13" i="37"/>
  <c r="D25" i="37"/>
  <c r="D8" i="37"/>
  <c r="D20" i="37"/>
  <c r="D15" i="37"/>
  <c r="D10" i="37"/>
  <c r="D22" i="37"/>
  <c r="D17" i="37"/>
  <c r="E17" i="37"/>
  <c r="E7" i="37"/>
  <c r="E22" i="37"/>
  <c r="E12" i="37"/>
  <c r="E24" i="37"/>
  <c r="E10" i="37"/>
  <c r="E19" i="37"/>
  <c r="E14" i="37"/>
  <c r="E26" i="37"/>
  <c r="E9" i="37"/>
  <c r="E21" i="37"/>
  <c r="E16" i="37"/>
  <c r="E11" i="37"/>
  <c r="E23" i="37"/>
  <c r="E18" i="37"/>
  <c r="E13" i="37"/>
  <c r="E25" i="37"/>
  <c r="E8" i="37"/>
  <c r="E20" i="37"/>
  <c r="E15" i="37"/>
  <c r="C19" i="37"/>
  <c r="C14" i="37"/>
  <c r="C26" i="37"/>
  <c r="C9" i="37"/>
  <c r="C21" i="37"/>
  <c r="C16" i="37"/>
  <c r="C11" i="37"/>
  <c r="C23" i="37"/>
  <c r="C18" i="37"/>
  <c r="C13" i="37"/>
  <c r="C25" i="37"/>
  <c r="C12" i="37"/>
  <c r="C8" i="37"/>
  <c r="C20" i="37"/>
  <c r="C24" i="37"/>
  <c r="C15" i="37"/>
  <c r="C10" i="37"/>
  <c r="C22" i="37"/>
  <c r="C7" i="37"/>
  <c r="C17" i="37"/>
  <c r="F10" i="37"/>
  <c r="F22" i="37"/>
  <c r="F17" i="37"/>
  <c r="F12" i="37"/>
  <c r="F24" i="37"/>
  <c r="F15" i="37"/>
  <c r="F19" i="37"/>
  <c r="F14" i="37"/>
  <c r="F26" i="37"/>
  <c r="F9" i="37"/>
  <c r="F21" i="37"/>
  <c r="F7" i="37"/>
  <c r="F16" i="37"/>
  <c r="F11" i="37"/>
  <c r="F23" i="37"/>
  <c r="F18" i="37"/>
  <c r="F13" i="37"/>
  <c r="F25" i="37"/>
  <c r="F8" i="37"/>
  <c r="F20" i="37"/>
  <c r="C31" i="39"/>
  <c r="C43" i="39"/>
  <c r="C32" i="39"/>
  <c r="C44" i="39"/>
  <c r="C30" i="39"/>
  <c r="C36" i="39"/>
  <c r="C35" i="39"/>
  <c r="C47" i="39"/>
  <c r="C29" i="39"/>
  <c r="C37" i="39"/>
  <c r="C41" i="39"/>
  <c r="C39" i="39"/>
  <c r="C42" i="39"/>
  <c r="C38" i="39"/>
  <c r="C40" i="39"/>
  <c r="AJ98" i="37"/>
  <c r="AJ99" i="37"/>
  <c r="AJ100" i="37"/>
  <c r="AJ101" i="37"/>
  <c r="AJ102" i="37"/>
  <c r="AJ103" i="37"/>
  <c r="AJ104" i="37"/>
  <c r="AJ105" i="37"/>
  <c r="AJ106" i="37"/>
  <c r="AJ107" i="37"/>
  <c r="F43" i="39"/>
  <c r="F38" i="39"/>
  <c r="F32" i="39"/>
  <c r="E41" i="39"/>
  <c r="D29" i="39"/>
  <c r="F45" i="39"/>
  <c r="F30" i="39"/>
  <c r="E39" i="39"/>
  <c r="AK103" i="37"/>
  <c r="AL106" i="37"/>
  <c r="AM101" i="37"/>
  <c r="AN104" i="37"/>
  <c r="AO107" i="37"/>
  <c r="AO99" i="37"/>
  <c r="AP102" i="37"/>
  <c r="AQ105" i="37"/>
  <c r="AK102" i="37"/>
  <c r="AL105" i="37"/>
  <c r="AM100" i="37"/>
  <c r="AN103" i="37"/>
  <c r="AO106" i="37"/>
  <c r="AP101" i="37"/>
  <c r="AQ104" i="37"/>
  <c r="AK101" i="37"/>
  <c r="AL104" i="37"/>
  <c r="AM107" i="37"/>
  <c r="AM99" i="37"/>
  <c r="AN102" i="37"/>
  <c r="AO105" i="37"/>
  <c r="AP100" i="37"/>
  <c r="AQ103" i="37"/>
  <c r="AK100" i="37"/>
  <c r="AL103" i="37"/>
  <c r="AM106" i="37"/>
  <c r="AN101" i="37"/>
  <c r="AO104" i="37"/>
  <c r="AP107" i="37"/>
  <c r="AP99" i="37"/>
  <c r="AQ102" i="37"/>
  <c r="AK107" i="37"/>
  <c r="AK99" i="37"/>
  <c r="AL102" i="37"/>
  <c r="AM105" i="37"/>
  <c r="AN100" i="37"/>
  <c r="AO103" i="37"/>
  <c r="AP106" i="37"/>
  <c r="AQ101" i="37"/>
  <c r="AL101" i="37"/>
  <c r="AN107" i="37"/>
  <c r="AQ100" i="37"/>
  <c r="AK106" i="37"/>
  <c r="AM104" i="37"/>
  <c r="AN99" i="37"/>
  <c r="AO102" i="37"/>
  <c r="AP105" i="37"/>
  <c r="AK105" i="37"/>
  <c r="AL100" i="37"/>
  <c r="AM103" i="37"/>
  <c r="AN106" i="37"/>
  <c r="AO101" i="37"/>
  <c r="AP104" i="37"/>
  <c r="AQ107" i="37"/>
  <c r="AQ99" i="37"/>
  <c r="AK104" i="37"/>
  <c r="AL107" i="37"/>
  <c r="AL99" i="37"/>
  <c r="AM102" i="37"/>
  <c r="AN105" i="37"/>
  <c r="AO100" i="37"/>
  <c r="AP103" i="37"/>
  <c r="AQ106" i="37"/>
  <c r="AN98" i="37"/>
  <c r="AO98" i="37"/>
  <c r="AK98" i="37"/>
  <c r="AP98" i="37"/>
  <c r="AL98" i="37"/>
  <c r="AQ98" i="37"/>
  <c r="AM98" i="37"/>
  <c r="R154" i="4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J154" i="4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G39" i="39" l="1"/>
  <c r="G36" i="39"/>
  <c r="G28" i="39"/>
  <c r="G46" i="39"/>
  <c r="G40" i="39"/>
  <c r="G30" i="39"/>
  <c r="G38" i="39"/>
  <c r="G45" i="39"/>
  <c r="G42" i="39"/>
  <c r="G41" i="39"/>
  <c r="G33" i="39"/>
  <c r="G37" i="39"/>
  <c r="G43" i="39"/>
  <c r="G31" i="39"/>
  <c r="G47" i="39"/>
  <c r="G35" i="39"/>
  <c r="D53" i="37"/>
  <c r="E57" i="37" s="1"/>
  <c r="J20" i="41" s="1"/>
  <c r="G34" i="39"/>
  <c r="G44" i="39"/>
  <c r="G32" i="39"/>
  <c r="G29" i="39"/>
  <c r="C52" i="39"/>
  <c r="R28" i="1"/>
  <c r="J23" i="41" l="1"/>
  <c r="K16" i="41" s="1"/>
  <c r="B154" i="4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G9" i="4"/>
  <c r="J10" i="1"/>
  <c r="J11" i="1" l="1"/>
  <c r="G97" i="4"/>
  <c r="G98" i="4"/>
  <c r="B15" i="4" l="1"/>
  <c r="C15" i="4" s="1"/>
  <c r="F9" i="4" a="1"/>
  <c r="J12" i="1"/>
  <c r="H84" i="4" l="1"/>
  <c r="H85" i="4"/>
  <c r="H86" i="4"/>
  <c r="H75" i="4"/>
  <c r="H87" i="4"/>
  <c r="H76" i="4"/>
  <c r="H88" i="4"/>
  <c r="H77" i="4"/>
  <c r="H89" i="4"/>
  <c r="H78" i="4"/>
  <c r="H90" i="4"/>
  <c r="H79" i="4"/>
  <c r="H91" i="4"/>
  <c r="H80" i="4"/>
  <c r="H92" i="4"/>
  <c r="H81" i="4"/>
  <c r="H93" i="4"/>
  <c r="H82" i="4"/>
  <c r="H94" i="4"/>
  <c r="H83" i="4"/>
  <c r="H19" i="4"/>
  <c r="H31" i="4"/>
  <c r="H43" i="4"/>
  <c r="H55" i="4"/>
  <c r="H67" i="4"/>
  <c r="H20" i="4"/>
  <c r="H32" i="4"/>
  <c r="H44" i="4"/>
  <c r="H56" i="4"/>
  <c r="H68" i="4"/>
  <c r="H21" i="4"/>
  <c r="H33" i="4"/>
  <c r="H45" i="4"/>
  <c r="H57" i="4"/>
  <c r="H69" i="4"/>
  <c r="H22" i="4"/>
  <c r="H34" i="4"/>
  <c r="H46" i="4"/>
  <c r="H58" i="4"/>
  <c r="H70" i="4"/>
  <c r="H11" i="4"/>
  <c r="H23" i="4"/>
  <c r="H35" i="4"/>
  <c r="H47" i="4"/>
  <c r="H59" i="4"/>
  <c r="H71" i="4"/>
  <c r="H10" i="4"/>
  <c r="H12" i="4"/>
  <c r="H24" i="4"/>
  <c r="H36" i="4"/>
  <c r="H48" i="4"/>
  <c r="H60" i="4"/>
  <c r="H72" i="4"/>
  <c r="H13" i="4"/>
  <c r="H25" i="4"/>
  <c r="H37" i="4"/>
  <c r="H49" i="4"/>
  <c r="H61" i="4"/>
  <c r="H73" i="4"/>
  <c r="H14" i="4"/>
  <c r="H26" i="4"/>
  <c r="H38" i="4"/>
  <c r="H50" i="4"/>
  <c r="H62" i="4"/>
  <c r="H74" i="4"/>
  <c r="H15" i="4"/>
  <c r="H27" i="4"/>
  <c r="H39" i="4"/>
  <c r="H51" i="4"/>
  <c r="H63" i="4"/>
  <c r="H16" i="4"/>
  <c r="H28" i="4"/>
  <c r="H40" i="4"/>
  <c r="H52" i="4"/>
  <c r="H64" i="4"/>
  <c r="H17" i="4"/>
  <c r="H29" i="4"/>
  <c r="H41" i="4"/>
  <c r="H53" i="4"/>
  <c r="H65" i="4"/>
  <c r="H18" i="4"/>
  <c r="H30" i="4"/>
  <c r="H42" i="4"/>
  <c r="H54" i="4"/>
  <c r="H66" i="4"/>
  <c r="B16" i="4"/>
  <c r="C16" i="4" s="1"/>
  <c r="T9" i="4"/>
  <c r="F9" i="4"/>
  <c r="J13" i="1"/>
  <c r="H9" i="4" l="1"/>
  <c r="W9" i="4" s="1"/>
  <c r="B17" i="4"/>
  <c r="C17" i="4" s="1"/>
  <c r="H98" i="4"/>
  <c r="T10" i="4"/>
  <c r="H97" i="4"/>
  <c r="J14" i="1"/>
  <c r="B18" i="4" l="1"/>
  <c r="C18" i="4" s="1"/>
  <c r="T11" i="4"/>
  <c r="J15" i="1"/>
  <c r="T12" i="4" l="1"/>
  <c r="B19" i="4"/>
  <c r="C19" i="4" s="1"/>
  <c r="J16" i="1"/>
  <c r="B20" i="4" l="1"/>
  <c r="C20" i="4" s="1"/>
  <c r="T13" i="4"/>
  <c r="J17" i="1"/>
  <c r="B21" i="4" l="1"/>
  <c r="C21" i="4" s="1"/>
  <c r="T14" i="4"/>
  <c r="J18" i="1"/>
  <c r="B22" i="4" l="1"/>
  <c r="C22" i="4" s="1"/>
  <c r="T15" i="4"/>
  <c r="J19" i="1"/>
  <c r="B23" i="4" l="1"/>
  <c r="C23" i="4" s="1"/>
  <c r="T16" i="4"/>
  <c r="J20" i="1"/>
  <c r="B24" i="4" l="1"/>
  <c r="C24" i="4" s="1"/>
  <c r="T17" i="4"/>
  <c r="J21" i="1"/>
  <c r="B25" i="4" l="1"/>
  <c r="C25" i="4" s="1"/>
  <c r="T18" i="4"/>
  <c r="J22" i="1"/>
  <c r="B26" i="4" l="1"/>
  <c r="C26" i="4" s="1"/>
  <c r="T19" i="4"/>
  <c r="J23" i="1"/>
  <c r="B27" i="4" l="1"/>
  <c r="C27" i="4" s="1"/>
  <c r="T20" i="4"/>
  <c r="J24" i="1"/>
  <c r="B28" i="4" l="1"/>
  <c r="C28" i="4" s="1"/>
  <c r="T21" i="4"/>
  <c r="J25" i="1"/>
  <c r="B29" i="4" l="1"/>
  <c r="C29" i="4" s="1"/>
  <c r="T22" i="4"/>
  <c r="J26" i="1"/>
  <c r="B30" i="4" l="1"/>
  <c r="C30" i="4" s="1"/>
  <c r="T23" i="4"/>
  <c r="J27" i="1"/>
  <c r="B31" i="4" l="1"/>
  <c r="C31" i="4" s="1"/>
  <c r="T24" i="4"/>
  <c r="J28" i="1"/>
  <c r="B32" i="4" l="1"/>
  <c r="C32" i="4" s="1"/>
  <c r="T25" i="4"/>
  <c r="B33" i="4" l="1"/>
  <c r="C33" i="4" s="1"/>
  <c r="T26" i="4"/>
  <c r="B34" i="4" l="1"/>
  <c r="C34" i="4" s="1"/>
  <c r="T27" i="4"/>
  <c r="B35" i="4" l="1"/>
  <c r="C35" i="4" s="1"/>
  <c r="T28" i="4"/>
  <c r="B36" i="4" l="1"/>
  <c r="C36" i="4" s="1"/>
  <c r="T29" i="4"/>
  <c r="B37" i="4" l="1"/>
  <c r="C37" i="4" s="1"/>
  <c r="T30" i="4"/>
  <c r="B38" i="4" l="1"/>
  <c r="C38" i="4" s="1"/>
  <c r="T31" i="4"/>
  <c r="B39" i="4" l="1"/>
  <c r="C39" i="4" s="1"/>
  <c r="T32" i="4"/>
  <c r="B40" i="4" l="1"/>
  <c r="C40" i="4" s="1"/>
  <c r="T33" i="4"/>
  <c r="B41" i="4" l="1"/>
  <c r="C41" i="4" s="1"/>
  <c r="T34" i="4"/>
  <c r="B42" i="4" l="1"/>
  <c r="C42" i="4" s="1"/>
  <c r="T35" i="4"/>
  <c r="B43" i="4" l="1"/>
  <c r="C43" i="4" s="1"/>
  <c r="T36" i="4"/>
  <c r="B44" i="4" l="1"/>
  <c r="C44" i="4" s="1"/>
  <c r="T37" i="4"/>
  <c r="B45" i="4" l="1"/>
  <c r="C45" i="4" s="1"/>
  <c r="T38" i="4"/>
  <c r="B46" i="4" l="1"/>
  <c r="C46" i="4" s="1"/>
  <c r="T39" i="4"/>
  <c r="B47" i="4" l="1"/>
  <c r="C47" i="4" s="1"/>
  <c r="T40" i="4"/>
  <c r="B48" i="4" l="1"/>
  <c r="C48" i="4" s="1"/>
  <c r="T41" i="4"/>
  <c r="B49" i="4" l="1"/>
  <c r="C49" i="4" s="1"/>
  <c r="T42" i="4"/>
  <c r="B50" i="4" l="1"/>
  <c r="C50" i="4" s="1"/>
  <c r="T43" i="4"/>
  <c r="B51" i="4" l="1"/>
  <c r="C51" i="4" s="1"/>
  <c r="T44" i="4"/>
  <c r="B52" i="4" l="1"/>
  <c r="C52" i="4" s="1"/>
  <c r="T45" i="4"/>
  <c r="T46" i="4" l="1"/>
  <c r="B53" i="4"/>
  <c r="C53" i="4" s="1"/>
  <c r="B54" i="4" l="1"/>
  <c r="C54" i="4" s="1"/>
  <c r="T47" i="4"/>
  <c r="B55" i="4" l="1"/>
  <c r="C55" i="4" s="1"/>
  <c r="T48" i="4"/>
  <c r="B56" i="4" l="1"/>
  <c r="C56" i="4" s="1"/>
  <c r="T49" i="4"/>
  <c r="B57" i="4" l="1"/>
  <c r="C57" i="4" s="1"/>
  <c r="T50" i="4"/>
  <c r="B58" i="4" l="1"/>
  <c r="C58" i="4" s="1"/>
  <c r="T51" i="4"/>
  <c r="B59" i="4" l="1"/>
  <c r="C59" i="4" s="1"/>
  <c r="T52" i="4"/>
  <c r="B60" i="4" l="1"/>
  <c r="C60" i="4" s="1"/>
  <c r="T53" i="4"/>
  <c r="B61" i="4" l="1"/>
  <c r="C61" i="4" s="1"/>
  <c r="T54" i="4"/>
  <c r="B62" i="4" l="1"/>
  <c r="C62" i="4" s="1"/>
  <c r="T55" i="4"/>
  <c r="B63" i="4" l="1"/>
  <c r="C63" i="4" s="1"/>
  <c r="T56" i="4"/>
  <c r="B64" i="4" l="1"/>
  <c r="C64" i="4" s="1"/>
  <c r="T57" i="4"/>
  <c r="B65" i="4" l="1"/>
  <c r="C65" i="4" s="1"/>
  <c r="T58" i="4"/>
  <c r="B66" i="4" l="1"/>
  <c r="C66" i="4" s="1"/>
  <c r="T59" i="4"/>
  <c r="B67" i="4" l="1"/>
  <c r="C67" i="4" s="1"/>
  <c r="T60" i="4"/>
  <c r="B68" i="4" l="1"/>
  <c r="C68" i="4" s="1"/>
  <c r="T61" i="4"/>
  <c r="B69" i="4" l="1"/>
  <c r="C69" i="4" s="1"/>
  <c r="T62" i="4"/>
  <c r="B70" i="4" l="1"/>
  <c r="C70" i="4" s="1"/>
  <c r="T63" i="4"/>
  <c r="B71" i="4" l="1"/>
  <c r="C71" i="4" s="1"/>
  <c r="T64" i="4"/>
  <c r="B72" i="4" l="1"/>
  <c r="C72" i="4" s="1"/>
  <c r="T65" i="4"/>
  <c r="B73" i="4" l="1"/>
  <c r="C73" i="4" s="1"/>
  <c r="T66" i="4"/>
  <c r="B74" i="4" l="1"/>
  <c r="C74" i="4" s="1"/>
  <c r="T67" i="4"/>
  <c r="T68" i="4" l="1"/>
  <c r="B75" i="4"/>
  <c r="C75" i="4" s="1"/>
  <c r="B76" i="4" l="1"/>
  <c r="C76" i="4" s="1"/>
  <c r="T69" i="4"/>
  <c r="B77" i="4" l="1"/>
  <c r="C77" i="4" s="1"/>
  <c r="T70" i="4"/>
  <c r="B78" i="4" l="1"/>
  <c r="C78" i="4" s="1"/>
  <c r="T71" i="4"/>
  <c r="B79" i="4" l="1"/>
  <c r="C79" i="4" s="1"/>
  <c r="T72" i="4"/>
  <c r="B80" i="4" l="1"/>
  <c r="C80" i="4" s="1"/>
  <c r="T73" i="4"/>
  <c r="B81" i="4" l="1"/>
  <c r="C81" i="4" s="1"/>
  <c r="T74" i="4"/>
  <c r="B82" i="4" l="1"/>
  <c r="C82" i="4" s="1"/>
  <c r="T75" i="4"/>
  <c r="B83" i="4" l="1"/>
  <c r="C83" i="4" s="1"/>
  <c r="T76" i="4"/>
  <c r="T77" i="4" l="1"/>
  <c r="B84" i="4"/>
  <c r="C84" i="4" s="1"/>
  <c r="T78" i="4" l="1"/>
  <c r="B85" i="4"/>
  <c r="C85" i="4" s="1"/>
  <c r="T79" i="4" l="1"/>
  <c r="B86" i="4"/>
  <c r="C86" i="4" s="1"/>
  <c r="T80" i="4" l="1"/>
  <c r="B87" i="4"/>
  <c r="C87" i="4" s="1"/>
  <c r="T81" i="4" l="1"/>
  <c r="B88" i="4"/>
  <c r="C88" i="4" s="1"/>
  <c r="T82" i="4" l="1"/>
  <c r="B89" i="4"/>
  <c r="C89" i="4" s="1"/>
  <c r="T83" i="4" l="1"/>
  <c r="B90" i="4"/>
  <c r="C90" i="4" s="1"/>
  <c r="T84" i="4" l="1"/>
  <c r="B91" i="4"/>
  <c r="C91" i="4" s="1"/>
  <c r="T85" i="4" l="1"/>
  <c r="B92" i="4"/>
  <c r="C92" i="4" s="1"/>
  <c r="T86" i="4" l="1"/>
  <c r="B93" i="4"/>
  <c r="C93" i="4" s="1"/>
  <c r="T87" i="4" l="1"/>
  <c r="B94" i="4"/>
  <c r="C94" i="4" s="1"/>
  <c r="T88" i="4" l="1"/>
  <c r="B95" i="4"/>
  <c r="C95" i="4" s="1"/>
  <c r="T89" i="4" l="1"/>
  <c r="B96" i="4"/>
  <c r="C96" i="4" s="1"/>
  <c r="T90" i="4" l="1"/>
  <c r="B97" i="4"/>
  <c r="C97" i="4" s="1"/>
  <c r="T91" i="4" l="1"/>
  <c r="B98" i="4"/>
  <c r="C98" i="4" s="1"/>
  <c r="T92" i="4" l="1"/>
  <c r="B99" i="4"/>
  <c r="C99" i="4" s="1"/>
  <c r="T93" i="4" l="1"/>
  <c r="B100" i="4"/>
  <c r="C100" i="4" s="1"/>
  <c r="B20" i="1"/>
  <c r="T94" i="4" l="1"/>
  <c r="B21" i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C31" i="1" s="1"/>
  <c r="B32" i="1" l="1"/>
  <c r="C32" i="1" s="1"/>
  <c r="B33" i="1" l="1"/>
  <c r="C33" i="1" s="1"/>
  <c r="B34" i="1" l="1"/>
  <c r="C34" i="1" s="1"/>
  <c r="B35" i="1" l="1"/>
  <c r="C35" i="1" s="1"/>
  <c r="B36" i="1" l="1"/>
  <c r="C36" i="1" s="1"/>
  <c r="B37" i="1" l="1"/>
  <c r="C37" i="1" s="1"/>
  <c r="B38" i="1" l="1"/>
  <c r="C38" i="1" s="1"/>
  <c r="B39" i="1" l="1"/>
  <c r="C39" i="1" s="1"/>
  <c r="L30" i="1" l="1"/>
  <c r="K32" i="1"/>
  <c r="K30" i="1"/>
  <c r="E32" i="1" l="1"/>
  <c r="E33" i="1"/>
  <c r="E34" i="1"/>
  <c r="E36" i="1"/>
  <c r="E35" i="1"/>
  <c r="E37" i="1"/>
  <c r="E31" i="1"/>
  <c r="E38" i="1"/>
  <c r="E39" i="1"/>
  <c r="I65" i="4" l="1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M24" i="1"/>
  <c r="F35" i="1"/>
  <c r="M25" i="1"/>
  <c r="F36" i="1"/>
  <c r="I21" i="4"/>
  <c r="I33" i="4"/>
  <c r="I45" i="4"/>
  <c r="I57" i="4"/>
  <c r="I10" i="4"/>
  <c r="I22" i="4"/>
  <c r="I34" i="4"/>
  <c r="I46" i="4"/>
  <c r="I58" i="4"/>
  <c r="I61" i="4"/>
  <c r="I56" i="4"/>
  <c r="I11" i="4"/>
  <c r="I23" i="4"/>
  <c r="I35" i="4"/>
  <c r="I47" i="4"/>
  <c r="I59" i="4"/>
  <c r="I44" i="4"/>
  <c r="I12" i="4"/>
  <c r="I24" i="4"/>
  <c r="I36" i="4"/>
  <c r="I48" i="4"/>
  <c r="I60" i="4"/>
  <c r="I54" i="4"/>
  <c r="I13" i="4"/>
  <c r="I25" i="4"/>
  <c r="I37" i="4"/>
  <c r="I49" i="4"/>
  <c r="I14" i="4"/>
  <c r="I26" i="4"/>
  <c r="I38" i="4"/>
  <c r="I50" i="4"/>
  <c r="I62" i="4"/>
  <c r="I32" i="4"/>
  <c r="I15" i="4"/>
  <c r="I27" i="4"/>
  <c r="I51" i="4"/>
  <c r="I63" i="4"/>
  <c r="I30" i="4"/>
  <c r="I16" i="4"/>
  <c r="I28" i="4"/>
  <c r="I40" i="4"/>
  <c r="I52" i="4"/>
  <c r="I64" i="4"/>
  <c r="I18" i="4"/>
  <c r="I17" i="4"/>
  <c r="I29" i="4"/>
  <c r="I41" i="4"/>
  <c r="I53" i="4"/>
  <c r="I42" i="4"/>
  <c r="I19" i="4"/>
  <c r="I31" i="4"/>
  <c r="I43" i="4"/>
  <c r="I55" i="4"/>
  <c r="I20" i="4"/>
  <c r="M23" i="1"/>
  <c r="F34" i="1"/>
  <c r="M27" i="1"/>
  <c r="F38" i="1"/>
  <c r="F33" i="1"/>
  <c r="M22" i="1"/>
  <c r="F37" i="1"/>
  <c r="M26" i="1"/>
  <c r="M28" i="1"/>
  <c r="F39" i="1"/>
  <c r="F31" i="1"/>
  <c r="M20" i="1"/>
  <c r="M21" i="1"/>
  <c r="F32" i="1"/>
  <c r="I39" i="4"/>
  <c r="G36" i="1" l="1"/>
  <c r="G34" i="1"/>
  <c r="H32" i="42"/>
  <c r="C25" i="1" s="1"/>
  <c r="E25" i="1" s="1"/>
  <c r="G37" i="1"/>
  <c r="G35" i="1"/>
  <c r="G32" i="1"/>
  <c r="G31" i="1"/>
  <c r="G33" i="1"/>
  <c r="G39" i="1"/>
  <c r="G38" i="1"/>
  <c r="K9" i="4"/>
  <c r="J10" i="4" s="1"/>
  <c r="I9" i="4"/>
  <c r="F25" i="1" l="1"/>
  <c r="M14" i="1"/>
  <c r="H37" i="42"/>
  <c r="C30" i="1" s="1"/>
  <c r="E30" i="1" s="1"/>
  <c r="H30" i="42"/>
  <c r="C23" i="1" s="1"/>
  <c r="E23" i="1" s="1"/>
  <c r="H33" i="42"/>
  <c r="C26" i="1" s="1"/>
  <c r="E26" i="1" s="1"/>
  <c r="H31" i="42"/>
  <c r="C24" i="1" s="1"/>
  <c r="E24" i="1" s="1"/>
  <c r="H29" i="42"/>
  <c r="C22" i="1" s="1"/>
  <c r="E22" i="1" s="1"/>
  <c r="H36" i="42"/>
  <c r="C29" i="1" s="1"/>
  <c r="E29" i="1" s="1"/>
  <c r="H35" i="42"/>
  <c r="C28" i="1" s="1"/>
  <c r="E28" i="1" s="1"/>
  <c r="H34" i="42"/>
  <c r="C27" i="1" s="1"/>
  <c r="E27" i="1" s="1"/>
  <c r="O9" i="4"/>
  <c r="I97" i="4"/>
  <c r="L9" i="4"/>
  <c r="K10" i="4"/>
  <c r="J11" i="4" s="1"/>
  <c r="L10" i="4"/>
  <c r="W10" i="4"/>
  <c r="O10" i="4"/>
  <c r="M18" i="1" l="1"/>
  <c r="F29" i="1"/>
  <c r="F22" i="1"/>
  <c r="M11" i="1"/>
  <c r="M13" i="1"/>
  <c r="F24" i="1"/>
  <c r="F26" i="1"/>
  <c r="M15" i="1"/>
  <c r="F23" i="1"/>
  <c r="M12" i="1"/>
  <c r="F30" i="1"/>
  <c r="M19" i="1"/>
  <c r="M16" i="1"/>
  <c r="F27" i="1"/>
  <c r="M17" i="1"/>
  <c r="F28" i="1"/>
  <c r="G25" i="1"/>
  <c r="K11" i="4"/>
  <c r="J12" i="4" s="1"/>
  <c r="O11" i="4"/>
  <c r="W11" i="4"/>
  <c r="L11" i="4"/>
  <c r="G26" i="1" l="1"/>
  <c r="G24" i="1"/>
  <c r="G23" i="1"/>
  <c r="G22" i="1"/>
  <c r="G27" i="1"/>
  <c r="H25" i="42"/>
  <c r="G29" i="1"/>
  <c r="G30" i="1"/>
  <c r="H23" i="42"/>
  <c r="G28" i="1"/>
  <c r="K12" i="4"/>
  <c r="J13" i="4" s="1"/>
  <c r="W12" i="4"/>
  <c r="O12" i="4"/>
  <c r="L12" i="4"/>
  <c r="H28" i="42" l="1"/>
  <c r="C21" i="1" s="1"/>
  <c r="E21" i="1" s="1"/>
  <c r="M10" i="1" s="1"/>
  <c r="H20" i="42"/>
  <c r="H22" i="42"/>
  <c r="H24" i="42"/>
  <c r="H27" i="42"/>
  <c r="C20" i="1" s="1"/>
  <c r="E20" i="1" s="1"/>
  <c r="H21" i="42"/>
  <c r="H26" i="42"/>
  <c r="K13" i="4"/>
  <c r="J14" i="4" s="1"/>
  <c r="O13" i="4"/>
  <c r="W13" i="4"/>
  <c r="L13" i="4"/>
  <c r="F21" i="1" l="1"/>
  <c r="G21" i="1" s="1"/>
  <c r="M9" i="1"/>
  <c r="F20" i="1"/>
  <c r="K14" i="4"/>
  <c r="J15" i="4" s="1"/>
  <c r="W14" i="4"/>
  <c r="L14" i="4"/>
  <c r="O14" i="4"/>
  <c r="G20" i="1" l="1"/>
  <c r="O9" i="1" s="1"/>
  <c r="N10" i="1" s="1"/>
  <c r="H19" i="42"/>
  <c r="P9" i="1"/>
  <c r="M30" i="1"/>
  <c r="S9" i="1"/>
  <c r="K15" i="4"/>
  <c r="J16" i="4" s="1"/>
  <c r="L15" i="4"/>
  <c r="O15" i="4"/>
  <c r="W15" i="4"/>
  <c r="H18" i="42" l="1"/>
  <c r="S10" i="1"/>
  <c r="O10" i="1"/>
  <c r="N11" i="1" s="1"/>
  <c r="X10" i="1"/>
  <c r="P10" i="1"/>
  <c r="K16" i="4"/>
  <c r="J17" i="4" s="1"/>
  <c r="L16" i="4"/>
  <c r="W16" i="4"/>
  <c r="O16" i="4"/>
  <c r="S11" i="1" l="1"/>
  <c r="O11" i="1"/>
  <c r="N12" i="1" s="1"/>
  <c r="X11" i="1"/>
  <c r="P11" i="1"/>
  <c r="K17" i="4"/>
  <c r="J18" i="4" s="1"/>
  <c r="L17" i="4"/>
  <c r="O17" i="4"/>
  <c r="W17" i="4"/>
  <c r="O12" i="1" l="1"/>
  <c r="N13" i="1" s="1"/>
  <c r="P12" i="1"/>
  <c r="S12" i="1"/>
  <c r="X12" i="1"/>
  <c r="K18" i="4"/>
  <c r="J19" i="4" s="1"/>
  <c r="W18" i="4"/>
  <c r="O18" i="4"/>
  <c r="L18" i="4"/>
  <c r="P13" i="1" l="1"/>
  <c r="O13" i="1"/>
  <c r="N14" i="1" s="1"/>
  <c r="S13" i="1"/>
  <c r="X13" i="1"/>
  <c r="K19" i="4"/>
  <c r="J20" i="4" s="1"/>
  <c r="O19" i="4"/>
  <c r="W19" i="4"/>
  <c r="L19" i="4"/>
  <c r="X14" i="1" l="1"/>
  <c r="O14" i="1"/>
  <c r="N15" i="1" s="1"/>
  <c r="S14" i="1"/>
  <c r="P14" i="1"/>
  <c r="K20" i="4"/>
  <c r="J21" i="4" s="1"/>
  <c r="W20" i="4"/>
  <c r="L20" i="4"/>
  <c r="O20" i="4"/>
  <c r="X15" i="1" l="1"/>
  <c r="O15" i="1"/>
  <c r="N16" i="1" s="1"/>
  <c r="S15" i="1"/>
  <c r="P15" i="1"/>
  <c r="K21" i="4"/>
  <c r="J22" i="4" s="1"/>
  <c r="L21" i="4"/>
  <c r="O21" i="4"/>
  <c r="W21" i="4"/>
  <c r="P16" i="1" l="1"/>
  <c r="X16" i="1"/>
  <c r="S16" i="1"/>
  <c r="O16" i="1"/>
  <c r="N17" i="1" s="1"/>
  <c r="K22" i="4"/>
  <c r="J23" i="4" s="1"/>
  <c r="O22" i="4"/>
  <c r="W22" i="4"/>
  <c r="L22" i="4"/>
  <c r="S17" i="1" l="1"/>
  <c r="O17" i="1"/>
  <c r="N18" i="1" s="1"/>
  <c r="X17" i="1"/>
  <c r="P17" i="1"/>
  <c r="K23" i="4"/>
  <c r="J24" i="4" s="1"/>
  <c r="W23" i="4"/>
  <c r="L23" i="4"/>
  <c r="O23" i="4"/>
  <c r="P18" i="1" l="1"/>
  <c r="X18" i="1"/>
  <c r="S18" i="1"/>
  <c r="O18" i="1"/>
  <c r="N19" i="1" s="1"/>
  <c r="K24" i="4"/>
  <c r="J25" i="4" s="1"/>
  <c r="L24" i="4"/>
  <c r="W24" i="4"/>
  <c r="O24" i="4"/>
  <c r="P19" i="1" l="1"/>
  <c r="X19" i="1"/>
  <c r="O19" i="1"/>
  <c r="N20" i="1" s="1"/>
  <c r="S19" i="1"/>
  <c r="K25" i="4"/>
  <c r="J26" i="4" s="1"/>
  <c r="L25" i="4"/>
  <c r="W25" i="4"/>
  <c r="O25" i="4"/>
  <c r="X20" i="1" l="1"/>
  <c r="P20" i="1"/>
  <c r="S20" i="1"/>
  <c r="O20" i="1"/>
  <c r="N21" i="1" s="1"/>
  <c r="K26" i="4"/>
  <c r="J27" i="4" s="1"/>
  <c r="W26" i="4"/>
  <c r="O26" i="4"/>
  <c r="L26" i="4"/>
  <c r="O21" i="1" l="1"/>
  <c r="N22" i="1" s="1"/>
  <c r="X21" i="1"/>
  <c r="P21" i="1"/>
  <c r="S21" i="1"/>
  <c r="K27" i="4"/>
  <c r="J28" i="4" s="1"/>
  <c r="W27" i="4"/>
  <c r="O27" i="4"/>
  <c r="L27" i="4"/>
  <c r="O22" i="1" l="1"/>
  <c r="N23" i="1" s="1"/>
  <c r="S22" i="1"/>
  <c r="P22" i="1"/>
  <c r="X22" i="1"/>
  <c r="K28" i="4"/>
  <c r="J29" i="4" s="1"/>
  <c r="W28" i="4"/>
  <c r="L28" i="4"/>
  <c r="O28" i="4"/>
  <c r="X23" i="1" l="1"/>
  <c r="P23" i="1"/>
  <c r="S23" i="1"/>
  <c r="O23" i="1"/>
  <c r="N24" i="1" s="1"/>
  <c r="K29" i="4"/>
  <c r="J30" i="4" s="1"/>
  <c r="L29" i="4"/>
  <c r="W29" i="4"/>
  <c r="O29" i="4"/>
  <c r="O24" i="1" l="1"/>
  <c r="N25" i="1" s="1"/>
  <c r="X24" i="1"/>
  <c r="P24" i="1"/>
  <c r="S24" i="1"/>
  <c r="K30" i="4"/>
  <c r="J31" i="4" s="1"/>
  <c r="W30" i="4"/>
  <c r="O30" i="4"/>
  <c r="L30" i="4"/>
  <c r="P25" i="1" l="1"/>
  <c r="S25" i="1"/>
  <c r="X25" i="1"/>
  <c r="O25" i="1"/>
  <c r="N26" i="1" s="1"/>
  <c r="K31" i="4"/>
  <c r="J32" i="4" s="1"/>
  <c r="L31" i="4"/>
  <c r="W31" i="4"/>
  <c r="O31" i="4"/>
  <c r="X26" i="1" l="1"/>
  <c r="P26" i="1"/>
  <c r="O26" i="1"/>
  <c r="N27" i="1" s="1"/>
  <c r="S26" i="1"/>
  <c r="K32" i="4"/>
  <c r="J33" i="4" s="1"/>
  <c r="W32" i="4"/>
  <c r="O32" i="4"/>
  <c r="L32" i="4"/>
  <c r="X27" i="1" l="1"/>
  <c r="P27" i="1"/>
  <c r="O27" i="1"/>
  <c r="N28" i="1" s="1"/>
  <c r="S27" i="1"/>
  <c r="K33" i="4"/>
  <c r="J34" i="4" s="1"/>
  <c r="O33" i="4"/>
  <c r="W33" i="4"/>
  <c r="L33" i="4"/>
  <c r="S28" i="1" l="1"/>
  <c r="S30" i="1" s="1"/>
  <c r="O28" i="1"/>
  <c r="X28" i="1"/>
  <c r="X32" i="1" s="1"/>
  <c r="P34" i="1" s="1"/>
  <c r="P28" i="1"/>
  <c r="R24" i="1" s="1"/>
  <c r="Q25" i="1" s="1"/>
  <c r="U25" i="1" s="1"/>
  <c r="K34" i="4"/>
  <c r="J35" i="4" s="1"/>
  <c r="L34" i="4"/>
  <c r="W34" i="4"/>
  <c r="O34" i="4"/>
  <c r="R8" i="1" l="1"/>
  <c r="T8" i="1" s="1"/>
  <c r="V8" i="1" s="1"/>
  <c r="R26" i="1"/>
  <c r="Q27" i="1" s="1"/>
  <c r="U27" i="1" s="1"/>
  <c r="R18" i="1"/>
  <c r="Q19" i="1" s="1"/>
  <c r="U19" i="1" s="1"/>
  <c r="Q9" i="1"/>
  <c r="U9" i="1" s="1"/>
  <c r="R22" i="1"/>
  <c r="Q23" i="1" s="1"/>
  <c r="U23" i="1" s="1"/>
  <c r="R11" i="1"/>
  <c r="Q12" i="1" s="1"/>
  <c r="U12" i="1" s="1"/>
  <c r="R15" i="1"/>
  <c r="Q16" i="1" s="1"/>
  <c r="U16" i="1" s="1"/>
  <c r="R27" i="1"/>
  <c r="R17" i="1"/>
  <c r="R19" i="1"/>
  <c r="P32" i="1"/>
  <c r="R25" i="1"/>
  <c r="R16" i="1"/>
  <c r="R9" i="1"/>
  <c r="R10" i="1"/>
  <c r="R13" i="1"/>
  <c r="R14" i="1"/>
  <c r="R21" i="1"/>
  <c r="R23" i="1"/>
  <c r="R20" i="1"/>
  <c r="R12" i="1"/>
  <c r="K35" i="4"/>
  <c r="J36" i="4" s="1"/>
  <c r="W35" i="4"/>
  <c r="O35" i="4"/>
  <c r="L35" i="4"/>
  <c r="Q26" i="1" l="1"/>
  <c r="T25" i="1"/>
  <c r="V25" i="1" s="1"/>
  <c r="Q24" i="1"/>
  <c r="T23" i="1"/>
  <c r="V23" i="1" s="1"/>
  <c r="Q17" i="1"/>
  <c r="U17" i="1" s="1"/>
  <c r="T16" i="1"/>
  <c r="V16" i="1" s="1"/>
  <c r="Q20" i="1"/>
  <c r="U20" i="1" s="1"/>
  <c r="T19" i="1"/>
  <c r="V19" i="1" s="1"/>
  <c r="Q22" i="1"/>
  <c r="Q15" i="1"/>
  <c r="Q28" i="1"/>
  <c r="T27" i="1"/>
  <c r="V27" i="1" s="1"/>
  <c r="Q21" i="1"/>
  <c r="U21" i="1" s="1"/>
  <c r="Q18" i="1"/>
  <c r="Q11" i="1"/>
  <c r="Q14" i="1"/>
  <c r="U14" i="1" s="1"/>
  <c r="Q13" i="1"/>
  <c r="U13" i="1" s="1"/>
  <c r="T12" i="1"/>
  <c r="V12" i="1" s="1"/>
  <c r="Q10" i="1"/>
  <c r="U10" i="1" s="1"/>
  <c r="T9" i="1"/>
  <c r="K36" i="4"/>
  <c r="J37" i="4" s="1"/>
  <c r="L36" i="4"/>
  <c r="W36" i="4"/>
  <c r="O36" i="4"/>
  <c r="T21" i="1" l="1"/>
  <c r="V21" i="1" s="1"/>
  <c r="T14" i="1"/>
  <c r="V14" i="1" s="1"/>
  <c r="T17" i="1"/>
  <c r="V17" i="1" s="1"/>
  <c r="T10" i="1"/>
  <c r="V10" i="1" s="1"/>
  <c r="U15" i="1"/>
  <c r="T15" i="1"/>
  <c r="U22" i="1"/>
  <c r="T22" i="1"/>
  <c r="U24" i="1"/>
  <c r="T24" i="1"/>
  <c r="T13" i="1"/>
  <c r="V13" i="1" s="1"/>
  <c r="U11" i="1"/>
  <c r="T11" i="1"/>
  <c r="V9" i="1"/>
  <c r="U18" i="1"/>
  <c r="T18" i="1"/>
  <c r="T20" i="1"/>
  <c r="V20" i="1" s="1"/>
  <c r="U28" i="1"/>
  <c r="T28" i="1"/>
  <c r="U26" i="1"/>
  <c r="T26" i="1"/>
  <c r="K37" i="4"/>
  <c r="J38" i="4" s="1"/>
  <c r="W37" i="4"/>
  <c r="O37" i="4"/>
  <c r="L37" i="4"/>
  <c r="V18" i="1" l="1"/>
  <c r="U30" i="1"/>
  <c r="V22" i="1"/>
  <c r="V15" i="1"/>
  <c r="V28" i="1"/>
  <c r="V26" i="1"/>
  <c r="T30" i="1"/>
  <c r="V11" i="1"/>
  <c r="V24" i="1"/>
  <c r="K38" i="4"/>
  <c r="J39" i="4" s="1"/>
  <c r="L38" i="4"/>
  <c r="W38" i="4"/>
  <c r="O38" i="4"/>
  <c r="V30" i="1" l="1"/>
  <c r="V33" i="1"/>
  <c r="V32" i="1"/>
  <c r="K34" i="1" s="1"/>
  <c r="K39" i="4"/>
  <c r="J40" i="4" s="1"/>
  <c r="W39" i="4"/>
  <c r="O39" i="4"/>
  <c r="L39" i="4"/>
  <c r="K40" i="4" l="1"/>
  <c r="J41" i="4" s="1"/>
  <c r="W40" i="4"/>
  <c r="O40" i="4"/>
  <c r="L40" i="4"/>
  <c r="K41" i="4" l="1"/>
  <c r="J42" i="4" s="1"/>
  <c r="W41" i="4"/>
  <c r="L41" i="4"/>
  <c r="O41" i="4"/>
  <c r="K42" i="4" l="1"/>
  <c r="J43" i="4" s="1"/>
  <c r="W42" i="4"/>
  <c r="O42" i="4"/>
  <c r="L42" i="4"/>
  <c r="K43" i="4" l="1"/>
  <c r="J44" i="4" s="1"/>
  <c r="W43" i="4"/>
  <c r="L43" i="4"/>
  <c r="O43" i="4"/>
  <c r="K44" i="4" l="1"/>
  <c r="J45" i="4" s="1"/>
  <c r="W44" i="4"/>
  <c r="O44" i="4"/>
  <c r="L44" i="4"/>
  <c r="K45" i="4" l="1"/>
  <c r="J46" i="4" s="1"/>
  <c r="W45" i="4"/>
  <c r="O45" i="4"/>
  <c r="L45" i="4"/>
  <c r="K46" i="4" l="1"/>
  <c r="J47" i="4" s="1"/>
  <c r="L46" i="4"/>
  <c r="O46" i="4"/>
  <c r="W46" i="4"/>
  <c r="K47" i="4" l="1"/>
  <c r="J48" i="4" s="1"/>
  <c r="W47" i="4"/>
  <c r="O47" i="4"/>
  <c r="L47" i="4"/>
  <c r="K48" i="4" l="1"/>
  <c r="J49" i="4" s="1"/>
  <c r="L48" i="4"/>
  <c r="O48" i="4"/>
  <c r="W48" i="4"/>
  <c r="K49" i="4" l="1"/>
  <c r="J50" i="4" s="1"/>
  <c r="W49" i="4"/>
  <c r="O49" i="4"/>
  <c r="L49" i="4"/>
  <c r="K50" i="4" l="1"/>
  <c r="J51" i="4" s="1"/>
  <c r="L50" i="4"/>
  <c r="O50" i="4"/>
  <c r="W50" i="4"/>
  <c r="K51" i="4" l="1"/>
  <c r="J52" i="4" s="1"/>
  <c r="W51" i="4"/>
  <c r="O51" i="4"/>
  <c r="L51" i="4"/>
  <c r="K52" i="4" l="1"/>
  <c r="J53" i="4" s="1"/>
  <c r="W52" i="4"/>
  <c r="L52" i="4"/>
  <c r="O52" i="4"/>
  <c r="K53" i="4" l="1"/>
  <c r="J54" i="4" s="1"/>
  <c r="W53" i="4"/>
  <c r="O53" i="4"/>
  <c r="L53" i="4"/>
  <c r="K54" i="4" l="1"/>
  <c r="J55" i="4" s="1"/>
  <c r="W54" i="4"/>
  <c r="L54" i="4"/>
  <c r="O54" i="4"/>
  <c r="K55" i="4" l="1"/>
  <c r="J56" i="4" s="1"/>
  <c r="W55" i="4"/>
  <c r="O55" i="4"/>
  <c r="L55" i="4"/>
  <c r="K56" i="4" l="1"/>
  <c r="J57" i="4" s="1"/>
  <c r="O56" i="4"/>
  <c r="W56" i="4"/>
  <c r="L56" i="4"/>
  <c r="K57" i="4" l="1"/>
  <c r="J58" i="4" s="1"/>
  <c r="O57" i="4"/>
  <c r="L57" i="4"/>
  <c r="W57" i="4"/>
  <c r="K58" i="4" l="1"/>
  <c r="J59" i="4" s="1"/>
  <c r="W58" i="4"/>
  <c r="O58" i="4"/>
  <c r="L58" i="4"/>
  <c r="K59" i="4" l="1"/>
  <c r="J60" i="4" s="1"/>
  <c r="W59" i="4"/>
  <c r="O59" i="4"/>
  <c r="L59" i="4"/>
  <c r="K60" i="4" l="1"/>
  <c r="J61" i="4" s="1"/>
  <c r="O60" i="4"/>
  <c r="W60" i="4"/>
  <c r="L60" i="4"/>
  <c r="K61" i="4" l="1"/>
  <c r="J62" i="4" s="1"/>
  <c r="W61" i="4"/>
  <c r="L61" i="4"/>
  <c r="O61" i="4"/>
  <c r="K62" i="4" l="1"/>
  <c r="J63" i="4" s="1"/>
  <c r="W62" i="4"/>
  <c r="O62" i="4"/>
  <c r="L62" i="4"/>
  <c r="K63" i="4" l="1"/>
  <c r="J64" i="4" s="1"/>
  <c r="O63" i="4"/>
  <c r="W63" i="4"/>
  <c r="L63" i="4"/>
  <c r="K64" i="4" l="1"/>
  <c r="J65" i="4" s="1"/>
  <c r="L64" i="4"/>
  <c r="W64" i="4"/>
  <c r="O64" i="4"/>
  <c r="K65" i="4" l="1"/>
  <c r="J66" i="4" s="1"/>
  <c r="W65" i="4"/>
  <c r="O65" i="4"/>
  <c r="L65" i="4"/>
  <c r="K66" i="4" l="1"/>
  <c r="J67" i="4" s="1"/>
  <c r="L66" i="4"/>
  <c r="W66" i="4"/>
  <c r="O66" i="4"/>
  <c r="K67" i="4" l="1"/>
  <c r="J68" i="4" s="1"/>
  <c r="O67" i="4"/>
  <c r="L67" i="4"/>
  <c r="W67" i="4"/>
  <c r="K68" i="4" l="1"/>
  <c r="J69" i="4" s="1"/>
  <c r="O68" i="4"/>
  <c r="W68" i="4"/>
  <c r="L68" i="4"/>
  <c r="K69" i="4" l="1"/>
  <c r="J70" i="4" s="1"/>
  <c r="O69" i="4"/>
  <c r="L69" i="4"/>
  <c r="W69" i="4"/>
  <c r="K70" i="4" l="1"/>
  <c r="J71" i="4" s="1"/>
  <c r="W70" i="4"/>
  <c r="L70" i="4"/>
  <c r="O70" i="4"/>
  <c r="K71" i="4" l="1"/>
  <c r="J72" i="4" s="1"/>
  <c r="L71" i="4"/>
  <c r="W71" i="4"/>
  <c r="O71" i="4"/>
  <c r="K72" i="4" l="1"/>
  <c r="J73" i="4" s="1"/>
  <c r="O72" i="4"/>
  <c r="W72" i="4"/>
  <c r="L72" i="4"/>
  <c r="K73" i="4" l="1"/>
  <c r="J74" i="4" s="1"/>
  <c r="W73" i="4"/>
  <c r="O73" i="4"/>
  <c r="L73" i="4"/>
  <c r="K74" i="4" l="1"/>
  <c r="J75" i="4" s="1"/>
  <c r="L74" i="4"/>
  <c r="O74" i="4"/>
  <c r="W74" i="4"/>
  <c r="K75" i="4" l="1"/>
  <c r="J76" i="4" s="1"/>
  <c r="O75" i="4"/>
  <c r="W75" i="4"/>
  <c r="L75" i="4"/>
  <c r="K76" i="4" l="1"/>
  <c r="J77" i="4" s="1"/>
  <c r="O76" i="4"/>
  <c r="W76" i="4"/>
  <c r="L76" i="4"/>
  <c r="K77" i="4" l="1"/>
  <c r="J78" i="4" s="1"/>
  <c r="W77" i="4"/>
  <c r="L77" i="4"/>
  <c r="O77" i="4"/>
  <c r="K78" i="4" l="1"/>
  <c r="J79" i="4" s="1"/>
  <c r="O78" i="4"/>
  <c r="L78" i="4"/>
  <c r="W78" i="4"/>
  <c r="K79" i="4" l="1"/>
  <c r="J80" i="4" s="1"/>
  <c r="W79" i="4"/>
  <c r="O79" i="4"/>
  <c r="L79" i="4"/>
  <c r="K80" i="4" l="1"/>
  <c r="J81" i="4" s="1"/>
  <c r="O80" i="4"/>
  <c r="W80" i="4"/>
  <c r="L80" i="4"/>
  <c r="K81" i="4" l="1"/>
  <c r="J82" i="4" s="1"/>
  <c r="W81" i="4"/>
  <c r="O81" i="4"/>
  <c r="L81" i="4"/>
  <c r="K82" i="4" l="1"/>
  <c r="J83" i="4" s="1"/>
  <c r="W82" i="4"/>
  <c r="O82" i="4"/>
  <c r="L82" i="4"/>
  <c r="K83" i="4" l="1"/>
  <c r="J84" i="4" s="1"/>
  <c r="W83" i="4"/>
  <c r="O83" i="4"/>
  <c r="L83" i="4"/>
  <c r="K84" i="4" l="1"/>
  <c r="J85" i="4" s="1"/>
  <c r="W84" i="4"/>
  <c r="O84" i="4"/>
  <c r="L84" i="4"/>
  <c r="K85" i="4" l="1"/>
  <c r="J86" i="4" s="1"/>
  <c r="W85" i="4"/>
  <c r="O85" i="4"/>
  <c r="L85" i="4"/>
  <c r="K86" i="4" l="1"/>
  <c r="J87" i="4" s="1"/>
  <c r="W86" i="4"/>
  <c r="O86" i="4"/>
  <c r="L86" i="4"/>
  <c r="K87" i="4" l="1"/>
  <c r="J88" i="4" s="1"/>
  <c r="W87" i="4"/>
  <c r="O87" i="4"/>
  <c r="L87" i="4"/>
  <c r="K88" i="4" l="1"/>
  <c r="J89" i="4" s="1"/>
  <c r="W88" i="4"/>
  <c r="O88" i="4"/>
  <c r="L88" i="4"/>
  <c r="K89" i="4" l="1"/>
  <c r="J90" i="4" s="1"/>
  <c r="W89" i="4"/>
  <c r="L89" i="4"/>
  <c r="O89" i="4"/>
  <c r="K90" i="4" l="1"/>
  <c r="J91" i="4" s="1"/>
  <c r="O90" i="4"/>
  <c r="W90" i="4"/>
  <c r="L90" i="4"/>
  <c r="K91" i="4" l="1"/>
  <c r="J92" i="4" s="1"/>
  <c r="L91" i="4"/>
  <c r="W91" i="4"/>
  <c r="O91" i="4"/>
  <c r="K92" i="4" l="1"/>
  <c r="J93" i="4" s="1"/>
  <c r="O92" i="4"/>
  <c r="W92" i="4"/>
  <c r="L92" i="4"/>
  <c r="K93" i="4" l="1"/>
  <c r="J94" i="4" s="1"/>
  <c r="L93" i="4"/>
  <c r="O93" i="4"/>
  <c r="W93" i="4"/>
  <c r="K94" i="4" l="1"/>
  <c r="W94" i="4"/>
  <c r="W98" i="4" s="1"/>
  <c r="L100" i="4" s="1"/>
  <c r="O94" i="4"/>
  <c r="O97" i="4" s="1"/>
  <c r="L94" i="4"/>
  <c r="N89" i="4" s="1"/>
  <c r="M90" i="4" l="1"/>
  <c r="Q90" i="4" s="1"/>
  <c r="L97" i="4"/>
  <c r="N94" i="4"/>
  <c r="N93" i="4"/>
  <c r="N9" i="4"/>
  <c r="N10" i="4"/>
  <c r="L98" i="4"/>
  <c r="N8" i="4"/>
  <c r="N13" i="4"/>
  <c r="N12" i="4"/>
  <c r="N11" i="4"/>
  <c r="N16" i="4"/>
  <c r="N14" i="4"/>
  <c r="N15" i="4"/>
  <c r="N19" i="4"/>
  <c r="N17" i="4"/>
  <c r="N20" i="4"/>
  <c r="N18" i="4"/>
  <c r="N21" i="4"/>
  <c r="N22" i="4"/>
  <c r="N24" i="4"/>
  <c r="N23" i="4"/>
  <c r="N25" i="4"/>
  <c r="N27" i="4"/>
  <c r="N26" i="4"/>
  <c r="N28" i="4"/>
  <c r="N29" i="4"/>
  <c r="N30" i="4"/>
  <c r="N32" i="4"/>
  <c r="N31" i="4"/>
  <c r="N33" i="4"/>
  <c r="N34" i="4"/>
  <c r="N37" i="4"/>
  <c r="N35" i="4"/>
  <c r="N36" i="4"/>
  <c r="N39" i="4"/>
  <c r="N41" i="4"/>
  <c r="N38" i="4"/>
  <c r="N42" i="4"/>
  <c r="N40" i="4"/>
  <c r="N44" i="4"/>
  <c r="N43" i="4"/>
  <c r="N45" i="4"/>
  <c r="N47" i="4"/>
  <c r="N46" i="4"/>
  <c r="N49" i="4"/>
  <c r="N48" i="4"/>
  <c r="N50" i="4"/>
  <c r="N52" i="4"/>
  <c r="N51" i="4"/>
  <c r="N55" i="4"/>
  <c r="N53" i="4"/>
  <c r="N54" i="4"/>
  <c r="N56" i="4"/>
  <c r="N57" i="4"/>
  <c r="N58" i="4"/>
  <c r="N59" i="4"/>
  <c r="N61" i="4"/>
  <c r="N62" i="4"/>
  <c r="N60" i="4"/>
  <c r="N63" i="4"/>
  <c r="N65" i="4"/>
  <c r="N64" i="4"/>
  <c r="N66" i="4"/>
  <c r="N69" i="4"/>
  <c r="N67" i="4"/>
  <c r="N68" i="4"/>
  <c r="N70" i="4"/>
  <c r="N71" i="4"/>
  <c r="N73" i="4"/>
  <c r="N72" i="4"/>
  <c r="N74" i="4"/>
  <c r="N77" i="4"/>
  <c r="N75" i="4"/>
  <c r="N76" i="4"/>
  <c r="N80" i="4"/>
  <c r="N79" i="4"/>
  <c r="N78" i="4"/>
  <c r="N82" i="4"/>
  <c r="N81" i="4"/>
  <c r="N83" i="4"/>
  <c r="N84" i="4"/>
  <c r="N85" i="4"/>
  <c r="N91" i="4"/>
  <c r="N87" i="4"/>
  <c r="N88" i="4"/>
  <c r="N90" i="4"/>
  <c r="N86" i="4"/>
  <c r="N92" i="4"/>
  <c r="M49" i="4" l="1"/>
  <c r="Q49" i="4" s="1"/>
  <c r="M37" i="4"/>
  <c r="Q37" i="4" s="1"/>
  <c r="M26" i="4"/>
  <c r="Q26" i="4" s="1"/>
  <c r="M12" i="4"/>
  <c r="Q12" i="4" s="1"/>
  <c r="M62" i="4"/>
  <c r="Q62" i="4" s="1"/>
  <c r="M36" i="4"/>
  <c r="Q36" i="4" s="1"/>
  <c r="M24" i="4"/>
  <c r="Q24" i="4" s="1"/>
  <c r="M13" i="4"/>
  <c r="Q13" i="4" s="1"/>
  <c r="M85" i="4"/>
  <c r="Q85" i="4" s="1"/>
  <c r="M84" i="4"/>
  <c r="Q84" i="4" s="1"/>
  <c r="M82" i="4"/>
  <c r="Q82" i="4" s="1"/>
  <c r="M23" i="4"/>
  <c r="Q23" i="4" s="1"/>
  <c r="M9" i="4"/>
  <c r="P8" i="4"/>
  <c r="M73" i="4"/>
  <c r="Q73" i="4" s="1"/>
  <c r="M47" i="4"/>
  <c r="Q47" i="4" s="1"/>
  <c r="M58" i="4"/>
  <c r="Q58" i="4" s="1"/>
  <c r="M34" i="4"/>
  <c r="Q34" i="4" s="1"/>
  <c r="M22" i="4"/>
  <c r="Q22" i="4" s="1"/>
  <c r="M14" i="4"/>
  <c r="Q14" i="4" s="1"/>
  <c r="M32" i="4"/>
  <c r="Q32" i="4" s="1"/>
  <c r="M19" i="4"/>
  <c r="Q19" i="4" s="1"/>
  <c r="M11" i="4"/>
  <c r="Q11" i="4" s="1"/>
  <c r="M50" i="4"/>
  <c r="Q50" i="4" s="1"/>
  <c r="M48" i="4"/>
  <c r="Q48" i="4" s="1"/>
  <c r="M69" i="4"/>
  <c r="Q69" i="4" s="1"/>
  <c r="M70" i="4"/>
  <c r="Q70" i="4" s="1"/>
  <c r="M55" i="4"/>
  <c r="Q55" i="4" s="1"/>
  <c r="M45" i="4"/>
  <c r="Q45" i="4" s="1"/>
  <c r="M33" i="4"/>
  <c r="Q33" i="4" s="1"/>
  <c r="M21" i="4"/>
  <c r="Q21" i="4" s="1"/>
  <c r="M10" i="4"/>
  <c r="Q10" i="4" s="1"/>
  <c r="N97" i="4"/>
  <c r="M38" i="4"/>
  <c r="Q38" i="4" s="1"/>
  <c r="M46" i="4"/>
  <c r="Q46" i="4" s="1"/>
  <c r="M54" i="4"/>
  <c r="Q54" i="4" s="1"/>
  <c r="M41" i="4"/>
  <c r="Q41" i="4" s="1"/>
  <c r="M31" i="4"/>
  <c r="Q31" i="4" s="1"/>
  <c r="M18" i="4"/>
  <c r="Q18" i="4" s="1"/>
  <c r="M94" i="4"/>
  <c r="Q94" i="4" s="1"/>
  <c r="M25" i="4"/>
  <c r="Q25" i="4" s="1"/>
  <c r="M44" i="4"/>
  <c r="Q44" i="4" s="1"/>
  <c r="M87" i="4"/>
  <c r="Q87" i="4" s="1"/>
  <c r="M67" i="4"/>
  <c r="Q67" i="4" s="1"/>
  <c r="M91" i="4"/>
  <c r="Q91" i="4" s="1"/>
  <c r="P90" i="4"/>
  <c r="R90" i="4" s="1"/>
  <c r="M77" i="4"/>
  <c r="Q77" i="4" s="1"/>
  <c r="M65" i="4"/>
  <c r="Q65" i="4" s="1"/>
  <c r="M56" i="4"/>
  <c r="Q56" i="4" s="1"/>
  <c r="M43" i="4"/>
  <c r="Q43" i="4" s="1"/>
  <c r="M30" i="4"/>
  <c r="Q30" i="4" s="1"/>
  <c r="M20" i="4"/>
  <c r="Q20" i="4" s="1"/>
  <c r="M74" i="4"/>
  <c r="Q74" i="4" s="1"/>
  <c r="M72" i="4"/>
  <c r="Q72" i="4" s="1"/>
  <c r="M59" i="4"/>
  <c r="Q59" i="4" s="1"/>
  <c r="M57" i="4"/>
  <c r="Q57" i="4" s="1"/>
  <c r="M76" i="4"/>
  <c r="Q76" i="4" s="1"/>
  <c r="M52" i="4"/>
  <c r="Q52" i="4" s="1"/>
  <c r="M39" i="4"/>
  <c r="Q39" i="4" s="1"/>
  <c r="M29" i="4"/>
  <c r="Q29" i="4" s="1"/>
  <c r="M16" i="4"/>
  <c r="Q16" i="4" s="1"/>
  <c r="M63" i="4"/>
  <c r="Q63" i="4" s="1"/>
  <c r="M35" i="4"/>
  <c r="Q35" i="4" s="1"/>
  <c r="M68" i="4"/>
  <c r="Q68" i="4" s="1"/>
  <c r="M93" i="4"/>
  <c r="Q93" i="4" s="1"/>
  <c r="M81" i="4"/>
  <c r="Q81" i="4" s="1"/>
  <c r="M89" i="4"/>
  <c r="M78" i="4"/>
  <c r="Q78" i="4" s="1"/>
  <c r="M64" i="4"/>
  <c r="Q64" i="4" s="1"/>
  <c r="M53" i="4"/>
  <c r="Q53" i="4" s="1"/>
  <c r="M42" i="4"/>
  <c r="Q42" i="4" s="1"/>
  <c r="M27" i="4"/>
  <c r="Q27" i="4" s="1"/>
  <c r="M15" i="4"/>
  <c r="Q15" i="4" s="1"/>
  <c r="M86" i="4"/>
  <c r="Q86" i="4" s="1"/>
  <c r="M60" i="4"/>
  <c r="Q60" i="4" s="1"/>
  <c r="M71" i="4"/>
  <c r="Q71" i="4" s="1"/>
  <c r="M83" i="4"/>
  <c r="Q83" i="4" s="1"/>
  <c r="M79" i="4"/>
  <c r="Q79" i="4" s="1"/>
  <c r="M80" i="4"/>
  <c r="Q80" i="4" s="1"/>
  <c r="M66" i="4"/>
  <c r="Q66" i="4" s="1"/>
  <c r="M88" i="4"/>
  <c r="Q88" i="4" s="1"/>
  <c r="M92" i="4"/>
  <c r="Q92" i="4" s="1"/>
  <c r="M75" i="4"/>
  <c r="Q75" i="4" s="1"/>
  <c r="M61" i="4"/>
  <c r="Q61" i="4" s="1"/>
  <c r="M51" i="4"/>
  <c r="Q51" i="4" s="1"/>
  <c r="M40" i="4"/>
  <c r="Q40" i="4" s="1"/>
  <c r="M28" i="4"/>
  <c r="Q28" i="4" s="1"/>
  <c r="M17" i="4"/>
  <c r="Q17" i="4" s="1"/>
  <c r="P49" i="4" l="1"/>
  <c r="R49" i="4" s="1"/>
  <c r="P37" i="4"/>
  <c r="R37" i="4" s="1"/>
  <c r="P77" i="4"/>
  <c r="R77" i="4" s="1"/>
  <c r="P62" i="4"/>
  <c r="R62" i="4" s="1"/>
  <c r="P26" i="4"/>
  <c r="R26" i="4" s="1"/>
  <c r="P73" i="4"/>
  <c r="R73" i="4" s="1"/>
  <c r="P65" i="4"/>
  <c r="R65" i="4" s="1"/>
  <c r="P94" i="4"/>
  <c r="R94" i="4" s="1"/>
  <c r="P19" i="4"/>
  <c r="R19" i="4" s="1"/>
  <c r="P91" i="4"/>
  <c r="R91" i="4" s="1"/>
  <c r="P50" i="4"/>
  <c r="R50" i="4" s="1"/>
  <c r="P47" i="4"/>
  <c r="R47" i="4" s="1"/>
  <c r="P85" i="4"/>
  <c r="R85" i="4" s="1"/>
  <c r="P58" i="4"/>
  <c r="R58" i="4" s="1"/>
  <c r="P38" i="4"/>
  <c r="R38" i="4" s="1"/>
  <c r="P21" i="4"/>
  <c r="R21" i="4" s="1"/>
  <c r="P30" i="4"/>
  <c r="R30" i="4" s="1"/>
  <c r="P66" i="4"/>
  <c r="R66" i="4" s="1"/>
  <c r="P33" i="4"/>
  <c r="R33" i="4" s="1"/>
  <c r="P35" i="4"/>
  <c r="R35" i="4" s="1"/>
  <c r="P92" i="4"/>
  <c r="R92" i="4" s="1"/>
  <c r="P39" i="4"/>
  <c r="R39" i="4" s="1"/>
  <c r="P79" i="4"/>
  <c r="R79" i="4" s="1"/>
  <c r="P56" i="4"/>
  <c r="R56" i="4" s="1"/>
  <c r="P42" i="4"/>
  <c r="R42" i="4" s="1"/>
  <c r="P24" i="4"/>
  <c r="R24" i="4" s="1"/>
  <c r="P14" i="4"/>
  <c r="R14" i="4" s="1"/>
  <c r="P29" i="4"/>
  <c r="R29" i="4" s="1"/>
  <c r="P20" i="4"/>
  <c r="R20" i="4" s="1"/>
  <c r="P10" i="4"/>
  <c r="R10" i="4" s="1"/>
  <c r="P16" i="4"/>
  <c r="R16" i="4" s="1"/>
  <c r="P41" i="4"/>
  <c r="R41" i="4" s="1"/>
  <c r="P34" i="4"/>
  <c r="R34" i="4" s="1"/>
  <c r="P55" i="4"/>
  <c r="R55" i="4" s="1"/>
  <c r="P82" i="4"/>
  <c r="R82" i="4" s="1"/>
  <c r="P32" i="4"/>
  <c r="R32" i="4" s="1"/>
  <c r="P22" i="4"/>
  <c r="R22" i="4" s="1"/>
  <c r="P52" i="4"/>
  <c r="R52" i="4" s="1"/>
  <c r="P74" i="4"/>
  <c r="R74" i="4" s="1"/>
  <c r="P70" i="4"/>
  <c r="R70" i="4" s="1"/>
  <c r="P13" i="4"/>
  <c r="R13" i="4" s="1"/>
  <c r="P86" i="4"/>
  <c r="R86" i="4" s="1"/>
  <c r="P40" i="4"/>
  <c r="R40" i="4" s="1"/>
  <c r="P81" i="4"/>
  <c r="R81" i="4" s="1"/>
  <c r="P61" i="4"/>
  <c r="R61" i="4" s="1"/>
  <c r="P88" i="4"/>
  <c r="R88" i="4" s="1"/>
  <c r="P15" i="4"/>
  <c r="R15" i="4" s="1"/>
  <c r="Q89" i="4"/>
  <c r="P89" i="4"/>
  <c r="P43" i="4"/>
  <c r="R43" i="4" s="1"/>
  <c r="P53" i="4"/>
  <c r="R53" i="4" s="1"/>
  <c r="P44" i="4"/>
  <c r="R44" i="4" s="1"/>
  <c r="P57" i="4"/>
  <c r="R57" i="4" s="1"/>
  <c r="P83" i="4"/>
  <c r="R83" i="4" s="1"/>
  <c r="P11" i="4"/>
  <c r="R11" i="4" s="1"/>
  <c r="P78" i="4"/>
  <c r="R78" i="4" s="1"/>
  <c r="P80" i="4"/>
  <c r="R80" i="4" s="1"/>
  <c r="P28" i="4"/>
  <c r="R28" i="4" s="1"/>
  <c r="P71" i="4"/>
  <c r="R71" i="4" s="1"/>
  <c r="P64" i="4"/>
  <c r="R64" i="4" s="1"/>
  <c r="P45" i="4"/>
  <c r="R45" i="4" s="1"/>
  <c r="P54" i="4"/>
  <c r="R54" i="4" s="1"/>
  <c r="P18" i="4"/>
  <c r="R18" i="4" s="1"/>
  <c r="P46" i="4"/>
  <c r="R46" i="4" s="1"/>
  <c r="P84" i="4"/>
  <c r="R84" i="4" s="1"/>
  <c r="P25" i="4"/>
  <c r="R25" i="4" s="1"/>
  <c r="P76" i="4"/>
  <c r="R76" i="4" s="1"/>
  <c r="P93" i="4"/>
  <c r="R93" i="4" s="1"/>
  <c r="P69" i="4"/>
  <c r="R69" i="4" s="1"/>
  <c r="P31" i="4"/>
  <c r="R31" i="4" s="1"/>
  <c r="P72" i="4"/>
  <c r="R72" i="4" s="1"/>
  <c r="P12" i="4"/>
  <c r="R12" i="4" s="1"/>
  <c r="P36" i="4"/>
  <c r="R36" i="4" s="1"/>
  <c r="P67" i="4"/>
  <c r="R67" i="4" s="1"/>
  <c r="P51" i="4"/>
  <c r="R51" i="4" s="1"/>
  <c r="P17" i="4"/>
  <c r="R17" i="4" s="1"/>
  <c r="P68" i="4"/>
  <c r="R68" i="4" s="1"/>
  <c r="R8" i="4"/>
  <c r="P23" i="4"/>
  <c r="R23" i="4" s="1"/>
  <c r="P48" i="4"/>
  <c r="R48" i="4" s="1"/>
  <c r="P60" i="4"/>
  <c r="R60" i="4" s="1"/>
  <c r="P27" i="4"/>
  <c r="R27" i="4" s="1"/>
  <c r="P87" i="4"/>
  <c r="R87" i="4" s="1"/>
  <c r="P59" i="4"/>
  <c r="R59" i="4" s="1"/>
  <c r="P63" i="4"/>
  <c r="R63" i="4" s="1"/>
  <c r="P75" i="4"/>
  <c r="R75" i="4" s="1"/>
  <c r="P9" i="4"/>
  <c r="Q9" i="4"/>
  <c r="M97" i="4"/>
  <c r="R89" i="4" l="1"/>
  <c r="Q97" i="4"/>
  <c r="R9" i="4"/>
  <c r="P97" i="4"/>
  <c r="U8" i="4"/>
  <c r="R98" i="4" l="1"/>
  <c r="G100" i="4" s="1"/>
  <c r="R97" i="4"/>
  <c r="R100" i="4"/>
  <c r="U9" i="4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<sst xmlns="http://schemas.openxmlformats.org/spreadsheetml/2006/main" count="754" uniqueCount="121">
  <si>
    <t>Assumptions</t>
  </si>
  <si>
    <t>Renewal Expense</t>
  </si>
  <si>
    <t>Risk Free Rate</t>
  </si>
  <si>
    <t>Investment Return Rate</t>
  </si>
  <si>
    <t>Final Lapse Rate</t>
  </si>
  <si>
    <t>0 to 2</t>
  </si>
  <si>
    <t>3 to 5</t>
  </si>
  <si>
    <t>6 to 10</t>
  </si>
  <si>
    <t>11 to 18</t>
  </si>
  <si>
    <t>19+</t>
  </si>
  <si>
    <t>Years</t>
  </si>
  <si>
    <t>Age</t>
  </si>
  <si>
    <t>Multiple Decrement Table</t>
  </si>
  <si>
    <t>qx</t>
  </si>
  <si>
    <t>qL</t>
  </si>
  <si>
    <t>Model</t>
  </si>
  <si>
    <t>Year</t>
  </si>
  <si>
    <t>Premium</t>
  </si>
  <si>
    <t>Expenses</t>
  </si>
  <si>
    <t>Death Benefit</t>
  </si>
  <si>
    <t>aqx</t>
  </si>
  <si>
    <t>aqL</t>
  </si>
  <si>
    <t>apx</t>
  </si>
  <si>
    <t>Interest</t>
  </si>
  <si>
    <t>In force (eop)</t>
  </si>
  <si>
    <t>In force (sop)</t>
  </si>
  <si>
    <t>EDB</t>
  </si>
  <si>
    <t>EDB (in period)</t>
  </si>
  <si>
    <t>Reserve(sop)</t>
  </si>
  <si>
    <t>Reserve(eop)</t>
  </si>
  <si>
    <t>Change in Reserves</t>
  </si>
  <si>
    <t>Cash Flow</t>
  </si>
  <si>
    <t>Profit</t>
  </si>
  <si>
    <t>Total</t>
  </si>
  <si>
    <t>PV @ Risk Free Rate</t>
  </si>
  <si>
    <t>Profit Margin</t>
  </si>
  <si>
    <t>In Force (sop)</t>
  </si>
  <si>
    <t>In Force (eop)</t>
  </si>
  <si>
    <t>EDB (survival weighted)</t>
  </si>
  <si>
    <t>EDB (survival weighted</t>
  </si>
  <si>
    <t>Reserves (sop)</t>
  </si>
  <si>
    <t>Reserves (eop)</t>
  </si>
  <si>
    <t>PV</t>
  </si>
  <si>
    <t>Cum Profit</t>
  </si>
  <si>
    <t>Tax Rate</t>
  </si>
  <si>
    <t>Decrement Table</t>
  </si>
  <si>
    <t>Premiums</t>
  </si>
  <si>
    <t>NPV Profits</t>
  </si>
  <si>
    <t>IRR</t>
  </si>
  <si>
    <t>NPV Profit</t>
  </si>
  <si>
    <t>Wellness Plan</t>
  </si>
  <si>
    <t>Smoker</t>
  </si>
  <si>
    <t>Wellness</t>
  </si>
  <si>
    <t>Program 1</t>
  </si>
  <si>
    <t>Odd Years (Excl. 1)</t>
  </si>
  <si>
    <t>Even Years</t>
  </si>
  <si>
    <t>Program 2</t>
  </si>
  <si>
    <t>Gender</t>
  </si>
  <si>
    <t>0=NS, 1= S</t>
  </si>
  <si>
    <t>0=NP, 1=P</t>
  </si>
  <si>
    <t>P, NS</t>
  </si>
  <si>
    <t>P, S</t>
  </si>
  <si>
    <t>T20 Data</t>
  </si>
  <si>
    <t>P, M, S</t>
  </si>
  <si>
    <t>P, M, NS</t>
  </si>
  <si>
    <t>P, F, S</t>
  </si>
  <si>
    <t>P, F, NS</t>
  </si>
  <si>
    <t>F/S</t>
  </si>
  <si>
    <t>F/NS</t>
  </si>
  <si>
    <t>M/S</t>
  </si>
  <si>
    <t>M/NS</t>
  </si>
  <si>
    <t>N/NS</t>
  </si>
  <si>
    <t>Female</t>
  </si>
  <si>
    <t>Male</t>
  </si>
  <si>
    <t>Non-Smoker</t>
  </si>
  <si>
    <t>Face Amount</t>
  </si>
  <si>
    <t>Proportion</t>
  </si>
  <si>
    <t>Interpretation</t>
  </si>
  <si>
    <t>Female, smoker, aged 26 with face amount 50k represents 0.015% of total new business for T20 in a year</t>
  </si>
  <si>
    <t>Female, smoker, aged 41 with face amount 1 mil represents 0.007% of total new business for SPWL in a year</t>
  </si>
  <si>
    <t>Inflation</t>
  </si>
  <si>
    <t>IRR of Program Profit</t>
  </si>
  <si>
    <t>IRR of Non Program Profit</t>
  </si>
  <si>
    <t>Cost (Crowns)</t>
  </si>
  <si>
    <t>Expense Rate</t>
  </si>
  <si>
    <t>No program</t>
  </si>
  <si>
    <t>In Crowns</t>
  </si>
  <si>
    <t>Assumptions Control</t>
  </si>
  <si>
    <t>Net Expense</t>
  </si>
  <si>
    <t>Expenses (Survival Weighted)</t>
  </si>
  <si>
    <t>EPV Losses</t>
  </si>
  <si>
    <t>Mortality Rate</t>
  </si>
  <si>
    <t>Reduction in Death Benefits Paid</t>
  </si>
  <si>
    <t>Expected Program Expenses</t>
  </si>
  <si>
    <t>Historical Benefits Paid</t>
  </si>
  <si>
    <t>Total EPV Program Expenses</t>
  </si>
  <si>
    <t>Total EPV Loss Savings</t>
  </si>
  <si>
    <t>PV Benefit Reduction</t>
  </si>
  <si>
    <t>Total Annual Expense</t>
  </si>
  <si>
    <t>Total Mortality Savings</t>
  </si>
  <si>
    <t>PV Benefit Payout Reduction</t>
  </si>
  <si>
    <t>Discount Factor</t>
  </si>
  <si>
    <t>EPV Historical Benefits Paid</t>
  </si>
  <si>
    <t>EPV of Program Expenses</t>
  </si>
  <si>
    <t>T20 Savings</t>
  </si>
  <si>
    <t>SPWL Savings</t>
  </si>
  <si>
    <t>Policy Proportions (Historical Average)</t>
  </si>
  <si>
    <t>Policy Proportions (Historical Average</t>
  </si>
  <si>
    <t>No. of Historical Policies</t>
  </si>
  <si>
    <t>Program Factor #1</t>
  </si>
  <si>
    <t>Program Factor #2</t>
  </si>
  <si>
    <t>Program Factor #3</t>
  </si>
  <si>
    <t>Program Factor #4</t>
  </si>
  <si>
    <t>Program Factor #5</t>
  </si>
  <si>
    <t>adjusted qx</t>
  </si>
  <si>
    <t>EPV Loss Savings</t>
  </si>
  <si>
    <t>Savings from Program (SPWL)</t>
  </si>
  <si>
    <t>Savings from Program (T20)</t>
  </si>
  <si>
    <t>Total Added Expenses</t>
  </si>
  <si>
    <t>Total Program Savings</t>
  </si>
  <si>
    <t>T20 Mortality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</si>
</sst>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£&quot;#,##0.00;[Red]\-&quot;£&quot;#,##0.00"/>
    <numFmt numFmtId="43" formatCode="_-* #,##0.00_-;\-* #,##0.00_-;_-* &quot;-&quot;??_-;_-@_-"/>
    <numFmt numFmtId="164" formatCode="0.000"/>
    <numFmt numFmtId="165" formatCode="&quot;£&quot;#,##0.00"/>
    <numFmt numFmtId="166" formatCode="0.000000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9"/>
      <color rgb="FF1F1F1F"/>
      <name val="Arial"/>
      <family val="2"/>
    </font>
    <font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11"/>
      <color theme="0"/>
      <name val="Aptos Display"/>
      <family val="2"/>
      <scheme val="major"/>
    </font>
    <font>
      <sz val="1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>
      <alignment vertical="center"/>
    </xf>
    <xf numFmtId="43" fontId="1" fillId="0" borderId="0" applyFont="0" applyFill="0" applyBorder="0" applyAlignment="0" applyProtection="0"/>
  </cellStyleXfs>
  <cellXfs count="89">
    <xf numFmtId="0" fontId="0" fillId="0" borderId="0" xfId="0"/>
    <xf numFmtId="9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8" fontId="0" fillId="0" borderId="0" xfId="0" applyNumberFormat="1"/>
    <xf numFmtId="164" fontId="0" fillId="0" borderId="0" xfId="0" applyNumberFormat="1"/>
    <xf numFmtId="9" fontId="0" fillId="0" borderId="0" xfId="1" applyFont="1"/>
    <xf numFmtId="2" fontId="0" fillId="0" borderId="0" xfId="0" applyNumberFormat="1"/>
    <xf numFmtId="2" fontId="0" fillId="0" borderId="0" xfId="3" applyNumberFormat="1" applyFont="1"/>
    <xf numFmtId="2" fontId="0" fillId="0" borderId="0" xfId="1" applyNumberFormat="1" applyFont="1"/>
    <xf numFmtId="0" fontId="0" fillId="0" borderId="0" xfId="3" applyNumberFormat="1" applyFont="1"/>
    <xf numFmtId="0" fontId="0" fillId="0" borderId="0" xfId="0" quotePrefix="1"/>
    <xf numFmtId="0" fontId="4" fillId="0" borderId="0" xfId="0" applyFont="1"/>
    <xf numFmtId="10" fontId="0" fillId="0" borderId="0" xfId="1" applyNumberFormat="1" applyFont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3" xfId="0" applyBorder="1"/>
    <xf numFmtId="0" fontId="0" fillId="0" borderId="2" xfId="0" applyBorder="1"/>
    <xf numFmtId="0" fontId="0" fillId="5" borderId="0" xfId="0" applyFill="1"/>
    <xf numFmtId="0" fontId="0" fillId="5" borderId="4" xfId="0" applyFill="1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5" borderId="3" xfId="0" applyFill="1" applyBorder="1"/>
    <xf numFmtId="0" fontId="0" fillId="5" borderId="5" xfId="0" applyFill="1" applyBorder="1"/>
    <xf numFmtId="10" fontId="5" fillId="0" borderId="0" xfId="0" applyNumberFormat="1" applyFon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6" fillId="0" borderId="0" xfId="0" applyFont="1"/>
    <xf numFmtId="9" fontId="2" fillId="0" borderId="0" xfId="0" applyNumberFormat="1" applyFont="1"/>
    <xf numFmtId="0" fontId="0" fillId="0" borderId="0" xfId="1" applyNumberFormat="1" applyFont="1"/>
    <xf numFmtId="43" fontId="0" fillId="0" borderId="0" xfId="3" applyFont="1"/>
    <xf numFmtId="0" fontId="0" fillId="0" borderId="23" xfId="0" applyBorder="1"/>
    <xf numFmtId="0" fontId="7" fillId="0" borderId="0" xfId="0" applyFont="1"/>
    <xf numFmtId="0" fontId="8" fillId="0" borderId="0" xfId="0" applyFont="1" applyAlignment="1">
      <alignment horizontal="center"/>
    </xf>
    <xf numFmtId="165" fontId="4" fillId="0" borderId="0" xfId="0" applyNumberFormat="1" applyFont="1"/>
    <xf numFmtId="43" fontId="0" fillId="0" borderId="0" xfId="0" applyNumberFormat="1"/>
    <xf numFmtId="43" fontId="0" fillId="0" borderId="20" xfId="3" applyFont="1" applyBorder="1"/>
    <xf numFmtId="43" fontId="0" fillId="0" borderId="21" xfId="3" applyFont="1" applyBorder="1"/>
    <xf numFmtId="43" fontId="0" fillId="0" borderId="22" xfId="3" applyFont="1" applyBorder="1"/>
    <xf numFmtId="0" fontId="9" fillId="6" borderId="0" xfId="0" applyFont="1" applyFill="1" applyAlignment="1">
      <alignment horizontal="center"/>
    </xf>
    <xf numFmtId="0" fontId="10" fillId="0" borderId="0" xfId="2" applyFont="1" applyAlignment="1">
      <alignment horizontal="center" vertical="center"/>
    </xf>
    <xf numFmtId="166" fontId="0" fillId="0" borderId="0" xfId="0" applyNumberFormat="1" applyAlignment="1">
      <alignment horizontal="center"/>
    </xf>
    <xf numFmtId="43" fontId="0" fillId="0" borderId="13" xfId="3" applyFont="1" applyBorder="1"/>
    <xf numFmtId="43" fontId="0" fillId="0" borderId="10" xfId="3" applyFont="1" applyBorder="1"/>
    <xf numFmtId="43" fontId="0" fillId="0" borderId="11" xfId="3" applyFont="1" applyBorder="1"/>
    <xf numFmtId="43" fontId="0" fillId="0" borderId="16" xfId="3" applyFont="1" applyBorder="1"/>
    <xf numFmtId="43" fontId="0" fillId="0" borderId="20" xfId="0" applyNumberFormat="1" applyBorder="1"/>
    <xf numFmtId="43" fontId="0" fillId="0" borderId="21" xfId="0" applyNumberFormat="1" applyBorder="1"/>
    <xf numFmtId="43" fontId="0" fillId="0" borderId="22" xfId="0" applyNumberFormat="1" applyBorder="1"/>
    <xf numFmtId="0" fontId="0" fillId="0" borderId="23" xfId="0" applyBorder="1" applyAlignment="1">
      <alignment horizontal="center"/>
    </xf>
    <xf numFmtId="43" fontId="4" fillId="0" borderId="0" xfId="3" applyFont="1"/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6" fillId="0" borderId="21" xfId="0" applyFont="1" applyBorder="1"/>
    <xf numFmtId="0" fontId="6" fillId="0" borderId="22" xfId="0" applyFont="1" applyBorder="1"/>
    <xf numFmtId="9" fontId="0" fillId="0" borderId="20" xfId="0" applyNumberFormat="1" applyBorder="1"/>
    <xf numFmtId="10" fontId="0" fillId="0" borderId="21" xfId="0" applyNumberFormat="1" applyBorder="1"/>
    <xf numFmtId="9" fontId="0" fillId="0" borderId="21" xfId="0" applyNumberFormat="1" applyBorder="1"/>
    <xf numFmtId="10" fontId="0" fillId="0" borderId="22" xfId="0" applyNumberFormat="1" applyBorder="1"/>
    <xf numFmtId="0" fontId="12" fillId="0" borderId="0" xfId="0" applyFont="1"/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4">
    <cellStyle name="Comma" xfId="3" builtinId="3"/>
    <cellStyle name="Normal" xfId="0" builtinId="0"/>
    <cellStyle name="Normal 2" xfId="2" xr:uid="{58B2022D-B41D-4588-870B-7DFFF82F687A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Program</a:t>
            </a:r>
            <a:r>
              <a:rPr lang="en-AU" baseline="0"/>
              <a:t> Historical </a:t>
            </a:r>
            <a:r>
              <a:rPr lang="en-AU"/>
              <a:t>Mortality Savings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T20 Death Benefit Reduction</c:v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T20_Savings!$H$28:$H$47</c:f>
              <c:numCache>
                <c:formatCode>_(* #,##0.00_);_(* \(#,##0.00\);_(* "-"??_);_(@_)</c:formatCode>
                <c:ptCount val="20"/>
                <c:pt idx="0">
                  <c:v>32360815.420061402</c:v>
                </c:pt>
                <c:pt idx="1">
                  <c:v>37765770.214550689</c:v>
                </c:pt>
                <c:pt idx="2">
                  <c:v>45958625.272347674</c:v>
                </c:pt>
                <c:pt idx="3">
                  <c:v>51390292.646603607</c:v>
                </c:pt>
                <c:pt idx="4">
                  <c:v>60435450.116526283</c:v>
                </c:pt>
                <c:pt idx="5">
                  <c:v>59077697.037028395</c:v>
                </c:pt>
                <c:pt idx="6">
                  <c:v>69754843.694765538</c:v>
                </c:pt>
                <c:pt idx="7">
                  <c:v>66303871.697270319</c:v>
                </c:pt>
                <c:pt idx="8">
                  <c:v>81454544.082028389</c:v>
                </c:pt>
                <c:pt idx="9">
                  <c:v>78487242.538889006</c:v>
                </c:pt>
                <c:pt idx="10">
                  <c:v>84260760.155659467</c:v>
                </c:pt>
                <c:pt idx="11">
                  <c:v>96117807.633732438</c:v>
                </c:pt>
                <c:pt idx="12">
                  <c:v>101846216.21960229</c:v>
                </c:pt>
                <c:pt idx="13">
                  <c:v>105130192.68665403</c:v>
                </c:pt>
                <c:pt idx="14">
                  <c:v>106364083.7680365</c:v>
                </c:pt>
                <c:pt idx="15">
                  <c:v>105211346.72303388</c:v>
                </c:pt>
                <c:pt idx="16">
                  <c:v>154629565.25758603</c:v>
                </c:pt>
                <c:pt idx="17">
                  <c:v>137882400.52965713</c:v>
                </c:pt>
                <c:pt idx="18">
                  <c:v>116654789.42746603</c:v>
                </c:pt>
                <c:pt idx="19">
                  <c:v>113932205.21578464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6-42B3-8B4A-C35E75847CB7}"/>
            </c:ext>
          </c:extLst>
        </c:ser>
        <c:ser>
          <c:idx val="1"/>
          <c:order val="1"/>
          <c:tx>
            <c:v>T20 Program Expenses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T20_Savings!$G$28:$G$47</c:f>
              <c:numCache>
                <c:formatCode>General</c:formatCode>
                <c:ptCount val="20"/>
                <c:pt idx="0">
                  <c:v>96665604.165250212</c:v>
                </c:pt>
                <c:pt idx="1">
                  <c:v>91155648.524045274</c:v>
                </c:pt>
                <c:pt idx="2">
                  <c:v>98727860.734213158</c:v>
                </c:pt>
                <c:pt idx="3">
                  <c:v>100150813.11213388</c:v>
                </c:pt>
                <c:pt idx="4">
                  <c:v>88901807.478105634</c:v>
                </c:pt>
                <c:pt idx="5">
                  <c:v>89513027.657497346</c:v>
                </c:pt>
                <c:pt idx="6">
                  <c:v>86587099.880436689</c:v>
                </c:pt>
                <c:pt idx="7">
                  <c:v>83581052.955297261</c:v>
                </c:pt>
                <c:pt idx="8">
                  <c:v>83375491.774232253</c:v>
                </c:pt>
                <c:pt idx="9">
                  <c:v>78611622.741292238</c:v>
                </c:pt>
                <c:pt idx="10">
                  <c:v>72650454.389663786</c:v>
                </c:pt>
                <c:pt idx="11">
                  <c:v>64954315.622891158</c:v>
                </c:pt>
                <c:pt idx="12">
                  <c:v>67613132.535222009</c:v>
                </c:pt>
                <c:pt idx="13">
                  <c:v>58041912.949334919</c:v>
                </c:pt>
                <c:pt idx="14">
                  <c:v>58415363.229814969</c:v>
                </c:pt>
                <c:pt idx="15">
                  <c:v>58805909.519611999</c:v>
                </c:pt>
                <c:pt idx="16">
                  <c:v>58502274.935855627</c:v>
                </c:pt>
                <c:pt idx="17">
                  <c:v>52072092.234639034</c:v>
                </c:pt>
                <c:pt idx="18">
                  <c:v>44849345.151384115</c:v>
                </c:pt>
                <c:pt idx="19">
                  <c:v>43462677.016337365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B6-42B3-8B4A-C35E75847CB7}"/>
            </c:ext>
          </c:extLst>
        </c:ser>
        <c:ser>
          <c:idx val="2"/>
          <c:order val="2"/>
          <c:tx>
            <c:v>SPWL Death Benefit Reduction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SPWL_Savings!$H$28:$H$47</c:f>
              <c:numCache>
                <c:formatCode>_(* #,##0.00_);_(* \(#,##0.00\);_(* "-"??_);_(@_)</c:formatCode>
                <c:ptCount val="20"/>
                <c:pt idx="0">
                  <c:v>26679019.630271535</c:v>
                </c:pt>
                <c:pt idx="1">
                  <c:v>29842784.718495201</c:v>
                </c:pt>
                <c:pt idx="2">
                  <c:v>36103929.577032387</c:v>
                </c:pt>
                <c:pt idx="3">
                  <c:v>53405881.94817958</c:v>
                </c:pt>
                <c:pt idx="4">
                  <c:v>59177944.569315813</c:v>
                </c:pt>
                <c:pt idx="5">
                  <c:v>69072500.720982879</c:v>
                </c:pt>
                <c:pt idx="6">
                  <c:v>94363957.295656219</c:v>
                </c:pt>
                <c:pt idx="7">
                  <c:v>100016454.66369805</c:v>
                </c:pt>
                <c:pt idx="8">
                  <c:v>111260315.21375231</c:v>
                </c:pt>
                <c:pt idx="9">
                  <c:v>127109476.97576687</c:v>
                </c:pt>
                <c:pt idx="10">
                  <c:v>140636774.1954034</c:v>
                </c:pt>
                <c:pt idx="11">
                  <c:v>172928269.48771948</c:v>
                </c:pt>
                <c:pt idx="12">
                  <c:v>194924466.05634859</c:v>
                </c:pt>
                <c:pt idx="13">
                  <c:v>218558172.9239614</c:v>
                </c:pt>
                <c:pt idx="14">
                  <c:v>243979788.61478454</c:v>
                </c:pt>
                <c:pt idx="15">
                  <c:v>264371854.12703639</c:v>
                </c:pt>
                <c:pt idx="16">
                  <c:v>394791984.73148531</c:v>
                </c:pt>
                <c:pt idx="17">
                  <c:v>406210185.80197108</c:v>
                </c:pt>
                <c:pt idx="18">
                  <c:v>418199778.81810218</c:v>
                </c:pt>
                <c:pt idx="19">
                  <c:v>424811321.94630808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B6-42B3-8B4A-C35E75847CB7}"/>
            </c:ext>
          </c:extLst>
        </c:ser>
        <c:ser>
          <c:idx val="3"/>
          <c:order val="3"/>
          <c:tx>
            <c:v>SPWL Program Expenses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SPWL_Savings!$G$28:$G$47</c:f>
              <c:numCache>
                <c:formatCode>_(* #,##0.00_);_(* \(#,##0.00\);_(* "-"??_);_(@_)</c:formatCode>
                <c:ptCount val="20"/>
                <c:pt idx="0">
                  <c:v>42987352.90911302</c:v>
                </c:pt>
                <c:pt idx="1">
                  <c:v>42736437.497066125</c:v>
                </c:pt>
                <c:pt idx="2">
                  <c:v>53981153.140155375</c:v>
                </c:pt>
                <c:pt idx="3">
                  <c:v>61309307.720435753</c:v>
                </c:pt>
                <c:pt idx="4">
                  <c:v>62526646.579479724</c:v>
                </c:pt>
                <c:pt idx="5">
                  <c:v>73235900.918331981</c:v>
                </c:pt>
                <c:pt idx="6">
                  <c:v>81009411.012883022</c:v>
                </c:pt>
                <c:pt idx="7">
                  <c:v>86931755.277325839</c:v>
                </c:pt>
                <c:pt idx="8">
                  <c:v>97871802.372914538</c:v>
                </c:pt>
                <c:pt idx="9">
                  <c:v>107324167.57908061</c:v>
                </c:pt>
                <c:pt idx="10">
                  <c:v>111438957.13199732</c:v>
                </c:pt>
                <c:pt idx="11">
                  <c:v>112407647.35681257</c:v>
                </c:pt>
                <c:pt idx="12">
                  <c:v>132232815.02650237</c:v>
                </c:pt>
                <c:pt idx="13">
                  <c:v>131117614.70686455</c:v>
                </c:pt>
                <c:pt idx="14">
                  <c:v>149021022.55145645</c:v>
                </c:pt>
                <c:pt idx="15">
                  <c:v>168927618.70412922</c:v>
                </c:pt>
                <c:pt idx="16">
                  <c:v>185498274.23034948</c:v>
                </c:pt>
                <c:pt idx="17">
                  <c:v>192384166.23299271</c:v>
                </c:pt>
                <c:pt idx="18">
                  <c:v>183045279.84306085</c:v>
                </c:pt>
                <c:pt idx="19">
                  <c:v>202568040.86244005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B6-42B3-8B4A-C35E75847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5934736"/>
        <c:axId val="2005936656"/>
      </c:barChart>
      <c:catAx>
        <c:axId val="2005934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936656"/>
        <c:crosses val="autoZero"/>
        <c:auto val="1"/>
        <c:lblAlgn val="ctr"/>
        <c:lblOffset val="100"/>
        <c:noMultiLvlLbl val="0"/>
      </c:catAx>
      <c:valAx>
        <c:axId val="200593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Value</a:t>
                </a:r>
                <a:r>
                  <a:rPr lang="en-AU" baseline="0"/>
                  <a:t> opf Expense/Saving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93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T20</a:t>
            </a:r>
            <a:r>
              <a:rPr lang="en-AU" baseline="0"/>
              <a:t> Mortality Savings Breakdown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Death Benefit Reduction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T20_Savings!$G$7:$G$26</c:f>
              <c:numCache>
                <c:formatCode>General</c:formatCode>
                <c:ptCount val="20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</c:numCache>
            </c:numRef>
          </c:cat>
          <c:val>
            <c:numRef>
              <c:f>T20_Savings!$H$28:$H$47</c:f>
              <c:numCache>
                <c:formatCode>_(* #,##0.00_);_(* \(#,##0.00\);_(* "-"??_);_(@_)</c:formatCode>
                <c:ptCount val="20"/>
                <c:pt idx="0">
                  <c:v>32360815.420061402</c:v>
                </c:pt>
                <c:pt idx="1">
                  <c:v>37765770.214550689</c:v>
                </c:pt>
                <c:pt idx="2">
                  <c:v>45958625.272347674</c:v>
                </c:pt>
                <c:pt idx="3">
                  <c:v>51390292.646603607</c:v>
                </c:pt>
                <c:pt idx="4">
                  <c:v>60435450.116526283</c:v>
                </c:pt>
                <c:pt idx="5">
                  <c:v>59077697.037028395</c:v>
                </c:pt>
                <c:pt idx="6">
                  <c:v>69754843.694765538</c:v>
                </c:pt>
                <c:pt idx="7">
                  <c:v>66303871.697270319</c:v>
                </c:pt>
                <c:pt idx="8">
                  <c:v>81454544.082028389</c:v>
                </c:pt>
                <c:pt idx="9">
                  <c:v>78487242.538889006</c:v>
                </c:pt>
                <c:pt idx="10">
                  <c:v>84260760.155659467</c:v>
                </c:pt>
                <c:pt idx="11">
                  <c:v>96117807.633732438</c:v>
                </c:pt>
                <c:pt idx="12">
                  <c:v>101846216.21960229</c:v>
                </c:pt>
                <c:pt idx="13">
                  <c:v>105130192.68665403</c:v>
                </c:pt>
                <c:pt idx="14">
                  <c:v>106364083.7680365</c:v>
                </c:pt>
                <c:pt idx="15">
                  <c:v>105211346.72303388</c:v>
                </c:pt>
                <c:pt idx="16">
                  <c:v>154629565.25758603</c:v>
                </c:pt>
                <c:pt idx="17">
                  <c:v>137882400.52965713</c:v>
                </c:pt>
                <c:pt idx="18">
                  <c:v>116654789.42746603</c:v>
                </c:pt>
                <c:pt idx="19">
                  <c:v>113932205.21578464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D-4763-941B-1527D961D25A}"/>
            </c:ext>
          </c:extLst>
        </c:ser>
        <c:ser>
          <c:idx val="1"/>
          <c:order val="1"/>
          <c:tx>
            <c:v>Program Expenses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T20_Savings!$G$7:$G$26</c:f>
              <c:numCache>
                <c:formatCode>General</c:formatCode>
                <c:ptCount val="20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</c:numCache>
            </c:numRef>
          </c:cat>
          <c:val>
            <c:numRef>
              <c:f>T20_Savings!$G$28:$G$47</c:f>
              <c:numCache>
                <c:formatCode>General</c:formatCode>
                <c:ptCount val="20"/>
                <c:pt idx="0">
                  <c:v>96665604.165250212</c:v>
                </c:pt>
                <c:pt idx="1">
                  <c:v>91155648.524045274</c:v>
                </c:pt>
                <c:pt idx="2">
                  <c:v>98727860.734213158</c:v>
                </c:pt>
                <c:pt idx="3">
                  <c:v>100150813.11213388</c:v>
                </c:pt>
                <c:pt idx="4">
                  <c:v>88901807.478105634</c:v>
                </c:pt>
                <c:pt idx="5">
                  <c:v>89513027.657497346</c:v>
                </c:pt>
                <c:pt idx="6">
                  <c:v>86587099.880436689</c:v>
                </c:pt>
                <c:pt idx="7">
                  <c:v>83581052.955297261</c:v>
                </c:pt>
                <c:pt idx="8">
                  <c:v>83375491.774232253</c:v>
                </c:pt>
                <c:pt idx="9">
                  <c:v>78611622.741292238</c:v>
                </c:pt>
                <c:pt idx="10">
                  <c:v>72650454.389663786</c:v>
                </c:pt>
                <c:pt idx="11">
                  <c:v>64954315.622891158</c:v>
                </c:pt>
                <c:pt idx="12">
                  <c:v>67613132.535222009</c:v>
                </c:pt>
                <c:pt idx="13">
                  <c:v>58041912.949334919</c:v>
                </c:pt>
                <c:pt idx="14">
                  <c:v>58415363.229814969</c:v>
                </c:pt>
                <c:pt idx="15">
                  <c:v>58805909.519611999</c:v>
                </c:pt>
                <c:pt idx="16">
                  <c:v>58502274.935855627</c:v>
                </c:pt>
                <c:pt idx="17">
                  <c:v>52072092.234639034</c:v>
                </c:pt>
                <c:pt idx="18">
                  <c:v>44849345.151384115</c:v>
                </c:pt>
                <c:pt idx="19">
                  <c:v>43462677.016337365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D-4763-941B-1527D961D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5938576"/>
        <c:axId val="1640832143"/>
      </c:barChart>
      <c:catAx>
        <c:axId val="200593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832143"/>
        <c:crosses val="autoZero"/>
        <c:auto val="1"/>
        <c:lblAlgn val="ctr"/>
        <c:lblOffset val="100"/>
        <c:noMultiLvlLbl val="0"/>
      </c:catAx>
      <c:valAx>
        <c:axId val="164083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</a:t>
                </a:r>
                <a:r>
                  <a:rPr lang="en-AU" baseline="0"/>
                  <a:t> Value (Crowns)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93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26</xdr:row>
      <xdr:rowOff>180975</xdr:rowOff>
    </xdr:from>
    <xdr:to>
      <xdr:col>13</xdr:col>
      <xdr:colOff>804024</xdr:colOff>
      <xdr:row>44</xdr:row>
      <xdr:rowOff>101413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009161-7164-48ED-BA75-F8ECD795CD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655543</xdr:colOff>
      <xdr:row>55</xdr:row>
      <xdr:rowOff>22412</xdr:rowOff>
    </xdr:from>
    <xdr:to>
      <xdr:col>32</xdr:col>
      <xdr:colOff>448235</xdr:colOff>
      <xdr:row>70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88A02D-757F-FDD3-B499-D4BA01660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123825</xdr:rowOff>
    </xdr:to>
    <xdr:sp macro="" textlink="">
      <xdr:nvSpPr>
        <xdr:cNvPr id="2" name="AutoShape 6">
          <a:extLst>
            <a:ext uri="{FF2B5EF4-FFF2-40B4-BE49-F238E27FC236}">
              <a16:creationId xmlns:a16="http://schemas.microsoft.com/office/drawing/2014/main" id="{2958B439-A4D2-4137-8B52-D3500B599371}"/>
            </a:ext>
          </a:extLst>
        </xdr:cNvPr>
        <xdr:cNvSpPr>
          <a:spLocks noChangeAspect="1" noChangeArrowheads="1"/>
        </xdr:cNvSpPr>
      </xdr:nvSpPr>
      <xdr:spPr bwMode="auto">
        <a:xfrm>
          <a:off x="2838450" y="9525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8</xdr:col>
      <xdr:colOff>0</xdr:colOff>
      <xdr:row>72</xdr:row>
      <xdr:rowOff>0</xdr:rowOff>
    </xdr:from>
    <xdr:ext cx="304800" cy="314325"/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98545553-888C-4077-9F6B-5AAFE21674D8}"/>
            </a:ext>
          </a:extLst>
        </xdr:cNvPr>
        <xdr:cNvSpPr>
          <a:spLocks noChangeAspect="1" noChangeArrowheads="1"/>
        </xdr:cNvSpPr>
      </xdr:nvSpPr>
      <xdr:spPr bwMode="auto">
        <a:xfrm>
          <a:off x="7667625" y="9525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14</xdr:col>
      <xdr:colOff>600075</xdr:colOff>
      <xdr:row>72</xdr:row>
      <xdr:rowOff>28575</xdr:rowOff>
    </xdr:from>
    <xdr:ext cx="304800" cy="314325"/>
    <xdr:sp macro="" textlink="">
      <xdr:nvSpPr>
        <xdr:cNvPr id="4" name="AutoShape 6">
          <a:extLst>
            <a:ext uri="{FF2B5EF4-FFF2-40B4-BE49-F238E27FC236}">
              <a16:creationId xmlns:a16="http://schemas.microsoft.com/office/drawing/2014/main" id="{596F307D-2091-46C0-ABBB-85319A0BB851}"/>
            </a:ext>
          </a:extLst>
        </xdr:cNvPr>
        <xdr:cNvSpPr>
          <a:spLocks noChangeAspect="1" noChangeArrowheads="1"/>
        </xdr:cNvSpPr>
      </xdr:nvSpPr>
      <xdr:spPr bwMode="auto">
        <a:xfrm>
          <a:off x="12487275" y="9810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C528-1C8B-4644-8941-8E00E5FD47D8}">
  <sheetPr codeName="Sheet7">
    <tabColor theme="6" tint="0.79998168889431442"/>
  </sheetPr>
  <dimension ref="C3:M25"/>
  <sheetViews>
    <sheetView showGridLines="0" tabSelected="1" workbookViewId="0">
      <selection activeCell="K22" sqref="K22"/>
    </sheetView>
  </sheetViews>
  <sheetFormatPr defaultRowHeight="15" x14ac:dyDescent="0.25"/>
  <cols>
    <col min="3" max="3" width="21.42578125" bestFit="1" customWidth="1"/>
    <col min="7" max="7" width="14" bestFit="1" customWidth="1"/>
    <col min="9" max="9" width="23.5703125" customWidth="1"/>
    <col min="10" max="10" width="17.5703125" bestFit="1" customWidth="1"/>
    <col min="11" max="11" width="16.85546875" bestFit="1" customWidth="1"/>
    <col min="12" max="12" width="17.140625" customWidth="1"/>
    <col min="13" max="13" width="19.5703125" bestFit="1" customWidth="1"/>
    <col min="14" max="14" width="13.85546875" bestFit="1" customWidth="1"/>
    <col min="15" max="15" width="11" customWidth="1"/>
    <col min="16" max="16" width="10.28515625" customWidth="1"/>
  </cols>
  <sheetData>
    <row r="3" spans="3:11" ht="24.75" thickBot="1" x14ac:dyDescent="0.45">
      <c r="C3" s="50" t="s">
        <v>87</v>
      </c>
    </row>
    <row r="4" spans="3:11" ht="15.75" thickBot="1" x14ac:dyDescent="0.3">
      <c r="F4" s="78" t="s">
        <v>53</v>
      </c>
      <c r="G4" s="79"/>
      <c r="I4" s="78" t="s">
        <v>56</v>
      </c>
      <c r="J4" s="79"/>
    </row>
    <row r="5" spans="3:11" x14ac:dyDescent="0.25">
      <c r="C5" s="42" t="s">
        <v>84</v>
      </c>
      <c r="D5" s="73">
        <v>0.17249999999999999</v>
      </c>
      <c r="F5" s="31" t="s">
        <v>16</v>
      </c>
      <c r="G5" s="36" t="s">
        <v>83</v>
      </c>
      <c r="I5" s="31" t="s">
        <v>16</v>
      </c>
      <c r="J5" s="36" t="s">
        <v>83</v>
      </c>
    </row>
    <row r="6" spans="3:11" x14ac:dyDescent="0.25">
      <c r="C6" s="31" t="s">
        <v>2</v>
      </c>
      <c r="D6" s="74">
        <v>0.03</v>
      </c>
      <c r="F6" s="69">
        <v>1</v>
      </c>
      <c r="G6" s="71">
        <v>667.42</v>
      </c>
      <c r="I6" s="69">
        <v>1</v>
      </c>
      <c r="J6" s="71">
        <v>2987.42</v>
      </c>
    </row>
    <row r="7" spans="3:11" ht="15.75" thickBot="1" x14ac:dyDescent="0.3">
      <c r="C7" s="31" t="s">
        <v>3</v>
      </c>
      <c r="D7" s="75">
        <v>0.04</v>
      </c>
      <c r="F7" s="69" t="s">
        <v>54</v>
      </c>
      <c r="G7" s="71">
        <v>575</v>
      </c>
      <c r="I7" s="70" t="s">
        <v>54</v>
      </c>
      <c r="J7" s="72">
        <v>740</v>
      </c>
    </row>
    <row r="8" spans="3:11" ht="15.75" thickBot="1" x14ac:dyDescent="0.3">
      <c r="C8" s="33" t="s">
        <v>44</v>
      </c>
      <c r="D8" s="76">
        <v>2.75E-2</v>
      </c>
      <c r="F8" s="70" t="s">
        <v>55</v>
      </c>
      <c r="G8" s="72">
        <v>52.5</v>
      </c>
    </row>
    <row r="14" spans="3:11" ht="46.5" x14ac:dyDescent="0.7">
      <c r="K14" s="51" t="s">
        <v>99</v>
      </c>
    </row>
    <row r="15" spans="3:11" x14ac:dyDescent="0.25">
      <c r="K15" t="s">
        <v>86</v>
      </c>
    </row>
    <row r="16" spans="3:11" x14ac:dyDescent="0.25">
      <c r="K16" s="52">
        <f>J23+J24</f>
        <v>1536270504.0929041</v>
      </c>
    </row>
    <row r="19" spans="9:13" x14ac:dyDescent="0.25">
      <c r="J19" s="12" t="s">
        <v>104</v>
      </c>
      <c r="M19" s="12" t="s">
        <v>105</v>
      </c>
    </row>
    <row r="20" spans="9:13" x14ac:dyDescent="0.25">
      <c r="I20" s="1"/>
      <c r="J20" s="7">
        <f>T20_Savings!E57</f>
        <v>228381013.73002434</v>
      </c>
      <c r="L20" s="1"/>
      <c r="M20" s="7">
        <f>SPWL_Savings!D55</f>
        <v>1307889490.3628798</v>
      </c>
    </row>
    <row r="23" spans="9:13" x14ac:dyDescent="0.25">
      <c r="I23" s="12" t="s">
        <v>118</v>
      </c>
      <c r="J23" s="53">
        <f>T20_Savings!D53+SPWL_Savings!C52</f>
        <v>-3755192878.2606506</v>
      </c>
    </row>
    <row r="24" spans="9:13" x14ac:dyDescent="0.25">
      <c r="I24" s="12" t="s">
        <v>119</v>
      </c>
      <c r="J24" s="53">
        <f>T20_Savings!E53+SPWL_Savings!D52</f>
        <v>5291463382.3535547</v>
      </c>
    </row>
    <row r="25" spans="9:13" x14ac:dyDescent="0.25">
      <c r="J25" s="53"/>
    </row>
  </sheetData>
  <mergeCells count="2">
    <mergeCell ref="F4:G4"/>
    <mergeCell ref="I4:J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E832B-F320-4A0E-9516-32EE9C058213}">
  <sheetPr codeName="Sheet3">
    <tabColor theme="6" tint="0.79998168889431442"/>
  </sheetPr>
  <dimension ref="A2:AQ107"/>
  <sheetViews>
    <sheetView showGridLines="0" topLeftCell="A15" zoomScale="85" zoomScaleNormal="85" workbookViewId="0">
      <selection activeCell="C21" sqref="C21"/>
    </sheetView>
  </sheetViews>
  <sheetFormatPr defaultColWidth="8.85546875" defaultRowHeight="15" x14ac:dyDescent="0.25"/>
  <cols>
    <col min="2" max="3" width="31" bestFit="1" customWidth="1"/>
    <col min="4" max="4" width="28.42578125" customWidth="1"/>
    <col min="5" max="5" width="16.28515625" customWidth="1"/>
    <col min="6" max="6" width="15.85546875" customWidth="1"/>
    <col min="7" max="7" width="20.42578125" customWidth="1"/>
    <col min="8" max="8" width="28.85546875" customWidth="1"/>
    <col min="9" max="9" width="15.5703125" customWidth="1"/>
    <col min="10" max="10" width="20.5703125" customWidth="1"/>
    <col min="11" max="11" width="21.140625" customWidth="1"/>
    <col min="12" max="12" width="23.28515625" bestFit="1" customWidth="1"/>
    <col min="13" max="13" width="15.28515625" customWidth="1"/>
    <col min="14" max="14" width="11.140625" bestFit="1" customWidth="1"/>
    <col min="17" max="17" width="15.5703125" customWidth="1"/>
    <col min="24" max="24" width="13.28515625" bestFit="1" customWidth="1"/>
    <col min="25" max="25" width="15.42578125" customWidth="1"/>
    <col min="26" max="26" width="17.85546875" customWidth="1"/>
    <col min="27" max="27" width="14.28515625" bestFit="1" customWidth="1"/>
    <col min="28" max="28" width="26.5703125" customWidth="1"/>
    <col min="29" max="29" width="15.28515625" customWidth="1"/>
    <col min="30" max="30" width="18.7109375" customWidth="1"/>
    <col min="31" max="31" width="11.85546875" bestFit="1" customWidth="1"/>
    <col min="33" max="33" width="17.5703125" customWidth="1"/>
    <col min="34" max="34" width="14.85546875" customWidth="1"/>
    <col min="35" max="35" width="13.140625" customWidth="1"/>
    <col min="36" max="36" width="15.28515625" customWidth="1"/>
    <col min="41" max="41" width="11.140625" customWidth="1"/>
  </cols>
  <sheetData>
    <row r="2" spans="2:20" ht="15.75" x14ac:dyDescent="0.25">
      <c r="B2" s="77" t="s">
        <v>120</v>
      </c>
      <c r="F2" s="28"/>
      <c r="T2" s="12"/>
    </row>
    <row r="4" spans="2:20" ht="15.75" thickBot="1" x14ac:dyDescent="0.3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</row>
    <row r="5" spans="2:20" ht="15.75" thickBot="1" x14ac:dyDescent="0.3">
      <c r="B5" s="36"/>
      <c r="C5" s="78" t="s">
        <v>93</v>
      </c>
      <c r="D5" s="80"/>
      <c r="E5" s="80"/>
      <c r="F5" s="79"/>
      <c r="M5" s="3"/>
    </row>
    <row r="6" spans="2:20" ht="15.75" thickBot="1" x14ac:dyDescent="0.3">
      <c r="B6" s="38"/>
      <c r="C6" s="39" t="s">
        <v>67</v>
      </c>
      <c r="D6" s="40" t="s">
        <v>68</v>
      </c>
      <c r="E6" s="40" t="s">
        <v>69</v>
      </c>
      <c r="F6" s="40" t="s">
        <v>70</v>
      </c>
      <c r="G6" s="49" t="s">
        <v>16</v>
      </c>
      <c r="H6" s="49" t="s">
        <v>92</v>
      </c>
      <c r="J6" s="49" t="s">
        <v>16</v>
      </c>
      <c r="K6" s="49" t="s">
        <v>94</v>
      </c>
      <c r="L6" s="49" t="s">
        <v>108</v>
      </c>
    </row>
    <row r="7" spans="2:20" x14ac:dyDescent="0.25">
      <c r="B7" s="37">
        <v>2004</v>
      </c>
      <c r="C7" s="48">
        <f>SUMPRODUCT($C$77:$H$106,Output_1_0_1!$AA$3:$AF$32)*$L7</f>
        <v>-3124819.3931144848</v>
      </c>
      <c r="D7" s="48">
        <f>SUMPRODUCT($K$77:$P$106,Output_1_0_0!$AA$3:$AF$32)*$L7</f>
        <v>-42678269.118591607</v>
      </c>
      <c r="E7" s="48">
        <f>SUMPRODUCT($S$77:$X$106,Output_1_1_1!$AA$3:$AF$32)*$L7</f>
        <v>-10404943.460492002</v>
      </c>
      <c r="F7" s="60">
        <f>SUMPRODUCT($AA$77:$AF$106,Output_1_1_0!$AA$3:$AF$32)*$L7</f>
        <v>-47275597.92295491</v>
      </c>
      <c r="G7" s="31">
        <v>2004</v>
      </c>
      <c r="H7" s="55">
        <f>K7*(1-PRODUCT('Mortality Table'!C2:G2)*0.865)</f>
        <v>34643290.909455068</v>
      </c>
      <c r="J7" s="37">
        <v>2004</v>
      </c>
      <c r="K7" s="60">
        <v>93850000</v>
      </c>
      <c r="L7" s="37">
        <v>19450</v>
      </c>
    </row>
    <row r="8" spans="2:20" x14ac:dyDescent="0.25">
      <c r="B8" s="37">
        <f>B7+1</f>
        <v>2005</v>
      </c>
      <c r="C8">
        <f>SUMPRODUCT($C$77:$H$106,Output_1_0_1!$AA$3:$AF$32)*$L8</f>
        <v>-3154541.3256453937</v>
      </c>
      <c r="D8">
        <f>SUMPRODUCT($K$77:$P$106,Output_1_0_0!$AA$3:$AF$32)*$L8</f>
        <v>-43084206.382701606</v>
      </c>
      <c r="E8">
        <f>SUMPRODUCT($S$77:$X$106,Output_1_1_1!$AA$3:$AF$32)*$L8</f>
        <v>-10503910.789036527</v>
      </c>
      <c r="F8" s="32">
        <f>SUMPRODUCT($AA$77:$AF$106,Output_1_1_0!$AA$3:$AF$32)*$L8</f>
        <v>-47725262.993173249</v>
      </c>
      <c r="G8" s="31">
        <v>2005</v>
      </c>
      <c r="H8" s="55">
        <f>K8*(1-PRODUCT('Mortality Table'!C3:G3)*0.865)</f>
        <v>43281042.71852538</v>
      </c>
      <c r="J8" s="37">
        <f>J7+1</f>
        <v>2005</v>
      </c>
      <c r="K8" s="32">
        <v>117250000</v>
      </c>
      <c r="L8" s="37">
        <v>19635</v>
      </c>
    </row>
    <row r="9" spans="2:20" x14ac:dyDescent="0.25">
      <c r="B9" s="37">
        <f t="shared" ref="B9:B26" si="0">B8+1</f>
        <v>2006</v>
      </c>
      <c r="C9">
        <f>SUMPRODUCT($C$77:$H$106,Output_1_0_1!$AA$3:$AF$32)*$L9</f>
        <v>-3657564.9513441827</v>
      </c>
      <c r="D9">
        <f>SUMPRODUCT($K$77:$P$106,Output_1_0_0!$AA$3:$AF$32)*$L9</f>
        <v>-49954420.295828097</v>
      </c>
      <c r="E9">
        <f>SUMPRODUCT($S$77:$X$106,Output_1_1_1!$AA$3:$AF$32)*$L9</f>
        <v>-12178865.954836037</v>
      </c>
      <c r="F9" s="32">
        <f>SUMPRODUCT($AA$77:$AF$106,Output_1_1_0!$AA$3:$AF$32)*$L9</f>
        <v>-55335540.478868455</v>
      </c>
      <c r="G9" s="31">
        <v>2006</v>
      </c>
      <c r="H9" s="55">
        <f>K9*(1-PRODUCT('Mortality Table'!C4:G4)*0.865)</f>
        <v>56385324.309208967</v>
      </c>
      <c r="J9" s="37">
        <f t="shared" ref="J9:J26" si="1">J8+1</f>
        <v>2006</v>
      </c>
      <c r="K9" s="32">
        <v>152750000</v>
      </c>
      <c r="L9" s="37">
        <v>22766</v>
      </c>
    </row>
    <row r="10" spans="2:20" x14ac:dyDescent="0.25">
      <c r="B10" s="37">
        <f t="shared" si="0"/>
        <v>2007</v>
      </c>
      <c r="C10">
        <f>SUMPRODUCT($C$77:$H$106,Output_1_0_1!$AA$3:$AF$32)*$L10</f>
        <v>-3971974.7997927712</v>
      </c>
      <c r="D10">
        <f>SUMPRODUCT($K$77:$P$106,Output_1_0_0!$AA$3:$AF$32)*$L10</f>
        <v>-54248578.273467369</v>
      </c>
      <c r="E10">
        <f>SUMPRODUCT($S$77:$X$106,Output_1_1_1!$AA$3:$AF$32)*$L10</f>
        <v>-13225779.803277316</v>
      </c>
      <c r="F10" s="32">
        <f>SUMPRODUCT($AA$77:$AF$106,Output_1_1_0!$AA$3:$AF$32)*$L10</f>
        <v>-60092267.735178113</v>
      </c>
      <c r="G10" s="31">
        <v>2007</v>
      </c>
      <c r="H10" s="55">
        <f>K10*(1-PRODUCT('Mortality Table'!C5:G5)*0.865)</f>
        <v>67496278.559337869</v>
      </c>
      <c r="J10" s="37">
        <f t="shared" si="1"/>
        <v>2007</v>
      </c>
      <c r="K10" s="32">
        <v>182850000</v>
      </c>
      <c r="L10" s="37">
        <v>24723</v>
      </c>
    </row>
    <row r="11" spans="2:20" x14ac:dyDescent="0.25">
      <c r="B11" s="37">
        <f t="shared" si="0"/>
        <v>2008</v>
      </c>
      <c r="C11">
        <f>SUMPRODUCT($C$77:$H$106,Output_1_0_1!$AA$3:$AF$32)*$L11</f>
        <v>-3774524.772330679</v>
      </c>
      <c r="D11">
        <f>SUMPRODUCT($K$77:$P$106,Output_1_0_0!$AA$3:$AF$32)*$L11</f>
        <v>-51551838.286487982</v>
      </c>
      <c r="E11">
        <f>SUMPRODUCT($S$77:$X$106,Output_1_1_1!$AA$3:$AF$32)*$L11</f>
        <v>-12568315.766622061</v>
      </c>
      <c r="F11" s="32">
        <f>SUMPRODUCT($AA$77:$AF$106,Output_1_1_0!$AA$3:$AF$32)*$L11</f>
        <v>-57105033.295727648</v>
      </c>
      <c r="G11" s="31">
        <v>2008</v>
      </c>
      <c r="H11" s="55">
        <f>K11*(1-PRODUCT('Mortality Table'!C6:G6)*0.865)</f>
        <v>84974806.258460909</v>
      </c>
      <c r="J11" s="37">
        <f t="shared" si="1"/>
        <v>2008</v>
      </c>
      <c r="K11" s="32">
        <v>230200000</v>
      </c>
      <c r="L11" s="37">
        <v>23494</v>
      </c>
    </row>
    <row r="12" spans="2:20" x14ac:dyDescent="0.25">
      <c r="B12" s="37">
        <f t="shared" si="0"/>
        <v>2009</v>
      </c>
      <c r="C12">
        <f>SUMPRODUCT($C$77:$H$106,Output_1_0_1!$AA$3:$AF$32)*$L12</f>
        <v>-4068530.9157445352</v>
      </c>
      <c r="D12">
        <f>SUMPRODUCT($K$77:$P$106,Output_1_0_0!$AA$3:$AF$32)*$L12</f>
        <v>-55567325.817954443</v>
      </c>
      <c r="E12">
        <f>SUMPRODUCT($S$77:$X$106,Output_1_1_1!$AA$3:$AF$32)*$L12</f>
        <v>-13547289.881413855</v>
      </c>
      <c r="F12" s="32">
        <f>SUMPRODUCT($AA$77:$AF$106,Output_1_1_0!$AA$3:$AF$32)*$L12</f>
        <v>-61553071.557887413</v>
      </c>
      <c r="G12" s="31">
        <v>2009</v>
      </c>
      <c r="H12" s="55">
        <f>K12*(1-PRODUCT('Mortality Table'!C7:G7)*0.865)</f>
        <v>88924547.470300764</v>
      </c>
      <c r="J12" s="37">
        <f t="shared" si="1"/>
        <v>2009</v>
      </c>
      <c r="K12" s="32">
        <v>240900000</v>
      </c>
      <c r="L12" s="37">
        <v>25324</v>
      </c>
    </row>
    <row r="13" spans="2:20" x14ac:dyDescent="0.25">
      <c r="B13" s="37">
        <f t="shared" si="0"/>
        <v>2010</v>
      </c>
      <c r="C13">
        <f>SUMPRODUCT($C$77:$H$106,Output_1_0_1!$AA$3:$AF$32)*$L13</f>
        <v>-4213124.1010300387</v>
      </c>
      <c r="D13">
        <f>SUMPRODUCT($K$77:$P$106,Output_1_0_0!$AA$3:$AF$32)*$L13</f>
        <v>-57542155.751462534</v>
      </c>
      <c r="E13">
        <f>SUMPRODUCT($S$77:$X$106,Output_1_1_1!$AA$3:$AF$32)*$L13</f>
        <v>-14028752.560819654</v>
      </c>
      <c r="F13" s="32">
        <f>SUMPRODUCT($AA$77:$AF$106,Output_1_1_0!$AA$3:$AF$32)*$L13</f>
        <v>-63740631.358949594</v>
      </c>
      <c r="G13" s="31">
        <v>2010</v>
      </c>
      <c r="H13" s="55">
        <f>K13*(1-PRODUCT('Mortality Table'!C8:G8)*0.865)</f>
        <v>112401513.92572263</v>
      </c>
      <c r="J13" s="37">
        <f t="shared" si="1"/>
        <v>2010</v>
      </c>
      <c r="K13" s="32">
        <v>304500000</v>
      </c>
      <c r="L13" s="37">
        <v>26224</v>
      </c>
    </row>
    <row r="14" spans="2:20" x14ac:dyDescent="0.25">
      <c r="B14" s="37">
        <f t="shared" si="0"/>
        <v>2011</v>
      </c>
      <c r="C14">
        <f>SUMPRODUCT($C$77:$H$106,Output_1_0_1!$AA$3:$AF$32)*$L14</f>
        <v>-4353700.8089464996</v>
      </c>
      <c r="D14">
        <f>SUMPRODUCT($K$77:$P$106,Output_1_0_0!$AA$3:$AF$32)*$L14</f>
        <v>-59462129.297928736</v>
      </c>
      <c r="E14">
        <f>SUMPRODUCT($S$77:$X$106,Output_1_1_1!$AA$3:$AF$32)*$L14</f>
        <v>-14496841.276908625</v>
      </c>
      <c r="F14" s="32">
        <f>SUMPRODUCT($AA$77:$AF$106,Output_1_1_0!$AA$3:$AF$32)*$L14</f>
        <v>-65867425.609982267</v>
      </c>
      <c r="G14" s="31">
        <v>2011</v>
      </c>
      <c r="H14" s="55">
        <f>K14*(1-PRODUCT('Mortality Table'!C9:G9)*0.865)</f>
        <v>114376384.53164256</v>
      </c>
      <c r="J14" s="37">
        <f t="shared" si="1"/>
        <v>2011</v>
      </c>
      <c r="K14" s="32">
        <v>309850000</v>
      </c>
      <c r="L14" s="37">
        <v>27099</v>
      </c>
    </row>
    <row r="15" spans="2:20" x14ac:dyDescent="0.25">
      <c r="B15" s="37">
        <f t="shared" si="0"/>
        <v>2012</v>
      </c>
      <c r="C15">
        <f>SUMPRODUCT($C$77:$H$106,Output_1_0_1!$AA$3:$AF$32)*$L15</f>
        <v>-4649313.5433079731</v>
      </c>
      <c r="D15">
        <f>SUMPRODUCT($K$77:$P$106,Output_1_0_0!$AA$3:$AF$32)*$L15</f>
        <v>-63499559.384211957</v>
      </c>
      <c r="E15">
        <f>SUMPRODUCT($S$77:$X$106,Output_1_1_1!$AA$3:$AF$32)*$L15</f>
        <v>-15481164.97702715</v>
      </c>
      <c r="F15" s="32">
        <f>SUMPRODUCT($AA$77:$AF$106,Output_1_1_0!$AA$3:$AF$32)*$L15</f>
        <v>-70339770.092153832</v>
      </c>
      <c r="G15" s="31">
        <v>2012</v>
      </c>
      <c r="H15" s="55">
        <f>K15*(1-PRODUCT('Mortality Table'!C10:G10)*0.865)</f>
        <v>150422387.27333981</v>
      </c>
      <c r="J15" s="37">
        <f t="shared" si="1"/>
        <v>2012</v>
      </c>
      <c r="K15" s="32">
        <v>407500000</v>
      </c>
      <c r="L15" s="37">
        <v>28939</v>
      </c>
    </row>
    <row r="16" spans="2:20" x14ac:dyDescent="0.25">
      <c r="B16" s="37">
        <f t="shared" si="0"/>
        <v>2013</v>
      </c>
      <c r="C16">
        <f>SUMPRODUCT($C$77:$H$106,Output_1_0_1!$AA$3:$AF$32)*$L16</f>
        <v>-4692852.1579883853</v>
      </c>
      <c r="D16">
        <f>SUMPRODUCT($K$77:$P$106,Output_1_0_0!$AA$3:$AF$32)*$L16</f>
        <v>-64094202.619746059</v>
      </c>
      <c r="E16">
        <f>SUMPRODUCT($S$77:$X$106,Output_1_1_1!$AA$3:$AF$32)*$L16</f>
        <v>-15626138.739381563</v>
      </c>
      <c r="F16" s="32">
        <f>SUMPRODUCT($AA$77:$AF$106,Output_1_1_0!$AA$3:$AF$32)*$L16</f>
        <v>-70998468.654473677</v>
      </c>
      <c r="G16" s="31">
        <v>2013</v>
      </c>
      <c r="H16" s="55">
        <f>K16*(1-PRODUCT('Mortality Table'!C11:G11)*0.865)</f>
        <v>155165768.07447457</v>
      </c>
      <c r="J16" s="37">
        <f t="shared" si="1"/>
        <v>2013</v>
      </c>
      <c r="K16" s="32">
        <v>420350000</v>
      </c>
      <c r="L16" s="37">
        <v>29210</v>
      </c>
    </row>
    <row r="17" spans="2:12" x14ac:dyDescent="0.25">
      <c r="B17" s="37">
        <f t="shared" si="0"/>
        <v>2014</v>
      </c>
      <c r="C17">
        <f>SUMPRODUCT($C$77:$H$106,Output_1_0_1!$AA$3:$AF$32)*$L17</f>
        <v>-4642887.1795175057</v>
      </c>
      <c r="D17">
        <f>SUMPRODUCT($K$77:$P$106,Output_1_0_0!$AA$3:$AF$32)*$L17</f>
        <v>-63411789.164944924</v>
      </c>
      <c r="E17">
        <f>SUMPRODUCT($S$77:$X$106,Output_1_1_1!$AA$3:$AF$32)*$L17</f>
        <v>-15459766.635720225</v>
      </c>
      <c r="F17" s="32">
        <f>SUMPRODUCT($AA$77:$AF$106,Output_1_1_0!$AA$3:$AF$32)*$L17</f>
        <v>-70242545.21210663</v>
      </c>
      <c r="G17" s="31">
        <v>2014</v>
      </c>
      <c r="H17" s="55">
        <f>K17*(1-PRODUCT('Mortality Table'!C12:G12)*0.865)</f>
        <v>178328970.04110542</v>
      </c>
      <c r="J17" s="37">
        <f t="shared" si="1"/>
        <v>2014</v>
      </c>
      <c r="K17" s="32">
        <v>483100000</v>
      </c>
      <c r="L17" s="37">
        <v>28899</v>
      </c>
    </row>
    <row r="18" spans="2:12" x14ac:dyDescent="0.25">
      <c r="B18" s="37">
        <f t="shared" si="0"/>
        <v>2015</v>
      </c>
      <c r="C18">
        <f>SUMPRODUCT($C$77:$H$106,Output_1_0_1!$AA$3:$AF$32)*$L18</f>
        <v>-4443830.5611077966</v>
      </c>
      <c r="D18">
        <f>SUMPRODUCT($K$77:$P$106,Output_1_0_0!$AA$3:$AF$32)*$L18</f>
        <v>-60693106.623148784</v>
      </c>
      <c r="E18">
        <f>SUMPRODUCT($S$77:$X$106,Output_1_1_1!$AA$3:$AF$32)*$L18</f>
        <v>-14796953.013738241</v>
      </c>
      <c r="F18" s="32">
        <f>SUMPRODUCT($AA$77:$AF$106,Output_1_1_0!$AA$3:$AF$32)*$L18</f>
        <v>-67231004.552644357</v>
      </c>
      <c r="G18" s="31">
        <v>2015</v>
      </c>
      <c r="H18" s="55">
        <f>K18*(1-PRODUCT('Mortality Table'!C13:G13)*0.865)</f>
        <v>217771011.95559955</v>
      </c>
      <c r="J18" s="37">
        <f t="shared" si="1"/>
        <v>2015</v>
      </c>
      <c r="K18" s="32">
        <v>589950000</v>
      </c>
      <c r="L18" s="37">
        <v>27660</v>
      </c>
    </row>
    <row r="19" spans="2:12" x14ac:dyDescent="0.25">
      <c r="B19" s="37">
        <f t="shared" si="0"/>
        <v>2016</v>
      </c>
      <c r="C19">
        <f>SUMPRODUCT($C$77:$H$106,Output_1_0_1!$AA$3:$AF$32)*$L19</f>
        <v>-4951995.2778389594</v>
      </c>
      <c r="D19">
        <f>SUMPRODUCT($K$77:$P$106,Output_1_0_0!$AA$3:$AF$32)*$L19</f>
        <v>-67633536.711688906</v>
      </c>
      <c r="E19">
        <f>SUMPRODUCT($S$77:$X$106,Output_1_1_1!$AA$3:$AF$32)*$L19</f>
        <v>-16489026.852583289</v>
      </c>
      <c r="F19" s="32">
        <f>SUMPRODUCT($AA$77:$AF$106,Output_1_1_0!$AA$3:$AF$32)*$L19</f>
        <v>-74919061.942377344</v>
      </c>
      <c r="G19" s="31">
        <v>2016</v>
      </c>
      <c r="H19" s="55">
        <f>K19*(1-PRODUCT('Mortality Table'!C14:G14)*0.865)</f>
        <v>247024936.35170305</v>
      </c>
      <c r="J19" s="37">
        <f t="shared" si="1"/>
        <v>2016</v>
      </c>
      <c r="K19" s="32">
        <v>669200000</v>
      </c>
      <c r="L19" s="37">
        <v>30823</v>
      </c>
    </row>
    <row r="20" spans="2:12" x14ac:dyDescent="0.25">
      <c r="B20" s="37">
        <f t="shared" si="0"/>
        <v>2017</v>
      </c>
      <c r="C20">
        <f>SUMPRODUCT($C$77:$H$106,Output_1_0_1!$AA$3:$AF$32)*$L20</f>
        <v>-4550829.5182190686</v>
      </c>
      <c r="D20">
        <f>SUMPRODUCT($K$77:$P$106,Output_1_0_0!$AA$3:$AF$32)*$L20</f>
        <v>-62154480.773944773</v>
      </c>
      <c r="E20">
        <f>SUMPRODUCT($S$77:$X$106,Output_1_1_1!$AA$3:$AF$32)*$L20</f>
        <v>-15153235.396498533</v>
      </c>
      <c r="F20" s="32">
        <f>SUMPRODUCT($AA$77:$AF$106,Output_1_1_0!$AA$3:$AF$32)*$L20</f>
        <v>-68849798.805430382</v>
      </c>
      <c r="G20" s="31">
        <v>2017</v>
      </c>
      <c r="H20" s="55">
        <f>K20*(1-PRODUCT('Mortality Table'!C15:G15)*0.865)</f>
        <v>272975105.24818355</v>
      </c>
      <c r="J20" s="37">
        <f t="shared" si="1"/>
        <v>2017</v>
      </c>
      <c r="K20" s="32">
        <v>739500000</v>
      </c>
      <c r="L20" s="37">
        <v>28326</v>
      </c>
    </row>
    <row r="21" spans="2:12" x14ac:dyDescent="0.25">
      <c r="B21" s="37">
        <f t="shared" si="0"/>
        <v>2018</v>
      </c>
      <c r="C21">
        <f>SUMPRODUCT($C$77:$H$106,Output_1_0_1!$AA$3:$AF$32)*$L21</f>
        <v>-4903154.9130314114</v>
      </c>
      <c r="D21">
        <f>SUMPRODUCT($K$77:$P$106,Output_1_0_0!$AA$3:$AF$32)*$L21</f>
        <v>-66966483.045259498</v>
      </c>
      <c r="E21">
        <f>SUMPRODUCT($S$77:$X$106,Output_1_1_1!$AA$3:$AF$32)*$L21</f>
        <v>-16326399.458650663</v>
      </c>
      <c r="F21" s="32">
        <f>SUMPRODUCT($AA$77:$AF$106,Output_1_1_0!$AA$3:$AF$32)*$L21</f>
        <v>-74180152.854018554</v>
      </c>
      <c r="G21" s="31">
        <v>2018</v>
      </c>
      <c r="H21" s="55">
        <f>K21*(1-PRODUCT('Mortality Table'!C16:G16)*0.865)</f>
        <v>295658432.11431044</v>
      </c>
      <c r="J21" s="37">
        <f t="shared" si="1"/>
        <v>2018</v>
      </c>
      <c r="K21" s="32">
        <v>800950000</v>
      </c>
      <c r="L21" s="37">
        <v>30519</v>
      </c>
    </row>
    <row r="22" spans="2:12" x14ac:dyDescent="0.25">
      <c r="B22" s="37">
        <f t="shared" si="0"/>
        <v>2019</v>
      </c>
      <c r="C22">
        <f>SUMPRODUCT($C$77:$H$106,Output_1_0_1!$AA$3:$AF$32)*$L22</f>
        <v>-5284077.6267113313</v>
      </c>
      <c r="D22">
        <f>SUMPRODUCT($K$77:$P$106,Output_1_0_0!$AA$3:$AF$32)*$L22</f>
        <v>-72169062.792312488</v>
      </c>
      <c r="E22">
        <f>SUMPRODUCT($S$77:$X$106,Output_1_1_1!$AA$3:$AF$32)*$L22</f>
        <v>-17594786.139618609</v>
      </c>
      <c r="F22" s="32">
        <f>SUMPRODUCT($AA$77:$AF$106,Output_1_1_0!$AA$3:$AF$32)*$L22</f>
        <v>-79943157.618816808</v>
      </c>
      <c r="G22" s="31">
        <v>2019</v>
      </c>
      <c r="H22" s="55">
        <f>K22*(1-PRODUCT('Mortality Table'!C17:G17)*0.865)</f>
        <v>313081589.6095292</v>
      </c>
      <c r="J22" s="37">
        <f t="shared" si="1"/>
        <v>2019</v>
      </c>
      <c r="K22" s="32">
        <v>848150000</v>
      </c>
      <c r="L22" s="37">
        <v>32890</v>
      </c>
    </row>
    <row r="23" spans="2:12" x14ac:dyDescent="0.25">
      <c r="B23" s="37">
        <f t="shared" si="0"/>
        <v>2020</v>
      </c>
      <c r="C23">
        <f>SUMPRODUCT($C$77:$H$106,Output_1_0_1!$AA$3:$AF$32)*$L23</f>
        <v>-5627566.7713117823</v>
      </c>
      <c r="D23">
        <f>SUMPRODUCT($K$77:$P$106,Output_1_0_0!$AA$3:$AF$32)*$L23</f>
        <v>-76860381.012135059</v>
      </c>
      <c r="E23">
        <f>SUMPRODUCT($S$77:$X$106,Output_1_1_1!$AA$3:$AF$32)*$L23</f>
        <v>-18738527.48247372</v>
      </c>
      <c r="F23" s="32">
        <f>SUMPRODUCT($AA$77:$AF$106,Output_1_1_0!$AA$3:$AF$32)*$L23</f>
        <v>-85139827.457340077</v>
      </c>
      <c r="G23" s="31">
        <v>2020</v>
      </c>
      <c r="H23" s="55">
        <f>K23*(1-PRODUCT('Mortality Table'!C18:G18)*0.865)</f>
        <v>492591790.66725963</v>
      </c>
      <c r="J23" s="37">
        <f t="shared" si="1"/>
        <v>2020</v>
      </c>
      <c r="K23" s="32">
        <v>1334450000</v>
      </c>
      <c r="L23" s="37">
        <v>35028</v>
      </c>
    </row>
    <row r="24" spans="2:12" x14ac:dyDescent="0.25">
      <c r="B24" s="37">
        <f t="shared" si="0"/>
        <v>2021</v>
      </c>
      <c r="C24">
        <f>SUMPRODUCT($C$77:$H$106,Output_1_0_1!$AA$3:$AF$32)*$L24</f>
        <v>-5362318.605860265</v>
      </c>
      <c r="D24">
        <f>SUMPRODUCT($K$77:$P$106,Output_1_0_0!$AA$3:$AF$32)*$L24</f>
        <v>-73237665.211888537</v>
      </c>
      <c r="E24">
        <f>SUMPRODUCT($S$77:$X$106,Output_1_1_1!$AA$3:$AF$32)*$L24</f>
        <v>-17855310.945030414</v>
      </c>
      <c r="F24" s="32">
        <f>SUMPRODUCT($AA$77:$AF$106,Output_1_1_0!$AA$3:$AF$32)*$L24</f>
        <v>-81126870.533391565</v>
      </c>
      <c r="G24" s="31">
        <v>2021</v>
      </c>
      <c r="H24" s="55">
        <f>K24*(1-PRODUCT('Mortality Table'!C19:G19)*0.865)</f>
        <v>470222228.28992373</v>
      </c>
      <c r="J24" s="37">
        <f t="shared" si="1"/>
        <v>2021</v>
      </c>
      <c r="K24" s="32">
        <v>1273850000</v>
      </c>
      <c r="L24" s="37">
        <v>33377</v>
      </c>
    </row>
    <row r="25" spans="2:12" x14ac:dyDescent="0.25">
      <c r="B25" s="37">
        <f t="shared" si="0"/>
        <v>2022</v>
      </c>
      <c r="C25">
        <f>SUMPRODUCT($C$77:$H$106,Output_1_0_1!$AA$3:$AF$32)*$L25</f>
        <v>-4944283.6412903992</v>
      </c>
      <c r="D25">
        <f>SUMPRODUCT($K$77:$P$106,Output_1_0_0!$AA$3:$AF$32)*$L25</f>
        <v>-67528212.448568463</v>
      </c>
      <c r="E25">
        <f>SUMPRODUCT($S$77:$X$106,Output_1_1_1!$AA$3:$AF$32)*$L25</f>
        <v>-16463348.84301498</v>
      </c>
      <c r="F25" s="32">
        <f>SUMPRODUCT($AA$77:$AF$106,Output_1_1_0!$AA$3:$AF$32)*$L25</f>
        <v>-74802392.086320683</v>
      </c>
      <c r="G25" s="31">
        <v>2022</v>
      </c>
      <c r="H25" s="55">
        <f>K25*(1-PRODUCT('Mortality Table'!C20:G20)*0.865)</f>
        <v>425889151.69721669</v>
      </c>
      <c r="J25" s="37">
        <f t="shared" si="1"/>
        <v>2022</v>
      </c>
      <c r="K25" s="32">
        <v>1153750000</v>
      </c>
      <c r="L25" s="37">
        <v>30775</v>
      </c>
    </row>
    <row r="26" spans="2:12" ht="15.75" thickBot="1" x14ac:dyDescent="0.3">
      <c r="B26" s="37">
        <f t="shared" si="0"/>
        <v>2023</v>
      </c>
      <c r="C26">
        <f>SUMPRODUCT($C$77:$H$106,Output_1_0_1!$AA$3:$AF$32)*$L26</f>
        <v>-5129362.9184558429</v>
      </c>
      <c r="D26">
        <f>SUMPRODUCT($K$77:$P$106,Output_1_0_0!$AA$3:$AF$32)*$L26</f>
        <v>-70055994.763458833</v>
      </c>
      <c r="E26">
        <f>SUMPRODUCT($S$77:$X$106,Output_1_1_1!$AA$3:$AF$32)*$L26</f>
        <v>-17079621.072654404</v>
      </c>
      <c r="F26" s="32">
        <f>SUMPRODUCT($AA$77:$AF$106,Output_1_1_0!$AA$3:$AF$32)*$L26</f>
        <v>-77602468.63168028</v>
      </c>
      <c r="G26" s="33">
        <v>2023</v>
      </c>
      <c r="H26" s="55">
        <f>K26*(1-PRODUCT('Mortality Table'!C21:G21)*0.865)</f>
        <v>445287179.79835534</v>
      </c>
      <c r="J26" s="38">
        <f t="shared" si="1"/>
        <v>2023</v>
      </c>
      <c r="K26" s="35">
        <v>1206300000</v>
      </c>
      <c r="L26" s="38">
        <v>31927</v>
      </c>
    </row>
    <row r="27" spans="2:12" ht="15.75" thickBot="1" x14ac:dyDescent="0.3">
      <c r="B27" s="49"/>
      <c r="C27" s="78" t="s">
        <v>103</v>
      </c>
      <c r="D27" s="80"/>
      <c r="E27" s="80"/>
      <c r="F27" s="79"/>
      <c r="G27" s="39" t="s">
        <v>98</v>
      </c>
      <c r="H27" s="49" t="s">
        <v>100</v>
      </c>
      <c r="J27" s="67" t="s">
        <v>101</v>
      </c>
      <c r="K27" s="49" t="s">
        <v>102</v>
      </c>
    </row>
    <row r="28" spans="2:12" x14ac:dyDescent="0.25">
      <c r="B28" s="36">
        <v>1</v>
      </c>
      <c r="C28" s="42">
        <f>C7/((1+'T20'!$C$6)*(1+$E$49))^$B28</f>
        <v>-2918940.4628417492</v>
      </c>
      <c r="D28" s="43">
        <f>D7/((1+'T20'!$C$6)*(1+$E$49))^$B28</f>
        <v>-39866408.56390205</v>
      </c>
      <c r="E28" s="43">
        <f>E7/((1+'T20'!$C$6)*(1+$E$49))^$B28</f>
        <v>-9719413.0794675425</v>
      </c>
      <c r="F28" s="44">
        <f>F7/((1+'T20'!$C$6)*(1+$E$49))^$B28</f>
        <v>-44160842.059038863</v>
      </c>
      <c r="G28" s="31">
        <f t="shared" ref="G28:G47" si="2">-SUM(C28:F28)</f>
        <v>96665604.165250212</v>
      </c>
      <c r="H28" s="64">
        <f>H7/((1+'T20'!$C$6)*(1+E49))^$B28</f>
        <v>32360815.420061402</v>
      </c>
      <c r="J28" s="36">
        <v>1</v>
      </c>
      <c r="K28" s="36">
        <f>-K7/((1+'T20'!$C$6)*(1+E49))^$B28</f>
        <v>-87666686.606377468</v>
      </c>
    </row>
    <row r="29" spans="2:12" x14ac:dyDescent="0.25">
      <c r="B29" s="37">
        <v>2</v>
      </c>
      <c r="C29" s="31">
        <f>C8/((1+'T20'!$C$6)*(1+$E$49))^$B29</f>
        <v>-2752560.3671659189</v>
      </c>
      <c r="D29">
        <f>D8/((1+'T20'!$C$6)*(1+$E$49))^$B29</f>
        <v>-37594016.59306474</v>
      </c>
      <c r="E29">
        <f>E8/((1+'T20'!$C$6)*(1+$E$49))^$B29</f>
        <v>-9165404.9046997819</v>
      </c>
      <c r="F29" s="32">
        <f>F8/((1+'T20'!$C$6)*(1+$E$49))^$B29</f>
        <v>-41643666.659114838</v>
      </c>
      <c r="G29" s="31">
        <f t="shared" si="2"/>
        <v>91155648.524045274</v>
      </c>
      <c r="H29" s="65">
        <f>H8/((1+'T20'!$C$6)*(1+E49))^$B29</f>
        <v>37765770.214550689</v>
      </c>
      <c r="J29" s="37">
        <v>2</v>
      </c>
      <c r="K29" s="37">
        <f>-K8/((1+'T20'!$C$6)*(1+E49))^$B29</f>
        <v>-102308915.85615049</v>
      </c>
    </row>
    <row r="30" spans="2:12" x14ac:dyDescent="0.25">
      <c r="B30" s="37">
        <v>3</v>
      </c>
      <c r="C30" s="31">
        <f>C9/((1+'T20'!$C$6)*(1+$E$49))^$B30</f>
        <v>-2981212.9143087319</v>
      </c>
      <c r="D30">
        <f>D9/((1+'T20'!$C$6)*(1+$E$49))^$B30</f>
        <v>-40716915.459832907</v>
      </c>
      <c r="E30">
        <f>E9/((1+'T20'!$C$6)*(1+$E$49))^$B30</f>
        <v>-9926766.2910124809</v>
      </c>
      <c r="F30" s="32">
        <f>F9/((1+'T20'!$C$6)*(1+$E$49))^$B30</f>
        <v>-45102966.069059037</v>
      </c>
      <c r="G30" s="31">
        <f t="shared" si="2"/>
        <v>98727860.734213158</v>
      </c>
      <c r="H30" s="65">
        <f>H9/((1+'T20'!$C$6)*(1+E49))^$B30</f>
        <v>45958625.272347674</v>
      </c>
      <c r="J30" s="37">
        <v>3</v>
      </c>
      <c r="K30" s="37">
        <f>-K9/((1+'T20'!$C$6)*(1+E49))^$B30</f>
        <v>-124503673.54195668</v>
      </c>
    </row>
    <row r="31" spans="2:12" x14ac:dyDescent="0.25">
      <c r="B31" s="37">
        <v>4</v>
      </c>
      <c r="C31" s="31">
        <f>C10/((1+'T20'!$C$6)*(1+$E$49))^$B31</f>
        <v>-3024180.7652674783</v>
      </c>
      <c r="D31">
        <f>D10/((1+'T20'!$C$6)*(1+$E$49))^$B31</f>
        <v>-41303763.298369005</v>
      </c>
      <c r="E31">
        <f>E10/((1+'T20'!$C$6)*(1+$E$49))^$B31</f>
        <v>-10069839.538967144</v>
      </c>
      <c r="F31" s="32">
        <f>F10/((1+'T20'!$C$6)*(1+$E$49))^$B31</f>
        <v>-45753029.509530246</v>
      </c>
      <c r="G31" s="31">
        <f t="shared" si="2"/>
        <v>100150813.11213388</v>
      </c>
      <c r="H31" s="65">
        <f>H10/((1+'T20'!$C$6)*(1+E49))^$B31</f>
        <v>51390292.646603607</v>
      </c>
      <c r="J31" s="37">
        <v>4</v>
      </c>
      <c r="K31" s="37">
        <f>-K10/((1+'T20'!$C$6)*(1+E49))^$B31</f>
        <v>-139218268.19193527</v>
      </c>
    </row>
    <row r="32" spans="2:12" x14ac:dyDescent="0.25">
      <c r="B32" s="37">
        <v>5</v>
      </c>
      <c r="C32" s="31">
        <f>C11/((1+'T20'!$C$6)*(1+$E$49))^$B32</f>
        <v>-2684502.7795408494</v>
      </c>
      <c r="D32">
        <f>D11/((1+'T20'!$C$6)*(1+$E$49))^$B32</f>
        <v>-36664497.259363383</v>
      </c>
      <c r="E32">
        <f>E11/((1+'T20'!$C$6)*(1+$E$49))^$B32</f>
        <v>-8938788.4951700978</v>
      </c>
      <c r="F32" s="32">
        <f>F11/((1+'T20'!$C$6)*(1+$E$49))^$B32</f>
        <v>-40614018.944031298</v>
      </c>
      <c r="G32" s="31">
        <f t="shared" si="2"/>
        <v>88901807.478105634</v>
      </c>
      <c r="H32" s="65">
        <f>H11/((1+'T20'!$C$6)*(1+E49))^$B32</f>
        <v>60435450.116526283</v>
      </c>
      <c r="J32" s="37">
        <v>5</v>
      </c>
      <c r="K32" s="37">
        <f>-K11/((1+'T20'!$C$6)*(1+E49))^$B32</f>
        <v>-163721945.70833886</v>
      </c>
    </row>
    <row r="33" spans="2:11" x14ac:dyDescent="0.25">
      <c r="B33" s="37">
        <v>6</v>
      </c>
      <c r="C33" s="31">
        <f>C12/((1+'T20'!$C$6)*(1+$E$49))^$B33</f>
        <v>-2702959.3477145913</v>
      </c>
      <c r="D33">
        <f>D12/((1+'T20'!$C$6)*(1+$E$49))^$B33</f>
        <v>-36916574.030667432</v>
      </c>
      <c r="E33">
        <f>E12/((1+'T20'!$C$6)*(1+$E$49))^$B33</f>
        <v>-9000244.7024458405</v>
      </c>
      <c r="F33" s="32">
        <f>F12/((1+'T20'!$C$6)*(1+$E$49))^$B33</f>
        <v>-40893249.576669484</v>
      </c>
      <c r="G33" s="31">
        <f t="shared" si="2"/>
        <v>89513027.657497346</v>
      </c>
      <c r="H33" s="65">
        <f>H12/((1+'T20'!$C$6)*(1+E49))^$B33</f>
        <v>59077697.037028395</v>
      </c>
      <c r="J33" s="37">
        <v>6</v>
      </c>
      <c r="K33" s="37">
        <f>-K12/((1+'T20'!$C$6)*(1+E49))^$B33</f>
        <v>-160043740.68896237</v>
      </c>
    </row>
    <row r="34" spans="2:11" x14ac:dyDescent="0.25">
      <c r="B34" s="37">
        <v>7</v>
      </c>
      <c r="C34" s="31">
        <f>C13/((1+'T20'!$C$6)*(1+$E$49))^$B34</f>
        <v>-2614607.2492244733</v>
      </c>
      <c r="D34">
        <f>D13/((1+'T20'!$C$6)*(1+$E$49))^$B34</f>
        <v>-35709875.606796175</v>
      </c>
      <c r="E34">
        <f>E13/((1+'T20'!$C$6)*(1+$E$49))^$B34</f>
        <v>-8706052.1512119435</v>
      </c>
      <c r="F34" s="32">
        <f>F13/((1+'T20'!$C$6)*(1+$E$49))^$B34</f>
        <v>-39556564.87320409</v>
      </c>
      <c r="G34" s="31">
        <f t="shared" si="2"/>
        <v>86587099.880436689</v>
      </c>
      <c r="H34" s="65">
        <f>H13/((1+'T20'!$C$6)*(1+E49))^$B34</f>
        <v>69754843.694765538</v>
      </c>
      <c r="J34" s="37">
        <v>7</v>
      </c>
      <c r="K34" s="37">
        <f>-K13/((1+'T20'!$C$6)*(1+E49))^$B34</f>
        <v>-188968539.33028156</v>
      </c>
    </row>
    <row r="35" spans="2:11" x14ac:dyDescent="0.25">
      <c r="B35" s="37">
        <v>8</v>
      </c>
      <c r="C35" s="31">
        <f>C14/((1+'T20'!$C$6)*(1+$E$49))^$B35</f>
        <v>-2523835.8514893437</v>
      </c>
      <c r="D35">
        <f>D14/((1+'T20'!$C$6)*(1+$E$49))^$B35</f>
        <v>-34470134.791904025</v>
      </c>
      <c r="E35">
        <f>E14/((1+'T20'!$C$6)*(1+$E$49))^$B35</f>
        <v>-8403803.879409425</v>
      </c>
      <c r="F35" s="32">
        <f>F14/((1+'T20'!$C$6)*(1+$E$49))^$B35</f>
        <v>-38183278.432494469</v>
      </c>
      <c r="G35" s="31">
        <f t="shared" si="2"/>
        <v>83581052.955297261</v>
      </c>
      <c r="H35" s="65">
        <f>H14/((1+'T20'!$C$6)*(1+E49))^$B35</f>
        <v>66303871.697270319</v>
      </c>
      <c r="J35" s="37">
        <v>8</v>
      </c>
      <c r="K35" s="37">
        <f>-K14/((1+'T20'!$C$6)*(1+E49))^$B35</f>
        <v>-179619724.20727795</v>
      </c>
    </row>
    <row r="36" spans="2:11" x14ac:dyDescent="0.25">
      <c r="B36" s="37">
        <v>9</v>
      </c>
      <c r="C36" s="31">
        <f>C15/((1+'T20'!$C$6)*(1+$E$49))^$B36</f>
        <v>-2517628.6710327417</v>
      </c>
      <c r="D36">
        <f>D15/((1+'T20'!$C$6)*(1+$E$49))^$B36</f>
        <v>-34385358.142546862</v>
      </c>
      <c r="E36">
        <f>E15/((1+'T20'!$C$6)*(1+$E$49))^$B36</f>
        <v>-8383135.3691453347</v>
      </c>
      <c r="F36" s="32">
        <f>F15/((1+'T20'!$C$6)*(1+$E$49))^$B36</f>
        <v>-38089369.591507316</v>
      </c>
      <c r="G36" s="31">
        <f t="shared" si="2"/>
        <v>83375491.774232253</v>
      </c>
      <c r="H36" s="65">
        <f>H15/((1+'T20'!$C$6)*(1+E49))^$B36</f>
        <v>81454544.082028389</v>
      </c>
      <c r="J36" s="37">
        <v>9</v>
      </c>
      <c r="K36" s="37">
        <f>-K15/((1+'T20'!$C$6)*(1+E49))^$B36</f>
        <v>-220663475.13226509</v>
      </c>
    </row>
    <row r="37" spans="2:11" x14ac:dyDescent="0.25">
      <c r="B37" s="37">
        <v>10</v>
      </c>
      <c r="C37" s="31">
        <f>C16/((1+'T20'!$C$6)*(1+$E$49))^$B37</f>
        <v>-2373777.6063235612</v>
      </c>
      <c r="D37">
        <f>D16/((1+'T20'!$C$6)*(1+$E$49))^$B37</f>
        <v>-32420663.969762903</v>
      </c>
      <c r="E37">
        <f>E16/((1+'T20'!$C$6)*(1+$E$49))^$B37</f>
        <v>-7904143.7837984497</v>
      </c>
      <c r="F37" s="32">
        <f>F16/((1+'T20'!$C$6)*(1+$E$49))^$B37</f>
        <v>-35913037.381407328</v>
      </c>
      <c r="G37" s="31">
        <f t="shared" si="2"/>
        <v>78611622.741292238</v>
      </c>
      <c r="H37" s="65">
        <f>H16/((1+'T20'!$C$6)*(1+E49))^$B37</f>
        <v>78487242.538889006</v>
      </c>
      <c r="J37" s="37">
        <v>10</v>
      </c>
      <c r="K37" s="37">
        <f>-K16/((1+'T20'!$C$6)*(1+E49))^$B37</f>
        <v>-212624941.76799902</v>
      </c>
    </row>
    <row r="38" spans="2:11" x14ac:dyDescent="0.25">
      <c r="B38" s="37">
        <v>11</v>
      </c>
      <c r="C38" s="31">
        <f>C17/((1+'T20'!$C$6)*(1+$E$49))^$B38</f>
        <v>-2193772.5708444053</v>
      </c>
      <c r="D38">
        <f>D17/((1+'T20'!$C$6)*(1+$E$49))^$B38</f>
        <v>-29962184.812916607</v>
      </c>
      <c r="E38">
        <f>E17/((1+'T20'!$C$6)*(1+$E$49))^$B38</f>
        <v>-7304767.6339667225</v>
      </c>
      <c r="F38" s="32">
        <f>F17/((1+'T20'!$C$6)*(1+$E$49))^$B38</f>
        <v>-33189729.37193606</v>
      </c>
      <c r="G38" s="31">
        <f t="shared" si="2"/>
        <v>72650454.389663786</v>
      </c>
      <c r="H38" s="65">
        <f>H17/((1+'T20'!$C$6)*(1+E49))^$B38</f>
        <v>84260760.155659467</v>
      </c>
      <c r="J38" s="37">
        <v>11</v>
      </c>
      <c r="K38" s="37">
        <f>-K17/((1+'T20'!$C$6)*(1+E49))^$B38</f>
        <v>-228265621.79894906</v>
      </c>
    </row>
    <row r="39" spans="2:11" x14ac:dyDescent="0.25">
      <c r="B39" s="37">
        <v>12</v>
      </c>
      <c r="C39" s="31">
        <f>C18/((1+'T20'!$C$6)*(1+$E$49))^$B39</f>
        <v>-1961377.9042205422</v>
      </c>
      <c r="D39">
        <f>D18/((1+'T20'!$C$6)*(1+$E$49))^$B39</f>
        <v>-26788176.693998344</v>
      </c>
      <c r="E39">
        <f>E18/((1+'T20'!$C$6)*(1+$E$49))^$B39</f>
        <v>-6530945.8341950793</v>
      </c>
      <c r="F39" s="32">
        <f>F18/((1+'T20'!$C$6)*(1+$E$49))^$B39</f>
        <v>-29673815.190477192</v>
      </c>
      <c r="G39" s="31">
        <f t="shared" si="2"/>
        <v>64954315.622891158</v>
      </c>
      <c r="H39" s="65">
        <f>H18/((1+'T20'!$C$6)*(1+E49))^$B39</f>
        <v>96117807.633732438</v>
      </c>
      <c r="J39" s="37">
        <v>12</v>
      </c>
      <c r="K39" s="37">
        <f>-K18/((1+'T20'!$C$6)*(1+E49))^$B39</f>
        <v>-260386816.88764775</v>
      </c>
    </row>
    <row r="40" spans="2:11" x14ac:dyDescent="0.25">
      <c r="B40" s="37">
        <v>13</v>
      </c>
      <c r="C40" s="31">
        <f>C19/((1+'T20'!$C$6)*(1+$E$49))^$B40</f>
        <v>-2041664.2515279374</v>
      </c>
      <c r="D40">
        <f>D19/((1+'T20'!$C$6)*(1+$E$49))^$B40</f>
        <v>-27884714.415341206</v>
      </c>
      <c r="E40">
        <f>E19/((1+'T20'!$C$6)*(1+$E$49))^$B40</f>
        <v>-6798281.2540352186</v>
      </c>
      <c r="F40" s="32">
        <f>F19/((1+'T20'!$C$6)*(1+$E$49))^$B40</f>
        <v>-30888472.614317648</v>
      </c>
      <c r="G40" s="31">
        <f t="shared" si="2"/>
        <v>67613132.535222009</v>
      </c>
      <c r="H40" s="65">
        <f>H19/((1+'T20'!$C$6)*(1+E49))^$B40</f>
        <v>101846216.21960229</v>
      </c>
      <c r="J40" s="37">
        <v>13</v>
      </c>
      <c r="K40" s="37">
        <f>-K19/((1+'T20'!$C$6)*(1+E49))^$B40</f>
        <v>-275905294.8287015</v>
      </c>
    </row>
    <row r="41" spans="2:11" x14ac:dyDescent="0.25">
      <c r="B41" s="37">
        <v>14</v>
      </c>
      <c r="C41" s="31">
        <f>C20/((1+'T20'!$C$6)*(1+$E$49))^$B41</f>
        <v>-1752649.1424905027</v>
      </c>
      <c r="D41">
        <f>D20/((1+'T20'!$C$6)*(1+$E$49))^$B41</f>
        <v>-23937393.610171448</v>
      </c>
      <c r="E41">
        <f>E20/((1+'T20'!$C$6)*(1+$E$49))^$B41</f>
        <v>-5835926.15748508</v>
      </c>
      <c r="F41" s="32">
        <f>F20/((1+'T20'!$C$6)*(1+$E$49))^$B41</f>
        <v>-26515944.039187886</v>
      </c>
      <c r="G41" s="31">
        <f t="shared" si="2"/>
        <v>58041912.949334919</v>
      </c>
      <c r="H41" s="65">
        <f>H20/((1+'T20'!$C$6)*(1+E49))^$B41</f>
        <v>105130192.68665403</v>
      </c>
      <c r="J41" s="37">
        <v>14</v>
      </c>
      <c r="K41" s="37">
        <f>-K20/((1+'T20'!$C$6)*(1+E49))^$B41</f>
        <v>-284801712.6730203</v>
      </c>
    </row>
    <row r="42" spans="2:11" x14ac:dyDescent="0.25">
      <c r="B42" s="37">
        <v>15</v>
      </c>
      <c r="C42" s="31">
        <f>C21/((1+'T20'!$C$6)*(1+$E$49))^$B42</f>
        <v>-1763925.9471405761</v>
      </c>
      <c r="D42">
        <f>D21/((1+'T20'!$C$6)*(1+$E$49))^$B42</f>
        <v>-24091410.352615539</v>
      </c>
      <c r="E42">
        <f>E21/((1+'T20'!$C$6)*(1+$E$49))^$B42</f>
        <v>-5873475.3723477283</v>
      </c>
      <c r="F42" s="32">
        <f>F21/((1+'T20'!$C$6)*(1+$E$49))^$B42</f>
        <v>-26686551.557711128</v>
      </c>
      <c r="G42" s="31">
        <f t="shared" si="2"/>
        <v>58415363.229814969</v>
      </c>
      <c r="H42" s="65">
        <f>H21/((1+'T20'!$C$6)*(1+E49))^$B42</f>
        <v>106364083.7680365</v>
      </c>
      <c r="J42" s="37">
        <v>15</v>
      </c>
      <c r="K42" s="37">
        <f>-K21/((1+'T20'!$C$6)*(1+E49))^$B42</f>
        <v>-288144370.80242288</v>
      </c>
    </row>
    <row r="43" spans="2:11" x14ac:dyDescent="0.25">
      <c r="B43" s="37">
        <v>16</v>
      </c>
      <c r="C43" s="31">
        <f>C22/((1+'T20'!$C$6)*(1+$E$49))^$B43</f>
        <v>-1775718.9874649551</v>
      </c>
      <c r="D43">
        <f>D22/((1+'T20'!$C$6)*(1+$E$49))^$B43</f>
        <v>-24252477.756958742</v>
      </c>
      <c r="E43">
        <f>E22/((1+'T20'!$C$6)*(1+$E$49))^$B43</f>
        <v>-5912743.5355167249</v>
      </c>
      <c r="F43" s="32">
        <f>F22/((1+'T20'!$C$6)*(1+$E$49))^$B43</f>
        <v>-26864969.239671577</v>
      </c>
      <c r="G43" s="31">
        <f t="shared" si="2"/>
        <v>58805909.519611999</v>
      </c>
      <c r="H43" s="65">
        <f>H22/((1+'T20'!$C$6)*(1+E49))^$B43</f>
        <v>105211346.72303388</v>
      </c>
      <c r="J43" s="37">
        <v>16</v>
      </c>
      <c r="K43" s="37">
        <f>-K22/((1+'T20'!$C$6)*(1+E49))^$B43</f>
        <v>-285021562.06129456</v>
      </c>
    </row>
    <row r="44" spans="2:11" x14ac:dyDescent="0.25">
      <c r="B44" s="37">
        <v>17</v>
      </c>
      <c r="C44" s="31">
        <f>C23/((1+'T20'!$C$6)*(1+$E$49))^$B44</f>
        <v>-1766550.3562843185</v>
      </c>
      <c r="D44">
        <f>D23/((1+'T20'!$C$6)*(1+$E$49))^$B44</f>
        <v>-24127254.100884877</v>
      </c>
      <c r="E44">
        <f>E23/((1+'T20'!$C$6)*(1+$E$49))^$B44</f>
        <v>-5882214.0625958778</v>
      </c>
      <c r="F44" s="32">
        <f>F23/((1+'T20'!$C$6)*(1+$E$49))^$B44</f>
        <v>-26726256.416090552</v>
      </c>
      <c r="G44" s="31">
        <f t="shared" si="2"/>
        <v>58502274.935855627</v>
      </c>
      <c r="H44" s="65">
        <f>H23/((1+'T20'!$C$6)*(1+E49))^$B44</f>
        <v>154629565.25758603</v>
      </c>
      <c r="J44" s="37">
        <v>17</v>
      </c>
      <c r="K44" s="37">
        <f>-K23/((1+'T20'!$C$6)*(1+E49))^$B44</f>
        <v>-418897406.06207091</v>
      </c>
    </row>
    <row r="45" spans="2:11" x14ac:dyDescent="0.25">
      <c r="B45" s="37">
        <v>18</v>
      </c>
      <c r="C45" s="31">
        <f>C24/((1+'T20'!$C$6)*(1+$E$49))^$B45</f>
        <v>-1572382.8379397381</v>
      </c>
      <c r="D45">
        <f>D24/((1+'T20'!$C$6)*(1+$E$49))^$B45</f>
        <v>-21475346.083333898</v>
      </c>
      <c r="E45">
        <f>E24/((1+'T20'!$C$6)*(1+$E$49))^$B45</f>
        <v>-5235680.0406005187</v>
      </c>
      <c r="F45" s="32">
        <f>F24/((1+'T20'!$C$6)*(1+$E$49))^$B45</f>
        <v>-23788683.272764873</v>
      </c>
      <c r="G45" s="31">
        <f t="shared" si="2"/>
        <v>52072092.234639034</v>
      </c>
      <c r="H45" s="65">
        <f>H24/((1+'T20'!$C$6)*(1+E49))^$B45</f>
        <v>137882400.52965713</v>
      </c>
      <c r="J45" s="37">
        <v>18</v>
      </c>
      <c r="K45" s="37">
        <f>-K24/((1+'T20'!$C$6)*(1+E49))^$B45</f>
        <v>-373528696.32187808</v>
      </c>
    </row>
    <row r="46" spans="2:11" x14ac:dyDescent="0.25">
      <c r="B46" s="37">
        <v>19</v>
      </c>
      <c r="C46" s="31">
        <f>C25/((1+'T20'!$C$6)*(1+$E$49))^$B46</f>
        <v>-1354282.8333285435</v>
      </c>
      <c r="D46">
        <f>D25/((1+'T20'!$C$6)*(1+$E$49))^$B46</f>
        <v>-18496572.106164839</v>
      </c>
      <c r="E46">
        <f>E25/((1+'T20'!$C$6)*(1+$E$49))^$B46</f>
        <v>-4509456.2397264745</v>
      </c>
      <c r="F46" s="32">
        <f>F25/((1+'T20'!$C$6)*(1+$E$49))^$B46</f>
        <v>-20489033.972164258</v>
      </c>
      <c r="G46" s="31">
        <f t="shared" si="2"/>
        <v>44849345.151384115</v>
      </c>
      <c r="H46" s="65">
        <f>H25/((1+'T20'!$C$6)*(1+E49))^$B46</f>
        <v>116654789.42746603</v>
      </c>
      <c r="J46" s="37">
        <v>19</v>
      </c>
      <c r="K46" s="37">
        <f>-K25/((1+'T20'!$C$6)*(1+E49))^$B46</f>
        <v>-316022285.99996179</v>
      </c>
    </row>
    <row r="47" spans="2:11" ht="15.75" thickBot="1" x14ac:dyDescent="0.3">
      <c r="B47" s="38">
        <v>20</v>
      </c>
      <c r="C47" s="33">
        <f>C26/((1+'T20'!$C$6)*(1+$E$49))^$B47</f>
        <v>-1312410.6310816936</v>
      </c>
      <c r="D47" s="34">
        <f>D26/((1+'T20'!$C$6)*(1+$E$49))^$B47</f>
        <v>-17924688.457459621</v>
      </c>
      <c r="E47" s="34">
        <f>E26/((1+'T20'!$C$6)*(1+$E$49))^$B47</f>
        <v>-4370031.2547482159</v>
      </c>
      <c r="F47" s="35">
        <f>F26/((1+'T20'!$C$6)*(1+$E$49))^$B47</f>
        <v>-19855546.673047837</v>
      </c>
      <c r="G47" s="33">
        <f t="shared" si="2"/>
        <v>43462677.016337365</v>
      </c>
      <c r="H47" s="66">
        <f>H26/((1+'T20'!$C$6)*(1+E49))^$B47</f>
        <v>113932205.21578464</v>
      </c>
      <c r="J47" s="38">
        <v>20</v>
      </c>
      <c r="K47" s="38">
        <f>-K26/((1+'T20'!$C$6)*(1+E49))^$B47</f>
        <v>-308646701.24578476</v>
      </c>
    </row>
    <row r="49" spans="4:26" x14ac:dyDescent="0.25">
      <c r="D49" t="s">
        <v>80</v>
      </c>
      <c r="E49" s="28">
        <v>3.9351530000000003E-2</v>
      </c>
    </row>
    <row r="52" spans="4:26" x14ac:dyDescent="0.25">
      <c r="D52" s="12" t="s">
        <v>95</v>
      </c>
      <c r="E52" s="12" t="s">
        <v>96</v>
      </c>
      <c r="J52" t="s">
        <v>94</v>
      </c>
    </row>
    <row r="53" spans="4:26" x14ac:dyDescent="0.25">
      <c r="D53" s="68">
        <f>SUM(C28:F47)</f>
        <v>-1476637506.6072593</v>
      </c>
      <c r="E53" s="68">
        <f>SUM(H28:H47)</f>
        <v>1705018520.3372836</v>
      </c>
      <c r="H53" s="6"/>
      <c r="J53" s="48">
        <f>SUM(K28:K47)</f>
        <v>-4618960379.7132759</v>
      </c>
    </row>
    <row r="56" spans="4:26" x14ac:dyDescent="0.25">
      <c r="E56" s="12" t="s">
        <v>117</v>
      </c>
      <c r="Z56" s="48"/>
    </row>
    <row r="57" spans="4:26" x14ac:dyDescent="0.25">
      <c r="E57" s="48">
        <f>E53+D53</f>
        <v>228381013.73002434</v>
      </c>
    </row>
    <row r="73" spans="2:32" x14ac:dyDescent="0.25">
      <c r="B73" s="12" t="s">
        <v>107</v>
      </c>
    </row>
    <row r="76" spans="2:32" x14ac:dyDescent="0.25">
      <c r="B76" s="3" t="s">
        <v>67</v>
      </c>
      <c r="C76">
        <v>50000</v>
      </c>
      <c r="D76">
        <v>100000</v>
      </c>
      <c r="E76">
        <v>250000</v>
      </c>
      <c r="F76">
        <v>500000</v>
      </c>
      <c r="G76">
        <v>1000000</v>
      </c>
      <c r="H76">
        <v>2000000</v>
      </c>
      <c r="J76" t="s">
        <v>68</v>
      </c>
      <c r="K76">
        <v>50000</v>
      </c>
      <c r="L76">
        <v>100000</v>
      </c>
      <c r="M76">
        <v>250000</v>
      </c>
      <c r="N76">
        <v>500000</v>
      </c>
      <c r="O76">
        <v>1000000</v>
      </c>
      <c r="P76">
        <v>2000000</v>
      </c>
      <c r="R76" t="s">
        <v>69</v>
      </c>
      <c r="S76">
        <v>50000</v>
      </c>
      <c r="T76">
        <v>100000</v>
      </c>
      <c r="U76">
        <v>250000</v>
      </c>
      <c r="V76">
        <v>500000</v>
      </c>
      <c r="W76">
        <v>1000000</v>
      </c>
      <c r="X76">
        <v>2000000</v>
      </c>
      <c r="Z76" t="s">
        <v>70</v>
      </c>
      <c r="AA76">
        <v>50000</v>
      </c>
      <c r="AB76">
        <v>100000</v>
      </c>
      <c r="AC76">
        <v>250000</v>
      </c>
      <c r="AD76">
        <v>500000</v>
      </c>
      <c r="AE76">
        <v>1000000</v>
      </c>
      <c r="AF76">
        <v>2000000</v>
      </c>
    </row>
    <row r="77" spans="2:32" x14ac:dyDescent="0.25">
      <c r="B77" cm="1">
        <f t="array" ref="B77:B106">_xlfn.SEQUENCE(30,1, 26)</f>
        <v>26</v>
      </c>
      <c r="C77">
        <f>_xlfn.IFNA(_xlfn.XLOOKUP($B77&amp;"_"&amp;C$76,'T20_Demographic Split'!$C$4:$C$183,'T20_Demographic Split'!$D$4:$D$183),0)</f>
        <v>1.5247787896740061E-4</v>
      </c>
      <c r="D77">
        <f>_xlfn.IFNA(_xlfn.XLOOKUP($B77&amp;"_"&amp;D$76,'T20_Demographic Split'!$C$4:$C$183,'T20_Demographic Split'!$D$4:$D$183),0)</f>
        <v>1.4680620178701429E-4</v>
      </c>
      <c r="E77">
        <f>_xlfn.IFNA(_xlfn.XLOOKUP($B77&amp;"_"&amp;E$76,'T20_Demographic Split'!$C$4:$C$183,'T20_Demographic Split'!$D$4:$D$183),0)</f>
        <v>5.1748866908638447E-4</v>
      </c>
      <c r="F77">
        <f>_xlfn.IFNA(_xlfn.XLOOKUP($B77&amp;"_"&amp;F$76,'T20_Demographic Split'!$C$4:$C$183,'T20_Demographic Split'!$D$4:$D$183),0)</f>
        <v>4.7160414055479641E-4</v>
      </c>
      <c r="G77">
        <f>_xlfn.IFNA(_xlfn.XLOOKUP($B77&amp;"_"&amp;G$76,'T20_Demographic Split'!$C$4:$C$183,'T20_Demographic Split'!$D$4:$D$183),0)</f>
        <v>1.6294398141646061E-4</v>
      </c>
      <c r="H77">
        <f>_xlfn.IFNA(_xlfn.XLOOKUP($B77&amp;"_"&amp;H$76,'T20_Demographic Split'!$C$4:$C$183,'T20_Demographic Split'!$D$4:$D$183),0)</f>
        <v>3.7721184183818262E-5</v>
      </c>
      <c r="J77" cm="1">
        <f t="array" ref="J77:J106">_xlfn.SEQUENCE(30,1, 26)</f>
        <v>26</v>
      </c>
      <c r="K77">
        <f>_xlfn.XLOOKUP($B77&amp;"_"&amp;C$76,'T20_Demographic Split'!$G$4:$G$183,'T20_Demographic Split'!$H$4:$H$183)</f>
        <v>1.1042119237283561E-3</v>
      </c>
      <c r="L77">
        <f>_xlfn.XLOOKUP($B77&amp;"_"&amp;D$76,'T20_Demographic Split'!$G$4:$G$183,'T20_Demographic Split'!$H$4:$H$183)</f>
        <v>1.135186717594181E-3</v>
      </c>
      <c r="M77">
        <f>_xlfn.XLOOKUP($B77&amp;"_"&amp;E$76,'T20_Demographic Split'!$G$4:$G$183,'T20_Demographic Split'!$H$4:$H$183)</f>
        <v>4.5283536903925397E-3</v>
      </c>
      <c r="N77">
        <f>_xlfn.XLOOKUP($B77&amp;"_"&amp;F$76,'T20_Demographic Split'!$G$4:$G$183,'T20_Demographic Split'!$H$4:$H$183)</f>
        <v>4.4666628489445073E-3</v>
      </c>
      <c r="O77">
        <f>_xlfn.XLOOKUP($B77&amp;"_"&amp;G$76,'T20_Demographic Split'!$G$4:$G$183,'T20_Demographic Split'!$H$4:$H$183)</f>
        <v>2.0720539427372671E-3</v>
      </c>
      <c r="P77">
        <f>_xlfn.XLOOKUP($B77&amp;"_"&amp;H$76,'T20_Demographic Split'!$G$4:$G$183,'T20_Demographic Split'!$H$4:$H$183)</f>
        <v>3.4016724312487629E-4</v>
      </c>
      <c r="R77" cm="1">
        <f t="array" ref="R77:R106">_xlfn.SEQUENCE(30,1, 26)</f>
        <v>26</v>
      </c>
      <c r="S77">
        <f>_xlfn.XLOOKUP($B77&amp;"_"&amp;C$76,'T20_Demographic Split'!$K$4:$K$183,'T20_Demographic Split'!$L$4:$L$183)</f>
        <v>4.9760713178252614E-4</v>
      </c>
      <c r="T77">
        <f>_xlfn.XLOOKUP($B77&amp;"_"&amp;D$76,'T20_Demographic Split'!$K$4:$K$183,'T20_Demographic Split'!$L$4:$L$183)</f>
        <v>4.9885864105427198E-4</v>
      </c>
      <c r="U77">
        <f>_xlfn.XLOOKUP($B77&amp;"_"&amp;E$76,'T20_Demographic Split'!$K$4:$K$183,'T20_Demographic Split'!$L$4:$L$183)</f>
        <v>1.0322249491585679E-3</v>
      </c>
      <c r="V77">
        <f>_xlfn.XLOOKUP($B77&amp;"_"&amp;F$76,'T20_Demographic Split'!$K$4:$K$183,'T20_Demographic Split'!$L$4:$L$183)</f>
        <v>9.0570079337222366E-4</v>
      </c>
      <c r="W77">
        <f>_xlfn.XLOOKUP($B77&amp;"_"&amp;G$76,'T20_Demographic Split'!$K$4:$K$183,'T20_Demographic Split'!$L$4:$L$183)</f>
        <v>4.5861865811675401E-4</v>
      </c>
      <c r="X77">
        <f>_xlfn.XLOOKUP($B77&amp;"_"&amp;H$76,'T20_Demographic Split'!$K$4:$K$183,'T20_Demographic Split'!$L$4:$L$183)</f>
        <v>2.2412995290419541E-4</v>
      </c>
      <c r="Z77" cm="1">
        <f t="array" ref="Z77:Z106">_xlfn.SEQUENCE(30,1, 26)</f>
        <v>26</v>
      </c>
      <c r="AA77">
        <f>_xlfn.XLOOKUP($B77&amp;"_"&amp;K$76,'T20_Demographic Split'!$O$4:$O$183,'T20_Demographic Split'!$P$4:$P$183)</f>
        <v>1.7442404035334859E-3</v>
      </c>
      <c r="AB77">
        <f>_xlfn.XLOOKUP($B77&amp;"_"&amp;L$76,'T20_Demographic Split'!$O$4:$O$183,'T20_Demographic Split'!$P$4:$P$183)</f>
        <v>1.7071625924474879E-3</v>
      </c>
      <c r="AC77">
        <f>_xlfn.XLOOKUP($B77&amp;"_"&amp;M$76,'T20_Demographic Split'!$O$4:$O$183,'T20_Demographic Split'!$P$4:$P$183)</f>
        <v>3.6918338912078079E-3</v>
      </c>
      <c r="AD77">
        <f>_xlfn.XLOOKUP($B77&amp;"_"&amp;N$76,'T20_Demographic Split'!$O$4:$O$183,'T20_Demographic Split'!$P$4:$P$183)</f>
        <v>3.6287803083027421E-3</v>
      </c>
      <c r="AE77">
        <f>_xlfn.XLOOKUP($B77&amp;"_"&amp;O$76,'T20_Demographic Split'!$O$4:$O$183,'T20_Demographic Split'!$P$4:$P$183)</f>
        <v>2.3604130649357161E-3</v>
      </c>
      <c r="AF77">
        <f>_xlfn.XLOOKUP($B77&amp;"_"&amp;P$76,'T20_Demographic Split'!$O$4:$O$183,'T20_Demographic Split'!$P$4:$P$183)</f>
        <v>1.564578975168608E-3</v>
      </c>
    </row>
    <row r="78" spans="2:32" x14ac:dyDescent="0.25">
      <c r="B78">
        <v>27</v>
      </c>
      <c r="C78">
        <f>_xlfn.IFNA(_xlfn.XLOOKUP($B78&amp;"_"&amp;C$76,'T20_Demographic Split'!$C$4:$C$183,'T20_Demographic Split'!$D$4:$D$183),0)</f>
        <v>1.711987986525979E-4</v>
      </c>
      <c r="D78">
        <f>_xlfn.IFNA(_xlfn.XLOOKUP($B78&amp;"_"&amp;D$76,'T20_Demographic Split'!$C$4:$C$183,'T20_Demographic Split'!$D$4:$D$183),0)</f>
        <v>1.2890966450897169E-4</v>
      </c>
      <c r="E78">
        <f>_xlfn.IFNA(_xlfn.XLOOKUP($B78&amp;"_"&amp;E$76,'T20_Demographic Split'!$C$4:$C$183,'T20_Demographic Split'!$D$4:$D$183),0)</f>
        <v>5.1319835923522097E-4</v>
      </c>
      <c r="F78">
        <f>_xlfn.IFNA(_xlfn.XLOOKUP($B78&amp;"_"&amp;F$76,'T20_Demographic Split'!$C$4:$C$183,'T20_Demographic Split'!$D$4:$D$183),0)</f>
        <v>4.4582825748647789E-4</v>
      </c>
      <c r="G78">
        <f>_xlfn.IFNA(_xlfn.XLOOKUP($B78&amp;"_"&amp;G$76,'T20_Demographic Split'!$C$4:$C$183,'T20_Demographic Split'!$D$4:$D$183),0)</f>
        <v>1.5895424787671351E-4</v>
      </c>
      <c r="H78">
        <f>_xlfn.IFNA(_xlfn.XLOOKUP($B78&amp;"_"&amp;H$76,'T20_Demographic Split'!$C$4:$C$183,'T20_Demographic Split'!$D$4:$D$183),0)</f>
        <v>4.9953159759746577E-5</v>
      </c>
      <c r="J78">
        <v>27</v>
      </c>
      <c r="K78">
        <f>_xlfn.XLOOKUP($B78&amp;"_"&amp;C$76,'T20_Demographic Split'!$G$4:$G$183,'T20_Demographic Split'!$H$4:$H$183)</f>
        <v>1.2869048717210319E-3</v>
      </c>
      <c r="L78">
        <f>_xlfn.XLOOKUP($B78&amp;"_"&amp;D$76,'T20_Demographic Split'!$G$4:$G$183,'T20_Demographic Split'!$H$4:$H$183)</f>
        <v>1.202484771519032E-3</v>
      </c>
      <c r="M78">
        <f>_xlfn.XLOOKUP($B78&amp;"_"&amp;E$76,'T20_Demographic Split'!$G$4:$G$183,'T20_Demographic Split'!$H$4:$H$183)</f>
        <v>3.9587710483552337E-3</v>
      </c>
      <c r="N78">
        <f>_xlfn.XLOOKUP($B78&amp;"_"&amp;F$76,'T20_Demographic Split'!$G$4:$G$183,'T20_Demographic Split'!$H$4:$H$183)</f>
        <v>4.1602095983915531E-3</v>
      </c>
      <c r="O78">
        <f>_xlfn.XLOOKUP($B78&amp;"_"&amp;G$76,'T20_Demographic Split'!$G$4:$G$183,'T20_Demographic Split'!$H$4:$H$183)</f>
        <v>2.0061243812164631E-3</v>
      </c>
      <c r="P78">
        <f>_xlfn.XLOOKUP($B78&amp;"_"&amp;H$76,'T20_Demographic Split'!$G$4:$G$183,'T20_Demographic Split'!$H$4:$H$183)</f>
        <v>6.2751750015452106E-4</v>
      </c>
      <c r="R78">
        <v>27</v>
      </c>
      <c r="S78">
        <f>_xlfn.XLOOKUP($B78&amp;"_"&amp;C$76,'T20_Demographic Split'!$K$4:$K$183,'T20_Demographic Split'!$L$4:$L$183)</f>
        <v>5.0305835069703155E-4</v>
      </c>
      <c r="T78">
        <f>_xlfn.XLOOKUP($B78&amp;"_"&amp;D$76,'T20_Demographic Split'!$K$4:$K$183,'T20_Demographic Split'!$L$4:$L$183)</f>
        <v>5.1161692579919404E-4</v>
      </c>
      <c r="U78">
        <f>_xlfn.XLOOKUP($B78&amp;"_"&amp;E$76,'T20_Demographic Split'!$K$4:$K$183,'T20_Demographic Split'!$L$4:$L$183)</f>
        <v>9.5099436835070176E-4</v>
      </c>
      <c r="V78">
        <f>_xlfn.XLOOKUP($B78&amp;"_"&amp;F$76,'T20_Demographic Split'!$K$4:$K$183,'T20_Demographic Split'!$L$4:$L$183)</f>
        <v>8.5636934515549929E-4</v>
      </c>
      <c r="W78">
        <f>_xlfn.XLOOKUP($B78&amp;"_"&amp;G$76,'T20_Demographic Split'!$K$4:$K$183,'T20_Demographic Split'!$L$4:$L$183)</f>
        <v>4.934987045215729E-4</v>
      </c>
      <c r="X78">
        <f>_xlfn.XLOOKUP($B78&amp;"_"&amp;H$76,'T20_Demographic Split'!$K$4:$K$183,'T20_Demographic Split'!$L$4:$L$183)</f>
        <v>2.052613836151436E-4</v>
      </c>
      <c r="Z78">
        <v>27</v>
      </c>
      <c r="AA78">
        <f>_xlfn.XLOOKUP($B78&amp;"_"&amp;K$76,'T20_Demographic Split'!$O$4:$O$183,'T20_Demographic Split'!$P$4:$P$183)</f>
        <v>1.929566046977598E-3</v>
      </c>
      <c r="AB78">
        <f>_xlfn.XLOOKUP($B78&amp;"_"&amp;L$76,'T20_Demographic Split'!$O$4:$O$183,'T20_Demographic Split'!$P$4:$P$183)</f>
        <v>1.826354458144198E-3</v>
      </c>
      <c r="AC78">
        <f>_xlfn.XLOOKUP($B78&amp;"_"&amp;M$76,'T20_Demographic Split'!$O$4:$O$183,'T20_Demographic Split'!$P$4:$P$183)</f>
        <v>3.540983727226566E-3</v>
      </c>
      <c r="AD78">
        <f>_xlfn.XLOOKUP($B78&amp;"_"&amp;N$76,'T20_Demographic Split'!$O$4:$O$183,'T20_Demographic Split'!$P$4:$P$183)</f>
        <v>3.5813166131568618E-3</v>
      </c>
      <c r="AE78">
        <f>_xlfn.XLOOKUP($B78&amp;"_"&amp;O$76,'T20_Demographic Split'!$O$4:$O$183,'T20_Demographic Split'!$P$4:$P$183)</f>
        <v>2.3823485454485581E-3</v>
      </c>
      <c r="AF78">
        <f>_xlfn.XLOOKUP($B78&amp;"_"&amp;P$76,'T20_Demographic Split'!$O$4:$O$183,'T20_Demographic Split'!$P$4:$P$183)</f>
        <v>1.56883324835618E-3</v>
      </c>
    </row>
    <row r="79" spans="2:32" x14ac:dyDescent="0.25">
      <c r="B79">
        <v>28</v>
      </c>
      <c r="C79">
        <f>_xlfn.IFNA(_xlfn.XLOOKUP($B79&amp;"_"&amp;C$76,'T20_Demographic Split'!$C$4:$C$183,'T20_Demographic Split'!$D$4:$D$183),0)</f>
        <v>1.910272183145635E-4</v>
      </c>
      <c r="D79">
        <f>_xlfn.IFNA(_xlfn.XLOOKUP($B79&amp;"_"&amp;D$76,'T20_Demographic Split'!$C$4:$C$183,'T20_Demographic Split'!$D$4:$D$183),0)</f>
        <v>1.8080045276046861E-4</v>
      </c>
      <c r="E79">
        <f>_xlfn.IFNA(_xlfn.XLOOKUP($B79&amp;"_"&amp;E$76,'T20_Demographic Split'!$C$4:$C$183,'T20_Demographic Split'!$D$4:$D$183),0)</f>
        <v>4.5658169724522668E-4</v>
      </c>
      <c r="F79">
        <f>_xlfn.IFNA(_xlfn.XLOOKUP($B79&amp;"_"&amp;F$76,'T20_Demographic Split'!$C$4:$C$183,'T20_Demographic Split'!$D$4:$D$183),0)</f>
        <v>3.8161649528611669E-4</v>
      </c>
      <c r="G79">
        <f>_xlfn.IFNA(_xlfn.XLOOKUP($B79&amp;"_"&amp;G$76,'T20_Demographic Split'!$C$4:$C$183,'T20_Demographic Split'!$D$4:$D$183),0)</f>
        <v>1.5221034478673251E-4</v>
      </c>
      <c r="H79">
        <f>_xlfn.IFNA(_xlfn.XLOOKUP($B79&amp;"_"&amp;H$76,'T20_Demographic Split'!$C$4:$C$183,'T20_Demographic Split'!$D$4:$D$183),0)</f>
        <v>5.7962297430478987E-5</v>
      </c>
      <c r="J79">
        <v>28</v>
      </c>
      <c r="K79">
        <f>_xlfn.XLOOKUP($B79&amp;"_"&amp;C$76,'T20_Demographic Split'!$G$4:$G$183,'T20_Demographic Split'!$H$4:$H$183)</f>
        <v>1.4258242434950759E-3</v>
      </c>
      <c r="L79">
        <f>_xlfn.XLOOKUP($B79&amp;"_"&amp;D$76,'T20_Demographic Split'!$G$4:$G$183,'T20_Demographic Split'!$H$4:$H$183)</f>
        <v>1.3121234179964329E-3</v>
      </c>
      <c r="M79">
        <f>_xlfn.XLOOKUP($B79&amp;"_"&amp;E$76,'T20_Demographic Split'!$G$4:$G$183,'T20_Demographic Split'!$H$4:$H$183)</f>
        <v>3.910523089987579E-3</v>
      </c>
      <c r="N79">
        <f>_xlfn.XLOOKUP($B79&amp;"_"&amp;F$76,'T20_Demographic Split'!$G$4:$G$183,'T20_Demographic Split'!$H$4:$H$183)</f>
        <v>4.0191225324698304E-3</v>
      </c>
      <c r="O79">
        <f>_xlfn.XLOOKUP($B79&amp;"_"&amp;G$76,'T20_Demographic Split'!$G$4:$G$183,'T20_Demographic Split'!$H$4:$H$183)</f>
        <v>2.151390441798615E-3</v>
      </c>
      <c r="P79">
        <f>_xlfn.XLOOKUP($B79&amp;"_"&amp;H$76,'T20_Demographic Split'!$G$4:$G$183,'T20_Demographic Split'!$H$4:$H$183)</f>
        <v>8.9525742030446343E-4</v>
      </c>
      <c r="R79">
        <v>28</v>
      </c>
      <c r="S79">
        <f>_xlfn.XLOOKUP($B79&amp;"_"&amp;C$76,'T20_Demographic Split'!$K$4:$K$183,'T20_Demographic Split'!$L$4:$L$183)</f>
        <v>4.9548085169155069E-4</v>
      </c>
      <c r="T79">
        <f>_xlfn.XLOOKUP($B79&amp;"_"&amp;D$76,'T20_Demographic Split'!$K$4:$K$183,'T20_Demographic Split'!$L$4:$L$183)</f>
        <v>4.647019450391204E-4</v>
      </c>
      <c r="U79">
        <f>_xlfn.XLOOKUP($B79&amp;"_"&amp;E$76,'T20_Demographic Split'!$K$4:$K$183,'T20_Demographic Split'!$L$4:$L$183)</f>
        <v>8.1812943011744222E-4</v>
      </c>
      <c r="V79">
        <f>_xlfn.XLOOKUP($B79&amp;"_"&amp;F$76,'T20_Demographic Split'!$K$4:$K$183,'T20_Demographic Split'!$L$4:$L$183)</f>
        <v>7.6959779904452988E-4</v>
      </c>
      <c r="W79">
        <f>_xlfn.XLOOKUP($B79&amp;"_"&amp;G$76,'T20_Demographic Split'!$K$4:$K$183,'T20_Demographic Split'!$L$4:$L$183)</f>
        <v>4.8162189424649061E-4</v>
      </c>
      <c r="X79">
        <f>_xlfn.XLOOKUP($B79&amp;"_"&amp;H$76,'T20_Demographic Split'!$K$4:$K$183,'T20_Demographic Split'!$L$4:$L$183)</f>
        <v>2.1555076656224479E-4</v>
      </c>
      <c r="Z79">
        <v>28</v>
      </c>
      <c r="AA79">
        <f>_xlfn.XLOOKUP($B79&amp;"_"&amp;K$76,'T20_Demographic Split'!$O$4:$O$183,'T20_Demographic Split'!$P$4:$P$183)</f>
        <v>2.020853542707258E-3</v>
      </c>
      <c r="AB79">
        <f>_xlfn.XLOOKUP($B79&amp;"_"&amp;L$76,'T20_Demographic Split'!$O$4:$O$183,'T20_Demographic Split'!$P$4:$P$183)</f>
        <v>1.77496611196301E-3</v>
      </c>
      <c r="AC79">
        <f>_xlfn.XLOOKUP($B79&amp;"_"&amp;M$76,'T20_Demographic Split'!$O$4:$O$183,'T20_Demographic Split'!$P$4:$P$183)</f>
        <v>3.382735603106219E-3</v>
      </c>
      <c r="AD79">
        <f>_xlfn.XLOOKUP($B79&amp;"_"&amp;N$76,'T20_Demographic Split'!$O$4:$O$183,'T20_Demographic Split'!$P$4:$P$183)</f>
        <v>3.5331962504843309E-3</v>
      </c>
      <c r="AE79">
        <f>_xlfn.XLOOKUP($B79&amp;"_"&amp;O$76,'T20_Demographic Split'!$O$4:$O$183,'T20_Demographic Split'!$P$4:$P$183)</f>
        <v>2.4760515473422778E-3</v>
      </c>
      <c r="AF79">
        <f>_xlfn.XLOOKUP($B79&amp;"_"&amp;P$76,'T20_Demographic Split'!$O$4:$O$183,'T20_Demographic Split'!$P$4:$P$183)</f>
        <v>1.6855238116505441E-3</v>
      </c>
    </row>
    <row r="80" spans="2:32" x14ac:dyDescent="0.25">
      <c r="B80">
        <v>29</v>
      </c>
      <c r="C80">
        <f>_xlfn.IFNA(_xlfn.XLOOKUP($B80&amp;"_"&amp;C$76,'T20_Demographic Split'!$C$4:$C$183,'T20_Demographic Split'!$D$4:$D$183),0)</f>
        <v>1.4276188498569129E-4</v>
      </c>
      <c r="D80">
        <f>_xlfn.IFNA(_xlfn.XLOOKUP($B80&amp;"_"&amp;D$76,'T20_Demographic Split'!$C$4:$C$183,'T20_Demographic Split'!$D$4:$D$183),0)</f>
        <v>1.614582558122529E-4</v>
      </c>
      <c r="E80">
        <f>_xlfn.IFNA(_xlfn.XLOOKUP($B80&amp;"_"&amp;E$76,'T20_Demographic Split'!$C$4:$C$183,'T20_Demographic Split'!$D$4:$D$183),0)</f>
        <v>3.8068358275026638E-4</v>
      </c>
      <c r="F80">
        <f>_xlfn.IFNA(_xlfn.XLOOKUP($B80&amp;"_"&amp;F$76,'T20_Demographic Split'!$C$4:$C$183,'T20_Demographic Split'!$D$4:$D$183),0)</f>
        <v>3.3078921902606151E-4</v>
      </c>
      <c r="G80">
        <f>_xlfn.IFNA(_xlfn.XLOOKUP($B80&amp;"_"&amp;G$76,'T20_Demographic Split'!$C$4:$C$183,'T20_Demographic Split'!$D$4:$D$183),0)</f>
        <v>1.184003276648172E-4</v>
      </c>
      <c r="H80">
        <f>_xlfn.IFNA(_xlfn.XLOOKUP($B80&amp;"_"&amp;H$76,'T20_Demographic Split'!$C$4:$C$183,'T20_Demographic Split'!$D$4:$D$183),0)</f>
        <v>4.946297682417215E-5</v>
      </c>
      <c r="J80">
        <v>29</v>
      </c>
      <c r="K80">
        <f>_xlfn.XLOOKUP($B80&amp;"_"&amp;C$76,'T20_Demographic Split'!$G$4:$G$183,'T20_Demographic Split'!$H$4:$H$183)</f>
        <v>1.482177052973471E-3</v>
      </c>
      <c r="L80">
        <f>_xlfn.XLOOKUP($B80&amp;"_"&amp;D$76,'T20_Demographic Split'!$G$4:$G$183,'T20_Demographic Split'!$H$4:$H$183)</f>
        <v>1.5173956319292799E-3</v>
      </c>
      <c r="M80">
        <f>_xlfn.XLOOKUP($B80&amp;"_"&amp;E$76,'T20_Demographic Split'!$G$4:$G$183,'T20_Demographic Split'!$H$4:$H$183)</f>
        <v>3.729627507015157E-3</v>
      </c>
      <c r="N80">
        <f>_xlfn.XLOOKUP($B80&amp;"_"&amp;F$76,'T20_Demographic Split'!$G$4:$G$183,'T20_Demographic Split'!$H$4:$H$183)</f>
        <v>3.864166567113296E-3</v>
      </c>
      <c r="O80">
        <f>_xlfn.XLOOKUP($B80&amp;"_"&amp;G$76,'T20_Demographic Split'!$G$4:$G$183,'T20_Demographic Split'!$H$4:$H$183)</f>
        <v>2.1828136495365409E-3</v>
      </c>
      <c r="P80">
        <f>_xlfn.XLOOKUP($B80&amp;"_"&amp;H$76,'T20_Demographic Split'!$G$4:$G$183,'T20_Demographic Split'!$H$4:$H$183)</f>
        <v>1.0318623359837039E-3</v>
      </c>
      <c r="R80">
        <v>29</v>
      </c>
      <c r="S80">
        <f>_xlfn.XLOOKUP($B80&amp;"_"&amp;C$76,'T20_Demographic Split'!$K$4:$K$183,'T20_Demographic Split'!$L$4:$L$183)</f>
        <v>5.2591059053992586E-4</v>
      </c>
      <c r="T80">
        <f>_xlfn.XLOOKUP($B80&amp;"_"&amp;D$76,'T20_Demographic Split'!$K$4:$K$183,'T20_Demographic Split'!$L$4:$L$183)</f>
        <v>4.872458131981859E-4</v>
      </c>
      <c r="U80">
        <f>_xlfn.XLOOKUP($B80&amp;"_"&amp;E$76,'T20_Demographic Split'!$K$4:$K$183,'T20_Demographic Split'!$L$4:$L$183)</f>
        <v>8.3822339624656738E-4</v>
      </c>
      <c r="V80">
        <f>_xlfn.XLOOKUP($B80&amp;"_"&amp;F$76,'T20_Demographic Split'!$K$4:$K$183,'T20_Demographic Split'!$L$4:$L$183)</f>
        <v>7.6936500058874156E-4</v>
      </c>
      <c r="W80">
        <f>_xlfn.XLOOKUP($B80&amp;"_"&amp;G$76,'T20_Demographic Split'!$K$4:$K$183,'T20_Demographic Split'!$L$4:$L$183)</f>
        <v>4.6802697869391548E-4</v>
      </c>
      <c r="X80">
        <f>_xlfn.XLOOKUP($B80&amp;"_"&amp;H$76,'T20_Demographic Split'!$K$4:$K$183,'T20_Demographic Split'!$L$4:$L$183)</f>
        <v>2.255494274551785E-4</v>
      </c>
      <c r="Z80">
        <v>29</v>
      </c>
      <c r="AA80">
        <f>_xlfn.XLOOKUP($B80&amp;"_"&amp;K$76,'T20_Demographic Split'!$O$4:$O$183,'T20_Demographic Split'!$P$4:$P$183)</f>
        <v>1.8674658063583421E-3</v>
      </c>
      <c r="AB80">
        <f>_xlfn.XLOOKUP($B80&amp;"_"&amp;L$76,'T20_Demographic Split'!$O$4:$O$183,'T20_Demographic Split'!$P$4:$P$183)</f>
        <v>1.900878832022138E-3</v>
      </c>
      <c r="AC80">
        <f>_xlfn.XLOOKUP($B80&amp;"_"&amp;M$76,'T20_Demographic Split'!$O$4:$O$183,'T20_Demographic Split'!$P$4:$P$183)</f>
        <v>3.315287148975755E-3</v>
      </c>
      <c r="AD80">
        <f>_xlfn.XLOOKUP($B80&amp;"_"&amp;N$76,'T20_Demographic Split'!$O$4:$O$183,'T20_Demographic Split'!$P$4:$P$183)</f>
        <v>3.4766264845067568E-3</v>
      </c>
      <c r="AE80">
        <f>_xlfn.XLOOKUP($B80&amp;"_"&amp;O$76,'T20_Demographic Split'!$O$4:$O$183,'T20_Demographic Split'!$P$4:$P$183)</f>
        <v>2.2999483492784942E-3</v>
      </c>
      <c r="AF80">
        <f>_xlfn.XLOOKUP($B80&amp;"_"&amp;P$76,'T20_Demographic Split'!$O$4:$O$183,'T20_Demographic Split'!$P$4:$P$183)</f>
        <v>1.7518382402796869E-3</v>
      </c>
    </row>
    <row r="81" spans="1:43" x14ac:dyDescent="0.25">
      <c r="B81">
        <v>30</v>
      </c>
      <c r="C81">
        <f>_xlfn.IFNA(_xlfn.XLOOKUP($B81&amp;"_"&amp;C$76,'T20_Demographic Split'!$C$4:$C$183,'T20_Demographic Split'!$D$4:$D$183),0)</f>
        <v>1.9057182750316411E-4</v>
      </c>
      <c r="D81">
        <f>_xlfn.IFNA(_xlfn.XLOOKUP($B81&amp;"_"&amp;D$76,'T20_Demographic Split'!$C$4:$C$183,'T20_Demographic Split'!$D$4:$D$183),0)</f>
        <v>1.5367065494066299E-4</v>
      </c>
      <c r="E81">
        <f>_xlfn.IFNA(_xlfn.XLOOKUP($B81&amp;"_"&amp;E$76,'T20_Demographic Split'!$C$4:$C$183,'T20_Demographic Split'!$D$4:$D$183),0)</f>
        <v>3.3894812336339279E-4</v>
      </c>
      <c r="F81">
        <f>_xlfn.IFNA(_xlfn.XLOOKUP($B81&amp;"_"&amp;F$76,'T20_Demographic Split'!$C$4:$C$183,'T20_Demographic Split'!$D$4:$D$183),0)</f>
        <v>3.4836008018905389E-4</v>
      </c>
      <c r="G81">
        <f>_xlfn.IFNA(_xlfn.XLOOKUP($B81&amp;"_"&amp;G$76,'T20_Demographic Split'!$C$4:$C$183,'T20_Demographic Split'!$D$4:$D$183),0)</f>
        <v>1.202481981217834E-4</v>
      </c>
      <c r="H81">
        <f>_xlfn.IFNA(_xlfn.XLOOKUP($B81&amp;"_"&amp;H$76,'T20_Demographic Split'!$C$4:$C$183,'T20_Demographic Split'!$D$4:$D$183),0)</f>
        <v>7.0856627412356471E-5</v>
      </c>
      <c r="J81">
        <v>30</v>
      </c>
      <c r="K81">
        <f>_xlfn.XLOOKUP($B81&amp;"_"&amp;C$76,'T20_Demographic Split'!$G$4:$G$183,'T20_Demographic Split'!$H$4:$H$183)</f>
        <v>1.5614183973233411E-3</v>
      </c>
      <c r="L81">
        <f>_xlfn.XLOOKUP($B81&amp;"_"&amp;D$76,'T20_Demographic Split'!$G$4:$G$183,'T20_Demographic Split'!$H$4:$H$183)</f>
        <v>1.6833341558428539E-3</v>
      </c>
      <c r="M81">
        <f>_xlfn.XLOOKUP($B81&amp;"_"&amp;E$76,'T20_Demographic Split'!$G$4:$G$183,'T20_Demographic Split'!$H$4:$H$183)</f>
        <v>3.7904913619243039E-3</v>
      </c>
      <c r="N81">
        <f>_xlfn.XLOOKUP($B81&amp;"_"&amp;F$76,'T20_Demographic Split'!$G$4:$G$183,'T20_Demographic Split'!$H$4:$H$183)</f>
        <v>3.733435701438052E-3</v>
      </c>
      <c r="O81">
        <f>_xlfn.XLOOKUP($B81&amp;"_"&amp;G$76,'T20_Demographic Split'!$G$4:$G$183,'T20_Demographic Split'!$H$4:$H$183)</f>
        <v>2.1830724450625678E-3</v>
      </c>
      <c r="P81">
        <f>_xlfn.XLOOKUP($B81&amp;"_"&amp;H$76,'T20_Demographic Split'!$G$4:$G$183,'T20_Demographic Split'!$H$4:$H$183)</f>
        <v>1.113219154657383E-3</v>
      </c>
      <c r="R81">
        <v>30</v>
      </c>
      <c r="S81">
        <f>_xlfn.XLOOKUP($B81&amp;"_"&amp;C$76,'T20_Demographic Split'!$K$4:$K$183,'T20_Demographic Split'!$L$4:$L$183)</f>
        <v>5.4233978847804964E-4</v>
      </c>
      <c r="T81">
        <f>_xlfn.XLOOKUP($B81&amp;"_"&amp;D$76,'T20_Demographic Split'!$K$4:$K$183,'T20_Demographic Split'!$L$4:$L$183)</f>
        <v>4.8040839151721588E-4</v>
      </c>
      <c r="U81">
        <f>_xlfn.XLOOKUP($B81&amp;"_"&amp;E$76,'T20_Demographic Split'!$K$4:$K$183,'T20_Demographic Split'!$L$4:$L$183)</f>
        <v>7.7036511043069103E-4</v>
      </c>
      <c r="V81">
        <f>_xlfn.XLOOKUP($B81&amp;"_"&amp;F$76,'T20_Demographic Split'!$K$4:$K$183,'T20_Demographic Split'!$L$4:$L$183)</f>
        <v>7.0375385874190722E-4</v>
      </c>
      <c r="W81">
        <f>_xlfn.XLOOKUP($B81&amp;"_"&amp;G$76,'T20_Demographic Split'!$K$4:$K$183,'T20_Demographic Split'!$L$4:$L$183)</f>
        <v>4.5996086157504908E-4</v>
      </c>
      <c r="X81">
        <f>_xlfn.XLOOKUP($B81&amp;"_"&amp;H$76,'T20_Demographic Split'!$K$4:$K$183,'T20_Demographic Split'!$L$4:$L$183)</f>
        <v>2.328945236908117E-4</v>
      </c>
      <c r="Z81">
        <v>30</v>
      </c>
      <c r="AA81">
        <f>_xlfn.XLOOKUP($B81&amp;"_"&amp;K$76,'T20_Demographic Split'!$O$4:$O$183,'T20_Demographic Split'!$P$4:$P$183)</f>
        <v>2.1682322729046741E-3</v>
      </c>
      <c r="AB81">
        <f>_xlfn.XLOOKUP($B81&amp;"_"&amp;L$76,'T20_Demographic Split'!$O$4:$O$183,'T20_Demographic Split'!$P$4:$P$183)</f>
        <v>1.929513039827429E-3</v>
      </c>
      <c r="AC81">
        <f>_xlfn.XLOOKUP($B81&amp;"_"&amp;M$76,'T20_Demographic Split'!$O$4:$O$183,'T20_Demographic Split'!$P$4:$P$183)</f>
        <v>3.3042498958997832E-3</v>
      </c>
      <c r="AD81">
        <f>_xlfn.XLOOKUP($B81&amp;"_"&amp;N$76,'T20_Demographic Split'!$O$4:$O$183,'T20_Demographic Split'!$P$4:$P$183)</f>
        <v>3.2978686746455328E-3</v>
      </c>
      <c r="AE81">
        <f>_xlfn.XLOOKUP($B81&amp;"_"&amp;O$76,'T20_Demographic Split'!$O$4:$O$183,'T20_Demographic Split'!$P$4:$P$183)</f>
        <v>2.387842722873003E-3</v>
      </c>
      <c r="AF81">
        <f>_xlfn.XLOOKUP($B81&amp;"_"&amp;P$76,'T20_Demographic Split'!$O$4:$O$183,'T20_Demographic Split'!$P$4:$P$183)</f>
        <v>1.8417853118183299E-3</v>
      </c>
    </row>
    <row r="82" spans="1:43" x14ac:dyDescent="0.25">
      <c r="B82">
        <v>31</v>
      </c>
      <c r="C82">
        <f>_xlfn.IFNA(_xlfn.XLOOKUP($B82&amp;"_"&amp;C$76,'T20_Demographic Split'!$C$4:$C$183,'T20_Demographic Split'!$D$4:$D$183),0)</f>
        <v>1.692718285832716E-4</v>
      </c>
      <c r="D82">
        <f>_xlfn.IFNA(_xlfn.XLOOKUP($B82&amp;"_"&amp;D$76,'T20_Demographic Split'!$C$4:$C$183,'T20_Demographic Split'!$D$4:$D$183),0)</f>
        <v>1.57038347597034E-4</v>
      </c>
      <c r="E82">
        <f>_xlfn.IFNA(_xlfn.XLOOKUP($B82&amp;"_"&amp;E$76,'T20_Demographic Split'!$C$4:$C$183,'T20_Demographic Split'!$D$4:$D$183),0)</f>
        <v>3.5290922926887552E-4</v>
      </c>
      <c r="F82">
        <f>_xlfn.IFNA(_xlfn.XLOOKUP($B82&amp;"_"&amp;F$76,'T20_Demographic Split'!$C$4:$C$183,'T20_Demographic Split'!$D$4:$D$183),0)</f>
        <v>3.0144285524545331E-4</v>
      </c>
      <c r="G82">
        <f>_xlfn.IFNA(_xlfn.XLOOKUP($B82&amp;"_"&amp;G$76,'T20_Demographic Split'!$C$4:$C$183,'T20_Demographic Split'!$D$4:$D$183),0)</f>
        <v>1.2452503313495369E-4</v>
      </c>
      <c r="H82">
        <f>_xlfn.IFNA(_xlfn.XLOOKUP($B82&amp;"_"&amp;H$76,'T20_Demographic Split'!$C$4:$C$183,'T20_Demographic Split'!$D$4:$D$183),0)</f>
        <v>5.0161546012972618E-5</v>
      </c>
      <c r="J82">
        <v>31</v>
      </c>
      <c r="K82">
        <f>_xlfn.XLOOKUP($B82&amp;"_"&amp;C$76,'T20_Demographic Split'!$G$4:$G$183,'T20_Demographic Split'!$H$4:$H$183)</f>
        <v>1.660780959809041E-3</v>
      </c>
      <c r="L82">
        <f>_xlfn.XLOOKUP($B82&amp;"_"&amp;D$76,'T20_Demographic Split'!$G$4:$G$183,'T20_Demographic Split'!$H$4:$H$183)</f>
        <v>1.584941729767145E-3</v>
      </c>
      <c r="M82">
        <f>_xlfn.XLOOKUP($B82&amp;"_"&amp;E$76,'T20_Demographic Split'!$G$4:$G$183,'T20_Demographic Split'!$H$4:$H$183)</f>
        <v>3.575256756822953E-3</v>
      </c>
      <c r="N82">
        <f>_xlfn.XLOOKUP($B82&amp;"_"&amp;F$76,'T20_Demographic Split'!$G$4:$G$183,'T20_Demographic Split'!$H$4:$H$183)</f>
        <v>3.6946342980066589E-3</v>
      </c>
      <c r="O82">
        <f>_xlfn.XLOOKUP($B82&amp;"_"&amp;G$76,'T20_Demographic Split'!$G$4:$G$183,'T20_Demographic Split'!$H$4:$H$183)</f>
        <v>2.2444215435326732E-3</v>
      </c>
      <c r="P82">
        <f>_xlfn.XLOOKUP($B82&amp;"_"&amp;H$76,'T20_Demographic Split'!$G$4:$G$183,'T20_Demographic Split'!$H$4:$H$183)</f>
        <v>1.3149297973287779E-3</v>
      </c>
      <c r="R82">
        <v>31</v>
      </c>
      <c r="S82">
        <f>_xlfn.XLOOKUP($B82&amp;"_"&amp;C$76,'T20_Demographic Split'!$K$4:$K$183,'T20_Demographic Split'!$L$4:$L$183)</f>
        <v>5.2206752853727772E-4</v>
      </c>
      <c r="T82">
        <f>_xlfn.XLOOKUP($B82&amp;"_"&amp;D$76,'T20_Demographic Split'!$K$4:$K$183,'T20_Demographic Split'!$L$4:$L$183)</f>
        <v>5.2917271230445192E-4</v>
      </c>
      <c r="U82">
        <f>_xlfn.XLOOKUP($B82&amp;"_"&amp;E$76,'T20_Demographic Split'!$K$4:$K$183,'T20_Demographic Split'!$L$4:$L$183)</f>
        <v>7.1058218241632214E-4</v>
      </c>
      <c r="V82">
        <f>_xlfn.XLOOKUP($B82&amp;"_"&amp;F$76,'T20_Demographic Split'!$K$4:$K$183,'T20_Demographic Split'!$L$4:$L$183)</f>
        <v>6.6577522982765036E-4</v>
      </c>
      <c r="W82">
        <f>_xlfn.XLOOKUP($B82&amp;"_"&amp;G$76,'T20_Demographic Split'!$K$4:$K$183,'T20_Demographic Split'!$L$4:$L$183)</f>
        <v>4.3331318341386808E-4</v>
      </c>
      <c r="X82">
        <f>_xlfn.XLOOKUP($B82&amp;"_"&amp;H$76,'T20_Demographic Split'!$K$4:$K$183,'T20_Demographic Split'!$L$4:$L$183)</f>
        <v>2.4874109174650072E-4</v>
      </c>
      <c r="Z82">
        <v>31</v>
      </c>
      <c r="AA82">
        <f>_xlfn.XLOOKUP($B82&amp;"_"&amp;K$76,'T20_Demographic Split'!$O$4:$O$183,'T20_Demographic Split'!$P$4:$P$183)</f>
        <v>2.1032201713282882E-3</v>
      </c>
      <c r="AB82">
        <f>_xlfn.XLOOKUP($B82&amp;"_"&amp;L$76,'T20_Demographic Split'!$O$4:$O$183,'T20_Demographic Split'!$P$4:$P$183)</f>
        <v>2.1560978612074791E-3</v>
      </c>
      <c r="AC82">
        <f>_xlfn.XLOOKUP($B82&amp;"_"&amp;M$76,'T20_Demographic Split'!$O$4:$O$183,'T20_Demographic Split'!$P$4:$P$183)</f>
        <v>3.1512911205747768E-3</v>
      </c>
      <c r="AD82">
        <f>_xlfn.XLOOKUP($B82&amp;"_"&amp;N$76,'T20_Demographic Split'!$O$4:$O$183,'T20_Demographic Split'!$P$4:$P$183)</f>
        <v>3.276546177822446E-3</v>
      </c>
      <c r="AE82">
        <f>_xlfn.XLOOKUP($B82&amp;"_"&amp;O$76,'T20_Demographic Split'!$O$4:$O$183,'T20_Demographic Split'!$P$4:$P$183)</f>
        <v>2.5101717469670848E-3</v>
      </c>
      <c r="AF82">
        <f>_xlfn.XLOOKUP($B82&amp;"_"&amp;P$76,'T20_Demographic Split'!$O$4:$O$183,'T20_Demographic Split'!$P$4:$P$183)</f>
        <v>2.008686703854142E-3</v>
      </c>
    </row>
    <row r="83" spans="1:43" x14ac:dyDescent="0.25">
      <c r="B83">
        <v>32</v>
      </c>
      <c r="C83">
        <f>_xlfn.IFNA(_xlfn.XLOOKUP($B83&amp;"_"&amp;C$76,'T20_Demographic Split'!$C$4:$C$183,'T20_Demographic Split'!$D$4:$D$183),0)</f>
        <v>1.8319876997542541E-4</v>
      </c>
      <c r="D83">
        <f>_xlfn.IFNA(_xlfn.XLOOKUP($B83&amp;"_"&amp;D$76,'T20_Demographic Split'!$C$4:$C$183,'T20_Demographic Split'!$D$4:$D$183),0)</f>
        <v>1.374094145435243E-4</v>
      </c>
      <c r="E83">
        <f>_xlfn.IFNA(_xlfn.XLOOKUP($B83&amp;"_"&amp;E$76,'T20_Demographic Split'!$C$4:$C$183,'T20_Demographic Split'!$D$4:$D$183),0)</f>
        <v>2.7248369736618808E-4</v>
      </c>
      <c r="F83">
        <f>_xlfn.IFNA(_xlfn.XLOOKUP($B83&amp;"_"&amp;F$76,'T20_Demographic Split'!$C$4:$C$183,'T20_Demographic Split'!$D$4:$D$183),0)</f>
        <v>2.8123806675173051E-4</v>
      </c>
      <c r="G83">
        <f>_xlfn.IFNA(_xlfn.XLOOKUP($B83&amp;"_"&amp;G$76,'T20_Demographic Split'!$C$4:$C$183,'T20_Demographic Split'!$D$4:$D$183),0)</f>
        <v>1.070357959875348E-4</v>
      </c>
      <c r="H83">
        <f>_xlfn.IFNA(_xlfn.XLOOKUP($B83&amp;"_"&amp;H$76,'T20_Demographic Split'!$C$4:$C$183,'T20_Demographic Split'!$D$4:$D$183),0)</f>
        <v>5.0713764633453681E-5</v>
      </c>
      <c r="J83">
        <v>32</v>
      </c>
      <c r="K83">
        <f>_xlfn.XLOOKUP($B83&amp;"_"&amp;C$76,'T20_Demographic Split'!$G$4:$G$183,'T20_Demographic Split'!$H$4:$H$183)</f>
        <v>1.7443843796724921E-3</v>
      </c>
      <c r="L83">
        <f>_xlfn.XLOOKUP($B83&amp;"_"&amp;D$76,'T20_Demographic Split'!$G$4:$G$183,'T20_Demographic Split'!$H$4:$H$183)</f>
        <v>1.6018949407721069E-3</v>
      </c>
      <c r="M83">
        <f>_xlfn.XLOOKUP($B83&amp;"_"&amp;E$76,'T20_Demographic Split'!$G$4:$G$183,'T20_Demographic Split'!$H$4:$H$183)</f>
        <v>3.382443555777962E-3</v>
      </c>
      <c r="N83">
        <f>_xlfn.XLOOKUP($B83&amp;"_"&amp;F$76,'T20_Demographic Split'!$G$4:$G$183,'T20_Demographic Split'!$H$4:$H$183)</f>
        <v>3.3906493711150731E-3</v>
      </c>
      <c r="O83">
        <f>_xlfn.XLOOKUP($B83&amp;"_"&amp;G$76,'T20_Demographic Split'!$G$4:$G$183,'T20_Demographic Split'!$H$4:$H$183)</f>
        <v>2.2055934456219968E-3</v>
      </c>
      <c r="P83">
        <f>_xlfn.XLOOKUP($B83&amp;"_"&amp;H$76,'T20_Demographic Split'!$G$4:$G$183,'T20_Demographic Split'!$H$4:$H$183)</f>
        <v>1.349029395811274E-3</v>
      </c>
      <c r="R83">
        <v>32</v>
      </c>
      <c r="S83">
        <f>_xlfn.XLOOKUP($B83&amp;"_"&amp;C$76,'T20_Demographic Split'!$K$4:$K$183,'T20_Demographic Split'!$L$4:$L$183)</f>
        <v>4.9722399244518732E-4</v>
      </c>
      <c r="T83">
        <f>_xlfn.XLOOKUP($B83&amp;"_"&amp;D$76,'T20_Demographic Split'!$K$4:$K$183,'T20_Demographic Split'!$L$4:$L$183)</f>
        <v>5.4925559325815518E-4</v>
      </c>
      <c r="U83">
        <f>_xlfn.XLOOKUP($B83&amp;"_"&amp;E$76,'T20_Demographic Split'!$K$4:$K$183,'T20_Demographic Split'!$L$4:$L$183)</f>
        <v>7.3240684418810571E-4</v>
      </c>
      <c r="V83">
        <f>_xlfn.XLOOKUP($B83&amp;"_"&amp;F$76,'T20_Demographic Split'!$K$4:$K$183,'T20_Demographic Split'!$L$4:$L$183)</f>
        <v>6.7242023639247847E-4</v>
      </c>
      <c r="W83">
        <f>_xlfn.XLOOKUP($B83&amp;"_"&amp;G$76,'T20_Demographic Split'!$K$4:$K$183,'T20_Demographic Split'!$L$4:$L$183)</f>
        <v>3.8826677877564912E-4</v>
      </c>
      <c r="X83">
        <f>_xlfn.XLOOKUP($B83&amp;"_"&amp;H$76,'T20_Demographic Split'!$K$4:$K$183,'T20_Demographic Split'!$L$4:$L$183)</f>
        <v>2.1016513936955689E-4</v>
      </c>
      <c r="Z83">
        <v>32</v>
      </c>
      <c r="AA83">
        <f>_xlfn.XLOOKUP($B83&amp;"_"&amp;K$76,'T20_Demographic Split'!$O$4:$O$183,'T20_Demographic Split'!$P$4:$P$183)</f>
        <v>2.1325781888313061E-3</v>
      </c>
      <c r="AB83">
        <f>_xlfn.XLOOKUP($B83&amp;"_"&amp;L$76,'T20_Demographic Split'!$O$4:$O$183,'T20_Demographic Split'!$P$4:$P$183)</f>
        <v>2.161890219209409E-3</v>
      </c>
      <c r="AC83">
        <f>_xlfn.XLOOKUP($B83&amp;"_"&amp;M$76,'T20_Demographic Split'!$O$4:$O$183,'T20_Demographic Split'!$P$4:$P$183)</f>
        <v>3.222731520429057E-3</v>
      </c>
      <c r="AD83">
        <f>_xlfn.XLOOKUP($B83&amp;"_"&amp;N$76,'T20_Demographic Split'!$O$4:$O$183,'T20_Demographic Split'!$P$4:$P$183)</f>
        <v>3.238752302856997E-3</v>
      </c>
      <c r="AE83">
        <f>_xlfn.XLOOKUP($B83&amp;"_"&amp;O$76,'T20_Demographic Split'!$O$4:$O$183,'T20_Demographic Split'!$P$4:$P$183)</f>
        <v>2.445256990110208E-3</v>
      </c>
      <c r="AF83">
        <f>_xlfn.XLOOKUP($B83&amp;"_"&amp;P$76,'T20_Demographic Split'!$O$4:$O$183,'T20_Demographic Split'!$P$4:$P$183)</f>
        <v>2.166544463907068E-3</v>
      </c>
    </row>
    <row r="84" spans="1:43" x14ac:dyDescent="0.25">
      <c r="B84">
        <v>33</v>
      </c>
      <c r="C84">
        <f>_xlfn.IFNA(_xlfn.XLOOKUP($B84&amp;"_"&amp;C$76,'T20_Demographic Split'!$C$4:$C$183,'T20_Demographic Split'!$D$4:$D$183),0)</f>
        <v>1.6135259605719191E-4</v>
      </c>
      <c r="D84">
        <f>_xlfn.IFNA(_xlfn.XLOOKUP($B84&amp;"_"&amp;D$76,'T20_Demographic Split'!$C$4:$C$183,'T20_Demographic Split'!$D$4:$D$183),0)</f>
        <v>1.740110250577385E-4</v>
      </c>
      <c r="E84">
        <f>_xlfn.IFNA(_xlfn.XLOOKUP($B84&amp;"_"&amp;E$76,'T20_Demographic Split'!$C$4:$C$183,'T20_Demographic Split'!$D$4:$D$183),0)</f>
        <v>2.572291745342629E-4</v>
      </c>
      <c r="F84">
        <f>_xlfn.IFNA(_xlfn.XLOOKUP($B84&amp;"_"&amp;F$76,'T20_Demographic Split'!$C$4:$C$183,'T20_Demographic Split'!$D$4:$D$183),0)</f>
        <v>2.28528936537252E-4</v>
      </c>
      <c r="G84">
        <f>_xlfn.IFNA(_xlfn.XLOOKUP($B84&amp;"_"&amp;G$76,'T20_Demographic Split'!$C$4:$C$183,'T20_Demographic Split'!$D$4:$D$183),0)</f>
        <v>1.0061564584240011E-4</v>
      </c>
      <c r="H84">
        <f>_xlfn.IFNA(_xlfn.XLOOKUP($B84&amp;"_"&amp;H$76,'T20_Demographic Split'!$C$4:$C$183,'T20_Demographic Split'!$D$4:$D$183),0)</f>
        <v>5.1196132060558509E-5</v>
      </c>
      <c r="J84">
        <v>33</v>
      </c>
      <c r="K84">
        <f>_xlfn.XLOOKUP($B84&amp;"_"&amp;C$76,'T20_Demographic Split'!$G$4:$G$183,'T20_Demographic Split'!$H$4:$H$183)</f>
        <v>1.76630849516955E-3</v>
      </c>
      <c r="L84">
        <f>_xlfn.XLOOKUP($B84&amp;"_"&amp;D$76,'T20_Demographic Split'!$G$4:$G$183,'T20_Demographic Split'!$H$4:$H$183)</f>
        <v>1.70107524063432E-3</v>
      </c>
      <c r="M84">
        <f>_xlfn.XLOOKUP($B84&amp;"_"&amp;E$76,'T20_Demographic Split'!$G$4:$G$183,'T20_Demographic Split'!$H$4:$H$183)</f>
        <v>3.3004835481876909E-3</v>
      </c>
      <c r="N84">
        <f>_xlfn.XLOOKUP($B84&amp;"_"&amp;F$76,'T20_Demographic Split'!$G$4:$G$183,'T20_Demographic Split'!$H$4:$H$183)</f>
        <v>3.444907497431452E-3</v>
      </c>
      <c r="O84">
        <f>_xlfn.XLOOKUP($B84&amp;"_"&amp;G$76,'T20_Demographic Split'!$G$4:$G$183,'T20_Demographic Split'!$H$4:$H$183)</f>
        <v>2.2418445842630418E-3</v>
      </c>
      <c r="P84">
        <f>_xlfn.XLOOKUP($B84&amp;"_"&amp;H$76,'T20_Demographic Split'!$G$4:$G$183,'T20_Demographic Split'!$H$4:$H$183)</f>
        <v>1.487397295658364E-3</v>
      </c>
      <c r="R84">
        <v>33</v>
      </c>
      <c r="S84">
        <f>_xlfn.XLOOKUP($B84&amp;"_"&amp;C$76,'T20_Demographic Split'!$K$4:$K$183,'T20_Demographic Split'!$L$4:$L$183)</f>
        <v>4.3637711826118389E-4</v>
      </c>
      <c r="T84">
        <f>_xlfn.XLOOKUP($B84&amp;"_"&amp;D$76,'T20_Demographic Split'!$K$4:$K$183,'T20_Demographic Split'!$L$4:$L$183)</f>
        <v>4.7604497877011472E-4</v>
      </c>
      <c r="U84">
        <f>_xlfn.XLOOKUP($B84&amp;"_"&amp;E$76,'T20_Demographic Split'!$K$4:$K$183,'T20_Demographic Split'!$L$4:$L$183)</f>
        <v>6.5372488375783856E-4</v>
      </c>
      <c r="V84">
        <f>_xlfn.XLOOKUP($B84&amp;"_"&amp;F$76,'T20_Demographic Split'!$K$4:$K$183,'T20_Demographic Split'!$L$4:$L$183)</f>
        <v>6.5832353459473224E-4</v>
      </c>
      <c r="W84">
        <f>_xlfn.XLOOKUP($B84&amp;"_"&amp;G$76,'T20_Demographic Split'!$K$4:$K$183,'T20_Demographic Split'!$L$4:$L$183)</f>
        <v>4.0452621090279972E-4</v>
      </c>
      <c r="X84">
        <f>_xlfn.XLOOKUP($B84&amp;"_"&amp;H$76,'T20_Demographic Split'!$K$4:$K$183,'T20_Demographic Split'!$L$4:$L$183)</f>
        <v>2.4696053008300631E-4</v>
      </c>
      <c r="Z84">
        <v>33</v>
      </c>
      <c r="AA84">
        <f>_xlfn.XLOOKUP($B84&amp;"_"&amp;K$76,'T20_Demographic Split'!$O$4:$O$183,'T20_Demographic Split'!$P$4:$P$183)</f>
        <v>2.3051444291831138E-3</v>
      </c>
      <c r="AB84">
        <f>_xlfn.XLOOKUP($B84&amp;"_"&amp;L$76,'T20_Demographic Split'!$O$4:$O$183,'T20_Demographic Split'!$P$4:$P$183)</f>
        <v>2.1411116250348318E-3</v>
      </c>
      <c r="AC84">
        <f>_xlfn.XLOOKUP($B84&amp;"_"&amp;M$76,'T20_Demographic Split'!$O$4:$O$183,'T20_Demographic Split'!$P$4:$P$183)</f>
        <v>3.056060727386554E-3</v>
      </c>
      <c r="AD84">
        <f>_xlfn.XLOOKUP($B84&amp;"_"&amp;N$76,'T20_Demographic Split'!$O$4:$O$183,'T20_Demographic Split'!$P$4:$P$183)</f>
        <v>3.0310993028828761E-3</v>
      </c>
      <c r="AE84">
        <f>_xlfn.XLOOKUP($B84&amp;"_"&amp;O$76,'T20_Demographic Split'!$O$4:$O$183,'T20_Demographic Split'!$P$4:$P$183)</f>
        <v>2.3751795944723778E-3</v>
      </c>
      <c r="AF84">
        <f>_xlfn.XLOOKUP($B84&amp;"_"&amp;P$76,'T20_Demographic Split'!$O$4:$O$183,'T20_Demographic Split'!$P$4:$P$183)</f>
        <v>2.3074203700555939E-3</v>
      </c>
    </row>
    <row r="85" spans="1:43" x14ac:dyDescent="0.25">
      <c r="B85">
        <v>34</v>
      </c>
      <c r="C85">
        <f>_xlfn.IFNA(_xlfn.XLOOKUP($B85&amp;"_"&amp;C$76,'T20_Demographic Split'!$C$4:$C$183,'T20_Demographic Split'!$D$4:$D$183),0)</f>
        <v>1.498969380299468E-4</v>
      </c>
      <c r="D85">
        <f>_xlfn.IFNA(_xlfn.XLOOKUP($B85&amp;"_"&amp;D$76,'T20_Demographic Split'!$C$4:$C$183,'T20_Demographic Split'!$D$4:$D$183),0)</f>
        <v>1.5611331924861161E-4</v>
      </c>
      <c r="E85">
        <f>_xlfn.IFNA(_xlfn.XLOOKUP($B85&amp;"_"&amp;E$76,'T20_Demographic Split'!$C$4:$C$183,'T20_Demographic Split'!$D$4:$D$183),0)</f>
        <v>2.6128171708692492E-4</v>
      </c>
      <c r="F85">
        <f>_xlfn.IFNA(_xlfn.XLOOKUP($B85&amp;"_"&amp;F$76,'T20_Demographic Split'!$C$4:$C$183,'T20_Demographic Split'!$D$4:$D$183),0)</f>
        <v>2.150612035559859E-4</v>
      </c>
      <c r="G85">
        <f>_xlfn.IFNA(_xlfn.XLOOKUP($B85&amp;"_"&amp;G$76,'T20_Demographic Split'!$C$4:$C$183,'T20_Demographic Split'!$D$4:$D$183),0)</f>
        <v>9.1325727280624217E-5</v>
      </c>
      <c r="H85">
        <f>_xlfn.IFNA(_xlfn.XLOOKUP($B85&amp;"_"&amp;H$76,'T20_Demographic Split'!$C$4:$C$183,'T20_Demographic Split'!$D$4:$D$183),0)</f>
        <v>0</v>
      </c>
      <c r="J85">
        <v>34</v>
      </c>
      <c r="K85">
        <f>_xlfn.XLOOKUP($B85&amp;"_"&amp;C$76,'T20_Demographic Split'!$G$4:$G$183,'T20_Demographic Split'!$H$4:$H$183)</f>
        <v>1.8443487014621781E-3</v>
      </c>
      <c r="L85">
        <f>_xlfn.XLOOKUP($B85&amp;"_"&amp;D$76,'T20_Demographic Split'!$G$4:$G$183,'T20_Demographic Split'!$H$4:$H$183)</f>
        <v>1.8142045962926E-3</v>
      </c>
      <c r="M85">
        <f>_xlfn.XLOOKUP($B85&amp;"_"&amp;E$76,'T20_Demographic Split'!$G$4:$G$183,'T20_Demographic Split'!$H$4:$H$183)</f>
        <v>3.3338815564212241E-3</v>
      </c>
      <c r="N85">
        <f>_xlfn.XLOOKUP($B85&amp;"_"&amp;F$76,'T20_Demographic Split'!$G$4:$G$183,'T20_Demographic Split'!$H$4:$H$183)</f>
        <v>3.2201174406570371E-3</v>
      </c>
      <c r="O85">
        <f>_xlfn.XLOOKUP($B85&amp;"_"&amp;G$76,'T20_Demographic Split'!$G$4:$G$183,'T20_Demographic Split'!$H$4:$H$183)</f>
        <v>2.3099789049892852E-3</v>
      </c>
      <c r="P85">
        <f>_xlfn.XLOOKUP($B85&amp;"_"&amp;H$76,'T20_Demographic Split'!$G$4:$G$183,'T20_Demographic Split'!$H$4:$H$183)</f>
        <v>1.5639866945555091E-3</v>
      </c>
      <c r="R85">
        <v>34</v>
      </c>
      <c r="S85">
        <f>_xlfn.XLOOKUP($B85&amp;"_"&amp;C$76,'T20_Demographic Split'!$K$4:$K$183,'T20_Demographic Split'!$L$4:$L$183)</f>
        <v>5.1756546162460768E-4</v>
      </c>
      <c r="T85">
        <f>_xlfn.XLOOKUP($B85&amp;"_"&amp;D$76,'T20_Demographic Split'!$K$4:$K$183,'T20_Demographic Split'!$L$4:$L$183)</f>
        <v>4.7555418549890849E-4</v>
      </c>
      <c r="U85">
        <f>_xlfn.XLOOKUP($B85&amp;"_"&amp;E$76,'T20_Demographic Split'!$K$4:$K$183,'T20_Demographic Split'!$L$4:$L$183)</f>
        <v>6.2298954930205134E-4</v>
      </c>
      <c r="V85">
        <f>_xlfn.XLOOKUP($B85&amp;"_"&amp;F$76,'T20_Demographic Split'!$K$4:$K$183,'T20_Demographic Split'!$L$4:$L$183)</f>
        <v>6.34712598223683E-4</v>
      </c>
      <c r="W85">
        <f>_xlfn.XLOOKUP($B85&amp;"_"&amp;G$76,'T20_Demographic Split'!$K$4:$K$183,'T20_Demographic Split'!$L$4:$L$183)</f>
        <v>3.8724270271965112E-4</v>
      </c>
      <c r="X85">
        <f>_xlfn.XLOOKUP($B85&amp;"_"&amp;H$76,'T20_Demographic Split'!$K$4:$K$183,'T20_Demographic Split'!$L$4:$L$183)</f>
        <v>1.994622556945197E-4</v>
      </c>
      <c r="Z85">
        <v>34</v>
      </c>
      <c r="AA85">
        <f>_xlfn.XLOOKUP($B85&amp;"_"&amp;K$76,'T20_Demographic Split'!$O$4:$O$183,'T20_Demographic Split'!$P$4:$P$183)</f>
        <v>2.3176913117081248E-3</v>
      </c>
      <c r="AB85">
        <f>_xlfn.XLOOKUP($B85&amp;"_"&amp;L$76,'T20_Demographic Split'!$O$4:$O$183,'T20_Demographic Split'!$P$4:$P$183)</f>
        <v>2.1407638039112292E-3</v>
      </c>
      <c r="AC85">
        <f>_xlfn.XLOOKUP($B85&amp;"_"&amp;M$76,'T20_Demographic Split'!$O$4:$O$183,'T20_Demographic Split'!$P$4:$P$183)</f>
        <v>3.1057980343826789E-3</v>
      </c>
      <c r="AD85">
        <f>_xlfn.XLOOKUP($B85&amp;"_"&amp;N$76,'T20_Demographic Split'!$O$4:$O$183,'T20_Demographic Split'!$P$4:$P$183)</f>
        <v>3.0530215043836169E-3</v>
      </c>
      <c r="AE85">
        <f>_xlfn.XLOOKUP($B85&amp;"_"&amp;O$76,'T20_Demographic Split'!$O$4:$O$183,'T20_Demographic Split'!$P$4:$P$183)</f>
        <v>2.529466770658296E-3</v>
      </c>
      <c r="AF85">
        <f>_xlfn.XLOOKUP($B85&amp;"_"&amp;P$76,'T20_Demographic Split'!$O$4:$O$183,'T20_Demographic Split'!$P$4:$P$183)</f>
        <v>2.2753287673974889E-3</v>
      </c>
    </row>
    <row r="86" spans="1:43" x14ac:dyDescent="0.25">
      <c r="B86">
        <v>35</v>
      </c>
      <c r="C86">
        <f>_xlfn.IFNA(_xlfn.XLOOKUP($B86&amp;"_"&amp;C$76,'T20_Demographic Split'!$C$4:$C$183,'T20_Demographic Split'!$D$4:$D$183),0)</f>
        <v>1.2036694153580071E-4</v>
      </c>
      <c r="D86">
        <f>_xlfn.IFNA(_xlfn.XLOOKUP($B86&amp;"_"&amp;D$76,'T20_Demographic Split'!$C$4:$C$183,'T20_Demographic Split'!$D$4:$D$183),0)</f>
        <v>1.1297031112153959E-4</v>
      </c>
      <c r="E86">
        <f>_xlfn.IFNA(_xlfn.XLOOKUP($B86&amp;"_"&amp;E$76,'T20_Demographic Split'!$C$4:$C$183,'T20_Demographic Split'!$D$4:$D$183),0)</f>
        <v>1.941955200907575E-4</v>
      </c>
      <c r="F86">
        <f>_xlfn.IFNA(_xlfn.XLOOKUP($B86&amp;"_"&amp;F$76,'T20_Demographic Split'!$C$4:$C$183,'T20_Demographic Split'!$D$4:$D$183),0)</f>
        <v>1.831585273701386E-4</v>
      </c>
      <c r="G86">
        <f>_xlfn.IFNA(_xlfn.XLOOKUP($B86&amp;"_"&amp;G$76,'T20_Demographic Split'!$C$4:$C$183,'T20_Demographic Split'!$D$4:$D$183),0)</f>
        <v>8.7074217566055883E-5</v>
      </c>
      <c r="H86">
        <f>_xlfn.IFNA(_xlfn.XLOOKUP($B86&amp;"_"&amp;H$76,'T20_Demographic Split'!$C$4:$C$183,'T20_Demographic Split'!$D$4:$D$183),0)</f>
        <v>0</v>
      </c>
      <c r="J86">
        <v>35</v>
      </c>
      <c r="K86">
        <f>_xlfn.XLOOKUP($B86&amp;"_"&amp;C$76,'T20_Demographic Split'!$G$4:$G$183,'T20_Demographic Split'!$H$4:$H$183)</f>
        <v>1.808468847581743E-3</v>
      </c>
      <c r="L86">
        <f>_xlfn.XLOOKUP($B86&amp;"_"&amp;D$76,'T20_Demographic Split'!$G$4:$G$183,'T20_Demographic Split'!$H$4:$H$183)</f>
        <v>1.8471591067602681E-3</v>
      </c>
      <c r="M86">
        <f>_xlfn.XLOOKUP($B86&amp;"_"&amp;E$76,'T20_Demographic Split'!$G$4:$G$183,'T20_Demographic Split'!$H$4:$H$183)</f>
        <v>3.1562369240427991E-3</v>
      </c>
      <c r="N86">
        <f>_xlfn.XLOOKUP($B86&amp;"_"&amp;F$76,'T20_Demographic Split'!$G$4:$G$183,'T20_Demographic Split'!$H$4:$H$183)</f>
        <v>3.16390686285015E-3</v>
      </c>
      <c r="O86">
        <f>_xlfn.XLOOKUP($B86&amp;"_"&amp;G$76,'T20_Demographic Split'!$G$4:$G$183,'T20_Demographic Split'!$H$4:$H$183)</f>
        <v>2.2942787554606609E-3</v>
      </c>
      <c r="P86">
        <f>_xlfn.XLOOKUP($B86&amp;"_"&amp;H$76,'T20_Demographic Split'!$G$4:$G$183,'T20_Demographic Split'!$H$4:$H$183)</f>
        <v>1.63545519880009E-3</v>
      </c>
      <c r="R86">
        <v>35</v>
      </c>
      <c r="S86">
        <f>_xlfn.XLOOKUP($B86&amp;"_"&amp;C$76,'T20_Demographic Split'!$K$4:$K$183,'T20_Demographic Split'!$L$4:$L$183)</f>
        <v>4.701150918458069E-4</v>
      </c>
      <c r="T86">
        <f>_xlfn.XLOOKUP($B86&amp;"_"&amp;D$76,'T20_Demographic Split'!$K$4:$K$183,'T20_Demographic Split'!$L$4:$L$183)</f>
        <v>4.7974954648927789E-4</v>
      </c>
      <c r="U86">
        <f>_xlfn.XLOOKUP($B86&amp;"_"&amp;E$76,'T20_Demographic Split'!$K$4:$K$183,'T20_Demographic Split'!$L$4:$L$183)</f>
        <v>6.0681457235013626E-4</v>
      </c>
      <c r="V86">
        <f>_xlfn.XLOOKUP($B86&amp;"_"&amp;F$76,'T20_Demographic Split'!$K$4:$K$183,'T20_Demographic Split'!$L$4:$L$183)</f>
        <v>5.2648076913470803E-4</v>
      </c>
      <c r="W86">
        <f>_xlfn.XLOOKUP($B86&amp;"_"&amp;G$76,'T20_Demographic Split'!$K$4:$K$183,'T20_Demographic Split'!$L$4:$L$183)</f>
        <v>3.3371143644274869E-4</v>
      </c>
      <c r="X86">
        <f>_xlfn.XLOOKUP($B86&amp;"_"&amp;H$76,'T20_Demographic Split'!$K$4:$K$183,'T20_Demographic Split'!$L$4:$L$183)</f>
        <v>2.14862637106722E-4</v>
      </c>
      <c r="Z86">
        <v>35</v>
      </c>
      <c r="AA86">
        <f>_xlfn.XLOOKUP($B86&amp;"_"&amp;K$76,'T20_Demographic Split'!$O$4:$O$183,'T20_Demographic Split'!$P$4:$P$183)</f>
        <v>2.3187283345615459E-3</v>
      </c>
      <c r="AB86">
        <f>_xlfn.XLOOKUP($B86&amp;"_"&amp;L$76,'T20_Demographic Split'!$O$4:$O$183,'T20_Demographic Split'!$P$4:$P$183)</f>
        <v>2.22435560759286E-3</v>
      </c>
      <c r="AC86">
        <f>_xlfn.XLOOKUP($B86&amp;"_"&amp;M$76,'T20_Demographic Split'!$O$4:$O$183,'T20_Demographic Split'!$P$4:$P$183)</f>
        <v>3.175710467379076E-3</v>
      </c>
      <c r="AD86">
        <f>_xlfn.XLOOKUP($B86&amp;"_"&amp;N$76,'T20_Demographic Split'!$O$4:$O$183,'T20_Demographic Split'!$P$4:$P$183)</f>
        <v>3.0916773061944488E-3</v>
      </c>
      <c r="AE86">
        <f>_xlfn.XLOOKUP($B86&amp;"_"&amp;O$76,'T20_Demographic Split'!$O$4:$O$183,'T20_Demographic Split'!$P$4:$P$183)</f>
        <v>2.6397795264854278E-3</v>
      </c>
      <c r="AF86">
        <f>_xlfn.XLOOKUP($B86&amp;"_"&amp;P$76,'T20_Demographic Split'!$O$4:$O$183,'T20_Demographic Split'!$P$4:$P$183)</f>
        <v>2.326691525369423E-3</v>
      </c>
    </row>
    <row r="87" spans="1:43" x14ac:dyDescent="0.25">
      <c r="B87">
        <v>36</v>
      </c>
      <c r="C87">
        <f>_xlfn.IFNA(_xlfn.XLOOKUP($B87&amp;"_"&amp;C$76,'T20_Demographic Split'!$C$4:$C$183,'T20_Demographic Split'!$D$4:$D$183),0)</f>
        <v>1.2640883648554931E-4</v>
      </c>
      <c r="D87">
        <f>_xlfn.IFNA(_xlfn.XLOOKUP($B87&amp;"_"&amp;D$76,'T20_Demographic Split'!$C$4:$C$183,'T20_Demographic Split'!$D$4:$D$183),0)</f>
        <v>1.6559965251141819E-4</v>
      </c>
      <c r="E87">
        <f>_xlfn.IFNA(_xlfn.XLOOKUP($B87&amp;"_"&amp;E$76,'T20_Demographic Split'!$C$4:$C$183,'T20_Demographic Split'!$D$4:$D$183),0)</f>
        <v>2.4178613207084159E-4</v>
      </c>
      <c r="F87">
        <f>_xlfn.IFNA(_xlfn.XLOOKUP($B87&amp;"_"&amp;F$76,'T20_Demographic Split'!$C$4:$C$183,'T20_Demographic Split'!$D$4:$D$183),0)</f>
        <v>1.9594619371337269E-4</v>
      </c>
      <c r="G87">
        <f>_xlfn.IFNA(_xlfn.XLOOKUP($B87&amp;"_"&amp;G$76,'T20_Demographic Split'!$C$4:$C$183,'T20_Demographic Split'!$D$4:$D$183),0)</f>
        <v>7.4109705636410067E-5</v>
      </c>
      <c r="H87">
        <f>_xlfn.IFNA(_xlfn.XLOOKUP($B87&amp;"_"&amp;H$76,'T20_Demographic Split'!$C$4:$C$183,'T20_Demographic Split'!$D$4:$D$183),0)</f>
        <v>0</v>
      </c>
      <c r="J87">
        <v>36</v>
      </c>
      <c r="K87">
        <f>_xlfn.XLOOKUP($B87&amp;"_"&amp;C$76,'T20_Demographic Split'!$G$4:$G$183,'T20_Demographic Split'!$H$4:$H$183)</f>
        <v>1.879184768837036E-3</v>
      </c>
      <c r="L87">
        <f>_xlfn.XLOOKUP($B87&amp;"_"&amp;D$76,'T20_Demographic Split'!$G$4:$G$183,'T20_Demographic Split'!$H$4:$H$183)</f>
        <v>2.0454541460028191E-3</v>
      </c>
      <c r="M87">
        <f>_xlfn.XLOOKUP($B87&amp;"_"&amp;E$76,'T20_Demographic Split'!$G$4:$G$183,'T20_Demographic Split'!$H$4:$H$183)</f>
        <v>3.199783063247896E-3</v>
      </c>
      <c r="N87">
        <f>_xlfn.XLOOKUP($B87&amp;"_"&amp;F$76,'T20_Demographic Split'!$G$4:$G$183,'T20_Demographic Split'!$H$4:$H$183)</f>
        <v>3.2554460928179429E-3</v>
      </c>
      <c r="O87">
        <f>_xlfn.XLOOKUP($B87&amp;"_"&amp;G$76,'T20_Demographic Split'!$G$4:$G$183,'T20_Demographic Split'!$H$4:$H$183)</f>
        <v>2.422001237747203E-3</v>
      </c>
      <c r="P87">
        <f>_xlfn.XLOOKUP($B87&amp;"_"&amp;H$76,'T20_Demographic Split'!$G$4:$G$183,'T20_Demographic Split'!$H$4:$H$183)</f>
        <v>1.74673300322603E-3</v>
      </c>
      <c r="R87">
        <v>36</v>
      </c>
      <c r="S87">
        <f>_xlfn.XLOOKUP($B87&amp;"_"&amp;C$76,'T20_Demographic Split'!$K$4:$K$183,'T20_Demographic Split'!$L$4:$L$183)</f>
        <v>4.499264366315365E-4</v>
      </c>
      <c r="T87">
        <f>_xlfn.XLOOKUP($B87&amp;"_"&amp;D$76,'T20_Demographic Split'!$K$4:$K$183,'T20_Demographic Split'!$L$4:$L$183)</f>
        <v>4.7474992135346081E-4</v>
      </c>
      <c r="U87">
        <f>_xlfn.XLOOKUP($B87&amp;"_"&amp;E$76,'T20_Demographic Split'!$K$4:$K$183,'T20_Demographic Split'!$L$4:$L$183)</f>
        <v>5.3239339218670426E-4</v>
      </c>
      <c r="V87">
        <f>_xlfn.XLOOKUP($B87&amp;"_"&amp;F$76,'T20_Demographic Split'!$K$4:$K$183,'T20_Demographic Split'!$L$4:$L$183)</f>
        <v>5.2979527843542403E-4</v>
      </c>
      <c r="W87">
        <f>_xlfn.XLOOKUP($B87&amp;"_"&amp;G$76,'T20_Demographic Split'!$K$4:$K$183,'T20_Demographic Split'!$L$4:$L$183)</f>
        <v>3.5995077444365173E-4</v>
      </c>
      <c r="X87">
        <f>_xlfn.XLOOKUP($B87&amp;"_"&amp;H$76,'T20_Demographic Split'!$K$4:$K$183,'T20_Demographic Split'!$L$4:$L$183)</f>
        <v>2.1301982003358051E-4</v>
      </c>
      <c r="Z87">
        <v>36</v>
      </c>
      <c r="AA87">
        <f>_xlfn.XLOOKUP($B87&amp;"_"&amp;K$76,'T20_Demographic Split'!$O$4:$O$183,'T20_Demographic Split'!$P$4:$P$183)</f>
        <v>2.3953095602858498E-3</v>
      </c>
      <c r="AB87">
        <f>_xlfn.XLOOKUP($B87&amp;"_"&amp;L$76,'T20_Demographic Split'!$O$4:$O$183,'T20_Demographic Split'!$P$4:$P$183)</f>
        <v>2.2398024584885331E-3</v>
      </c>
      <c r="AC87">
        <f>_xlfn.XLOOKUP($B87&amp;"_"&amp;M$76,'T20_Demographic Split'!$O$4:$O$183,'T20_Demographic Split'!$P$4:$P$183)</f>
        <v>3.003563716806875E-3</v>
      </c>
      <c r="AD87">
        <f>_xlfn.XLOOKUP($B87&amp;"_"&amp;N$76,'T20_Demographic Split'!$O$4:$O$183,'T20_Demographic Split'!$P$4:$P$183)</f>
        <v>3.1663272479375022E-3</v>
      </c>
      <c r="AE87">
        <f>_xlfn.XLOOKUP($B87&amp;"_"&amp;O$76,'T20_Demographic Split'!$O$4:$O$183,'T20_Demographic Split'!$P$4:$P$183)</f>
        <v>2.626550190803214E-3</v>
      </c>
      <c r="AF87">
        <f>_xlfn.XLOOKUP($B87&amp;"_"&amp;P$76,'T20_Demographic Split'!$O$4:$O$183,'T20_Demographic Split'!$P$4:$P$183)</f>
        <v>2.4046340147673441E-3</v>
      </c>
    </row>
    <row r="88" spans="1:43" x14ac:dyDescent="0.25">
      <c r="B88">
        <v>37</v>
      </c>
      <c r="C88">
        <f>_xlfn.IFNA(_xlfn.XLOOKUP($B88&amp;"_"&amp;C$76,'T20_Demographic Split'!$C$4:$C$183,'T20_Demographic Split'!$D$4:$D$183),0)</f>
        <v>1.2831178521556381E-4</v>
      </c>
      <c r="D88">
        <f>_xlfn.IFNA(_xlfn.XLOOKUP($B88&amp;"_"&amp;D$76,'T20_Demographic Split'!$C$4:$C$183,'T20_Demographic Split'!$D$4:$D$183),0)</f>
        <v>1.3598747419442969E-4</v>
      </c>
      <c r="E88">
        <f>_xlfn.IFNA(_xlfn.XLOOKUP($B88&amp;"_"&amp;E$76,'T20_Demographic Split'!$C$4:$C$183,'T20_Demographic Split'!$D$4:$D$183),0)</f>
        <v>2.058314319368073E-4</v>
      </c>
      <c r="F88">
        <f>_xlfn.IFNA(_xlfn.XLOOKUP($B88&amp;"_"&amp;F$76,'T20_Demographic Split'!$C$4:$C$183,'T20_Demographic Split'!$D$4:$D$183),0)</f>
        <v>1.4559318847540489E-4</v>
      </c>
      <c r="G88">
        <f>_xlfn.IFNA(_xlfn.XLOOKUP($B88&amp;"_"&amp;G$76,'T20_Demographic Split'!$C$4:$C$183,'T20_Demographic Split'!$D$4:$D$183),0)</f>
        <v>6.7101934439938479E-5</v>
      </c>
      <c r="H88">
        <f>_xlfn.IFNA(_xlfn.XLOOKUP($B88&amp;"_"&amp;H$76,'T20_Demographic Split'!$C$4:$C$183,'T20_Demographic Split'!$D$4:$D$183),0)</f>
        <v>0</v>
      </c>
      <c r="J88">
        <v>37</v>
      </c>
      <c r="K88">
        <f>_xlfn.XLOOKUP($B88&amp;"_"&amp;C$76,'T20_Demographic Split'!$G$4:$G$183,'T20_Demographic Split'!$H$4:$H$183)</f>
        <v>1.85973158963207E-3</v>
      </c>
      <c r="L88">
        <f>_xlfn.XLOOKUP($B88&amp;"_"&amp;D$76,'T20_Demographic Split'!$G$4:$G$183,'T20_Demographic Split'!$H$4:$H$183)</f>
        <v>2.0987540146178191E-3</v>
      </c>
      <c r="M88">
        <f>_xlfn.XLOOKUP($B88&amp;"_"&amp;E$76,'T20_Demographic Split'!$G$4:$G$183,'T20_Demographic Split'!$H$4:$H$183)</f>
        <v>3.014085193137065E-3</v>
      </c>
      <c r="N88">
        <f>_xlfn.XLOOKUP($B88&amp;"_"&amp;F$76,'T20_Demographic Split'!$G$4:$G$183,'T20_Demographic Split'!$H$4:$H$183)</f>
        <v>3.143577640614272E-3</v>
      </c>
      <c r="O88">
        <f>_xlfn.XLOOKUP($B88&amp;"_"&amp;G$76,'T20_Demographic Split'!$G$4:$G$183,'T20_Demographic Split'!$H$4:$H$183)</f>
        <v>2.3468830135156249E-3</v>
      </c>
      <c r="P88">
        <f>_xlfn.XLOOKUP($B88&amp;"_"&amp;H$76,'T20_Demographic Split'!$G$4:$G$183,'T20_Demographic Split'!$H$4:$H$183)</f>
        <v>1.8492204519046189E-3</v>
      </c>
      <c r="R88">
        <v>37</v>
      </c>
      <c r="S88">
        <f>_xlfn.XLOOKUP($B88&amp;"_"&amp;C$76,'T20_Demographic Split'!$K$4:$K$183,'T20_Demographic Split'!$L$4:$L$183)</f>
        <v>4.202374967104634E-4</v>
      </c>
      <c r="T88">
        <f>_xlfn.XLOOKUP($B88&amp;"_"&amp;D$76,'T20_Demographic Split'!$K$4:$K$183,'T20_Demographic Split'!$L$4:$L$183)</f>
        <v>5.399344575320171E-4</v>
      </c>
      <c r="U88">
        <f>_xlfn.XLOOKUP($B88&amp;"_"&amp;E$76,'T20_Demographic Split'!$K$4:$K$183,'T20_Demographic Split'!$L$4:$L$183)</f>
        <v>5.5615252842260903E-4</v>
      </c>
      <c r="V88">
        <f>_xlfn.XLOOKUP($B88&amp;"_"&amp;F$76,'T20_Demographic Split'!$K$4:$K$183,'T20_Demographic Split'!$L$4:$L$183)</f>
        <v>5.3479279288061476E-4</v>
      </c>
      <c r="W88">
        <f>_xlfn.XLOOKUP($B88&amp;"_"&amp;G$76,'T20_Demographic Split'!$K$4:$K$183,'T20_Demographic Split'!$L$4:$L$183)</f>
        <v>3.4960967175571222E-4</v>
      </c>
      <c r="X88">
        <f>_xlfn.XLOOKUP($B88&amp;"_"&amp;H$76,'T20_Demographic Split'!$K$4:$K$183,'T20_Demographic Split'!$L$4:$L$183)</f>
        <v>1.8842158541355309E-4</v>
      </c>
      <c r="Z88">
        <v>37</v>
      </c>
      <c r="AA88">
        <f>_xlfn.XLOOKUP($B88&amp;"_"&amp;K$76,'T20_Demographic Split'!$O$4:$O$183,'T20_Demographic Split'!$P$4:$P$183)</f>
        <v>2.3714382239489302E-3</v>
      </c>
      <c r="AB88">
        <f>_xlfn.XLOOKUP($B88&amp;"_"&amp;L$76,'T20_Demographic Split'!$O$4:$O$183,'T20_Demographic Split'!$P$4:$P$183)</f>
        <v>2.4354790978046948E-3</v>
      </c>
      <c r="AC88">
        <f>_xlfn.XLOOKUP($B88&amp;"_"&amp;M$76,'T20_Demographic Split'!$O$4:$O$183,'T20_Demographic Split'!$P$4:$P$183)</f>
        <v>3.1502979782668458E-3</v>
      </c>
      <c r="AD88">
        <f>_xlfn.XLOOKUP($B88&amp;"_"&amp;N$76,'T20_Demographic Split'!$O$4:$O$183,'T20_Demographic Split'!$P$4:$P$183)</f>
        <v>3.0111898510920571E-3</v>
      </c>
      <c r="AE88">
        <f>_xlfn.XLOOKUP($B88&amp;"_"&amp;O$76,'T20_Demographic Split'!$O$4:$O$183,'T20_Demographic Split'!$P$4:$P$183)</f>
        <v>2.6604066727121509E-3</v>
      </c>
      <c r="AF88">
        <f>_xlfn.XLOOKUP($B88&amp;"_"&amp;P$76,'T20_Demographic Split'!$O$4:$O$183,'T20_Demographic Split'!$P$4:$P$183)</f>
        <v>2.476230352078597E-3</v>
      </c>
    </row>
    <row r="89" spans="1:43" x14ac:dyDescent="0.25">
      <c r="B89">
        <v>38</v>
      </c>
      <c r="C89">
        <f>_xlfn.IFNA(_xlfn.XLOOKUP($B89&amp;"_"&amp;C$76,'T20_Demographic Split'!$C$4:$C$183,'T20_Demographic Split'!$D$4:$D$183),0)</f>
        <v>1.3953090437203081E-4</v>
      </c>
      <c r="D89">
        <f>_xlfn.IFNA(_xlfn.XLOOKUP($B89&amp;"_"&amp;D$76,'T20_Demographic Split'!$C$4:$C$183,'T20_Demographic Split'!$D$4:$D$183),0)</f>
        <v>1.238027889619938E-4</v>
      </c>
      <c r="E89">
        <f>_xlfn.IFNA(_xlfn.XLOOKUP($B89&amp;"_"&amp;E$76,'T20_Demographic Split'!$C$4:$C$183,'T20_Demographic Split'!$D$4:$D$183),0)</f>
        <v>1.5593655136780771E-4</v>
      </c>
      <c r="F89">
        <f>_xlfn.IFNA(_xlfn.XLOOKUP($B89&amp;"_"&amp;F$76,'T20_Demographic Split'!$C$4:$C$183,'T20_Demographic Split'!$D$4:$D$183),0)</f>
        <v>1.170173580825844E-4</v>
      </c>
      <c r="G89">
        <f>_xlfn.IFNA(_xlfn.XLOOKUP($B89&amp;"_"&amp;G$76,'T20_Demographic Split'!$C$4:$C$183,'T20_Demographic Split'!$D$4:$D$183),0)</f>
        <v>7.2473786826840629E-5</v>
      </c>
      <c r="H89">
        <f>_xlfn.IFNA(_xlfn.XLOOKUP($B89&amp;"_"&amp;H$76,'T20_Demographic Split'!$C$4:$C$183,'T20_Demographic Split'!$D$4:$D$183),0)</f>
        <v>0</v>
      </c>
      <c r="J89">
        <v>38</v>
      </c>
      <c r="K89">
        <f>_xlfn.XLOOKUP($B89&amp;"_"&amp;C$76,'T20_Demographic Split'!$G$4:$G$183,'T20_Demographic Split'!$H$4:$H$183)</f>
        <v>2.027820584912137E-3</v>
      </c>
      <c r="L89">
        <f>_xlfn.XLOOKUP($B89&amp;"_"&amp;D$76,'T20_Demographic Split'!$G$4:$G$183,'T20_Demographic Split'!$H$4:$H$183)</f>
        <v>2.010540252564232E-3</v>
      </c>
      <c r="M89">
        <f>_xlfn.XLOOKUP($B89&amp;"_"&amp;E$76,'T20_Demographic Split'!$G$4:$G$183,'T20_Demographic Split'!$H$4:$H$183)</f>
        <v>3.0752335202841679E-3</v>
      </c>
      <c r="N89">
        <f>_xlfn.XLOOKUP($B89&amp;"_"&amp;F$76,'T20_Demographic Split'!$G$4:$G$183,'T20_Demographic Split'!$H$4:$H$183)</f>
        <v>3.1937695413197459E-3</v>
      </c>
      <c r="O89">
        <f>_xlfn.XLOOKUP($B89&amp;"_"&amp;G$76,'T20_Demographic Split'!$G$4:$G$183,'T20_Demographic Split'!$H$4:$H$183)</f>
        <v>2.3412770398249742E-3</v>
      </c>
      <c r="P89">
        <f>_xlfn.XLOOKUP($B89&amp;"_"&amp;H$76,'T20_Demographic Split'!$G$4:$G$183,'T20_Demographic Split'!$H$4:$H$183)</f>
        <v>1.8601410962519581E-3</v>
      </c>
      <c r="R89">
        <v>38</v>
      </c>
      <c r="S89">
        <f>_xlfn.XLOOKUP($B89&amp;"_"&amp;C$76,'T20_Demographic Split'!$K$4:$K$183,'T20_Demographic Split'!$L$4:$L$183)</f>
        <v>4.5786523909007419E-4</v>
      </c>
      <c r="T89">
        <f>_xlfn.XLOOKUP($B89&amp;"_"&amp;D$76,'T20_Demographic Split'!$K$4:$K$183,'T20_Demographic Split'!$L$4:$L$183)</f>
        <v>4.3843792481105469E-4</v>
      </c>
      <c r="U89">
        <f>_xlfn.XLOOKUP($B89&amp;"_"&amp;E$76,'T20_Demographic Split'!$K$4:$K$183,'T20_Demographic Split'!$L$4:$L$183)</f>
        <v>5.4775424998320906E-4</v>
      </c>
      <c r="V89">
        <f>_xlfn.XLOOKUP($B89&amp;"_"&amp;F$76,'T20_Demographic Split'!$K$4:$K$183,'T20_Demographic Split'!$L$4:$L$183)</f>
        <v>5.1537995463574356E-4</v>
      </c>
      <c r="W89">
        <f>_xlfn.XLOOKUP($B89&amp;"_"&amp;G$76,'T20_Demographic Split'!$K$4:$K$183,'T20_Demographic Split'!$L$4:$L$183)</f>
        <v>3.4674259686256039E-4</v>
      </c>
      <c r="X89">
        <f>_xlfn.XLOOKUP($B89&amp;"_"&amp;H$76,'T20_Demographic Split'!$K$4:$K$183,'T20_Demographic Split'!$L$4:$L$183)</f>
        <v>1.8381207639087661E-4</v>
      </c>
      <c r="Z89">
        <v>38</v>
      </c>
      <c r="AA89">
        <f>_xlfn.XLOOKUP($B89&amp;"_"&amp;K$76,'T20_Demographic Split'!$O$4:$O$183,'T20_Demographic Split'!$P$4:$P$183)</f>
        <v>2.364277328674981E-3</v>
      </c>
      <c r="AB89">
        <f>_xlfn.XLOOKUP($B89&amp;"_"&amp;L$76,'T20_Demographic Split'!$O$4:$O$183,'T20_Demographic Split'!$P$4:$P$183)</f>
        <v>2.392663787215235E-3</v>
      </c>
      <c r="AC89">
        <f>_xlfn.XLOOKUP($B89&amp;"_"&amp;M$76,'T20_Demographic Split'!$O$4:$O$183,'T20_Demographic Split'!$P$4:$P$183)</f>
        <v>3.0210487108944741E-3</v>
      </c>
      <c r="AD89">
        <f>_xlfn.XLOOKUP($B89&amp;"_"&amp;N$76,'T20_Demographic Split'!$O$4:$O$183,'T20_Demographic Split'!$P$4:$P$183)</f>
        <v>2.9486162570354401E-3</v>
      </c>
      <c r="AE89">
        <f>_xlfn.XLOOKUP($B89&amp;"_"&amp;O$76,'T20_Demographic Split'!$O$4:$O$183,'T20_Demographic Split'!$P$4:$P$183)</f>
        <v>2.5717712988517541E-3</v>
      </c>
      <c r="AF89">
        <f>_xlfn.XLOOKUP($B89&amp;"_"&amp;P$76,'T20_Demographic Split'!$O$4:$O$183,'T20_Demographic Split'!$P$4:$P$183)</f>
        <v>2.5539595903329168E-3</v>
      </c>
    </row>
    <row r="90" spans="1:43" x14ac:dyDescent="0.25">
      <c r="B90">
        <v>39</v>
      </c>
      <c r="C90">
        <f>_xlfn.IFNA(_xlfn.XLOOKUP($B90&amp;"_"&amp;C$76,'T20_Demographic Split'!$C$4:$C$183,'T20_Demographic Split'!$D$4:$D$183),0)</f>
        <v>1.3063070751182941E-4</v>
      </c>
      <c r="D90">
        <f>_xlfn.IFNA(_xlfn.XLOOKUP($B90&amp;"_"&amp;D$76,'T20_Demographic Split'!$C$4:$C$183,'T20_Demographic Split'!$D$4:$D$183),0)</f>
        <v>1.0604916232317521E-4</v>
      </c>
      <c r="E90">
        <f>_xlfn.IFNA(_xlfn.XLOOKUP($B90&amp;"_"&amp;E$76,'T20_Demographic Split'!$C$4:$C$183,'T20_Demographic Split'!$D$4:$D$183),0)</f>
        <v>1.2595491716482001E-4</v>
      </c>
      <c r="F90">
        <f>_xlfn.IFNA(_xlfn.XLOOKUP($B90&amp;"_"&amp;F$76,'T20_Demographic Split'!$C$4:$C$183,'T20_Demographic Split'!$D$4:$D$183),0)</f>
        <v>1.11940726772711E-4</v>
      </c>
      <c r="G90">
        <f>_xlfn.IFNA(_xlfn.XLOOKUP($B90&amp;"_"&amp;G$76,'T20_Demographic Split'!$C$4:$C$183,'T20_Demographic Split'!$D$4:$D$183),0)</f>
        <v>6.8319270144212699E-5</v>
      </c>
      <c r="H90">
        <f>_xlfn.IFNA(_xlfn.XLOOKUP($B90&amp;"_"&amp;H$76,'T20_Demographic Split'!$C$4:$C$183,'T20_Demographic Split'!$D$4:$D$183),0)</f>
        <v>0</v>
      </c>
      <c r="J90">
        <v>39</v>
      </c>
      <c r="K90">
        <f>_xlfn.XLOOKUP($B90&amp;"_"&amp;C$76,'T20_Demographic Split'!$G$4:$G$183,'T20_Demographic Split'!$H$4:$H$183)</f>
        <v>2.040005969604491E-3</v>
      </c>
      <c r="L90">
        <f>_xlfn.XLOOKUP($B90&amp;"_"&amp;D$76,'T20_Demographic Split'!$G$4:$G$183,'T20_Demographic Split'!$H$4:$H$183)</f>
        <v>2.1099158664930279E-3</v>
      </c>
      <c r="M90">
        <f>_xlfn.XLOOKUP($B90&amp;"_"&amp;E$76,'T20_Demographic Split'!$G$4:$G$183,'T20_Demographic Split'!$H$4:$H$183)</f>
        <v>3.101657642619899E-3</v>
      </c>
      <c r="N90">
        <f>_xlfn.XLOOKUP($B90&amp;"_"&amp;F$76,'T20_Demographic Split'!$G$4:$G$183,'T20_Demographic Split'!$H$4:$H$183)</f>
        <v>3.061671306919402E-3</v>
      </c>
      <c r="O90">
        <f>_xlfn.XLOOKUP($B90&amp;"_"&amp;G$76,'T20_Demographic Split'!$G$4:$G$183,'T20_Demographic Split'!$H$4:$H$183)</f>
        <v>2.345019136662897E-3</v>
      </c>
      <c r="P90">
        <f>_xlfn.XLOOKUP($B90&amp;"_"&amp;H$76,'T20_Demographic Split'!$G$4:$G$183,'T20_Demographic Split'!$H$4:$H$183)</f>
        <v>1.928522250214769E-3</v>
      </c>
      <c r="R90">
        <v>39</v>
      </c>
      <c r="S90">
        <f>_xlfn.XLOOKUP($B90&amp;"_"&amp;C$76,'T20_Demographic Split'!$K$4:$K$183,'T20_Demographic Split'!$L$4:$L$183)</f>
        <v>4.0781998029737899E-4</v>
      </c>
      <c r="T90">
        <f>_xlfn.XLOOKUP($B90&amp;"_"&amp;D$76,'T20_Demographic Split'!$K$4:$K$183,'T20_Demographic Split'!$L$4:$L$183)</f>
        <v>4.2912207780867881E-4</v>
      </c>
      <c r="U90">
        <f>_xlfn.XLOOKUP($B90&amp;"_"&amp;E$76,'T20_Demographic Split'!$K$4:$K$183,'T20_Demographic Split'!$L$4:$L$183)</f>
        <v>4.8187739580741231E-4</v>
      </c>
      <c r="V90">
        <f>_xlfn.XLOOKUP($B90&amp;"_"&amp;F$76,'T20_Demographic Split'!$K$4:$K$183,'T20_Demographic Split'!$L$4:$L$183)</f>
        <v>4.774445714205258E-4</v>
      </c>
      <c r="W90">
        <f>_xlfn.XLOOKUP($B90&amp;"_"&amp;G$76,'T20_Demographic Split'!$K$4:$K$183,'T20_Demographic Split'!$L$4:$L$183)</f>
        <v>3.3393337484175932E-4</v>
      </c>
      <c r="X90">
        <f>_xlfn.XLOOKUP($B90&amp;"_"&amp;H$76,'T20_Demographic Split'!$K$4:$K$183,'T20_Demographic Split'!$L$4:$L$183)</f>
        <v>1.341903373842996E-4</v>
      </c>
      <c r="Z90">
        <v>39</v>
      </c>
      <c r="AA90">
        <f>_xlfn.XLOOKUP($B90&amp;"_"&amp;K$76,'T20_Demographic Split'!$O$4:$O$183,'T20_Demographic Split'!$P$4:$P$183)</f>
        <v>2.4294391592515449E-3</v>
      </c>
      <c r="AB90">
        <f>_xlfn.XLOOKUP($B90&amp;"_"&amp;L$76,'T20_Demographic Split'!$O$4:$O$183,'T20_Demographic Split'!$P$4:$P$183)</f>
        <v>2.405745691998112E-3</v>
      </c>
      <c r="AC90">
        <f>_xlfn.XLOOKUP($B90&amp;"_"&amp;M$76,'T20_Demographic Split'!$O$4:$O$183,'T20_Demographic Split'!$P$4:$P$183)</f>
        <v>2.9602035665077602E-3</v>
      </c>
      <c r="AD90">
        <f>_xlfn.XLOOKUP($B90&amp;"_"&amp;N$76,'T20_Demographic Split'!$O$4:$O$183,'T20_Demographic Split'!$P$4:$P$183)</f>
        <v>3.0151468203761492E-3</v>
      </c>
      <c r="AE90">
        <f>_xlfn.XLOOKUP($B90&amp;"_"&amp;O$76,'T20_Demographic Split'!$O$4:$O$183,'T20_Demographic Split'!$P$4:$P$183)</f>
        <v>2.6055111882337511E-3</v>
      </c>
      <c r="AF90">
        <f>_xlfn.XLOOKUP($B90&amp;"_"&amp;P$76,'T20_Demographic Split'!$O$4:$O$183,'T20_Demographic Split'!$P$4:$P$183)</f>
        <v>2.5704879552716489E-3</v>
      </c>
    </row>
    <row r="91" spans="1:43" x14ac:dyDescent="0.25">
      <c r="A91">
        <v>1</v>
      </c>
      <c r="B91">
        <v>40</v>
      </c>
      <c r="C91">
        <f>_xlfn.IFNA(_xlfn.XLOOKUP($B91&amp;"_"&amp;C$76,'T20_Demographic Split'!$C$4:$C$183,'T20_Demographic Split'!$D$4:$D$183),0)</f>
        <v>1.1544466612158569E-4</v>
      </c>
      <c r="D91">
        <f>_xlfn.IFNA(_xlfn.XLOOKUP($B91&amp;"_"&amp;D$76,'T20_Demographic Split'!$C$4:$C$183,'T20_Demographic Split'!$D$4:$D$183),0)</f>
        <v>1.198488441782253E-4</v>
      </c>
      <c r="E91">
        <f>_xlfn.IFNA(_xlfn.XLOOKUP($B91&amp;"_"&amp;E$76,'T20_Demographic Split'!$C$4:$C$183,'T20_Demographic Split'!$D$4:$D$183),0)</f>
        <v>1.0997137195877991E-4</v>
      </c>
      <c r="F91">
        <f>_xlfn.IFNA(_xlfn.XLOOKUP($B91&amp;"_"&amp;F$76,'T20_Demographic Split'!$C$4:$C$183,'T20_Demographic Split'!$D$4:$D$183),0)</f>
        <v>1.203690935820299E-4</v>
      </c>
      <c r="G91">
        <f>_xlfn.IFNA(_xlfn.XLOOKUP($B91&amp;"_"&amp;G$76,'T20_Demographic Split'!$C$4:$C$183,'T20_Demographic Split'!$D$4:$D$183),0)</f>
        <v>6.6876731625604191E-5</v>
      </c>
      <c r="H91">
        <f>_xlfn.IFNA(_xlfn.XLOOKUP($B91&amp;"_"&amp;H$76,'T20_Demographic Split'!$C$4:$C$183,'T20_Demographic Split'!$D$4:$D$183),0)</f>
        <v>0</v>
      </c>
      <c r="J91">
        <v>40</v>
      </c>
      <c r="K91">
        <f>_xlfn.XLOOKUP($B91&amp;"_"&amp;C$76,'T20_Demographic Split'!$G$4:$G$183,'T20_Demographic Split'!$H$4:$H$183)</f>
        <v>2.1893802497501441E-3</v>
      </c>
      <c r="L91">
        <f>_xlfn.XLOOKUP($B91&amp;"_"&amp;D$76,'T20_Demographic Split'!$G$4:$G$183,'T20_Demographic Split'!$H$4:$H$183)</f>
        <v>2.0173821412327831E-3</v>
      </c>
      <c r="M91">
        <f>_xlfn.XLOOKUP($B91&amp;"_"&amp;E$76,'T20_Demographic Split'!$G$4:$G$183,'T20_Demographic Split'!$H$4:$H$183)</f>
        <v>3.0415582417153168E-3</v>
      </c>
      <c r="N91">
        <f>_xlfn.XLOOKUP($B91&amp;"_"&amp;F$76,'T20_Demographic Split'!$G$4:$G$183,'T20_Demographic Split'!$H$4:$H$183)</f>
        <v>2.9954271324784021E-3</v>
      </c>
      <c r="O91">
        <f>_xlfn.XLOOKUP($B91&amp;"_"&amp;G$76,'T20_Demographic Split'!$G$4:$G$183,'T20_Demographic Split'!$H$4:$H$183)</f>
        <v>2.388886967649718E-3</v>
      </c>
      <c r="P91">
        <f>_xlfn.XLOOKUP($B91&amp;"_"&amp;H$76,'T20_Demographic Split'!$G$4:$G$183,'T20_Demographic Split'!$H$4:$H$183)</f>
        <v>1.9607502156627501E-3</v>
      </c>
      <c r="R91">
        <v>40</v>
      </c>
      <c r="S91">
        <f>_xlfn.XLOOKUP($B91&amp;"_"&amp;C$76,'T20_Demographic Split'!$K$4:$K$183,'T20_Demographic Split'!$L$4:$L$183)</f>
        <v>4.5292504785849968E-4</v>
      </c>
      <c r="T91">
        <f>_xlfn.XLOOKUP($B91&amp;"_"&amp;D$76,'T20_Demographic Split'!$K$4:$K$183,'T20_Demographic Split'!$L$4:$L$183)</f>
        <v>4.0152550000488799E-4</v>
      </c>
      <c r="U91">
        <f>_xlfn.XLOOKUP($B91&amp;"_"&amp;E$76,'T20_Demographic Split'!$K$4:$K$183,'T20_Demographic Split'!$L$4:$L$183)</f>
        <v>4.7940899222325063E-4</v>
      </c>
      <c r="V91">
        <f>_xlfn.XLOOKUP($B91&amp;"_"&amp;F$76,'T20_Demographic Split'!$K$4:$K$183,'T20_Demographic Split'!$L$4:$L$183)</f>
        <v>4.9975786755244425E-4</v>
      </c>
      <c r="W91">
        <f>_xlfn.XLOOKUP($B91&amp;"_"&amp;G$76,'T20_Demographic Split'!$K$4:$K$183,'T20_Demographic Split'!$L$4:$L$183)</f>
        <v>2.7122520225466012E-4</v>
      </c>
      <c r="X91">
        <f>_xlfn.XLOOKUP($B91&amp;"_"&amp;H$76,'T20_Demographic Split'!$K$4:$K$183,'T20_Demographic Split'!$L$4:$L$183)</f>
        <v>1.2265612823950681E-4</v>
      </c>
      <c r="Z91">
        <v>40</v>
      </c>
      <c r="AA91">
        <f>_xlfn.XLOOKUP($B91&amp;"_"&amp;K$76,'T20_Demographic Split'!$O$4:$O$183,'T20_Demographic Split'!$P$4:$P$183)</f>
        <v>2.3808117140563219E-3</v>
      </c>
      <c r="AB91">
        <f>_xlfn.XLOOKUP($B91&amp;"_"&amp;L$76,'T20_Demographic Split'!$O$4:$O$183,'T20_Demographic Split'!$P$4:$P$183)</f>
        <v>2.4313388158265139E-3</v>
      </c>
      <c r="AC91">
        <f>_xlfn.XLOOKUP($B91&amp;"_"&amp;M$76,'T20_Demographic Split'!$O$4:$O$183,'T20_Demographic Split'!$P$4:$P$183)</f>
        <v>3.0670499575278479E-3</v>
      </c>
      <c r="AD91">
        <f>_xlfn.XLOOKUP($B91&amp;"_"&amp;N$76,'T20_Demographic Split'!$O$4:$O$183,'T20_Demographic Split'!$P$4:$P$183)</f>
        <v>3.017536875506589E-3</v>
      </c>
      <c r="AE91">
        <f>_xlfn.XLOOKUP($B91&amp;"_"&amp;O$76,'T20_Demographic Split'!$O$4:$O$183,'T20_Demographic Split'!$P$4:$P$183)</f>
        <v>2.5284313658465469E-3</v>
      </c>
      <c r="AF91">
        <f>_xlfn.XLOOKUP($B91&amp;"_"&amp;P$76,'T20_Demographic Split'!$O$4:$O$183,'T20_Demographic Split'!$P$4:$P$183)</f>
        <v>2.5055753695685011E-3</v>
      </c>
    </row>
    <row r="92" spans="1:43" x14ac:dyDescent="0.25">
      <c r="B92">
        <v>41</v>
      </c>
      <c r="C92">
        <f>_xlfn.IFNA(_xlfn.XLOOKUP($B92&amp;"_"&amp;C$76,'T20_Demographic Split'!$C$4:$C$183,'T20_Demographic Split'!$D$4:$D$183),0)</f>
        <v>1.2207260436041949E-4</v>
      </c>
      <c r="D92">
        <f>_xlfn.IFNA(_xlfn.XLOOKUP($B92&amp;"_"&amp;D$76,'T20_Demographic Split'!$C$4:$C$183,'T20_Demographic Split'!$D$4:$D$183),0)</f>
        <v>9.848330375232551E-5</v>
      </c>
      <c r="E92">
        <f>_xlfn.IFNA(_xlfn.XLOOKUP($B92&amp;"_"&amp;E$76,'T20_Demographic Split'!$C$4:$C$183,'T20_Demographic Split'!$D$4:$D$183),0)</f>
        <v>1.1942059584847439E-4</v>
      </c>
      <c r="F92">
        <f>_xlfn.IFNA(_xlfn.XLOOKUP($B92&amp;"_"&amp;F$76,'T20_Demographic Split'!$C$4:$C$183,'T20_Demographic Split'!$D$4:$D$183),0)</f>
        <v>7.6026702659270267E-5</v>
      </c>
      <c r="G92">
        <f>_xlfn.IFNA(_xlfn.XLOOKUP($B92&amp;"_"&amp;G$76,'T20_Demographic Split'!$C$4:$C$183,'T20_Demographic Split'!$D$4:$D$183),0)</f>
        <v>6.2524072783411744E-5</v>
      </c>
      <c r="H92">
        <f>_xlfn.IFNA(_xlfn.XLOOKUP($B92&amp;"_"&amp;H$76,'T20_Demographic Split'!$C$4:$C$183,'T20_Demographic Split'!$D$4:$D$183),0)</f>
        <v>6.4375135101912045E-5</v>
      </c>
      <c r="J92">
        <v>41</v>
      </c>
      <c r="K92">
        <f>_xlfn.XLOOKUP($B92&amp;"_"&amp;C$76,'T20_Demographic Split'!$G$4:$G$183,'T20_Demographic Split'!$H$4:$H$183)</f>
        <v>2.0313969324383279E-3</v>
      </c>
      <c r="L92">
        <f>_xlfn.XLOOKUP($B92&amp;"_"&amp;D$76,'T20_Demographic Split'!$G$4:$G$183,'T20_Demographic Split'!$H$4:$H$183)</f>
        <v>2.118462417637957E-3</v>
      </c>
      <c r="M92">
        <f>_xlfn.XLOOKUP($B92&amp;"_"&amp;E$76,'T20_Demographic Split'!$G$4:$G$183,'T20_Demographic Split'!$H$4:$H$183)</f>
        <v>2.7463324921642778E-3</v>
      </c>
      <c r="N92">
        <f>_xlfn.XLOOKUP($B92&amp;"_"&amp;F$76,'T20_Demographic Split'!$G$4:$G$183,'T20_Demographic Split'!$H$4:$H$183)</f>
        <v>2.9531879333392101E-3</v>
      </c>
      <c r="O92">
        <f>_xlfn.XLOOKUP($B92&amp;"_"&amp;G$76,'T20_Demographic Split'!$G$4:$G$183,'T20_Demographic Split'!$H$4:$H$183)</f>
        <v>2.3809878302377329E-3</v>
      </c>
      <c r="P92">
        <f>_xlfn.XLOOKUP($B92&amp;"_"&amp;H$76,'T20_Demographic Split'!$G$4:$G$183,'T20_Demographic Split'!$H$4:$H$183)</f>
        <v>1.873570939819961E-3</v>
      </c>
      <c r="R92">
        <v>41</v>
      </c>
      <c r="S92">
        <f>_xlfn.XLOOKUP($B92&amp;"_"&amp;C$76,'T20_Demographic Split'!$K$4:$K$183,'T20_Demographic Split'!$L$4:$L$183)</f>
        <v>4.326238853947673E-4</v>
      </c>
      <c r="T92">
        <f>_xlfn.XLOOKUP($B92&amp;"_"&amp;D$76,'T20_Demographic Split'!$K$4:$K$183,'T20_Demographic Split'!$L$4:$L$183)</f>
        <v>4.1455146561950263E-4</v>
      </c>
      <c r="U92">
        <f>_xlfn.XLOOKUP($B92&amp;"_"&amp;E$76,'T20_Demographic Split'!$K$4:$K$183,'T20_Demographic Split'!$L$4:$L$183)</f>
        <v>4.5484829187209701E-4</v>
      </c>
      <c r="V92">
        <f>_xlfn.XLOOKUP($B92&amp;"_"&amp;F$76,'T20_Demographic Split'!$K$4:$K$183,'T20_Demographic Split'!$L$4:$L$183)</f>
        <v>4.2592471119595098E-4</v>
      </c>
      <c r="W92">
        <f>_xlfn.XLOOKUP($B92&amp;"_"&amp;G$76,'T20_Demographic Split'!$K$4:$K$183,'T20_Demographic Split'!$L$4:$L$183)</f>
        <v>3.1231287372965761E-4</v>
      </c>
      <c r="X92">
        <f>_xlfn.XLOOKUP($B92&amp;"_"&amp;H$76,'T20_Demographic Split'!$K$4:$K$183,'T20_Demographic Split'!$L$4:$L$183)</f>
        <v>1.7674914661529461E-4</v>
      </c>
      <c r="Z92">
        <v>41</v>
      </c>
      <c r="AA92">
        <f>_xlfn.XLOOKUP($B92&amp;"_"&amp;K$76,'T20_Demographic Split'!$O$4:$O$183,'T20_Demographic Split'!$P$4:$P$183)</f>
        <v>2.376094817685661E-3</v>
      </c>
      <c r="AB92">
        <f>_xlfn.XLOOKUP($B92&amp;"_"&amp;L$76,'T20_Demographic Split'!$O$4:$O$183,'T20_Demographic Split'!$P$4:$P$183)</f>
        <v>2.4943678162847628E-3</v>
      </c>
      <c r="AC92">
        <f>_xlfn.XLOOKUP($B92&amp;"_"&amp;M$76,'T20_Demographic Split'!$O$4:$O$183,'T20_Demographic Split'!$P$4:$P$183)</f>
        <v>2.8346638810381282E-3</v>
      </c>
      <c r="AD92">
        <f>_xlfn.XLOOKUP($B92&amp;"_"&amp;N$76,'T20_Demographic Split'!$O$4:$O$183,'T20_Demographic Split'!$P$4:$P$183)</f>
        <v>2.948620785730236E-3</v>
      </c>
      <c r="AE92">
        <f>_xlfn.XLOOKUP($B92&amp;"_"&amp;O$76,'T20_Demographic Split'!$O$4:$O$183,'T20_Demographic Split'!$P$4:$P$183)</f>
        <v>2.7137085488062292E-3</v>
      </c>
      <c r="AF92">
        <f>_xlfn.XLOOKUP($B92&amp;"_"&amp;P$76,'T20_Demographic Split'!$O$4:$O$183,'T20_Demographic Split'!$P$4:$P$183)</f>
        <v>2.5576001302199361E-3</v>
      </c>
    </row>
    <row r="93" spans="1:43" x14ac:dyDescent="0.25">
      <c r="B93">
        <v>42</v>
      </c>
      <c r="C93">
        <f>_xlfn.IFNA(_xlfn.XLOOKUP($B93&amp;"_"&amp;C$76,'T20_Demographic Split'!$C$4:$C$183,'T20_Demographic Split'!$D$4:$D$183),0)</f>
        <v>1.125613495669961E-4</v>
      </c>
      <c r="D93">
        <f>_xlfn.IFNA(_xlfn.XLOOKUP($B93&amp;"_"&amp;D$76,'T20_Demographic Split'!$C$4:$C$183,'T20_Demographic Split'!$D$4:$D$183),0)</f>
        <v>8.7956254503265572E-5</v>
      </c>
      <c r="E93">
        <f>_xlfn.IFNA(_xlfn.XLOOKUP($B93&amp;"_"&amp;E$76,'T20_Demographic Split'!$C$4:$C$183,'T20_Demographic Split'!$D$4:$D$183),0)</f>
        <v>1.430453822234558E-4</v>
      </c>
      <c r="F93">
        <f>_xlfn.IFNA(_xlfn.XLOOKUP($B93&amp;"_"&amp;F$76,'T20_Demographic Split'!$C$4:$C$183,'T20_Demographic Split'!$D$4:$D$183),0)</f>
        <v>8.9421505385830377E-5</v>
      </c>
      <c r="G93">
        <f>_xlfn.IFNA(_xlfn.XLOOKUP($B93&amp;"_"&amp;G$76,'T20_Demographic Split'!$C$4:$C$183,'T20_Demographic Split'!$D$4:$D$183),0)</f>
        <v>5.8419712795167323E-5</v>
      </c>
      <c r="H93">
        <f>_xlfn.IFNA(_xlfn.XLOOKUP($B93&amp;"_"&amp;H$76,'T20_Demographic Split'!$C$4:$C$183,'T20_Demographic Split'!$D$4:$D$183),0)</f>
        <v>6.2777940797887022E-5</v>
      </c>
      <c r="J93">
        <v>42</v>
      </c>
      <c r="K93">
        <f>_xlfn.XLOOKUP($B93&amp;"_"&amp;C$76,'T20_Demographic Split'!$G$4:$G$183,'T20_Demographic Split'!$H$4:$H$183)</f>
        <v>2.059268027513929E-3</v>
      </c>
      <c r="L93">
        <f>_xlfn.XLOOKUP($B93&amp;"_"&amp;D$76,'T20_Demographic Split'!$G$4:$G$183,'T20_Demographic Split'!$H$4:$H$183)</f>
        <v>2.16185801612851E-3</v>
      </c>
      <c r="M93">
        <f>_xlfn.XLOOKUP($B93&amp;"_"&amp;E$76,'T20_Demographic Split'!$G$4:$G$183,'T20_Demographic Split'!$H$4:$H$183)</f>
        <v>2.8039490795875562E-3</v>
      </c>
      <c r="N93">
        <f>_xlfn.XLOOKUP($B93&amp;"_"&amp;F$76,'T20_Demographic Split'!$G$4:$G$183,'T20_Demographic Split'!$H$4:$H$183)</f>
        <v>2.9933585344098751E-3</v>
      </c>
      <c r="O93">
        <f>_xlfn.XLOOKUP($B93&amp;"_"&amp;G$76,'T20_Demographic Split'!$G$4:$G$183,'T20_Demographic Split'!$H$4:$H$183)</f>
        <v>2.3860277809175821E-3</v>
      </c>
      <c r="P93">
        <f>_xlfn.XLOOKUP($B93&amp;"_"&amp;H$76,'T20_Demographic Split'!$G$4:$G$183,'T20_Demographic Split'!$H$4:$H$183)</f>
        <v>1.9857173864215711E-3</v>
      </c>
      <c r="R93">
        <v>42</v>
      </c>
      <c r="S93">
        <f>_xlfn.XLOOKUP($B93&amp;"_"&amp;C$76,'T20_Demographic Split'!$K$4:$K$183,'T20_Demographic Split'!$L$4:$L$183)</f>
        <v>4.6007741609395918E-4</v>
      </c>
      <c r="T93">
        <f>_xlfn.XLOOKUP($B93&amp;"_"&amp;D$76,'T20_Demographic Split'!$K$4:$K$183,'T20_Demographic Split'!$L$4:$L$183)</f>
        <v>3.8726176787839652E-4</v>
      </c>
      <c r="U93">
        <f>_xlfn.XLOOKUP($B93&amp;"_"&amp;E$76,'T20_Demographic Split'!$K$4:$K$183,'T20_Demographic Split'!$L$4:$L$183)</f>
        <v>5.0495198730051035E-4</v>
      </c>
      <c r="V93">
        <f>_xlfn.XLOOKUP($B93&amp;"_"&amp;F$76,'T20_Demographic Split'!$K$4:$K$183,'T20_Demographic Split'!$L$4:$L$183)</f>
        <v>4.0509326958923172E-4</v>
      </c>
      <c r="W93">
        <f>_xlfn.XLOOKUP($B93&amp;"_"&amp;G$76,'T20_Demographic Split'!$K$4:$K$183,'T20_Demographic Split'!$L$4:$L$183)</f>
        <v>3.2909047942918291E-4</v>
      </c>
      <c r="X93">
        <f>_xlfn.XLOOKUP($B93&amp;"_"&amp;H$76,'T20_Demographic Split'!$K$4:$K$183,'T20_Demographic Split'!$L$4:$L$183)</f>
        <v>1.4989403975871601E-4</v>
      </c>
      <c r="Z93">
        <v>42</v>
      </c>
      <c r="AA93">
        <f>_xlfn.XLOOKUP($B93&amp;"_"&amp;K$76,'T20_Demographic Split'!$O$4:$O$183,'T20_Demographic Split'!$P$4:$P$183)</f>
        <v>2.4590400115729969E-3</v>
      </c>
      <c r="AB93">
        <f>_xlfn.XLOOKUP($B93&amp;"_"&amp;L$76,'T20_Demographic Split'!$O$4:$O$183,'T20_Demographic Split'!$P$4:$P$183)</f>
        <v>2.418903418604948E-3</v>
      </c>
      <c r="AC93">
        <f>_xlfn.XLOOKUP($B93&amp;"_"&amp;M$76,'T20_Demographic Split'!$O$4:$O$183,'T20_Demographic Split'!$P$4:$P$183)</f>
        <v>2.966140607886227E-3</v>
      </c>
      <c r="AD93">
        <f>_xlfn.XLOOKUP($B93&amp;"_"&amp;N$76,'T20_Demographic Split'!$O$4:$O$183,'T20_Demographic Split'!$P$4:$P$183)</f>
        <v>3.0605478100890278E-3</v>
      </c>
      <c r="AE93">
        <f>_xlfn.XLOOKUP($B93&amp;"_"&amp;O$76,'T20_Demographic Split'!$O$4:$O$183,'T20_Demographic Split'!$P$4:$P$183)</f>
        <v>2.623779802773132E-3</v>
      </c>
      <c r="AF93">
        <f>_xlfn.XLOOKUP($B93&amp;"_"&amp;P$76,'T20_Demographic Split'!$O$4:$O$183,'T20_Demographic Split'!$P$4:$P$183)</f>
        <v>2.6622233364380849E-3</v>
      </c>
    </row>
    <row r="94" spans="1:43" x14ac:dyDescent="0.25">
      <c r="B94">
        <v>43</v>
      </c>
      <c r="C94">
        <f>_xlfn.IFNA(_xlfn.XLOOKUP($B94&amp;"_"&amp;C$76,'T20_Demographic Split'!$C$4:$C$183,'T20_Demographic Split'!$D$4:$D$183),0)</f>
        <v>7.5425776086990629E-5</v>
      </c>
      <c r="D94">
        <f>_xlfn.IFNA(_xlfn.XLOOKUP($B94&amp;"_"&amp;D$76,'T20_Demographic Split'!$C$4:$C$183,'T20_Demographic Split'!$D$4:$D$183),0)</f>
        <v>1.188758334364933E-4</v>
      </c>
      <c r="E94">
        <f>_xlfn.IFNA(_xlfn.XLOOKUP($B94&amp;"_"&amp;E$76,'T20_Demographic Split'!$C$4:$C$183,'T20_Demographic Split'!$D$4:$D$183),0)</f>
        <v>9.7185176790781191E-5</v>
      </c>
      <c r="F94">
        <f>_xlfn.IFNA(_xlfn.XLOOKUP($B94&amp;"_"&amp;F$76,'T20_Demographic Split'!$C$4:$C$183,'T20_Demographic Split'!$D$4:$D$183),0)</f>
        <v>8.3727519874023286E-5</v>
      </c>
      <c r="G94">
        <f>_xlfn.IFNA(_xlfn.XLOOKUP($B94&amp;"_"&amp;G$76,'T20_Demographic Split'!$C$4:$C$183,'T20_Demographic Split'!$D$4:$D$183),0)</f>
        <v>5.1660005330289517E-5</v>
      </c>
      <c r="H94">
        <f>_xlfn.IFNA(_xlfn.XLOOKUP($B94&amp;"_"&amp;H$76,'T20_Demographic Split'!$C$4:$C$183,'T20_Demographic Split'!$D$4:$D$183),0)</f>
        <v>5.2219907589681262E-5</v>
      </c>
      <c r="J94">
        <v>43</v>
      </c>
      <c r="K94">
        <f>_xlfn.XLOOKUP($B94&amp;"_"&amp;C$76,'T20_Demographic Split'!$G$4:$G$183,'T20_Demographic Split'!$H$4:$H$183)</f>
        <v>2.2355217031471051E-3</v>
      </c>
      <c r="L94">
        <f>_xlfn.XLOOKUP($B94&amp;"_"&amp;D$76,'T20_Demographic Split'!$G$4:$G$183,'T20_Demographic Split'!$H$4:$H$183)</f>
        <v>2.2148050087603629E-3</v>
      </c>
      <c r="M94">
        <f>_xlfn.XLOOKUP($B94&amp;"_"&amp;E$76,'T20_Demographic Split'!$G$4:$G$183,'T20_Demographic Split'!$H$4:$H$183)</f>
        <v>2.9775373108923571E-3</v>
      </c>
      <c r="N94">
        <f>_xlfn.XLOOKUP($B94&amp;"_"&amp;F$76,'T20_Demographic Split'!$G$4:$G$183,'T20_Demographic Split'!$H$4:$H$183)</f>
        <v>2.864279011156511E-3</v>
      </c>
      <c r="O94">
        <f>_xlfn.XLOOKUP($B94&amp;"_"&amp;G$76,'T20_Demographic Split'!$G$4:$G$183,'T20_Demographic Split'!$H$4:$H$183)</f>
        <v>2.4688538415170731E-3</v>
      </c>
      <c r="P94">
        <f>_xlfn.XLOOKUP($B94&amp;"_"&amp;H$76,'T20_Demographic Split'!$G$4:$G$183,'T20_Demographic Split'!$H$4:$H$183)</f>
        <v>2.074851804336328E-3</v>
      </c>
      <c r="R94">
        <v>43</v>
      </c>
      <c r="S94">
        <f>_xlfn.XLOOKUP($B94&amp;"_"&amp;C$76,'T20_Demographic Split'!$K$4:$K$183,'T20_Demographic Split'!$L$4:$L$183)</f>
        <v>4.5863508309304339E-4</v>
      </c>
      <c r="T94">
        <f>_xlfn.XLOOKUP($B94&amp;"_"&amp;D$76,'T20_Demographic Split'!$K$4:$K$183,'T20_Demographic Split'!$L$4:$L$183)</f>
        <v>4.4270568558477439E-4</v>
      </c>
      <c r="U94">
        <f>_xlfn.XLOOKUP($B94&amp;"_"&amp;E$76,'T20_Demographic Split'!$K$4:$K$183,'T20_Demographic Split'!$L$4:$L$183)</f>
        <v>4.2244492475562788E-4</v>
      </c>
      <c r="V94">
        <f>_xlfn.XLOOKUP($B94&amp;"_"&amp;F$76,'T20_Demographic Split'!$K$4:$K$183,'T20_Demographic Split'!$L$4:$L$183)</f>
        <v>4.3555228167611268E-4</v>
      </c>
      <c r="W94">
        <f>_xlfn.XLOOKUP($B94&amp;"_"&amp;G$76,'T20_Demographic Split'!$K$4:$K$183,'T20_Demographic Split'!$L$4:$L$183)</f>
        <v>3.4054649484828518E-4</v>
      </c>
      <c r="X94">
        <f>_xlfn.XLOOKUP($B94&amp;"_"&amp;H$76,'T20_Demographic Split'!$K$4:$K$183,'T20_Demographic Split'!$L$4:$L$183)</f>
        <v>1.3894178272605279E-4</v>
      </c>
      <c r="Z94">
        <v>43</v>
      </c>
      <c r="AA94">
        <f>_xlfn.XLOOKUP($B94&amp;"_"&amp;K$76,'T20_Demographic Split'!$O$4:$O$183,'T20_Demographic Split'!$P$4:$P$183)</f>
        <v>2.4459820189519569E-3</v>
      </c>
      <c r="AB94">
        <f>_xlfn.XLOOKUP($B94&amp;"_"&amp;L$76,'T20_Demographic Split'!$O$4:$O$183,'T20_Demographic Split'!$P$4:$P$183)</f>
        <v>2.4694085785480538E-3</v>
      </c>
      <c r="AC94">
        <f>_xlfn.XLOOKUP($B94&amp;"_"&amp;M$76,'T20_Demographic Split'!$O$4:$O$183,'T20_Demographic Split'!$P$4:$P$183)</f>
        <v>2.9090451778964639E-3</v>
      </c>
      <c r="AD94">
        <f>_xlfn.XLOOKUP($B94&amp;"_"&amp;N$76,'T20_Demographic Split'!$O$4:$O$183,'T20_Demographic Split'!$P$4:$P$183)</f>
        <v>2.986512404454307E-3</v>
      </c>
      <c r="AE94">
        <f>_xlfn.XLOOKUP($B94&amp;"_"&amp;O$76,'T20_Demographic Split'!$O$4:$O$183,'T20_Demographic Split'!$P$4:$P$183)</f>
        <v>2.6402128276934401E-3</v>
      </c>
      <c r="AF94">
        <f>_xlfn.XLOOKUP($B94&amp;"_"&amp;P$76,'T20_Demographic Split'!$O$4:$O$183,'T20_Demographic Split'!$P$4:$P$183)</f>
        <v>2.587612721816845E-3</v>
      </c>
      <c r="AJ94" t="s">
        <v>85</v>
      </c>
    </row>
    <row r="95" spans="1:43" x14ac:dyDescent="0.25">
      <c r="B95">
        <v>44</v>
      </c>
      <c r="C95">
        <f>_xlfn.IFNA(_xlfn.XLOOKUP($B95&amp;"_"&amp;C$76,'T20_Demographic Split'!$C$4:$C$183,'T20_Demographic Split'!$D$4:$D$183),0)</f>
        <v>8.2158340674050529E-5</v>
      </c>
      <c r="D95">
        <f>_xlfn.IFNA(_xlfn.XLOOKUP($B95&amp;"_"&amp;D$76,'T20_Demographic Split'!$C$4:$C$183,'T20_Demographic Split'!$D$4:$D$183),0)</f>
        <v>8.1308356265686306E-5</v>
      </c>
      <c r="E95">
        <f>_xlfn.IFNA(_xlfn.XLOOKUP($B95&amp;"_"&amp;E$76,'T20_Demographic Split'!$C$4:$C$183,'T20_Demographic Split'!$D$4:$D$183),0)</f>
        <v>8.8779529707496723E-5</v>
      </c>
      <c r="F95">
        <f>_xlfn.IFNA(_xlfn.XLOOKUP($B95&amp;"_"&amp;F$76,'T20_Demographic Split'!$C$4:$C$183,'T20_Demographic Split'!$D$4:$D$183),0)</f>
        <v>1.068857264841884E-4</v>
      </c>
      <c r="G95">
        <f>_xlfn.IFNA(_xlfn.XLOOKUP($B95&amp;"_"&amp;G$76,'T20_Demographic Split'!$C$4:$C$183,'T20_Demographic Split'!$D$4:$D$183),0)</f>
        <v>5.9651542423216059E-5</v>
      </c>
      <c r="H95">
        <f>_xlfn.IFNA(_xlfn.XLOOKUP($B95&amp;"_"&amp;H$76,'T20_Demographic Split'!$C$4:$C$183,'T20_Demographic Split'!$D$4:$D$183),0)</f>
        <v>4.5616514491830553E-5</v>
      </c>
      <c r="J95">
        <v>44</v>
      </c>
      <c r="K95">
        <f>_xlfn.XLOOKUP($B95&amp;"_"&amp;C$76,'T20_Demographic Split'!$G$4:$G$183,'T20_Demographic Split'!$H$4:$H$183)</f>
        <v>2.117740507293775E-3</v>
      </c>
      <c r="L95">
        <f>_xlfn.XLOOKUP($B95&amp;"_"&amp;D$76,'T20_Demographic Split'!$G$4:$G$183,'T20_Demographic Split'!$H$4:$H$183)</f>
        <v>2.1138628093118009E-3</v>
      </c>
      <c r="M95">
        <f>_xlfn.XLOOKUP($B95&amp;"_"&amp;E$76,'T20_Demographic Split'!$G$4:$G$183,'T20_Demographic Split'!$H$4:$H$183)</f>
        <v>2.874998742387308E-3</v>
      </c>
      <c r="N95">
        <f>_xlfn.XLOOKUP($B95&amp;"_"&amp;F$76,'T20_Demographic Split'!$G$4:$G$183,'T20_Demographic Split'!$H$4:$H$183)</f>
        <v>2.8546474761947248E-3</v>
      </c>
      <c r="O95">
        <f>_xlfn.XLOOKUP($B95&amp;"_"&amp;G$76,'T20_Demographic Split'!$G$4:$G$183,'T20_Demographic Split'!$H$4:$H$183)</f>
        <v>2.4391395078290591E-3</v>
      </c>
      <c r="P95">
        <f>_xlfn.XLOOKUP($B95&amp;"_"&amp;H$76,'T20_Demographic Split'!$G$4:$G$183,'T20_Demographic Split'!$H$4:$H$183)</f>
        <v>2.140375059425559E-3</v>
      </c>
      <c r="R95">
        <v>44</v>
      </c>
      <c r="S95">
        <f>_xlfn.XLOOKUP($B95&amp;"_"&amp;C$76,'T20_Demographic Split'!$K$4:$K$183,'T20_Demographic Split'!$L$4:$L$183)</f>
        <v>4.221819202319972E-4</v>
      </c>
      <c r="T95">
        <f>_xlfn.XLOOKUP($B95&amp;"_"&amp;D$76,'T20_Demographic Split'!$K$4:$K$183,'T20_Demographic Split'!$L$4:$L$183)</f>
        <v>4.1542557825903221E-4</v>
      </c>
      <c r="U95">
        <f>_xlfn.XLOOKUP($B95&amp;"_"&amp;E$76,'T20_Demographic Split'!$K$4:$K$183,'T20_Demographic Split'!$L$4:$L$183)</f>
        <v>4.3425802658104729E-4</v>
      </c>
      <c r="V95">
        <f>_xlfn.XLOOKUP($B95&amp;"_"&amp;F$76,'T20_Demographic Split'!$K$4:$K$183,'T20_Demographic Split'!$L$4:$L$183)</f>
        <v>4.0793954388191852E-4</v>
      </c>
      <c r="W95">
        <f>_xlfn.XLOOKUP($B95&amp;"_"&amp;G$76,'T20_Demographic Split'!$K$4:$K$183,'T20_Demographic Split'!$L$4:$L$183)</f>
        <v>3.0654786552692569E-4</v>
      </c>
      <c r="X95">
        <f>_xlfn.XLOOKUP($B95&amp;"_"&amp;H$76,'T20_Demographic Split'!$K$4:$K$183,'T20_Demographic Split'!$L$4:$L$183)</f>
        <v>1.4295255099765029E-4</v>
      </c>
      <c r="Z95">
        <v>44</v>
      </c>
      <c r="AA95">
        <f>_xlfn.XLOOKUP($B95&amp;"_"&amp;K$76,'T20_Demographic Split'!$O$4:$O$183,'T20_Demographic Split'!$P$4:$P$183)</f>
        <v>2.4006292193111821E-3</v>
      </c>
      <c r="AB95">
        <f>_xlfn.XLOOKUP($B95&amp;"_"&amp;L$76,'T20_Demographic Split'!$O$4:$O$183,'T20_Demographic Split'!$P$4:$P$183)</f>
        <v>2.4669743549143798E-3</v>
      </c>
      <c r="AC95">
        <f>_xlfn.XLOOKUP($B95&amp;"_"&amp;M$76,'T20_Demographic Split'!$O$4:$O$183,'T20_Demographic Split'!$P$4:$P$183)</f>
        <v>2.854982156209945E-3</v>
      </c>
      <c r="AD95">
        <f>_xlfn.XLOOKUP($B95&amp;"_"&amp;N$76,'T20_Demographic Split'!$O$4:$O$183,'T20_Demographic Split'!$P$4:$P$183)</f>
        <v>2.9013600234913009E-3</v>
      </c>
      <c r="AE95">
        <f>_xlfn.XLOOKUP($B95&amp;"_"&amp;O$76,'T20_Demographic Split'!$O$4:$O$183,'T20_Demographic Split'!$P$4:$P$183)</f>
        <v>2.8125557939642212E-3</v>
      </c>
      <c r="AF95">
        <f>_xlfn.XLOOKUP($B95&amp;"_"&amp;P$76,'T20_Demographic Split'!$O$4:$O$183,'T20_Demographic Split'!$P$4:$P$183)</f>
        <v>2.6862444296167349E-3</v>
      </c>
    </row>
    <row r="96" spans="1:43" x14ac:dyDescent="0.25">
      <c r="B96">
        <v>45</v>
      </c>
      <c r="C96">
        <f>_xlfn.IFNA(_xlfn.XLOOKUP($B96&amp;"_"&amp;C$76,'T20_Demographic Split'!$C$4:$C$183,'T20_Demographic Split'!$D$4:$D$183),0)</f>
        <v>8.9630047763438326E-5</v>
      </c>
      <c r="D96">
        <f>_xlfn.IFNA(_xlfn.XLOOKUP($B96&amp;"_"&amp;D$76,'T20_Demographic Split'!$C$4:$C$183,'T20_Demographic Split'!$D$4:$D$183),0)</f>
        <v>7.2799807441640695E-5</v>
      </c>
      <c r="E96">
        <f>_xlfn.IFNA(_xlfn.XLOOKUP($B96&amp;"_"&amp;E$76,'T20_Demographic Split'!$C$4:$C$183,'T20_Demographic Split'!$D$4:$D$183),0)</f>
        <v>8.7900423326665438E-5</v>
      </c>
      <c r="F96">
        <f>_xlfn.IFNA(_xlfn.XLOOKUP($B96&amp;"_"&amp;F$76,'T20_Demographic Split'!$C$4:$C$183,'T20_Demographic Split'!$D$4:$D$183),0)</f>
        <v>8.8238087636342063E-5</v>
      </c>
      <c r="G96">
        <f>_xlfn.IFNA(_xlfn.XLOOKUP($B96&amp;"_"&amp;G$76,'T20_Demographic Split'!$C$4:$C$183,'T20_Demographic Split'!$D$4:$D$183),0)</f>
        <v>5.5040882307373187E-5</v>
      </c>
      <c r="H96">
        <f>_xlfn.IFNA(_xlfn.XLOOKUP($B96&amp;"_"&amp;H$76,'T20_Demographic Split'!$C$4:$C$183,'T20_Demographic Split'!$D$4:$D$183),0)</f>
        <v>5.45475230738348E-5</v>
      </c>
      <c r="J96">
        <v>45</v>
      </c>
      <c r="K96">
        <f>_xlfn.XLOOKUP($B96&amp;"_"&amp;C$76,'T20_Demographic Split'!$G$4:$G$183,'T20_Demographic Split'!$H$4:$H$183)</f>
        <v>2.157404802242894E-3</v>
      </c>
      <c r="L96">
        <f>_xlfn.XLOOKUP($B96&amp;"_"&amp;D$76,'T20_Demographic Split'!$G$4:$G$183,'T20_Demographic Split'!$H$4:$H$183)</f>
        <v>2.1987573308182508E-3</v>
      </c>
      <c r="M96">
        <f>_xlfn.XLOOKUP($B96&amp;"_"&amp;E$76,'T20_Demographic Split'!$G$4:$G$183,'T20_Demographic Split'!$H$4:$H$183)</f>
        <v>2.7074762112878469E-3</v>
      </c>
      <c r="N96">
        <f>_xlfn.XLOOKUP($B96&amp;"_"&amp;F$76,'T20_Demographic Split'!$G$4:$G$183,'T20_Demographic Split'!$H$4:$H$183)</f>
        <v>2.8565534407863011E-3</v>
      </c>
      <c r="O96">
        <f>_xlfn.XLOOKUP($B96&amp;"_"&amp;G$76,'T20_Demographic Split'!$G$4:$G$183,'T20_Demographic Split'!$H$4:$H$183)</f>
        <v>2.397972162385075E-3</v>
      </c>
      <c r="P96">
        <f>_xlfn.XLOOKUP($B96&amp;"_"&amp;H$76,'T20_Demographic Split'!$G$4:$G$183,'T20_Demographic Split'!$H$4:$H$183)</f>
        <v>2.146823178264326E-3</v>
      </c>
      <c r="R96">
        <v>45</v>
      </c>
      <c r="S96">
        <f>_xlfn.XLOOKUP($B96&amp;"_"&amp;C$76,'T20_Demographic Split'!$K$4:$K$183,'T20_Demographic Split'!$L$4:$L$183)</f>
        <v>4.3235639881775281E-4</v>
      </c>
      <c r="T96">
        <f>_xlfn.XLOOKUP($B96&amp;"_"&amp;D$76,'T20_Demographic Split'!$K$4:$K$183,'T20_Demographic Split'!$L$4:$L$183)</f>
        <v>3.9735317075251101E-4</v>
      </c>
      <c r="U96">
        <f>_xlfn.XLOOKUP($B96&amp;"_"&amp;E$76,'T20_Demographic Split'!$K$4:$K$183,'T20_Demographic Split'!$L$4:$L$183)</f>
        <v>4.0256477308173042E-4</v>
      </c>
      <c r="V96">
        <f>_xlfn.XLOOKUP($B96&amp;"_"&amp;F$76,'T20_Demographic Split'!$K$4:$K$183,'T20_Demographic Split'!$L$4:$L$183)</f>
        <v>3.6755536717501613E-4</v>
      </c>
      <c r="W96">
        <f>_xlfn.XLOOKUP($B96&amp;"_"&amp;G$76,'T20_Demographic Split'!$K$4:$K$183,'T20_Demographic Split'!$L$4:$L$183)</f>
        <v>3.1299701924589012E-4</v>
      </c>
      <c r="X96">
        <f>_xlfn.XLOOKUP($B96&amp;"_"&amp;H$76,'T20_Demographic Split'!$K$4:$K$183,'T20_Demographic Split'!$L$4:$L$183)</f>
        <v>1.5238883854106381E-4</v>
      </c>
      <c r="Z96">
        <v>45</v>
      </c>
      <c r="AA96">
        <f>_xlfn.XLOOKUP($B96&amp;"_"&amp;K$76,'T20_Demographic Split'!$O$4:$O$183,'T20_Demographic Split'!$P$4:$P$183)</f>
        <v>2.5899724824903999E-3</v>
      </c>
      <c r="AB96">
        <f>_xlfn.XLOOKUP($B96&amp;"_"&amp;L$76,'T20_Demographic Split'!$O$4:$O$183,'T20_Demographic Split'!$P$4:$P$183)</f>
        <v>2.615018071842837E-3</v>
      </c>
      <c r="AC96">
        <f>_xlfn.XLOOKUP($B96&amp;"_"&amp;M$76,'T20_Demographic Split'!$O$4:$O$183,'T20_Demographic Split'!$P$4:$P$183)</f>
        <v>2.852429699966436E-3</v>
      </c>
      <c r="AD96">
        <f>_xlfn.XLOOKUP($B96&amp;"_"&amp;N$76,'T20_Demographic Split'!$O$4:$O$183,'T20_Demographic Split'!$P$4:$P$183)</f>
        <v>2.864652859393582E-3</v>
      </c>
      <c r="AE96">
        <f>_xlfn.XLOOKUP($B96&amp;"_"&amp;O$76,'T20_Demographic Split'!$O$4:$O$183,'T20_Demographic Split'!$P$4:$P$183)</f>
        <v>2.718791081186449E-3</v>
      </c>
      <c r="AF96">
        <f>_xlfn.XLOOKUP($B96&amp;"_"&amp;P$76,'T20_Demographic Split'!$O$4:$O$183,'T20_Demographic Split'!$P$4:$P$183)</f>
        <v>2.6640141068623412E-3</v>
      </c>
      <c r="AJ96" s="3" t="s">
        <v>81</v>
      </c>
      <c r="AK96" s="3"/>
      <c r="AL96" s="3"/>
      <c r="AM96" s="3"/>
      <c r="AN96" s="3" t="s">
        <v>82</v>
      </c>
      <c r="AO96" s="3"/>
      <c r="AP96" s="3"/>
      <c r="AQ96" s="3"/>
    </row>
    <row r="97" spans="2:43" x14ac:dyDescent="0.25">
      <c r="B97">
        <v>46</v>
      </c>
      <c r="C97">
        <f>_xlfn.IFNA(_xlfn.XLOOKUP($B97&amp;"_"&amp;C$76,'T20_Demographic Split'!$C$4:$C$183,'T20_Demographic Split'!$D$4:$D$183),0)</f>
        <v>7.3527195961209515E-5</v>
      </c>
      <c r="D97">
        <f>_xlfn.IFNA(_xlfn.XLOOKUP($B97&amp;"_"&amp;D$76,'T20_Demographic Split'!$C$4:$C$183,'T20_Demographic Split'!$D$4:$D$183),0)</f>
        <v>7.9546591917270407E-5</v>
      </c>
      <c r="E97">
        <f>_xlfn.IFNA(_xlfn.XLOOKUP($B97&amp;"_"&amp;E$76,'T20_Demographic Split'!$C$4:$C$183,'T20_Demographic Split'!$D$4:$D$183),0)</f>
        <v>6.6115646731355128E-5</v>
      </c>
      <c r="F97">
        <f>_xlfn.IFNA(_xlfn.XLOOKUP($B97&amp;"_"&amp;F$76,'T20_Demographic Split'!$C$4:$C$183,'T20_Demographic Split'!$D$4:$D$183),0)</f>
        <v>8.546284300402183E-5</v>
      </c>
      <c r="G97">
        <f>_xlfn.IFNA(_xlfn.XLOOKUP($B97&amp;"_"&amp;G$76,'T20_Demographic Split'!$C$4:$C$183,'T20_Demographic Split'!$D$4:$D$183),0)</f>
        <v>4.0987046338758649E-5</v>
      </c>
      <c r="H97">
        <f>_xlfn.IFNA(_xlfn.XLOOKUP($B97&amp;"_"&amp;H$76,'T20_Demographic Split'!$C$4:$C$183,'T20_Demographic Split'!$D$4:$D$183),0)</f>
        <v>3.7230355542406688E-5</v>
      </c>
      <c r="J97">
        <v>46</v>
      </c>
      <c r="K97">
        <f>_xlfn.XLOOKUP($B97&amp;"_"&amp;C$76,'T20_Demographic Split'!$G$4:$G$183,'T20_Demographic Split'!$H$4:$H$183)</f>
        <v>2.2137079567868668E-3</v>
      </c>
      <c r="L97">
        <f>_xlfn.XLOOKUP($B97&amp;"_"&amp;D$76,'T20_Demographic Split'!$G$4:$G$183,'T20_Demographic Split'!$H$4:$H$183)</f>
        <v>2.2096087940284121E-3</v>
      </c>
      <c r="M97">
        <f>_xlfn.XLOOKUP($B97&amp;"_"&amp;E$76,'T20_Demographic Split'!$G$4:$G$183,'T20_Demographic Split'!$H$4:$H$183)</f>
        <v>2.8259902966643979E-3</v>
      </c>
      <c r="N97">
        <f>_xlfn.XLOOKUP($B97&amp;"_"&amp;F$76,'T20_Demographic Split'!$G$4:$G$183,'T20_Demographic Split'!$H$4:$H$183)</f>
        <v>2.7040811613396431E-3</v>
      </c>
      <c r="O97">
        <f>_xlfn.XLOOKUP($B97&amp;"_"&amp;G$76,'T20_Demographic Split'!$G$4:$G$183,'T20_Demographic Split'!$H$4:$H$183)</f>
        <v>2.2937849595587741E-3</v>
      </c>
      <c r="P97">
        <f>_xlfn.XLOOKUP($B97&amp;"_"&amp;H$76,'T20_Demographic Split'!$G$4:$G$183,'T20_Demographic Split'!$H$4:$H$183)</f>
        <v>2.0814577334135778E-3</v>
      </c>
      <c r="R97">
        <v>46</v>
      </c>
      <c r="S97">
        <f>_xlfn.XLOOKUP($B97&amp;"_"&amp;C$76,'T20_Demographic Split'!$K$4:$K$183,'T20_Demographic Split'!$L$4:$L$183)</f>
        <v>4.1488109936222968E-4</v>
      </c>
      <c r="T97">
        <f>_xlfn.XLOOKUP($B97&amp;"_"&amp;D$76,'T20_Demographic Split'!$K$4:$K$183,'T20_Demographic Split'!$L$4:$L$183)</f>
        <v>4.4550946059071831E-4</v>
      </c>
      <c r="U97">
        <f>_xlfn.XLOOKUP($B97&amp;"_"&amp;E$76,'T20_Demographic Split'!$K$4:$K$183,'T20_Demographic Split'!$L$4:$L$183)</f>
        <v>4.468325877631754E-4</v>
      </c>
      <c r="V97">
        <f>_xlfn.XLOOKUP($B97&amp;"_"&amp;F$76,'T20_Demographic Split'!$K$4:$K$183,'T20_Demographic Split'!$L$4:$L$183)</f>
        <v>3.6187981193700939E-4</v>
      </c>
      <c r="W97">
        <f>_xlfn.XLOOKUP($B97&amp;"_"&amp;G$76,'T20_Demographic Split'!$K$4:$K$183,'T20_Demographic Split'!$L$4:$L$183)</f>
        <v>2.8637819687802208E-4</v>
      </c>
      <c r="X97">
        <f>_xlfn.XLOOKUP($B97&amp;"_"&amp;H$76,'T20_Demographic Split'!$K$4:$K$183,'T20_Demographic Split'!$L$4:$L$183)</f>
        <v>1.138685558357634E-4</v>
      </c>
      <c r="Z97">
        <v>46</v>
      </c>
      <c r="AA97">
        <f>_xlfn.XLOOKUP($B97&amp;"_"&amp;K$76,'T20_Demographic Split'!$O$4:$O$183,'T20_Demographic Split'!$P$4:$P$183)</f>
        <v>2.545797815995655E-3</v>
      </c>
      <c r="AB97">
        <f>_xlfn.XLOOKUP($B97&amp;"_"&amp;L$76,'T20_Demographic Split'!$O$4:$O$183,'T20_Demographic Split'!$P$4:$P$183)</f>
        <v>2.3995011103426678E-3</v>
      </c>
      <c r="AC97">
        <f>_xlfn.XLOOKUP($B97&amp;"_"&amp;M$76,'T20_Demographic Split'!$O$4:$O$183,'T20_Demographic Split'!$P$4:$P$183)</f>
        <v>2.8296674297152262E-3</v>
      </c>
      <c r="AD97">
        <f>_xlfn.XLOOKUP($B97&amp;"_"&amp;N$76,'T20_Demographic Split'!$O$4:$O$183,'T20_Demographic Split'!$P$4:$P$183)</f>
        <v>2.9300176653621049E-3</v>
      </c>
      <c r="AE97">
        <f>_xlfn.XLOOKUP($B97&amp;"_"&amp;O$76,'T20_Demographic Split'!$O$4:$O$183,'T20_Demographic Split'!$P$4:$P$183)</f>
        <v>2.694246676267862E-3</v>
      </c>
      <c r="AF97">
        <f>_xlfn.XLOOKUP($B97&amp;"_"&amp;P$76,'T20_Demographic Split'!$O$4:$O$183,'T20_Demographic Split'!$P$4:$P$183)</f>
        <v>2.7348623508958699E-3</v>
      </c>
      <c r="AJ97" t="s">
        <v>67</v>
      </c>
      <c r="AK97" t="s">
        <v>68</v>
      </c>
      <c r="AL97" t="s">
        <v>69</v>
      </c>
      <c r="AM97" t="s">
        <v>70</v>
      </c>
      <c r="AN97" t="s">
        <v>67</v>
      </c>
      <c r="AO97" t="s">
        <v>68</v>
      </c>
      <c r="AP97" t="s">
        <v>69</v>
      </c>
      <c r="AQ97" t="s">
        <v>71</v>
      </c>
    </row>
    <row r="98" spans="2:43" x14ac:dyDescent="0.25">
      <c r="B98">
        <v>47</v>
      </c>
      <c r="C98">
        <f>_xlfn.IFNA(_xlfn.XLOOKUP($B98&amp;"_"&amp;C$76,'T20_Demographic Split'!$C$4:$C$183,'T20_Demographic Split'!$D$4:$D$183),0)</f>
        <v>9.4051514331838063E-5</v>
      </c>
      <c r="D98">
        <f>_xlfn.IFNA(_xlfn.XLOOKUP($B98&amp;"_"&amp;D$76,'T20_Demographic Split'!$C$4:$C$183,'T20_Demographic Split'!$D$4:$D$183),0)</f>
        <v>7.8815157144188907E-5</v>
      </c>
      <c r="E98">
        <f>_xlfn.IFNA(_xlfn.XLOOKUP($B98&amp;"_"&amp;E$76,'T20_Demographic Split'!$C$4:$C$183,'T20_Demographic Split'!$D$4:$D$183),0)</f>
        <v>9.7347050430966344E-5</v>
      </c>
      <c r="F98">
        <f>_xlfn.IFNA(_xlfn.XLOOKUP($B98&amp;"_"&amp;F$76,'T20_Demographic Split'!$C$4:$C$183,'T20_Demographic Split'!$D$4:$D$183),0)</f>
        <v>5.9714257991969481E-5</v>
      </c>
      <c r="G98">
        <f>_xlfn.IFNA(_xlfn.XLOOKUP($B98&amp;"_"&amp;G$76,'T20_Demographic Split'!$C$4:$C$183,'T20_Demographic Split'!$D$4:$D$183),0)</f>
        <v>7.6152622602362446E-5</v>
      </c>
      <c r="H98">
        <f>_xlfn.IFNA(_xlfn.XLOOKUP($B98&amp;"_"&amp;H$76,'T20_Demographic Split'!$C$4:$C$183,'T20_Demographic Split'!$D$4:$D$183),0)</f>
        <v>3.9997353311938601E-5</v>
      </c>
      <c r="J98">
        <v>47</v>
      </c>
      <c r="K98">
        <f>_xlfn.XLOOKUP($B98&amp;"_"&amp;C$76,'T20_Demographic Split'!$G$4:$G$183,'T20_Demographic Split'!$H$4:$H$183)</f>
        <v>2.2910158166195649E-3</v>
      </c>
      <c r="L98">
        <f>_xlfn.XLOOKUP($B98&amp;"_"&amp;D$76,'T20_Demographic Split'!$G$4:$G$183,'T20_Demographic Split'!$H$4:$H$183)</f>
        <v>2.2907538615760531E-3</v>
      </c>
      <c r="M98">
        <f>_xlfn.XLOOKUP($B98&amp;"_"&amp;E$76,'T20_Demographic Split'!$G$4:$G$183,'T20_Demographic Split'!$H$4:$H$183)</f>
        <v>2.7558094889331901E-3</v>
      </c>
      <c r="N98">
        <f>_xlfn.XLOOKUP($B98&amp;"_"&amp;F$76,'T20_Demographic Split'!$G$4:$G$183,'T20_Demographic Split'!$H$4:$H$183)</f>
        <v>2.8652196027631918E-3</v>
      </c>
      <c r="O98">
        <f>_xlfn.XLOOKUP($B98&amp;"_"&amp;G$76,'T20_Demographic Split'!$G$4:$G$183,'T20_Demographic Split'!$H$4:$H$183)</f>
        <v>2.4640502414295341E-3</v>
      </c>
      <c r="P98">
        <f>_xlfn.XLOOKUP($B98&amp;"_"&amp;H$76,'T20_Demographic Split'!$G$4:$G$183,'T20_Demographic Split'!$H$4:$H$183)</f>
        <v>2.2408917567794239E-3</v>
      </c>
      <c r="R98">
        <v>47</v>
      </c>
      <c r="S98">
        <f>_xlfn.XLOOKUP($B98&amp;"_"&amp;C$76,'T20_Demographic Split'!$K$4:$K$183,'T20_Demographic Split'!$L$4:$L$183)</f>
        <v>3.5763963889864372E-4</v>
      </c>
      <c r="T98">
        <f>_xlfn.XLOOKUP($B98&amp;"_"&amp;D$76,'T20_Demographic Split'!$K$4:$K$183,'T20_Demographic Split'!$L$4:$L$183)</f>
        <v>4.2384591630671058E-4</v>
      </c>
      <c r="U98">
        <f>_xlfn.XLOOKUP($B98&amp;"_"&amp;E$76,'T20_Demographic Split'!$K$4:$K$183,'T20_Demographic Split'!$L$4:$L$183)</f>
        <v>4.0128879649063091E-4</v>
      </c>
      <c r="V98">
        <f>_xlfn.XLOOKUP($B98&amp;"_"&amp;F$76,'T20_Demographic Split'!$K$4:$K$183,'T20_Demographic Split'!$L$4:$L$183)</f>
        <v>4.1174743282245232E-4</v>
      </c>
      <c r="W98">
        <f>_xlfn.XLOOKUP($B98&amp;"_"&amp;G$76,'T20_Demographic Split'!$K$4:$K$183,'T20_Demographic Split'!$L$4:$L$183)</f>
        <v>2.7577607176925421E-4</v>
      </c>
      <c r="X98">
        <f>_xlfn.XLOOKUP($B98&amp;"_"&amp;H$76,'T20_Demographic Split'!$K$4:$K$183,'T20_Demographic Split'!$L$4:$L$183)</f>
        <v>1.6531019678359739E-4</v>
      </c>
      <c r="Z98">
        <v>47</v>
      </c>
      <c r="AA98">
        <f>_xlfn.XLOOKUP($B98&amp;"_"&amp;K$76,'T20_Demographic Split'!$O$4:$O$183,'T20_Demographic Split'!$P$4:$P$183)</f>
        <v>2.699054693122475E-3</v>
      </c>
      <c r="AB98">
        <f>_xlfn.XLOOKUP($B98&amp;"_"&amp;L$76,'T20_Demographic Split'!$O$4:$O$183,'T20_Demographic Split'!$P$4:$P$183)</f>
        <v>2.4559527697490188E-3</v>
      </c>
      <c r="AC98">
        <f>_xlfn.XLOOKUP($B98&amp;"_"&amp;M$76,'T20_Demographic Split'!$O$4:$O$183,'T20_Demographic Split'!$P$4:$P$183)</f>
        <v>2.7909428356948408E-3</v>
      </c>
      <c r="AD98">
        <f>_xlfn.XLOOKUP($B98&amp;"_"&amp;N$76,'T20_Demographic Split'!$O$4:$O$183,'T20_Demographic Split'!$P$4:$P$183)</f>
        <v>2.8656757735187281E-3</v>
      </c>
      <c r="AE98">
        <f>_xlfn.XLOOKUP($B98&amp;"_"&amp;O$76,'T20_Demographic Split'!$O$4:$O$183,'T20_Demographic Split'!$P$4:$P$183)</f>
        <v>2.7330296244005049E-3</v>
      </c>
      <c r="AF98">
        <f>_xlfn.XLOOKUP($B98&amp;"_"&amp;P$76,'T20_Demographic Split'!$O$4:$O$183,'T20_Demographic Split'!$P$4:$P$183)</f>
        <v>2.661740789581468E-3</v>
      </c>
      <c r="AI98">
        <v>2024</v>
      </c>
      <c r="AJ98">
        <f>SUMPRODUCT($C$77:$H$106,Output_1_0_1!$S$3:$X$32)</f>
        <v>8.6815569310946621E-4</v>
      </c>
      <c r="AK98">
        <f>SUMPRODUCT($K$77:$P$106,Output_1_0_0!$S$3:$X$32)</f>
        <v>1.7481035029737493E-2</v>
      </c>
      <c r="AL98">
        <f>SUMPRODUCT($S$77:$X$106,Output_1_1_1!$S$3:$X$32)</f>
        <v>2.8148022436370523E-3</v>
      </c>
      <c r="AM98">
        <f>SUMPRODUCT($AA$77:$AF$106,Output_1_1_0!$S$3:$X$32)</f>
        <v>1.8633031417354576E-2</v>
      </c>
      <c r="AN98" t="e">
        <f>SUMPRODUCT($C$77:$H$106,#REF!)</f>
        <v>#REF!</v>
      </c>
      <c r="AO98" t="e">
        <f>SUMPRODUCT($K$77:$P$106,#REF!)</f>
        <v>#REF!</v>
      </c>
      <c r="AP98" t="e">
        <f>SUMPRODUCT($S$77:$X$106,#REF!)</f>
        <v>#REF!</v>
      </c>
      <c r="AQ98" t="e">
        <f>SUMPRODUCT($AA$77:$AF$106,#REF!)</f>
        <v>#REF!</v>
      </c>
    </row>
    <row r="99" spans="2:43" x14ac:dyDescent="0.25">
      <c r="B99">
        <v>48</v>
      </c>
      <c r="C99">
        <f>_xlfn.IFNA(_xlfn.XLOOKUP($B99&amp;"_"&amp;C$76,'T20_Demographic Split'!$C$4:$C$183,'T20_Demographic Split'!$D$4:$D$183),0)</f>
        <v>1.658252038025138E-4</v>
      </c>
      <c r="D99">
        <f>_xlfn.IFNA(_xlfn.XLOOKUP($B99&amp;"_"&amp;D$76,'T20_Demographic Split'!$C$4:$C$183,'T20_Demographic Split'!$D$4:$D$183),0)</f>
        <v>6.5072457663261851E-5</v>
      </c>
      <c r="E99">
        <f>_xlfn.IFNA(_xlfn.XLOOKUP($B99&amp;"_"&amp;E$76,'T20_Demographic Split'!$C$4:$C$183,'T20_Demographic Split'!$D$4:$D$183),0)</f>
        <v>8.5817844655260863E-5</v>
      </c>
      <c r="F99">
        <f>_xlfn.IFNA(_xlfn.XLOOKUP($B99&amp;"_"&amp;F$76,'T20_Demographic Split'!$C$4:$C$183,'T20_Demographic Split'!$D$4:$D$183),0)</f>
        <v>7.2429249624211527E-5</v>
      </c>
      <c r="G99">
        <f>_xlfn.IFNA(_xlfn.XLOOKUP($B99&amp;"_"&amp;G$76,'T20_Demographic Split'!$C$4:$C$183,'T20_Demographic Split'!$D$4:$D$183),0)</f>
        <v>5.3866645836789873E-5</v>
      </c>
      <c r="H99">
        <f>_xlfn.IFNA(_xlfn.XLOOKUP($B99&amp;"_"&amp;H$76,'T20_Demographic Split'!$C$4:$C$183,'T20_Demographic Split'!$D$4:$D$183),0)</f>
        <v>6.5460430564075862E-5</v>
      </c>
      <c r="J99">
        <v>48</v>
      </c>
      <c r="K99">
        <f>_xlfn.XLOOKUP($B99&amp;"_"&amp;C$76,'T20_Demographic Split'!$G$4:$G$183,'T20_Demographic Split'!$H$4:$H$183)</f>
        <v>2.4454145493867829E-3</v>
      </c>
      <c r="L99">
        <f>_xlfn.XLOOKUP($B99&amp;"_"&amp;D$76,'T20_Demographic Split'!$G$4:$G$183,'T20_Demographic Split'!$H$4:$H$183)</f>
        <v>2.2718926933174709E-3</v>
      </c>
      <c r="M99">
        <f>_xlfn.XLOOKUP($B99&amp;"_"&amp;E$76,'T20_Demographic Split'!$G$4:$G$183,'T20_Demographic Split'!$H$4:$H$183)</f>
        <v>2.72354897918504E-3</v>
      </c>
      <c r="N99">
        <f>_xlfn.XLOOKUP($B99&amp;"_"&amp;F$76,'T20_Demographic Split'!$G$4:$G$183,'T20_Demographic Split'!$H$4:$H$183)</f>
        <v>2.7847363881530729E-3</v>
      </c>
      <c r="O99">
        <f>_xlfn.XLOOKUP($B99&amp;"_"&amp;G$76,'T20_Demographic Split'!$G$4:$G$183,'T20_Demographic Split'!$H$4:$H$183)</f>
        <v>2.3322981744244419E-3</v>
      </c>
      <c r="P99">
        <f>_xlfn.XLOOKUP($B99&amp;"_"&amp;H$76,'T20_Demographic Split'!$G$4:$G$183,'T20_Demographic Split'!$H$4:$H$183)</f>
        <v>2.191426142121328E-3</v>
      </c>
      <c r="R99">
        <v>48</v>
      </c>
      <c r="S99">
        <f>_xlfn.XLOOKUP($B99&amp;"_"&amp;C$76,'T20_Demographic Split'!$K$4:$K$183,'T20_Demographic Split'!$L$4:$L$183)</f>
        <v>3.4128666431088581E-4</v>
      </c>
      <c r="T99">
        <f>_xlfn.XLOOKUP($B99&amp;"_"&amp;D$76,'T20_Demographic Split'!$K$4:$K$183,'T20_Demographic Split'!$L$4:$L$183)</f>
        <v>3.4337003440270412E-4</v>
      </c>
      <c r="U99">
        <f>_xlfn.XLOOKUP($B99&amp;"_"&amp;E$76,'T20_Demographic Split'!$K$4:$K$183,'T20_Demographic Split'!$L$4:$L$183)</f>
        <v>3.7407683208964858E-4</v>
      </c>
      <c r="V99">
        <f>_xlfn.XLOOKUP($B99&amp;"_"&amp;F$76,'T20_Demographic Split'!$K$4:$K$183,'T20_Demographic Split'!$L$4:$L$183)</f>
        <v>3.4890175869340838E-4</v>
      </c>
      <c r="W99">
        <f>_xlfn.XLOOKUP($B99&amp;"_"&amp;G$76,'T20_Demographic Split'!$K$4:$K$183,'T20_Demographic Split'!$L$4:$L$183)</f>
        <v>2.3884537508358611E-4</v>
      </c>
      <c r="X99">
        <f>_xlfn.XLOOKUP($B99&amp;"_"&amp;H$76,'T20_Demographic Split'!$K$4:$K$183,'T20_Demographic Split'!$L$4:$L$183)</f>
        <v>1.2772848568235099E-4</v>
      </c>
      <c r="Z99">
        <v>48</v>
      </c>
      <c r="AA99">
        <f>_xlfn.XLOOKUP($B99&amp;"_"&amp;K$76,'T20_Demographic Split'!$O$4:$O$183,'T20_Demographic Split'!$P$4:$P$183)</f>
        <v>2.6171873719692991E-3</v>
      </c>
      <c r="AB99">
        <f>_xlfn.XLOOKUP($B99&amp;"_"&amp;L$76,'T20_Demographic Split'!$O$4:$O$183,'T20_Demographic Split'!$P$4:$P$183)</f>
        <v>2.456358409470612E-3</v>
      </c>
      <c r="AC99">
        <f>_xlfn.XLOOKUP($B99&amp;"_"&amp;M$76,'T20_Demographic Split'!$O$4:$O$183,'T20_Demographic Split'!$P$4:$P$183)</f>
        <v>2.937448749335856E-3</v>
      </c>
      <c r="AD99">
        <f>_xlfn.XLOOKUP($B99&amp;"_"&amp;N$76,'T20_Demographic Split'!$O$4:$O$183,'T20_Demographic Split'!$P$4:$P$183)</f>
        <v>2.88534049584919E-3</v>
      </c>
      <c r="AE99">
        <f>_xlfn.XLOOKUP($B99&amp;"_"&amp;O$76,'T20_Demographic Split'!$O$4:$O$183,'T20_Demographic Split'!$P$4:$P$183)</f>
        <v>2.8506356224505978E-3</v>
      </c>
      <c r="AF99">
        <f>_xlfn.XLOOKUP($B99&amp;"_"&amp;P$76,'T20_Demographic Split'!$O$4:$O$183,'T20_Demographic Split'!$P$4:$P$183)</f>
        <v>2.762924429929921E-3</v>
      </c>
      <c r="AI99">
        <v>2025</v>
      </c>
      <c r="AJ99" t="e">
        <f ca="1">SUMPRODUCT($C$77:$H$106,(OFFSET(Output_1_0_1!$S$3,67*(ROW(#REF!)-44),0):OFFSET(Output_1_0_1!$X$32,67*(ROW(#REF!)-44),0)))*#REF!</f>
        <v>#REF!</v>
      </c>
      <c r="AK99" t="e">
        <f ca="1">SUMPRODUCT($C$77:$H$106,(OFFSET(Output_1_0_0!$S$3,67*(ROW(#REF!)-44),0):OFFSET(Output_1_0_0!$X$32,67*(ROW(#REF!)-44),0)))*#REF!</f>
        <v>#REF!</v>
      </c>
      <c r="AL99" t="e">
        <f ca="1">SUMPRODUCT($C$77:$H$106,(OFFSET(Output_1_1_1!$S$3,67*(ROW(#REF!)-44),0):OFFSET(Output_1_1_1!$X$32,67*(ROW(#REF!)-44),0)))*#REF!</f>
        <v>#REF!</v>
      </c>
      <c r="AM99" t="e">
        <f ca="1">SUMPRODUCT($C$77:$H$106,(OFFSET(Output_1_1_0!$S$3,67*(ROW(#REF!)-44),0):OFFSET(Output_1_1_0!$X$32,67*(ROW(#REF!)-44),0)))*#REF!</f>
        <v>#REF!</v>
      </c>
      <c r="AN99" t="e">
        <f ca="1">SUMPRODUCT($C$77:$H$106,(OFFSET(#REF!,67*(ROW(#REF!)-44),0):OFFSET(#REF!,67*(ROW(#REF!)-44),0)))*#REF!</f>
        <v>#REF!</v>
      </c>
      <c r="AO99" t="e">
        <f ca="1">SUMPRODUCT($C$77:$H$106,(OFFSET(#REF!,67*(ROW(#REF!)-44),0):OFFSET(#REF!,67*(ROW(#REF!)-44),0)))*#REF!</f>
        <v>#REF!</v>
      </c>
      <c r="AP99" t="e">
        <f ca="1">SUMPRODUCT($C$77:$H$106,(OFFSET(#REF!,67*(ROW(#REF!)-44),0):OFFSET(#REF!,67*(ROW(#REF!)-44),0)))*#REF!</f>
        <v>#REF!</v>
      </c>
      <c r="AQ99" t="e">
        <f ca="1">SUMPRODUCT($C$77:$H$106,(OFFSET(#REF!,67*(ROW(#REF!)-44),0):OFFSET(#REF!,67*(ROW(#REF!)-44),0)))*#REF!</f>
        <v>#REF!</v>
      </c>
    </row>
    <row r="100" spans="2:43" x14ac:dyDescent="0.25">
      <c r="B100">
        <v>49</v>
      </c>
      <c r="C100">
        <f>_xlfn.IFNA(_xlfn.XLOOKUP($B100&amp;"_"&amp;C$76,'T20_Demographic Split'!$C$4:$C$183,'T20_Demographic Split'!$D$4:$D$183),0)</f>
        <v>7.0468185760599872E-5</v>
      </c>
      <c r="D100">
        <f>_xlfn.IFNA(_xlfn.XLOOKUP($B100&amp;"_"&amp;D$76,'T20_Demographic Split'!$C$4:$C$183,'T20_Demographic Split'!$D$4:$D$183),0)</f>
        <v>8.7539769689283015E-5</v>
      </c>
      <c r="E100">
        <f>_xlfn.IFNA(_xlfn.XLOOKUP($B100&amp;"_"&amp;E$76,'T20_Demographic Split'!$C$4:$C$183,'T20_Demographic Split'!$D$4:$D$183),0)</f>
        <v>8.9352309913102675E-5</v>
      </c>
      <c r="F100">
        <f>_xlfn.IFNA(_xlfn.XLOOKUP($B100&amp;"_"&amp;F$76,'T20_Demographic Split'!$C$4:$C$183,'T20_Demographic Split'!$D$4:$D$183),0)</f>
        <v>6.1586906895442304E-5</v>
      </c>
      <c r="G100">
        <f>_xlfn.IFNA(_xlfn.XLOOKUP($B100&amp;"_"&amp;G$76,'T20_Demographic Split'!$C$4:$C$183,'T20_Demographic Split'!$D$4:$D$183),0)</f>
        <v>7.9782398859715848E-5</v>
      </c>
      <c r="H100">
        <f>_xlfn.IFNA(_xlfn.XLOOKUP($B100&amp;"_"&amp;H$76,'T20_Demographic Split'!$C$4:$C$183,'T20_Demographic Split'!$D$4:$D$183),0)</f>
        <v>5.0544356341358238E-5</v>
      </c>
      <c r="J100">
        <v>49</v>
      </c>
      <c r="K100">
        <f>_xlfn.XLOOKUP($B100&amp;"_"&amp;C$76,'T20_Demographic Split'!$G$4:$G$183,'T20_Demographic Split'!$H$4:$H$183)</f>
        <v>2.2154741823945771E-3</v>
      </c>
      <c r="L100">
        <f>_xlfn.XLOOKUP($B100&amp;"_"&amp;D$76,'T20_Demographic Split'!$G$4:$G$183,'T20_Demographic Split'!$H$4:$H$183)</f>
        <v>2.3846682383825871E-3</v>
      </c>
      <c r="M100">
        <f>_xlfn.XLOOKUP($B100&amp;"_"&amp;E$76,'T20_Demographic Split'!$G$4:$G$183,'T20_Demographic Split'!$H$4:$H$183)</f>
        <v>2.702183325073596E-3</v>
      </c>
      <c r="N100">
        <f>_xlfn.XLOOKUP($B100&amp;"_"&amp;F$76,'T20_Demographic Split'!$G$4:$G$183,'T20_Demographic Split'!$H$4:$H$183)</f>
        <v>2.5626061505264661E-3</v>
      </c>
      <c r="O100">
        <f>_xlfn.XLOOKUP($B100&amp;"_"&amp;G$76,'T20_Demographic Split'!$G$4:$G$183,'T20_Demographic Split'!$H$4:$H$183)</f>
        <v>2.4202825670278099E-3</v>
      </c>
      <c r="P100">
        <f>_xlfn.XLOOKUP($B100&amp;"_"&amp;H$76,'T20_Demographic Split'!$G$4:$G$183,'T20_Demographic Split'!$H$4:$H$183)</f>
        <v>2.2884336908866182E-3</v>
      </c>
      <c r="R100">
        <v>49</v>
      </c>
      <c r="S100">
        <f>_xlfn.XLOOKUP($B100&amp;"_"&amp;C$76,'T20_Demographic Split'!$K$4:$K$183,'T20_Demographic Split'!$L$4:$L$183)</f>
        <v>3.597545028216161E-4</v>
      </c>
      <c r="T100">
        <f>_xlfn.XLOOKUP($B100&amp;"_"&amp;D$76,'T20_Demographic Split'!$K$4:$K$183,'T20_Demographic Split'!$L$4:$L$183)</f>
        <v>4.1092860394346698E-4</v>
      </c>
      <c r="U100">
        <f>_xlfn.XLOOKUP($B100&amp;"_"&amp;E$76,'T20_Demographic Split'!$K$4:$K$183,'T20_Demographic Split'!$L$4:$L$183)</f>
        <v>3.5858929310398952E-4</v>
      </c>
      <c r="V100">
        <f>_xlfn.XLOOKUP($B100&amp;"_"&amp;F$76,'T20_Demographic Split'!$K$4:$K$183,'T20_Demographic Split'!$L$4:$L$183)</f>
        <v>3.2992184619046199E-4</v>
      </c>
      <c r="W100">
        <f>_xlfn.XLOOKUP($B100&amp;"_"&amp;G$76,'T20_Demographic Split'!$K$4:$K$183,'T20_Demographic Split'!$L$4:$L$183)</f>
        <v>2.6410578909121852E-4</v>
      </c>
      <c r="X100">
        <f>_xlfn.XLOOKUP($B100&amp;"_"&amp;H$76,'T20_Demographic Split'!$K$4:$K$183,'T20_Demographic Split'!$L$4:$L$183)</f>
        <v>1.18166740226421E-4</v>
      </c>
      <c r="Z100">
        <v>49</v>
      </c>
      <c r="AA100">
        <f>_xlfn.XLOOKUP($B100&amp;"_"&amp;K$76,'T20_Demographic Split'!$O$4:$O$183,'T20_Demographic Split'!$P$4:$P$183)</f>
        <v>2.5746728904772042E-3</v>
      </c>
      <c r="AB100">
        <f>_xlfn.XLOOKUP($B100&amp;"_"&amp;L$76,'T20_Demographic Split'!$O$4:$O$183,'T20_Demographic Split'!$P$4:$P$183)</f>
        <v>2.5270584181161298E-3</v>
      </c>
      <c r="AC100">
        <f>_xlfn.XLOOKUP($B100&amp;"_"&amp;M$76,'T20_Demographic Split'!$O$4:$O$183,'T20_Demographic Split'!$P$4:$P$183)</f>
        <v>2.9309616442639449E-3</v>
      </c>
      <c r="AD100">
        <f>_xlfn.XLOOKUP($B100&amp;"_"&amp;N$76,'T20_Demographic Split'!$O$4:$O$183,'T20_Demographic Split'!$P$4:$P$183)</f>
        <v>2.889668576396318E-3</v>
      </c>
      <c r="AE100">
        <f>_xlfn.XLOOKUP($B100&amp;"_"&amp;O$76,'T20_Demographic Split'!$O$4:$O$183,'T20_Demographic Split'!$P$4:$P$183)</f>
        <v>2.722320114632876E-3</v>
      </c>
      <c r="AF100">
        <f>_xlfn.XLOOKUP($B100&amp;"_"&amp;P$76,'T20_Demographic Split'!$O$4:$O$183,'T20_Demographic Split'!$P$4:$P$183)</f>
        <v>2.694372304401229E-3</v>
      </c>
      <c r="AI100">
        <v>2026</v>
      </c>
      <c r="AJ100" t="e">
        <f ca="1">SUMPRODUCT($C$77:$H$106,(OFFSET(Output_1_0_1!$S$3,67*(ROW(#REF!)-44),0):OFFSET(Output_1_0_1!$X$32,67*(ROW(#REF!)-44),0)))*#REF!</f>
        <v>#REF!</v>
      </c>
      <c r="AK100" t="e">
        <f ca="1">SUMPRODUCT($C$77:$H$106,(OFFSET(Output_1_0_0!$S$3,67*(ROW(#REF!)-44),0):OFFSET(Output_1_0_0!$X$32,67*(ROW(#REF!)-44),0)))*#REF!</f>
        <v>#REF!</v>
      </c>
      <c r="AL100" t="e">
        <f ca="1">SUMPRODUCT($C$77:$H$106,(OFFSET(Output_1_1_1!$S$3,67*(ROW(#REF!)-44),0):OFFSET(Output_1_1_1!$X$32,67*(ROW(#REF!)-44),0)))*#REF!</f>
        <v>#REF!</v>
      </c>
      <c r="AM100" t="e">
        <f ca="1">SUMPRODUCT($C$77:$H$106,(OFFSET(Output_1_1_0!$S$3,67*(ROW(#REF!)-44),0):OFFSET(Output_1_1_0!$X$32,67*(ROW(#REF!)-44),0)))*#REF!</f>
        <v>#REF!</v>
      </c>
      <c r="AN100" t="e">
        <f ca="1">SUMPRODUCT($C$77:$H$106,(OFFSET(#REF!,67*(ROW(#REF!)-44),0):OFFSET(#REF!,67*(ROW(#REF!)-44),0)))*#REF!</f>
        <v>#REF!</v>
      </c>
      <c r="AO100" t="e">
        <f ca="1">SUMPRODUCT($C$77:$H$106,(OFFSET(#REF!,67*(ROW(#REF!)-44),0):OFFSET(#REF!,67*(ROW(#REF!)-44),0)))*#REF!</f>
        <v>#REF!</v>
      </c>
      <c r="AP100" t="e">
        <f ca="1">SUMPRODUCT($C$77:$H$106,(OFFSET(#REF!,67*(ROW(#REF!)-44),0):OFFSET(#REF!,67*(ROW(#REF!)-44),0)))*#REF!</f>
        <v>#REF!</v>
      </c>
      <c r="AQ100" t="e">
        <f ca="1">SUMPRODUCT($C$77:$H$106,(OFFSET(#REF!,67*(ROW(#REF!)-44),0):OFFSET(#REF!,67*(ROW(#REF!)-44),0)))*#REF!</f>
        <v>#REF!</v>
      </c>
    </row>
    <row r="101" spans="2:43" x14ac:dyDescent="0.25">
      <c r="B101">
        <v>50</v>
      </c>
      <c r="C101">
        <f>_xlfn.IFNA(_xlfn.XLOOKUP($B101&amp;"_"&amp;C$76,'T20_Demographic Split'!$C$4:$C$183,'T20_Demographic Split'!$D$4:$D$183),0)</f>
        <v>6.7643944044871901E-5</v>
      </c>
      <c r="D101">
        <f>_xlfn.IFNA(_xlfn.XLOOKUP($B101&amp;"_"&amp;D$76,'T20_Demographic Split'!$C$4:$C$183,'T20_Demographic Split'!$D$4:$D$183),0)</f>
        <v>8.0753497576663158E-5</v>
      </c>
      <c r="E101">
        <f>_xlfn.IFNA(_xlfn.XLOOKUP($B101&amp;"_"&amp;E$76,'T20_Demographic Split'!$C$4:$C$183,'T20_Demographic Split'!$D$4:$D$183),0)</f>
        <v>7.4319311562310027E-5</v>
      </c>
      <c r="F101">
        <f>_xlfn.IFNA(_xlfn.XLOOKUP($B101&amp;"_"&amp;F$76,'T20_Demographic Split'!$C$4:$C$183,'T20_Demographic Split'!$D$4:$D$183),0)</f>
        <v>7.7673716243824246E-5</v>
      </c>
      <c r="G101">
        <f>_xlfn.IFNA(_xlfn.XLOOKUP($B101&amp;"_"&amp;G$76,'T20_Demographic Split'!$C$4:$C$183,'T20_Demographic Split'!$D$4:$D$183),0)</f>
        <v>5.6033789668673181E-5</v>
      </c>
      <c r="H101">
        <f>_xlfn.IFNA(_xlfn.XLOOKUP($B101&amp;"_"&amp;H$76,'T20_Demographic Split'!$C$4:$C$183,'T20_Demographic Split'!$D$4:$D$183),0)</f>
        <v>5.0508409893225127E-5</v>
      </c>
      <c r="J101">
        <v>50</v>
      </c>
      <c r="K101">
        <f>_xlfn.XLOOKUP($B101&amp;"_"&amp;C$76,'T20_Demographic Split'!$G$4:$G$183,'T20_Demographic Split'!$H$4:$H$183)</f>
        <v>2.324692750723291E-3</v>
      </c>
      <c r="L101">
        <f>_xlfn.XLOOKUP($B101&amp;"_"&amp;D$76,'T20_Demographic Split'!$G$4:$G$183,'T20_Demographic Split'!$H$4:$H$183)</f>
        <v>2.308009074287042E-3</v>
      </c>
      <c r="M101">
        <f>_xlfn.XLOOKUP($B101&amp;"_"&amp;E$76,'T20_Demographic Split'!$G$4:$G$183,'T20_Demographic Split'!$H$4:$H$183)</f>
        <v>2.7414025761090879E-3</v>
      </c>
      <c r="N101">
        <f>_xlfn.XLOOKUP($B101&amp;"_"&amp;F$76,'T20_Demographic Split'!$G$4:$G$183,'T20_Demographic Split'!$H$4:$H$183)</f>
        <v>2.7646012632298439E-3</v>
      </c>
      <c r="O101">
        <f>_xlfn.XLOOKUP($B101&amp;"_"&amp;G$76,'T20_Demographic Split'!$G$4:$G$183,'T20_Demographic Split'!$H$4:$H$183)</f>
        <v>2.5436755307836341E-3</v>
      </c>
      <c r="P101">
        <f>_xlfn.XLOOKUP($B101&amp;"_"&amp;H$76,'T20_Demographic Split'!$G$4:$G$183,'T20_Demographic Split'!$H$4:$H$183)</f>
        <v>2.3210172992030888E-3</v>
      </c>
      <c r="R101">
        <v>50</v>
      </c>
      <c r="S101">
        <f>_xlfn.XLOOKUP($B101&amp;"_"&amp;C$76,'T20_Demographic Split'!$K$4:$K$183,'T20_Demographic Split'!$L$4:$L$183)</f>
        <v>3.3615189514544429E-4</v>
      </c>
      <c r="T101">
        <f>_xlfn.XLOOKUP($B101&amp;"_"&amp;D$76,'T20_Demographic Split'!$K$4:$K$183,'T20_Demographic Split'!$L$4:$L$183)</f>
        <v>3.2913055387776962E-4</v>
      </c>
      <c r="U101">
        <f>_xlfn.XLOOKUP($B101&amp;"_"&amp;E$76,'T20_Demographic Split'!$K$4:$K$183,'T20_Demographic Split'!$L$4:$L$183)</f>
        <v>3.9708970403201589E-4</v>
      </c>
      <c r="V101">
        <f>_xlfn.XLOOKUP($B101&amp;"_"&amp;F$76,'T20_Demographic Split'!$K$4:$K$183,'T20_Demographic Split'!$L$4:$L$183)</f>
        <v>3.019026482194724E-4</v>
      </c>
      <c r="W101">
        <f>_xlfn.XLOOKUP($B101&amp;"_"&amp;G$76,'T20_Demographic Split'!$K$4:$K$183,'T20_Demographic Split'!$L$4:$L$183)</f>
        <v>2.4869922374378181E-4</v>
      </c>
      <c r="X101">
        <f>_xlfn.XLOOKUP($B101&amp;"_"&amp;H$76,'T20_Demographic Split'!$K$4:$K$183,'T20_Demographic Split'!$L$4:$L$183)</f>
        <v>1.3376675273361679E-4</v>
      </c>
      <c r="Z101">
        <v>50</v>
      </c>
      <c r="AA101">
        <f>_xlfn.XLOOKUP($B101&amp;"_"&amp;K$76,'T20_Demographic Split'!$O$4:$O$183,'T20_Demographic Split'!$P$4:$P$183)</f>
        <v>2.555006386818175E-3</v>
      </c>
      <c r="AB101">
        <f>_xlfn.XLOOKUP($B101&amp;"_"&amp;L$76,'T20_Demographic Split'!$O$4:$O$183,'T20_Demographic Split'!$P$4:$P$183)</f>
        <v>2.5984226624887392E-3</v>
      </c>
      <c r="AC101">
        <f>_xlfn.XLOOKUP($B101&amp;"_"&amp;M$76,'T20_Demographic Split'!$O$4:$O$183,'T20_Demographic Split'!$P$4:$P$183)</f>
        <v>2.867268255372887E-3</v>
      </c>
      <c r="AD101">
        <f>_xlfn.XLOOKUP($B101&amp;"_"&amp;N$76,'T20_Demographic Split'!$O$4:$O$183,'T20_Demographic Split'!$P$4:$P$183)</f>
        <v>2.9580757526679871E-3</v>
      </c>
      <c r="AE101">
        <f>_xlfn.XLOOKUP($B101&amp;"_"&amp;O$76,'T20_Demographic Split'!$O$4:$O$183,'T20_Demographic Split'!$P$4:$P$183)</f>
        <v>2.657141890191591E-3</v>
      </c>
      <c r="AF101">
        <f>_xlfn.XLOOKUP($B101&amp;"_"&amp;P$76,'T20_Demographic Split'!$O$4:$O$183,'T20_Demographic Split'!$P$4:$P$183)</f>
        <v>2.8456096501783901E-3</v>
      </c>
      <c r="AI101">
        <v>2027</v>
      </c>
      <c r="AJ101" t="e">
        <f ca="1">SUMPRODUCT($C$77:$H$106,(OFFSET(Output_1_0_1!$S$3,67*(ROW(#REF!)-44),0):OFFSET(Output_1_0_1!$X$32,67*(ROW(#REF!)-44),0)))*#REF!</f>
        <v>#REF!</v>
      </c>
      <c r="AK101" t="e">
        <f ca="1">SUMPRODUCT($C$77:$H$106,(OFFSET(Output_1_0_0!$S$3,67*(ROW(#REF!)-44),0):OFFSET(Output_1_0_0!$X$32,67*(ROW(#REF!)-44),0)))*#REF!</f>
        <v>#REF!</v>
      </c>
      <c r="AL101" t="e">
        <f ca="1">SUMPRODUCT($C$77:$H$106,(OFFSET(Output_1_1_1!$S$3,67*(ROW(#REF!)-44),0):OFFSET(Output_1_1_1!$X$32,67*(ROW(#REF!)-44),0)))*#REF!</f>
        <v>#REF!</v>
      </c>
      <c r="AM101" t="e">
        <f ca="1">SUMPRODUCT($C$77:$H$106,(OFFSET(Output_1_1_0!$S$3,67*(ROW(#REF!)-44),0):OFFSET(Output_1_1_0!$X$32,67*(ROW(#REF!)-44),0)))*#REF!</f>
        <v>#REF!</v>
      </c>
      <c r="AN101" t="e">
        <f ca="1">SUMPRODUCT($C$77:$H$106,(OFFSET(#REF!,67*(ROW(#REF!)-44),0):OFFSET(#REF!,67*(ROW(#REF!)-44),0)))*#REF!</f>
        <v>#REF!</v>
      </c>
      <c r="AO101" t="e">
        <f ca="1">SUMPRODUCT($C$77:$H$106,(OFFSET(#REF!,67*(ROW(#REF!)-44),0):OFFSET(#REF!,67*(ROW(#REF!)-44),0)))*#REF!</f>
        <v>#REF!</v>
      </c>
      <c r="AP101" t="e">
        <f ca="1">SUMPRODUCT($C$77:$H$106,(OFFSET(#REF!,67*(ROW(#REF!)-44),0):OFFSET(#REF!,67*(ROW(#REF!)-44),0)))*#REF!</f>
        <v>#REF!</v>
      </c>
      <c r="AQ101" t="e">
        <f ca="1">SUMPRODUCT($C$77:$H$106,(OFFSET(#REF!,67*(ROW(#REF!)-44),0):OFFSET(#REF!,67*(ROW(#REF!)-44),0)))*#REF!</f>
        <v>#REF!</v>
      </c>
    </row>
    <row r="102" spans="2:43" x14ac:dyDescent="0.25">
      <c r="B102">
        <v>51</v>
      </c>
      <c r="C102">
        <f>_xlfn.IFNA(_xlfn.XLOOKUP($B102&amp;"_"&amp;C$76,'T20_Demographic Split'!$C$4:$C$183,'T20_Demographic Split'!$D$4:$D$183),0)</f>
        <v>5.8078903047966987E-5</v>
      </c>
      <c r="D102">
        <f>_xlfn.IFNA(_xlfn.XLOOKUP($B102&amp;"_"&amp;D$76,'T20_Demographic Split'!$C$4:$C$183,'T20_Demographic Split'!$D$4:$D$183),0)</f>
        <v>5.7561466174422822E-5</v>
      </c>
      <c r="E102">
        <f>_xlfn.IFNA(_xlfn.XLOOKUP($B102&amp;"_"&amp;E$76,'T20_Demographic Split'!$C$4:$C$183,'T20_Demographic Split'!$D$4:$D$183),0)</f>
        <v>6.0641370180804688E-5</v>
      </c>
      <c r="F102">
        <f>_xlfn.IFNA(_xlfn.XLOOKUP($B102&amp;"_"&amp;F$76,'T20_Demographic Split'!$C$4:$C$183,'T20_Demographic Split'!$D$4:$D$183),0)</f>
        <v>9.1501515858974071E-5</v>
      </c>
      <c r="G102">
        <f>_xlfn.IFNA(_xlfn.XLOOKUP($B102&amp;"_"&amp;G$76,'T20_Demographic Split'!$C$4:$C$183,'T20_Demographic Split'!$D$4:$D$183),0)</f>
        <v>5.8607073975716669E-5</v>
      </c>
      <c r="H102">
        <f>_xlfn.IFNA(_xlfn.XLOOKUP($B102&amp;"_"&amp;H$76,'T20_Demographic Split'!$C$4:$C$183,'T20_Demographic Split'!$D$4:$D$183),0)</f>
        <v>5.6747350638532529E-5</v>
      </c>
      <c r="J102">
        <v>51</v>
      </c>
      <c r="K102">
        <f>_xlfn.XLOOKUP($B102&amp;"_"&amp;C$76,'T20_Demographic Split'!$G$4:$G$183,'T20_Demographic Split'!$H$4:$H$183)</f>
        <v>2.311361795018872E-3</v>
      </c>
      <c r="L102">
        <f>_xlfn.XLOOKUP($B102&amp;"_"&amp;D$76,'T20_Demographic Split'!$G$4:$G$183,'T20_Demographic Split'!$H$4:$H$183)</f>
        <v>2.452621608890882E-3</v>
      </c>
      <c r="M102">
        <f>_xlfn.XLOOKUP($B102&amp;"_"&amp;E$76,'T20_Demographic Split'!$G$4:$G$183,'T20_Demographic Split'!$H$4:$H$183)</f>
        <v>2.7100789017787019E-3</v>
      </c>
      <c r="N102">
        <f>_xlfn.XLOOKUP($B102&amp;"_"&amp;F$76,'T20_Demographic Split'!$G$4:$G$183,'T20_Demographic Split'!$H$4:$H$183)</f>
        <v>2.5773510579298769E-3</v>
      </c>
      <c r="O102">
        <f>_xlfn.XLOOKUP($B102&amp;"_"&amp;G$76,'T20_Demographic Split'!$G$4:$G$183,'T20_Demographic Split'!$H$4:$H$183)</f>
        <v>2.3899035969790019E-3</v>
      </c>
      <c r="P102">
        <f>_xlfn.XLOOKUP($B102&amp;"_"&amp;H$76,'T20_Demographic Split'!$G$4:$G$183,'T20_Demographic Split'!$H$4:$H$183)</f>
        <v>2.2864785223627501E-3</v>
      </c>
      <c r="R102">
        <v>51</v>
      </c>
      <c r="S102">
        <f>_xlfn.XLOOKUP($B102&amp;"_"&amp;C$76,'T20_Demographic Split'!$K$4:$K$183,'T20_Demographic Split'!$L$4:$L$183)</f>
        <v>3.7435510452995499E-4</v>
      </c>
      <c r="T102">
        <f>_xlfn.XLOOKUP($B102&amp;"_"&amp;D$76,'T20_Demographic Split'!$K$4:$K$183,'T20_Demographic Split'!$L$4:$L$183)</f>
        <v>3.4658643326424958E-4</v>
      </c>
      <c r="U102">
        <f>_xlfn.XLOOKUP($B102&amp;"_"&amp;E$76,'T20_Demographic Split'!$K$4:$K$183,'T20_Demographic Split'!$L$4:$L$183)</f>
        <v>3.6559464460345098E-4</v>
      </c>
      <c r="V102">
        <f>_xlfn.XLOOKUP($B102&amp;"_"&amp;F$76,'T20_Demographic Split'!$K$4:$K$183,'T20_Demographic Split'!$L$4:$L$183)</f>
        <v>3.1411753621663868E-4</v>
      </c>
      <c r="W102">
        <f>_xlfn.XLOOKUP($B102&amp;"_"&amp;G$76,'T20_Demographic Split'!$K$4:$K$183,'T20_Demographic Split'!$L$4:$L$183)</f>
        <v>2.1934547171040109E-4</v>
      </c>
      <c r="X102">
        <f>_xlfn.XLOOKUP($B102&amp;"_"&amp;H$76,'T20_Demographic Split'!$K$4:$K$183,'T20_Demographic Split'!$L$4:$L$183)</f>
        <v>1.4347052403839659E-4</v>
      </c>
      <c r="Z102">
        <v>51</v>
      </c>
      <c r="AA102">
        <f>_xlfn.XLOOKUP($B102&amp;"_"&amp;K$76,'T20_Demographic Split'!$O$4:$O$183,'T20_Demographic Split'!$P$4:$P$183)</f>
        <v>2.6392986357449519E-3</v>
      </c>
      <c r="AB102">
        <f>_xlfn.XLOOKUP($B102&amp;"_"&amp;L$76,'T20_Demographic Split'!$O$4:$O$183,'T20_Demographic Split'!$P$4:$P$183)</f>
        <v>2.501173578765174E-3</v>
      </c>
      <c r="AC102">
        <f>_xlfn.XLOOKUP($B102&amp;"_"&amp;M$76,'T20_Demographic Split'!$O$4:$O$183,'T20_Demographic Split'!$P$4:$P$183)</f>
        <v>2.868750393353089E-3</v>
      </c>
      <c r="AD102">
        <f>_xlfn.XLOOKUP($B102&amp;"_"&amp;N$76,'T20_Demographic Split'!$O$4:$O$183,'T20_Demographic Split'!$P$4:$P$183)</f>
        <v>2.8764229796780531E-3</v>
      </c>
      <c r="AE102">
        <f>_xlfn.XLOOKUP($B102&amp;"_"&amp;O$76,'T20_Demographic Split'!$O$4:$O$183,'T20_Demographic Split'!$P$4:$P$183)</f>
        <v>2.8696654480336661E-3</v>
      </c>
      <c r="AF102">
        <f>_xlfn.XLOOKUP($B102&amp;"_"&amp;P$76,'T20_Demographic Split'!$O$4:$O$183,'T20_Demographic Split'!$P$4:$P$183)</f>
        <v>2.8759993469705618E-3</v>
      </c>
      <c r="AI102">
        <v>2028</v>
      </c>
      <c r="AJ102" t="e">
        <f ca="1">SUMPRODUCT($C$77:$H$106,(OFFSET(Output_1_0_1!$S$3,67*(ROW(#REF!)-44),0):OFFSET(Output_1_0_1!$X$32,67*(ROW(#REF!)-44),0)))*#REF!</f>
        <v>#REF!</v>
      </c>
      <c r="AK102" t="e">
        <f ca="1">SUMPRODUCT($C$77:$H$106,(OFFSET(Output_1_0_0!$S$3,67*(ROW(#REF!)-44),0):OFFSET(Output_1_0_0!$X$32,67*(ROW(#REF!)-44),0)))*#REF!</f>
        <v>#REF!</v>
      </c>
      <c r="AL102" t="e">
        <f ca="1">SUMPRODUCT($C$77:$H$106,(OFFSET(Output_1_1_1!$S$3,67*(ROW(#REF!)-44),0):OFFSET(Output_1_1_1!$X$32,67*(ROW(#REF!)-44),0)))*#REF!</f>
        <v>#REF!</v>
      </c>
      <c r="AM102" t="e">
        <f ca="1">SUMPRODUCT($C$77:$H$106,(OFFSET(Output_1_1_0!$S$3,67*(ROW(#REF!)-44),0):OFFSET(Output_1_1_0!$X$32,67*(ROW(#REF!)-44),0)))*#REF!</f>
        <v>#REF!</v>
      </c>
      <c r="AN102" t="e">
        <f ca="1">SUMPRODUCT($C$77:$H$106,(OFFSET(#REF!,67*(ROW(#REF!)-44),0):OFFSET(#REF!,67*(ROW(#REF!)-44),0)))*#REF!</f>
        <v>#REF!</v>
      </c>
      <c r="AO102" t="e">
        <f ca="1">SUMPRODUCT($C$77:$H$106,(OFFSET(#REF!,67*(ROW(#REF!)-44),0):OFFSET(#REF!,67*(ROW(#REF!)-44),0)))*#REF!</f>
        <v>#REF!</v>
      </c>
      <c r="AP102" t="e">
        <f ca="1">SUMPRODUCT($C$77:$H$106,(OFFSET(#REF!,67*(ROW(#REF!)-44),0):OFFSET(#REF!,67*(ROW(#REF!)-44),0)))*#REF!</f>
        <v>#REF!</v>
      </c>
      <c r="AQ102" t="e">
        <f ca="1">SUMPRODUCT($C$77:$H$106,(OFFSET(#REF!,67*(ROW(#REF!)-44),0):OFFSET(#REF!,67*(ROW(#REF!)-44),0)))*#REF!</f>
        <v>#REF!</v>
      </c>
    </row>
    <row r="103" spans="2:43" x14ac:dyDescent="0.25">
      <c r="B103">
        <v>52</v>
      </c>
      <c r="C103">
        <f>_xlfn.IFNA(_xlfn.XLOOKUP($B103&amp;"_"&amp;C$76,'T20_Demographic Split'!$C$4:$C$183,'T20_Demographic Split'!$D$4:$D$183),0)</f>
        <v>4.5103754136232077E-5</v>
      </c>
      <c r="D103">
        <f>_xlfn.IFNA(_xlfn.XLOOKUP($B103&amp;"_"&amp;D$76,'T20_Demographic Split'!$C$4:$C$183,'T20_Demographic Split'!$D$4:$D$183),0)</f>
        <v>5.1623954328562162E-5</v>
      </c>
      <c r="E103">
        <f>_xlfn.IFNA(_xlfn.XLOOKUP($B103&amp;"_"&amp;E$76,'T20_Demographic Split'!$C$4:$C$183,'T20_Demographic Split'!$D$4:$D$183),0)</f>
        <v>6.4895977441148779E-5</v>
      </c>
      <c r="F103">
        <f>_xlfn.IFNA(_xlfn.XLOOKUP($B103&amp;"_"&amp;F$76,'T20_Demographic Split'!$C$4:$C$183,'T20_Demographic Split'!$D$4:$D$183),0)</f>
        <v>8.8533219890118091E-5</v>
      </c>
      <c r="G103">
        <f>_xlfn.IFNA(_xlfn.XLOOKUP($B103&amp;"_"&amp;G$76,'T20_Demographic Split'!$C$4:$C$183,'T20_Demographic Split'!$D$4:$D$183),0)</f>
        <v>5.9887580030481041E-5</v>
      </c>
      <c r="H103">
        <f>_xlfn.IFNA(_xlfn.XLOOKUP($B103&amp;"_"&amp;H$76,'T20_Demographic Split'!$C$4:$C$183,'T20_Demographic Split'!$D$4:$D$183),0)</f>
        <v>7.0055935188313419E-5</v>
      </c>
      <c r="J103">
        <v>52</v>
      </c>
      <c r="K103">
        <f>_xlfn.XLOOKUP($B103&amp;"_"&amp;C$76,'T20_Demographic Split'!$G$4:$G$183,'T20_Demographic Split'!$H$4:$H$183)</f>
        <v>2.3178074763505448E-3</v>
      </c>
      <c r="L103">
        <f>_xlfn.XLOOKUP($B103&amp;"_"&amp;D$76,'T20_Demographic Split'!$G$4:$G$183,'T20_Demographic Split'!$H$4:$H$183)</f>
        <v>2.388940249095594E-3</v>
      </c>
      <c r="M103">
        <f>_xlfn.XLOOKUP($B103&amp;"_"&amp;E$76,'T20_Demographic Split'!$G$4:$G$183,'T20_Demographic Split'!$H$4:$H$183)</f>
        <v>2.716769984394074E-3</v>
      </c>
      <c r="N103">
        <f>_xlfn.XLOOKUP($B103&amp;"_"&amp;F$76,'T20_Demographic Split'!$G$4:$G$183,'T20_Demographic Split'!$H$4:$H$183)</f>
        <v>2.6876749293716961E-3</v>
      </c>
      <c r="O103">
        <f>_xlfn.XLOOKUP($B103&amp;"_"&amp;G$76,'T20_Demographic Split'!$G$4:$G$183,'T20_Demographic Split'!$H$4:$H$183)</f>
        <v>2.5027151330548692E-3</v>
      </c>
      <c r="P103">
        <f>_xlfn.XLOOKUP($B103&amp;"_"&amp;H$76,'T20_Demographic Split'!$G$4:$G$183,'T20_Demographic Split'!$H$4:$H$183)</f>
        <v>2.2832476638816961E-3</v>
      </c>
      <c r="R103">
        <v>52</v>
      </c>
      <c r="S103">
        <f>_xlfn.XLOOKUP($B103&amp;"_"&amp;C$76,'T20_Demographic Split'!$K$4:$K$183,'T20_Demographic Split'!$L$4:$L$183)</f>
        <v>3.3601254130224961E-4</v>
      </c>
      <c r="T103">
        <f>_xlfn.XLOOKUP($B103&amp;"_"&amp;D$76,'T20_Demographic Split'!$K$4:$K$183,'T20_Demographic Split'!$L$4:$L$183)</f>
        <v>2.931334524936497E-4</v>
      </c>
      <c r="U103">
        <f>_xlfn.XLOOKUP($B103&amp;"_"&amp;E$76,'T20_Demographic Split'!$K$4:$K$183,'T20_Demographic Split'!$L$4:$L$183)</f>
        <v>3.4591986619092832E-4</v>
      </c>
      <c r="V103">
        <f>_xlfn.XLOOKUP($B103&amp;"_"&amp;F$76,'T20_Demographic Split'!$K$4:$K$183,'T20_Demographic Split'!$L$4:$L$183)</f>
        <v>2.6635066479570622E-4</v>
      </c>
      <c r="W103">
        <f>_xlfn.XLOOKUP($B103&amp;"_"&amp;G$76,'T20_Demographic Split'!$K$4:$K$183,'T20_Demographic Split'!$L$4:$L$183)</f>
        <v>2.2646450555211659E-4</v>
      </c>
      <c r="X103">
        <f>_xlfn.XLOOKUP($B103&amp;"_"&amp;H$76,'T20_Demographic Split'!$K$4:$K$183,'T20_Demographic Split'!$L$4:$L$183)</f>
        <v>1.2938396515076831E-4</v>
      </c>
      <c r="Z103">
        <v>52</v>
      </c>
      <c r="AA103">
        <f>_xlfn.XLOOKUP($B103&amp;"_"&amp;K$76,'T20_Demographic Split'!$O$4:$O$183,'T20_Demographic Split'!$P$4:$P$183)</f>
        <v>2.6318490911836309E-3</v>
      </c>
      <c r="AB103">
        <f>_xlfn.XLOOKUP($B103&amp;"_"&amp;L$76,'T20_Demographic Split'!$O$4:$O$183,'T20_Demographic Split'!$P$4:$P$183)</f>
        <v>2.5028898581420352E-3</v>
      </c>
      <c r="AC103">
        <f>_xlfn.XLOOKUP($B103&amp;"_"&amp;M$76,'T20_Demographic Split'!$O$4:$O$183,'T20_Demographic Split'!$P$4:$P$183)</f>
        <v>2.8482131563243979E-3</v>
      </c>
      <c r="AD103">
        <f>_xlfn.XLOOKUP($B103&amp;"_"&amp;N$76,'T20_Demographic Split'!$O$4:$O$183,'T20_Demographic Split'!$P$4:$P$183)</f>
        <v>2.826813140882851E-3</v>
      </c>
      <c r="AE103">
        <f>_xlfn.XLOOKUP($B103&amp;"_"&amp;O$76,'T20_Demographic Split'!$O$4:$O$183,'T20_Demographic Split'!$P$4:$P$183)</f>
        <v>2.910798465739951E-3</v>
      </c>
      <c r="AF103">
        <f>_xlfn.XLOOKUP($B103&amp;"_"&amp;P$76,'T20_Demographic Split'!$O$4:$O$183,'T20_Demographic Split'!$P$4:$P$183)</f>
        <v>2.8835558290885559E-3</v>
      </c>
      <c r="AI103">
        <v>2029</v>
      </c>
      <c r="AJ103" t="e">
        <f ca="1">SUMPRODUCT($C$77:$H$106,(OFFSET(Output_1_0_1!$S$3,67*(ROW(#REF!)-44),0):OFFSET(Output_1_0_1!$X$32,67*(ROW(#REF!)-44),0)))*#REF!</f>
        <v>#REF!</v>
      </c>
      <c r="AK103" t="e">
        <f ca="1">SUMPRODUCT($C$77:$H$106,(OFFSET(Output_1_0_0!$S$3,67*(ROW(#REF!)-44),0):OFFSET(Output_1_0_0!$X$32,67*(ROW(#REF!)-44),0)))*#REF!</f>
        <v>#REF!</v>
      </c>
      <c r="AL103" t="e">
        <f ca="1">SUMPRODUCT($C$77:$H$106,(OFFSET(Output_1_1_1!$S$3,67*(ROW(#REF!)-44),0):OFFSET(Output_1_1_1!$X$32,67*(ROW(#REF!)-44),0)))*#REF!</f>
        <v>#REF!</v>
      </c>
      <c r="AM103" t="e">
        <f ca="1">SUMPRODUCT($C$77:$H$106,(OFFSET(Output_1_1_0!$S$3,67*(ROW(#REF!)-44),0):OFFSET(Output_1_1_0!$X$32,67*(ROW(#REF!)-44),0)))*#REF!</f>
        <v>#REF!</v>
      </c>
      <c r="AN103" t="e">
        <f ca="1">SUMPRODUCT($C$77:$H$106,(OFFSET(#REF!,67*(ROW(#REF!)-44),0):OFFSET(#REF!,67*(ROW(#REF!)-44),0)))*#REF!</f>
        <v>#REF!</v>
      </c>
      <c r="AO103" t="e">
        <f ca="1">SUMPRODUCT($C$77:$H$106,(OFFSET(#REF!,67*(ROW(#REF!)-44),0):OFFSET(#REF!,67*(ROW(#REF!)-44),0)))*#REF!</f>
        <v>#REF!</v>
      </c>
      <c r="AP103" t="e">
        <f ca="1">SUMPRODUCT($C$77:$H$106,(OFFSET(#REF!,67*(ROW(#REF!)-44),0):OFFSET(#REF!,67*(ROW(#REF!)-44),0)))*#REF!</f>
        <v>#REF!</v>
      </c>
      <c r="AQ103" t="e">
        <f ca="1">SUMPRODUCT($C$77:$H$106,(OFFSET(#REF!,67*(ROW(#REF!)-44),0):OFFSET(#REF!,67*(ROW(#REF!)-44),0)))*#REF!</f>
        <v>#REF!</v>
      </c>
    </row>
    <row r="104" spans="2:43" x14ac:dyDescent="0.25">
      <c r="B104">
        <v>53</v>
      </c>
      <c r="C104">
        <f>_xlfn.IFNA(_xlfn.XLOOKUP($B104&amp;"_"&amp;C$76,'T20_Demographic Split'!$C$4:$C$183,'T20_Demographic Split'!$D$4:$D$183),0)</f>
        <v>7.5054797196537966E-5</v>
      </c>
      <c r="D104">
        <f>_xlfn.IFNA(_xlfn.XLOOKUP($B104&amp;"_"&amp;D$76,'T20_Demographic Split'!$C$4:$C$183,'T20_Demographic Split'!$D$4:$D$183),0)</f>
        <v>6.8443155509399163E-5</v>
      </c>
      <c r="E104">
        <f>_xlfn.IFNA(_xlfn.XLOOKUP($B104&amp;"_"&amp;E$76,'T20_Demographic Split'!$C$4:$C$183,'T20_Demographic Split'!$D$4:$D$183),0)</f>
        <v>8.0230206409068178E-5</v>
      </c>
      <c r="F104">
        <f>_xlfn.IFNA(_xlfn.XLOOKUP($B104&amp;"_"&amp;F$76,'T20_Demographic Split'!$C$4:$C$183,'T20_Demographic Split'!$D$4:$D$183),0)</f>
        <v>9.9789637089150345E-5</v>
      </c>
      <c r="G104">
        <f>_xlfn.IFNA(_xlfn.XLOOKUP($B104&amp;"_"&amp;G$76,'T20_Demographic Split'!$C$4:$C$183,'T20_Demographic Split'!$D$4:$D$183),0)</f>
        <v>9.3148459513946367E-5</v>
      </c>
      <c r="H104">
        <f>_xlfn.IFNA(_xlfn.XLOOKUP($B104&amp;"_"&amp;H$76,'T20_Demographic Split'!$C$4:$C$183,'T20_Demographic Split'!$D$4:$D$183),0)</f>
        <v>6.4316167135307261E-5</v>
      </c>
      <c r="J104">
        <v>53</v>
      </c>
      <c r="K104">
        <f>_xlfn.XLOOKUP($B104&amp;"_"&amp;C$76,'T20_Demographic Split'!$G$4:$G$183,'T20_Demographic Split'!$H$4:$H$183)</f>
        <v>2.334890572661931E-3</v>
      </c>
      <c r="L104">
        <f>_xlfn.XLOOKUP($B104&amp;"_"&amp;D$76,'T20_Demographic Split'!$G$4:$G$183,'T20_Demographic Split'!$H$4:$H$183)</f>
        <v>2.346322825542993E-3</v>
      </c>
      <c r="M104">
        <f>_xlfn.XLOOKUP($B104&amp;"_"&amp;E$76,'T20_Demographic Split'!$G$4:$G$183,'T20_Demographic Split'!$H$4:$H$183)</f>
        <v>2.5414992381168119E-3</v>
      </c>
      <c r="N104">
        <f>_xlfn.XLOOKUP($B104&amp;"_"&amp;F$76,'T20_Demographic Split'!$G$4:$G$183,'T20_Demographic Split'!$H$4:$H$183)</f>
        <v>2.701492737263974E-3</v>
      </c>
      <c r="O104">
        <f>_xlfn.XLOOKUP($B104&amp;"_"&amp;G$76,'T20_Demographic Split'!$G$4:$G$183,'T20_Demographic Split'!$H$4:$H$183)</f>
        <v>2.4216947719311842E-3</v>
      </c>
      <c r="P104">
        <f>_xlfn.XLOOKUP($B104&amp;"_"&amp;H$76,'T20_Demographic Split'!$G$4:$G$183,'T20_Demographic Split'!$H$4:$H$183)</f>
        <v>2.281148232383057E-3</v>
      </c>
      <c r="R104">
        <v>53</v>
      </c>
      <c r="S104">
        <f>_xlfn.XLOOKUP($B104&amp;"_"&amp;C$76,'T20_Demographic Split'!$K$4:$K$183,'T20_Demographic Split'!$L$4:$L$183)</f>
        <v>3.7140499779842471E-4</v>
      </c>
      <c r="T104">
        <f>_xlfn.XLOOKUP($B104&amp;"_"&amp;D$76,'T20_Demographic Split'!$K$4:$K$183,'T20_Demographic Split'!$L$4:$L$183)</f>
        <v>3.8599002458435859E-4</v>
      </c>
      <c r="U104">
        <f>_xlfn.XLOOKUP($B104&amp;"_"&amp;E$76,'T20_Demographic Split'!$K$4:$K$183,'T20_Demographic Split'!$L$4:$L$183)</f>
        <v>3.5098344668770481E-4</v>
      </c>
      <c r="V104">
        <f>_xlfn.XLOOKUP($B104&amp;"_"&amp;F$76,'T20_Demographic Split'!$K$4:$K$183,'T20_Demographic Split'!$L$4:$L$183)</f>
        <v>3.1957061018166131E-4</v>
      </c>
      <c r="W104">
        <f>_xlfn.XLOOKUP($B104&amp;"_"&amp;G$76,'T20_Demographic Split'!$K$4:$K$183,'T20_Demographic Split'!$L$4:$L$183)</f>
        <v>2.0947981017433581E-4</v>
      </c>
      <c r="X104">
        <f>_xlfn.XLOOKUP($B104&amp;"_"&amp;H$76,'T20_Demographic Split'!$K$4:$K$183,'T20_Demographic Split'!$L$4:$L$183)</f>
        <v>1.169219851275576E-4</v>
      </c>
      <c r="Z104">
        <v>53</v>
      </c>
      <c r="AA104">
        <f>_xlfn.XLOOKUP($B104&amp;"_"&amp;K$76,'T20_Demographic Split'!$O$4:$O$183,'T20_Demographic Split'!$P$4:$P$183)</f>
        <v>2.6044513264046839E-3</v>
      </c>
      <c r="AB104">
        <f>_xlfn.XLOOKUP($B104&amp;"_"&amp;L$76,'T20_Demographic Split'!$O$4:$O$183,'T20_Demographic Split'!$P$4:$P$183)</f>
        <v>2.736180229924869E-3</v>
      </c>
      <c r="AC104">
        <f>_xlfn.XLOOKUP($B104&amp;"_"&amp;M$76,'T20_Demographic Split'!$O$4:$O$183,'T20_Demographic Split'!$P$4:$P$183)</f>
        <v>2.9061564574206409E-3</v>
      </c>
      <c r="AD104">
        <f>_xlfn.XLOOKUP($B104&amp;"_"&amp;N$76,'T20_Demographic Split'!$O$4:$O$183,'T20_Demographic Split'!$P$4:$P$183)</f>
        <v>2.8887507276710608E-3</v>
      </c>
      <c r="AE104">
        <f>_xlfn.XLOOKUP($B104&amp;"_"&amp;O$76,'T20_Demographic Split'!$O$4:$O$183,'T20_Demographic Split'!$P$4:$P$183)</f>
        <v>2.8292952537146828E-3</v>
      </c>
      <c r="AF104">
        <f>_xlfn.XLOOKUP($B104&amp;"_"&amp;P$76,'T20_Demographic Split'!$O$4:$O$183,'T20_Demographic Split'!$P$4:$P$183)</f>
        <v>2.8715493254569051E-3</v>
      </c>
      <c r="AI104">
        <v>2030</v>
      </c>
      <c r="AJ104" t="e">
        <f ca="1">SUMPRODUCT($C$77:$H$106,(OFFSET(Output_1_0_1!$S$3,67*(ROW(#REF!)-44),0):OFFSET(Output_1_0_1!$X$32,67*(ROW(#REF!)-44),0)))*#REF!</f>
        <v>#REF!</v>
      </c>
      <c r="AK104" t="e">
        <f ca="1">SUMPRODUCT($C$77:$H$106,(OFFSET(Output_1_0_0!$S$3,67*(ROW(#REF!)-44),0):OFFSET(Output_1_0_0!$X$32,67*(ROW(#REF!)-44),0)))*#REF!</f>
        <v>#REF!</v>
      </c>
      <c r="AL104" t="e">
        <f ca="1">SUMPRODUCT($C$77:$H$106,(OFFSET(Output_1_1_1!$S$3,67*(ROW(#REF!)-44),0):OFFSET(Output_1_1_1!$X$32,67*(ROW(#REF!)-44),0)))*#REF!</f>
        <v>#REF!</v>
      </c>
      <c r="AM104" t="e">
        <f ca="1">SUMPRODUCT($C$77:$H$106,(OFFSET(Output_1_1_0!$S$3,67*(ROW(#REF!)-44),0):OFFSET(Output_1_1_0!$X$32,67*(ROW(#REF!)-44),0)))*#REF!</f>
        <v>#REF!</v>
      </c>
      <c r="AN104" t="e">
        <f ca="1">SUMPRODUCT($C$77:$H$106,(OFFSET(#REF!,67*(ROW(#REF!)-44),0):OFFSET(#REF!,67*(ROW(#REF!)-44),0)))*#REF!</f>
        <v>#REF!</v>
      </c>
      <c r="AO104" t="e">
        <f ca="1">SUMPRODUCT($C$77:$H$106,(OFFSET(#REF!,67*(ROW(#REF!)-44),0):OFFSET(#REF!,67*(ROW(#REF!)-44),0)))*#REF!</f>
        <v>#REF!</v>
      </c>
      <c r="AP104" t="e">
        <f ca="1">SUMPRODUCT($C$77:$H$106,(OFFSET(#REF!,67*(ROW(#REF!)-44),0):OFFSET(#REF!,67*(ROW(#REF!)-44),0)))*#REF!</f>
        <v>#REF!</v>
      </c>
      <c r="AQ104" t="e">
        <f ca="1">SUMPRODUCT($C$77:$H$106,(OFFSET(#REF!,67*(ROW(#REF!)-44),0):OFFSET(#REF!,67*(ROW(#REF!)-44),0)))*#REF!</f>
        <v>#REF!</v>
      </c>
    </row>
    <row r="105" spans="2:43" x14ac:dyDescent="0.25">
      <c r="B105">
        <v>54</v>
      </c>
      <c r="C105">
        <f>_xlfn.IFNA(_xlfn.XLOOKUP($B105&amp;"_"&amp;C$76,'T20_Demographic Split'!$C$4:$C$183,'T20_Demographic Split'!$D$4:$D$183),0)</f>
        <v>9.4662626499852386E-5</v>
      </c>
      <c r="D105">
        <f>_xlfn.IFNA(_xlfn.XLOOKUP($B105&amp;"_"&amp;D$76,'T20_Demographic Split'!$C$4:$C$183,'T20_Demographic Split'!$D$4:$D$183),0)</f>
        <v>7.3993938694641285E-5</v>
      </c>
      <c r="E105">
        <f>_xlfn.IFNA(_xlfn.XLOOKUP($B105&amp;"_"&amp;E$76,'T20_Demographic Split'!$C$4:$C$183,'T20_Demographic Split'!$D$4:$D$183),0)</f>
        <v>9.1762460579888268E-5</v>
      </c>
      <c r="F105">
        <f>_xlfn.IFNA(_xlfn.XLOOKUP($B105&amp;"_"&amp;F$76,'T20_Demographic Split'!$C$4:$C$183,'T20_Demographic Split'!$D$4:$D$183),0)</f>
        <v>1.046280457612599E-4</v>
      </c>
      <c r="G105">
        <f>_xlfn.IFNA(_xlfn.XLOOKUP($B105&amp;"_"&amp;G$76,'T20_Demographic Split'!$C$4:$C$183,'T20_Demographic Split'!$D$4:$D$183),0)</f>
        <v>9.6182043405536742E-5</v>
      </c>
      <c r="H105">
        <f>_xlfn.IFNA(_xlfn.XLOOKUP($B105&amp;"_"&amp;H$76,'T20_Demographic Split'!$C$4:$C$183,'T20_Demographic Split'!$D$4:$D$183),0)</f>
        <v>8.8766575423727842E-5</v>
      </c>
      <c r="J105">
        <v>54</v>
      </c>
      <c r="K105">
        <f>_xlfn.XLOOKUP($B105&amp;"_"&amp;C$76,'T20_Demographic Split'!$G$4:$G$183,'T20_Demographic Split'!$H$4:$H$183)</f>
        <v>2.352255486189809E-3</v>
      </c>
      <c r="L105">
        <f>_xlfn.XLOOKUP($B105&amp;"_"&amp;D$76,'T20_Demographic Split'!$G$4:$G$183,'T20_Demographic Split'!$H$4:$H$183)</f>
        <v>2.3109510768240691E-3</v>
      </c>
      <c r="M105">
        <f>_xlfn.XLOOKUP($B105&amp;"_"&amp;E$76,'T20_Demographic Split'!$G$4:$G$183,'T20_Demographic Split'!$H$4:$H$183)</f>
        <v>2.5158980634625711E-3</v>
      </c>
      <c r="N105">
        <f>_xlfn.XLOOKUP($B105&amp;"_"&amp;F$76,'T20_Demographic Split'!$G$4:$G$183,'T20_Demographic Split'!$H$4:$H$183)</f>
        <v>2.5558147930998978E-3</v>
      </c>
      <c r="O105">
        <f>_xlfn.XLOOKUP($B105&amp;"_"&amp;G$76,'T20_Demographic Split'!$G$4:$G$183,'T20_Demographic Split'!$H$4:$H$183)</f>
        <v>2.4217798907037662E-3</v>
      </c>
      <c r="P105">
        <f>_xlfn.XLOOKUP($B105&amp;"_"&amp;H$76,'T20_Demographic Split'!$G$4:$G$183,'T20_Demographic Split'!$H$4:$H$183)</f>
        <v>2.2215175241031282E-3</v>
      </c>
      <c r="R105">
        <v>54</v>
      </c>
      <c r="S105">
        <f>_xlfn.XLOOKUP($B105&amp;"_"&amp;C$76,'T20_Demographic Split'!$K$4:$K$183,'T20_Demographic Split'!$L$4:$L$183)</f>
        <v>3.9925935880724141E-4</v>
      </c>
      <c r="T105">
        <f>_xlfn.XLOOKUP($B105&amp;"_"&amp;D$76,'T20_Demographic Split'!$K$4:$K$183,'T20_Demographic Split'!$L$4:$L$183)</f>
        <v>3.3277017464190589E-4</v>
      </c>
      <c r="U105">
        <f>_xlfn.XLOOKUP($B105&amp;"_"&amp;E$76,'T20_Demographic Split'!$K$4:$K$183,'T20_Demographic Split'!$L$4:$L$183)</f>
        <v>3.1381933167592518E-4</v>
      </c>
      <c r="V105">
        <f>_xlfn.XLOOKUP($B105&amp;"_"&amp;F$76,'T20_Demographic Split'!$K$4:$K$183,'T20_Demographic Split'!$L$4:$L$183)</f>
        <v>2.6623027749724508E-4</v>
      </c>
      <c r="W105">
        <f>_xlfn.XLOOKUP($B105&amp;"_"&amp;G$76,'T20_Demographic Split'!$K$4:$K$183,'T20_Demographic Split'!$L$4:$L$183)</f>
        <v>1.8295308570298981E-4</v>
      </c>
      <c r="X105">
        <f>_xlfn.XLOOKUP($B105&amp;"_"&amp;H$76,'T20_Demographic Split'!$K$4:$K$183,'T20_Demographic Split'!$L$4:$L$183)</f>
        <v>1.212648805595161E-4</v>
      </c>
      <c r="Z105">
        <v>54</v>
      </c>
      <c r="AA105">
        <f>_xlfn.XLOOKUP($B105&amp;"_"&amp;K$76,'T20_Demographic Split'!$O$4:$O$183,'T20_Demographic Split'!$P$4:$P$183)</f>
        <v>2.7214905336963679E-3</v>
      </c>
      <c r="AB105">
        <f>_xlfn.XLOOKUP($B105&amp;"_"&amp;L$76,'T20_Demographic Split'!$O$4:$O$183,'T20_Demographic Split'!$P$4:$P$183)</f>
        <v>2.7330093728051182E-3</v>
      </c>
      <c r="AC105">
        <f>_xlfn.XLOOKUP($B105&amp;"_"&amp;M$76,'T20_Demographic Split'!$O$4:$O$183,'T20_Demographic Split'!$P$4:$P$183)</f>
        <v>2.5665247435029039E-3</v>
      </c>
      <c r="AD105">
        <f>_xlfn.XLOOKUP($B105&amp;"_"&amp;N$76,'T20_Demographic Split'!$O$4:$O$183,'T20_Demographic Split'!$P$4:$P$183)</f>
        <v>2.7484867767891561E-3</v>
      </c>
      <c r="AE105">
        <f>_xlfn.XLOOKUP($B105&amp;"_"&amp;O$76,'T20_Demographic Split'!$O$4:$O$183,'T20_Demographic Split'!$P$4:$P$183)</f>
        <v>2.8912200257925568E-3</v>
      </c>
      <c r="AF105">
        <f>_xlfn.XLOOKUP($B105&amp;"_"&amp;P$76,'T20_Demographic Split'!$O$4:$O$183,'T20_Demographic Split'!$P$4:$P$183)</f>
        <v>2.8781395172033531E-3</v>
      </c>
      <c r="AI105">
        <v>2031</v>
      </c>
      <c r="AJ105" t="e">
        <f ca="1">SUMPRODUCT($C$77:$H$106,(OFFSET(Output_1_0_1!$S$3,67*(ROW(#REF!)-44),0):OFFSET(Output_1_0_1!$X$32,67*(ROW(#REF!)-44),0)))*#REF!</f>
        <v>#REF!</v>
      </c>
      <c r="AK105" t="e">
        <f ca="1">SUMPRODUCT($C$77:$H$106,(OFFSET(Output_1_0_0!$S$3,67*(ROW(#REF!)-44),0):OFFSET(Output_1_0_0!$X$32,67*(ROW(#REF!)-44),0)))*#REF!</f>
        <v>#REF!</v>
      </c>
      <c r="AL105" t="e">
        <f ca="1">SUMPRODUCT($C$77:$H$106,(OFFSET(Output_1_1_1!$S$3,67*(ROW(#REF!)-44),0):OFFSET(Output_1_1_1!$X$32,67*(ROW(#REF!)-44),0)))*#REF!</f>
        <v>#REF!</v>
      </c>
      <c r="AM105" t="e">
        <f ca="1">SUMPRODUCT($C$77:$H$106,(OFFSET(Output_1_1_0!$S$3,67*(ROW(#REF!)-44),0):OFFSET(Output_1_1_0!$X$32,67*(ROW(#REF!)-44),0)))*#REF!</f>
        <v>#REF!</v>
      </c>
      <c r="AN105" t="e">
        <f ca="1">SUMPRODUCT($C$77:$H$106,(OFFSET(#REF!,67*(ROW(#REF!)-44),0):OFFSET(#REF!,67*(ROW(#REF!)-44),0)))*#REF!</f>
        <v>#REF!</v>
      </c>
      <c r="AO105" t="e">
        <f ca="1">SUMPRODUCT($C$77:$H$106,(OFFSET(#REF!,67*(ROW(#REF!)-44),0):OFFSET(#REF!,67*(ROW(#REF!)-44),0)))*#REF!</f>
        <v>#REF!</v>
      </c>
      <c r="AP105" t="e">
        <f ca="1">SUMPRODUCT($C$77:$H$106,(OFFSET(#REF!,67*(ROW(#REF!)-44),0):OFFSET(#REF!,67*(ROW(#REF!)-44),0)))*#REF!</f>
        <v>#REF!</v>
      </c>
      <c r="AQ105" t="e">
        <f ca="1">SUMPRODUCT($C$77:$H$106,(OFFSET(#REF!,67*(ROW(#REF!)-44),0):OFFSET(#REF!,67*(ROW(#REF!)-44),0)))*#REF!</f>
        <v>#REF!</v>
      </c>
    </row>
    <row r="106" spans="2:43" x14ac:dyDescent="0.25">
      <c r="B106">
        <v>55</v>
      </c>
      <c r="C106">
        <f>_xlfn.IFNA(_xlfn.XLOOKUP($B106&amp;"_"&amp;C$76,'T20_Demographic Split'!$C$4:$C$183,'T20_Demographic Split'!$D$4:$D$183),0)</f>
        <v>8.0653251019120476E-5</v>
      </c>
      <c r="D106">
        <f>_xlfn.IFNA(_xlfn.XLOOKUP($B106&amp;"_"&amp;D$76,'T20_Demographic Split'!$C$4:$C$183,'T20_Demographic Split'!$D$4:$D$183),0)</f>
        <v>8.7403427222202862E-5</v>
      </c>
      <c r="E106">
        <f>_xlfn.IFNA(_xlfn.XLOOKUP($B106&amp;"_"&amp;E$76,'T20_Demographic Split'!$C$4:$C$183,'T20_Demographic Split'!$D$4:$D$183),0)</f>
        <v>1.1706032829468769E-4</v>
      </c>
      <c r="F106">
        <f>_xlfn.IFNA(_xlfn.XLOOKUP($B106&amp;"_"&amp;F$76,'T20_Demographic Split'!$C$4:$C$183,'T20_Demographic Split'!$D$4:$D$183),0)</f>
        <v>1.044460297150269E-4</v>
      </c>
      <c r="G106">
        <f>_xlfn.IFNA(_xlfn.XLOOKUP($B106&amp;"_"&amp;G$76,'T20_Demographic Split'!$C$4:$C$183,'T20_Demographic Split'!$D$4:$D$183),0)</f>
        <v>1.0358896199728011E-4</v>
      </c>
      <c r="H106">
        <f>_xlfn.IFNA(_xlfn.XLOOKUP($B106&amp;"_"&amp;H$76,'T20_Demographic Split'!$C$4:$C$183,'T20_Demographic Split'!$D$4:$D$183),0)</f>
        <v>9.8106329300778458E-5</v>
      </c>
      <c r="J106">
        <v>55</v>
      </c>
      <c r="K106">
        <f>_xlfn.XLOOKUP($B106&amp;"_"&amp;C$76,'T20_Demographic Split'!$G$4:$G$183,'T20_Demographic Split'!$H$4:$H$183)</f>
        <v>2.3324499146583381E-3</v>
      </c>
      <c r="L106">
        <f>_xlfn.XLOOKUP($B106&amp;"_"&amp;D$76,'T20_Demographic Split'!$G$4:$G$183,'T20_Demographic Split'!$H$4:$H$183)</f>
        <v>2.2253607854102308E-3</v>
      </c>
      <c r="M106">
        <f>_xlfn.XLOOKUP($B106&amp;"_"&amp;E$76,'T20_Demographic Split'!$G$4:$G$183,'T20_Demographic Split'!$H$4:$H$183)</f>
        <v>2.583722164008798E-3</v>
      </c>
      <c r="N106">
        <f>_xlfn.XLOOKUP($B106&amp;"_"&amp;F$76,'T20_Demographic Split'!$G$4:$G$183,'T20_Demographic Split'!$H$4:$H$183)</f>
        <v>2.6002826889383302E-3</v>
      </c>
      <c r="O106">
        <f>_xlfn.XLOOKUP($B106&amp;"_"&amp;G$76,'T20_Demographic Split'!$G$4:$G$183,'T20_Demographic Split'!$H$4:$H$183)</f>
        <v>2.4082576308682001E-3</v>
      </c>
      <c r="P106">
        <f>_xlfn.XLOOKUP($B106&amp;"_"&amp;H$76,'T20_Demographic Split'!$G$4:$G$183,'T20_Demographic Split'!$H$4:$H$183)</f>
        <v>2.318247366748365E-3</v>
      </c>
      <c r="R106">
        <v>55</v>
      </c>
      <c r="S106">
        <f>_xlfn.XLOOKUP($B106&amp;"_"&amp;C$76,'T20_Demographic Split'!$K$4:$K$183,'T20_Demographic Split'!$L$4:$L$183)</f>
        <v>3.8051899813064789E-4</v>
      </c>
      <c r="T106">
        <f>_xlfn.XLOOKUP($B106&amp;"_"&amp;D$76,'T20_Demographic Split'!$K$4:$K$183,'T20_Demographic Split'!$L$4:$L$183)</f>
        <v>3.4954043057952903E-4</v>
      </c>
      <c r="U106">
        <f>_xlfn.XLOOKUP($B106&amp;"_"&amp;E$76,'T20_Demographic Split'!$K$4:$K$183,'T20_Demographic Split'!$L$4:$L$183)</f>
        <v>4.0044877914736959E-4</v>
      </c>
      <c r="V106">
        <f>_xlfn.XLOOKUP($B106&amp;"_"&amp;F$76,'T20_Demographic Split'!$K$4:$K$183,'T20_Demographic Split'!$L$4:$L$183)</f>
        <v>2.9650532978349882E-4</v>
      </c>
      <c r="W106">
        <f>_xlfn.XLOOKUP($B106&amp;"_"&amp;G$76,'T20_Demographic Split'!$K$4:$K$183,'T20_Demographic Split'!$L$4:$L$183)</f>
        <v>2.5374141175639372E-4</v>
      </c>
      <c r="X106">
        <f>_xlfn.XLOOKUP($B106&amp;"_"&amp;H$76,'T20_Demographic Split'!$K$4:$K$183,'T20_Demographic Split'!$L$4:$L$183)</f>
        <v>1.826123030581124E-4</v>
      </c>
      <c r="Z106">
        <v>55</v>
      </c>
      <c r="AA106">
        <f>_xlfn.XLOOKUP($B106&amp;"_"&amp;K$76,'T20_Demographic Split'!$O$4:$O$183,'T20_Demographic Split'!$P$4:$P$183)</f>
        <v>2.6029096523355801E-3</v>
      </c>
      <c r="AB106">
        <f>_xlfn.XLOOKUP($B106&amp;"_"&amp;L$76,'T20_Demographic Split'!$O$4:$O$183,'T20_Demographic Split'!$P$4:$P$183)</f>
        <v>2.766428690157037E-3</v>
      </c>
      <c r="AC106">
        <f>_xlfn.XLOOKUP($B106&amp;"_"&amp;M$76,'T20_Demographic Split'!$O$4:$O$183,'T20_Demographic Split'!$P$4:$P$183)</f>
        <v>2.7236885373570058E-3</v>
      </c>
      <c r="AD106">
        <f>_xlfn.XLOOKUP($B106&amp;"_"&amp;N$76,'T20_Demographic Split'!$O$4:$O$183,'T20_Demographic Split'!$P$4:$P$183)</f>
        <v>2.7603492780404119E-3</v>
      </c>
      <c r="AE106">
        <f>_xlfn.XLOOKUP($B106&amp;"_"&amp;O$76,'T20_Demographic Split'!$O$4:$O$183,'T20_Demographic Split'!$P$4:$P$183)</f>
        <v>2.8435790158310081E-3</v>
      </c>
      <c r="AF106">
        <f>_xlfn.XLOOKUP($B106&amp;"_"&amp;P$76,'T20_Demographic Split'!$O$4:$O$183,'T20_Demographic Split'!$P$4:$P$183)</f>
        <v>2.8773166060183648E-3</v>
      </c>
      <c r="AI106">
        <v>2032</v>
      </c>
      <c r="AJ106" t="e">
        <f ca="1">SUMPRODUCT($C$77:$H$106,(OFFSET(Output_1_0_1!$S$3,67*(ROW(#REF!)-44),0):OFFSET(Output_1_0_1!$X$32,67*(ROW(#REF!)-44),0)))*#REF!</f>
        <v>#REF!</v>
      </c>
      <c r="AK106" t="e">
        <f ca="1">SUMPRODUCT($C$77:$H$106,(OFFSET(Output_1_0_0!$S$3,67*(ROW(#REF!)-44),0):OFFSET(Output_1_0_0!$X$32,67*(ROW(#REF!)-44),0)))*#REF!</f>
        <v>#REF!</v>
      </c>
      <c r="AL106" t="e">
        <f ca="1">SUMPRODUCT($C$77:$H$106,(OFFSET(Output_1_1_1!$S$3,67*(ROW(#REF!)-44),0):OFFSET(Output_1_1_1!$X$32,67*(ROW(#REF!)-44),0)))*#REF!</f>
        <v>#REF!</v>
      </c>
      <c r="AM106" t="e">
        <f ca="1">SUMPRODUCT($C$77:$H$106,(OFFSET(Output_1_1_0!$S$3,67*(ROW(#REF!)-44),0):OFFSET(Output_1_1_0!$X$32,67*(ROW(#REF!)-44),0)))*#REF!</f>
        <v>#REF!</v>
      </c>
      <c r="AN106" t="e">
        <f ca="1">SUMPRODUCT($C$77:$H$106,(OFFSET(#REF!,67*(ROW(#REF!)-44),0):OFFSET(#REF!,67*(ROW(#REF!)-44),0)))*#REF!</f>
        <v>#REF!</v>
      </c>
      <c r="AO106" t="e">
        <f ca="1">SUMPRODUCT($C$77:$H$106,(OFFSET(#REF!,67*(ROW(#REF!)-44),0):OFFSET(#REF!,67*(ROW(#REF!)-44),0)))*#REF!</f>
        <v>#REF!</v>
      </c>
      <c r="AP106" t="e">
        <f ca="1">SUMPRODUCT($C$77:$H$106,(OFFSET(#REF!,67*(ROW(#REF!)-44),0):OFFSET(#REF!,67*(ROW(#REF!)-44),0)))*#REF!</f>
        <v>#REF!</v>
      </c>
      <c r="AQ106" t="e">
        <f ca="1">SUMPRODUCT($C$77:$H$106,(OFFSET(#REF!,67*(ROW(#REF!)-44),0):OFFSET(#REF!,67*(ROW(#REF!)-44),0)))*#REF!</f>
        <v>#REF!</v>
      </c>
    </row>
    <row r="107" spans="2:43" x14ac:dyDescent="0.25">
      <c r="AI107">
        <v>2033</v>
      </c>
      <c r="AJ107" t="e">
        <f ca="1">SUMPRODUCT($C$77:$H$106,(OFFSET(Output_1_0_1!$S$3,67*(ROW(#REF!)-44),0):OFFSET(Output_1_0_1!$X$32,67*(ROW(#REF!)-44),0)))*#REF!</f>
        <v>#REF!</v>
      </c>
      <c r="AK107" t="e">
        <f ca="1">SUMPRODUCT($C$77:$H$106,(OFFSET(Output_1_0_0!$S$3,67*(ROW(#REF!)-44),0):OFFSET(Output_1_0_0!$X$32,67*(ROW(#REF!)-44),0)))*#REF!</f>
        <v>#REF!</v>
      </c>
      <c r="AL107" t="e">
        <f ca="1">SUMPRODUCT($C$77:$H$106,(OFFSET(Output_1_1_1!$S$3,67*(ROW(#REF!)-44),0):OFFSET(Output_1_1_1!$X$32,67*(ROW(#REF!)-44),0)))*#REF!</f>
        <v>#REF!</v>
      </c>
      <c r="AM107" t="e">
        <f ca="1">SUMPRODUCT($C$77:$H$106,(OFFSET(Output_1_1_0!$S$3,67*(ROW(#REF!)-44),0):OFFSET(Output_1_1_0!$X$32,67*(ROW(#REF!)-44),0)))*#REF!</f>
        <v>#REF!</v>
      </c>
      <c r="AN107" t="e">
        <f ca="1">SUMPRODUCT($C$77:$H$106,(OFFSET(#REF!,67*(ROW(#REF!)-44),0):OFFSET(#REF!,67*(ROW(#REF!)-44),0)))*#REF!</f>
        <v>#REF!</v>
      </c>
      <c r="AO107" t="e">
        <f ca="1">SUMPRODUCT($C$77:$H$106,(OFFSET(#REF!,67*(ROW(#REF!)-44),0):OFFSET(#REF!,67*(ROW(#REF!)-44),0)))*#REF!</f>
        <v>#REF!</v>
      </c>
      <c r="AP107" t="e">
        <f ca="1">SUMPRODUCT($C$77:$H$106,(OFFSET(#REF!,67*(ROW(#REF!)-44),0):OFFSET(#REF!,67*(ROW(#REF!)-44),0)))*#REF!</f>
        <v>#REF!</v>
      </c>
      <c r="AQ107" t="e">
        <f ca="1">SUMPRODUCT($C$77:$H$106,(OFFSET(#REF!,67*(ROW(#REF!)-44),0):OFFSET(#REF!,67*(ROW(#REF!)-44),0)))*#REF!</f>
        <v>#REF!</v>
      </c>
    </row>
  </sheetData>
  <mergeCells count="3">
    <mergeCell ref="C27:F27"/>
    <mergeCell ref="C5:F5"/>
    <mergeCell ref="B4:L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E01E-31EE-436C-B290-31DB7B5DD8F2}">
  <sheetPr codeName="Sheet5">
    <tabColor theme="6" tint="0.79998168889431442"/>
  </sheetPr>
  <dimension ref="B2:AD103"/>
  <sheetViews>
    <sheetView showGridLines="0" zoomScaleNormal="100" workbookViewId="0">
      <selection activeCell="H82" sqref="H82"/>
    </sheetView>
  </sheetViews>
  <sheetFormatPr defaultColWidth="8.85546875" defaultRowHeight="15" x14ac:dyDescent="0.25"/>
  <cols>
    <col min="2" max="2" width="15.5703125" customWidth="1"/>
    <col min="3" max="3" width="30.85546875" customWidth="1"/>
    <col min="4" max="4" width="23" bestFit="1" customWidth="1"/>
    <col min="5" max="5" width="12.85546875" customWidth="1"/>
    <col min="6" max="6" width="14" customWidth="1"/>
    <col min="7" max="7" width="22.42578125" customWidth="1"/>
    <col min="8" max="8" width="30.42578125" customWidth="1"/>
    <col min="9" max="9" width="15.140625" customWidth="1"/>
    <col min="10" max="10" width="20.7109375" customWidth="1"/>
    <col min="11" max="11" width="26" bestFit="1" customWidth="1"/>
    <col min="12" max="12" width="25.28515625" customWidth="1"/>
    <col min="13" max="13" width="12.42578125" customWidth="1"/>
    <col min="14" max="14" width="10" bestFit="1" customWidth="1"/>
    <col min="15" max="15" width="12" bestFit="1" customWidth="1"/>
    <col min="16" max="16" width="15.7109375" customWidth="1"/>
    <col min="17" max="17" width="12" bestFit="1" customWidth="1"/>
    <col min="20" max="20" width="26.5703125" bestFit="1" customWidth="1"/>
    <col min="21" max="21" width="21.5703125" bestFit="1" customWidth="1"/>
    <col min="24" max="24" width="14.28515625" bestFit="1" customWidth="1"/>
    <col min="25" max="25" width="30.140625" bestFit="1" customWidth="1"/>
    <col min="26" max="26" width="7.5703125" customWidth="1"/>
    <col min="27" max="27" width="18" bestFit="1" customWidth="1"/>
    <col min="28" max="28" width="18.42578125" customWidth="1"/>
    <col min="29" max="29" width="29.7109375" customWidth="1"/>
    <col min="30" max="30" width="20.42578125" customWidth="1"/>
    <col min="31" max="31" width="18.7109375" customWidth="1"/>
    <col min="32" max="32" width="37.7109375" customWidth="1"/>
    <col min="33" max="33" width="37.42578125" customWidth="1"/>
    <col min="34" max="34" width="11.42578125" customWidth="1"/>
    <col min="35" max="35" width="12.5703125" customWidth="1"/>
    <col min="36" max="36" width="18.7109375" customWidth="1"/>
  </cols>
  <sheetData>
    <row r="2" spans="2:12" ht="15.75" x14ac:dyDescent="0.25">
      <c r="B2" s="77" t="s">
        <v>105</v>
      </c>
    </row>
    <row r="4" spans="2:12" ht="15.75" thickBot="1" x14ac:dyDescent="0.3"/>
    <row r="5" spans="2:12" ht="15.75" thickBot="1" x14ac:dyDescent="0.3">
      <c r="B5" s="32"/>
      <c r="C5" s="78" t="s">
        <v>93</v>
      </c>
      <c r="D5" s="80"/>
      <c r="E5" s="80"/>
      <c r="F5" s="79"/>
    </row>
    <row r="6" spans="2:12" ht="15.75" thickBot="1" x14ac:dyDescent="0.3">
      <c r="B6" s="35"/>
      <c r="C6" s="39" t="s">
        <v>67</v>
      </c>
      <c r="D6" s="40" t="s">
        <v>68</v>
      </c>
      <c r="E6" s="40" t="s">
        <v>69</v>
      </c>
      <c r="F6" s="41" t="s">
        <v>70</v>
      </c>
      <c r="G6" s="49" t="s">
        <v>16</v>
      </c>
      <c r="H6" s="49" t="s">
        <v>92</v>
      </c>
      <c r="J6" s="49" t="s">
        <v>16</v>
      </c>
      <c r="K6" s="49" t="s">
        <v>94</v>
      </c>
      <c r="L6" s="49" t="s">
        <v>108</v>
      </c>
    </row>
    <row r="7" spans="2:12" x14ac:dyDescent="0.25">
      <c r="B7" s="37">
        <v>2004</v>
      </c>
      <c r="C7" s="31">
        <f>SUMPRODUCT($C$73:$G$103,Output_1_0_1!$AA$36:$AE$66)*$L7</f>
        <v>-1011472.3114901414</v>
      </c>
      <c r="D7">
        <f>SUMPRODUCT($J$73:$N$103,Output_1_0_0!$AA$36:$AE$66)*$L7</f>
        <v>-17475299.254298471</v>
      </c>
      <c r="E7" s="48">
        <f>SUMPRODUCT($Q$73:$U$103,Output_1_1_1!$AA$36:$AE$66)*$L7</f>
        <v>-2145717.0302779931</v>
      </c>
      <c r="F7" s="60">
        <f>SUMPRODUCT($X$73:$AB$103,Output_1_1_0!$AA$36:$AE$66)*$L7</f>
        <v>-25386851.551172059</v>
      </c>
      <c r="G7" s="37">
        <v>2004</v>
      </c>
      <c r="H7" s="65">
        <f>K7*(1-PRODUCT('Mortality Table'!C2:G2)*0.85)</f>
        <v>27479390.219179682</v>
      </c>
      <c r="J7" s="37">
        <v>2004</v>
      </c>
      <c r="K7" s="54">
        <v>72300000</v>
      </c>
      <c r="L7" s="37">
        <v>6238</v>
      </c>
    </row>
    <row r="8" spans="2:12" x14ac:dyDescent="0.25">
      <c r="B8" s="37">
        <f>B7+1</f>
        <v>2005</v>
      </c>
      <c r="C8" s="31">
        <f>SUMPRODUCT($C$73:$G$103,Output_1_0_1!$AA$36:$AE$66)*$L8</f>
        <v>-1076493.215130338</v>
      </c>
      <c r="D8">
        <f>SUMPRODUCT($J$73:$N$103,Output_1_0_0!$AA$36:$AE$66)*$L8</f>
        <v>-18598671.328837376</v>
      </c>
      <c r="E8">
        <f>SUMPRODUCT($Q$73:$U$103,Output_1_1_1!$AA$36:$AE$66)*$L8</f>
        <v>-2283651.068293619</v>
      </c>
      <c r="F8" s="32">
        <f>SUMPRODUCT($X$73:$AB$103,Output_1_1_0!$AA$36:$AE$66)*$L8</f>
        <v>-27018805.297888953</v>
      </c>
      <c r="G8" s="37">
        <f>G7+1</f>
        <v>2005</v>
      </c>
      <c r="H8" s="65">
        <f>K8*(1-PRODUCT('Mortality Table'!C3:G3)*0.85)</f>
        <v>31660210.307851557</v>
      </c>
      <c r="J8" s="37">
        <f t="shared" ref="J8:J26" si="0">J7+1</f>
        <v>2005</v>
      </c>
      <c r="K8" s="55">
        <v>83300000</v>
      </c>
      <c r="L8" s="37">
        <v>6639</v>
      </c>
    </row>
    <row r="9" spans="2:12" x14ac:dyDescent="0.25">
      <c r="B9" s="37">
        <f t="shared" ref="B9:B26" si="1">B8+1</f>
        <v>2006</v>
      </c>
      <c r="C9" s="31">
        <f>SUMPRODUCT($C$73:$G$103,Output_1_0_1!$AA$36:$AE$66)*$L9</f>
        <v>-1361709.597931101</v>
      </c>
      <c r="D9">
        <f>SUMPRODUCT($J$73:$N$103,Output_1_0_0!$AA$36:$AE$66)*$L9</f>
        <v>-23526380.753061648</v>
      </c>
      <c r="E9">
        <f>SUMPRODUCT($Q$73:$U$103,Output_1_1_1!$AA$36:$AE$66)*$L9</f>
        <v>-2888703.3697137842</v>
      </c>
      <c r="F9" s="32">
        <f>SUMPRODUCT($X$73:$AB$103,Output_1_1_0!$AA$36:$AE$66)*$L9</f>
        <v>-34177425.348948851</v>
      </c>
      <c r="G9" s="37">
        <f t="shared" ref="G9:G26" si="2">G8+1</f>
        <v>2006</v>
      </c>
      <c r="H9" s="65">
        <f>K9*(1-PRODUCT('Mortality Table'!C4:G4)*0.85)</f>
        <v>39451738.654921867</v>
      </c>
      <c r="J9" s="37">
        <f t="shared" si="0"/>
        <v>2006</v>
      </c>
      <c r="K9" s="55">
        <v>103800000</v>
      </c>
      <c r="L9" s="37">
        <v>8398</v>
      </c>
    </row>
    <row r="10" spans="2:12" x14ac:dyDescent="0.25">
      <c r="B10" s="37">
        <f t="shared" si="1"/>
        <v>2007</v>
      </c>
      <c r="C10" s="31">
        <f>SUMPRODUCT($C$73:$G$103,Output_1_0_1!$AA$36:$AE$66)*$L10</f>
        <v>-1548664.9642581502</v>
      </c>
      <c r="D10">
        <f>SUMPRODUCT($J$73:$N$103,Output_1_0_0!$AA$36:$AE$66)*$L10</f>
        <v>-26756425.645688474</v>
      </c>
      <c r="E10">
        <f>SUMPRODUCT($Q$73:$U$103,Output_1_1_1!$AA$36:$AE$66)*$L10</f>
        <v>-3285306.7259033523</v>
      </c>
      <c r="F10" s="32">
        <f>SUMPRODUCT($X$73:$AB$103,Output_1_1_0!$AA$36:$AE$66)*$L10</f>
        <v>-38869801.084521376</v>
      </c>
      <c r="G10" s="37">
        <f t="shared" si="2"/>
        <v>2007</v>
      </c>
      <c r="H10" s="65">
        <f>K10*(1-PRODUCT('Mortality Table'!C5:G5)*0.85)</f>
        <v>60108790.638496079</v>
      </c>
      <c r="J10" s="37">
        <f t="shared" si="0"/>
        <v>2007</v>
      </c>
      <c r="K10" s="55">
        <v>158150000</v>
      </c>
      <c r="L10" s="37">
        <v>9551</v>
      </c>
    </row>
    <row r="11" spans="2:12" x14ac:dyDescent="0.25">
      <c r="B11" s="37">
        <f t="shared" si="1"/>
        <v>2008</v>
      </c>
      <c r="C11" s="31">
        <f>SUMPRODUCT($C$73:$G$103,Output_1_0_1!$AA$36:$AE$66)*$L11</f>
        <v>-1581418.6364160546</v>
      </c>
      <c r="D11">
        <f>SUMPRODUCT($J$73:$N$103,Output_1_0_0!$AA$36:$AE$66)*$L11</f>
        <v>-27322313.822887622</v>
      </c>
      <c r="E11">
        <f>SUMPRODUCT($Q$73:$U$103,Output_1_1_1!$AA$36:$AE$66)*$L11</f>
        <v>-3354789.7076468845</v>
      </c>
      <c r="F11" s="32">
        <f>SUMPRODUCT($X$73:$AB$103,Output_1_1_0!$AA$36:$AE$66)*$L11</f>
        <v>-39691882.523017168</v>
      </c>
      <c r="G11" s="37">
        <f t="shared" si="2"/>
        <v>2008</v>
      </c>
      <c r="H11" s="65">
        <f>K11*(1-PRODUCT('Mortality Table'!C6:G6)*0.85)</f>
        <v>68603456.909570292</v>
      </c>
      <c r="J11" s="37">
        <f t="shared" si="0"/>
        <v>2008</v>
      </c>
      <c r="K11" s="55">
        <v>180500000</v>
      </c>
      <c r="L11" s="37">
        <v>9753</v>
      </c>
    </row>
    <row r="12" spans="2:12" x14ac:dyDescent="0.25">
      <c r="B12" s="37">
        <f t="shared" si="1"/>
        <v>2009</v>
      </c>
      <c r="C12" s="31">
        <f>SUMPRODUCT($C$73:$G$103,Output_1_0_1!$AA$36:$AE$66)*$L12</f>
        <v>-1854474.0023265064</v>
      </c>
      <c r="D12">
        <f>SUMPRODUCT($J$73:$N$103,Output_1_0_0!$AA$36:$AE$66)*$L12</f>
        <v>-32039916.250627063</v>
      </c>
      <c r="E12">
        <f>SUMPRODUCT($Q$73:$U$103,Output_1_1_1!$AA$36:$AE$66)*$L12</f>
        <v>-3934043.8722810848</v>
      </c>
      <c r="F12" s="32">
        <f>SUMPRODUCT($X$73:$AB$103,Output_1_1_0!$AA$36:$AE$66)*$L12</f>
        <v>-46545274.317209817</v>
      </c>
      <c r="G12" s="37">
        <f t="shared" si="2"/>
        <v>2009</v>
      </c>
      <c r="H12" s="65">
        <f>K12*(1-PRODUCT('Mortality Table'!C7:G7)*0.85)</f>
        <v>82476178.112890601</v>
      </c>
      <c r="J12" s="37">
        <f t="shared" si="0"/>
        <v>2009</v>
      </c>
      <c r="K12" s="55">
        <v>217000000</v>
      </c>
      <c r="L12" s="37">
        <v>11437</v>
      </c>
    </row>
    <row r="13" spans="2:12" x14ac:dyDescent="0.25">
      <c r="B13" s="37">
        <f t="shared" si="1"/>
        <v>2010</v>
      </c>
      <c r="C13" s="31">
        <f>SUMPRODUCT($C$73:$G$103,Output_1_0_1!$AA$36:$AE$66)*$L13</f>
        <v>-2053590.3855438668</v>
      </c>
      <c r="D13">
        <f>SUMPRODUCT($J$73:$N$103,Output_1_0_0!$AA$36:$AE$66)*$L13</f>
        <v>-35480068.139738724</v>
      </c>
      <c r="E13">
        <f>SUMPRODUCT($Q$73:$U$103,Output_1_1_1!$AA$36:$AE$66)*$L13</f>
        <v>-4356445.3652566178</v>
      </c>
      <c r="F13" s="32">
        <f>SUMPRODUCT($X$73:$AB$103,Output_1_1_0!$AA$36:$AE$66)*$L13</f>
        <v>-51542878.309649587</v>
      </c>
      <c r="G13" s="37">
        <f t="shared" si="2"/>
        <v>2010</v>
      </c>
      <c r="H13" s="65">
        <f>K13*(1-PRODUCT('Mortality Table'!C8:G8)*0.85)</f>
        <v>116055764.91599607</v>
      </c>
      <c r="J13" s="37">
        <f t="shared" si="0"/>
        <v>2010</v>
      </c>
      <c r="K13" s="55">
        <v>305350000</v>
      </c>
      <c r="L13" s="37">
        <v>12665</v>
      </c>
    </row>
    <row r="14" spans="2:12" x14ac:dyDescent="0.25">
      <c r="B14" s="37">
        <f t="shared" si="1"/>
        <v>2011</v>
      </c>
      <c r="C14" s="31">
        <f>SUMPRODUCT($C$73:$G$103,Output_1_0_1!$AA$36:$AE$66)*$L14</f>
        <v>-2206008.4639024325</v>
      </c>
      <c r="D14">
        <f>SUMPRODUCT($J$73:$N$103,Output_1_0_0!$AA$36:$AE$66)*$L14</f>
        <v>-38113409.162348621</v>
      </c>
      <c r="E14">
        <f>SUMPRODUCT($Q$73:$U$103,Output_1_1_1!$AA$36:$AE$66)*$L14</f>
        <v>-4679782.0129740452</v>
      </c>
      <c r="F14" s="32">
        <f>SUMPRODUCT($X$73:$AB$103,Output_1_1_0!$AA$36:$AE$66)*$L14</f>
        <v>-55368405.795719117</v>
      </c>
      <c r="G14" s="37">
        <f t="shared" si="2"/>
        <v>2011</v>
      </c>
      <c r="H14" s="65">
        <f>K14*(1-PRODUCT('Mortality Table'!C9:G9)*0.85)</f>
        <v>126697852.41443357</v>
      </c>
      <c r="J14" s="37">
        <f t="shared" si="0"/>
        <v>2011</v>
      </c>
      <c r="K14" s="55">
        <v>333350000</v>
      </c>
      <c r="L14" s="37">
        <v>13605</v>
      </c>
    </row>
    <row r="15" spans="2:12" x14ac:dyDescent="0.25">
      <c r="B15" s="37">
        <f t="shared" si="1"/>
        <v>2012</v>
      </c>
      <c r="C15" s="31">
        <f>SUMPRODUCT($C$73:$G$103,Output_1_0_1!$AA$36:$AE$66)*$L15</f>
        <v>-2486036.146163329</v>
      </c>
      <c r="D15">
        <f>SUMPRODUCT($J$73:$N$103,Output_1_0_0!$AA$36:$AE$66)*$L15</f>
        <v>-42951472.934739366</v>
      </c>
      <c r="E15">
        <f>SUMPRODUCT($Q$73:$U$103,Output_1_1_1!$AA$36:$AE$66)*$L15</f>
        <v>-5273827.1093655322</v>
      </c>
      <c r="F15" s="32">
        <f>SUMPRODUCT($X$73:$AB$103,Output_1_1_0!$AA$36:$AE$66)*$L15</f>
        <v>-62396795.12384899</v>
      </c>
      <c r="G15" s="37">
        <f t="shared" si="2"/>
        <v>2012</v>
      </c>
      <c r="H15" s="65">
        <f>K15*(1-PRODUCT('Mortality Table'!C10:G10)*0.85)</f>
        <v>145169475.71529293</v>
      </c>
      <c r="J15" s="37">
        <f t="shared" si="0"/>
        <v>2012</v>
      </c>
      <c r="K15" s="55">
        <v>381950000</v>
      </c>
      <c r="L15" s="37">
        <v>15332</v>
      </c>
    </row>
    <row r="16" spans="2:12" x14ac:dyDescent="0.25">
      <c r="B16" s="37">
        <f t="shared" si="1"/>
        <v>2013</v>
      </c>
      <c r="C16" s="31">
        <f>SUMPRODUCT($C$73:$G$103,Output_1_0_1!$AA$36:$AE$66)*$L16</f>
        <v>-2728607.896402068</v>
      </c>
      <c r="D16">
        <f>SUMPRODUCT($J$73:$N$103,Output_1_0_0!$AA$36:$AE$66)*$L16</f>
        <v>-47142407.157956824</v>
      </c>
      <c r="E16">
        <f>SUMPRODUCT($Q$73:$U$103,Output_1_1_1!$AA$36:$AE$66)*$L16</f>
        <v>-5788413.9444562467</v>
      </c>
      <c r="F16" s="32">
        <f>SUMPRODUCT($X$73:$AB$103,Output_1_1_0!$AA$36:$AE$66)*$L16</f>
        <v>-68485081.420827731</v>
      </c>
      <c r="G16" s="37">
        <f t="shared" si="2"/>
        <v>2013</v>
      </c>
      <c r="H16" s="65">
        <f>K16*(1-PRODUCT('Mortality Table'!C11:G11)*0.85)</f>
        <v>170824508.07759762</v>
      </c>
      <c r="J16" s="37">
        <f t="shared" si="0"/>
        <v>2013</v>
      </c>
      <c r="K16" s="55">
        <v>449450000</v>
      </c>
      <c r="L16" s="37">
        <v>16828</v>
      </c>
    </row>
    <row r="17" spans="2:12" x14ac:dyDescent="0.25">
      <c r="B17" s="37">
        <f t="shared" si="1"/>
        <v>2014</v>
      </c>
      <c r="C17" s="31">
        <f>SUMPRODUCT($C$73:$G$103,Output_1_0_1!$AA$36:$AE$66)*$L17</f>
        <v>-2835624.8450368056</v>
      </c>
      <c r="D17">
        <f>SUMPRODUCT($J$73:$N$103,Output_1_0_0!$AA$36:$AE$66)*$L17</f>
        <v>-48991348.727023356</v>
      </c>
      <c r="E17">
        <f>SUMPRODUCT($Q$73:$U$103,Output_1_1_1!$AA$36:$AE$66)*$L17</f>
        <v>-6015437.5481727384</v>
      </c>
      <c r="F17" s="32">
        <f>SUMPRODUCT($X$73:$AB$103,Output_1_1_0!$AA$36:$AE$66)*$L17</f>
        <v>-71171090.081259534</v>
      </c>
      <c r="G17" s="37">
        <f t="shared" si="2"/>
        <v>2014</v>
      </c>
      <c r="H17" s="65">
        <f>K17*(1-PRODUCT('Mortality Table'!C12:G12)*0.85)</f>
        <v>194674186.31070307</v>
      </c>
      <c r="J17" s="37">
        <f t="shared" si="0"/>
        <v>2014</v>
      </c>
      <c r="K17" s="55">
        <v>512200000</v>
      </c>
      <c r="L17" s="37">
        <v>17488</v>
      </c>
    </row>
    <row r="18" spans="2:12" x14ac:dyDescent="0.25">
      <c r="B18" s="37">
        <f t="shared" si="1"/>
        <v>2015</v>
      </c>
      <c r="C18" s="31">
        <f>SUMPRODUCT($C$73:$G$103,Output_1_0_1!$AA$36:$AE$66)*$L18</f>
        <v>-2862541.2290873607</v>
      </c>
      <c r="D18">
        <f>SUMPRODUCT($J$73:$N$103,Output_1_0_0!$AA$36:$AE$66)*$L18</f>
        <v>-49456385.545909785</v>
      </c>
      <c r="E18">
        <f>SUMPRODUCT($Q$73:$U$103,Output_1_1_1!$AA$36:$AE$66)*$L18</f>
        <v>-6072537.4242590079</v>
      </c>
      <c r="F18" s="32">
        <f>SUMPRODUCT($X$73:$AB$103,Output_1_1_0!$AA$36:$AE$66)*$L18</f>
        <v>-71846661.956459045</v>
      </c>
      <c r="G18" s="37">
        <f t="shared" si="2"/>
        <v>2015</v>
      </c>
      <c r="H18" s="65">
        <f>K18*(1-PRODUCT('Mortality Table'!C13:G13)*0.85)</f>
        <v>246554362.86558589</v>
      </c>
      <c r="J18" s="37">
        <f t="shared" si="0"/>
        <v>2015</v>
      </c>
      <c r="K18" s="55">
        <v>648700000</v>
      </c>
      <c r="L18" s="37">
        <v>17654</v>
      </c>
    </row>
    <row r="19" spans="2:12" x14ac:dyDescent="0.25">
      <c r="B19" s="37">
        <f t="shared" si="1"/>
        <v>2016</v>
      </c>
      <c r="C19" s="31">
        <f>SUMPRODUCT($C$73:$G$103,Output_1_0_1!$AA$36:$AE$66)*$L19</f>
        <v>-3369898.8537511397</v>
      </c>
      <c r="D19">
        <f>SUMPRODUCT($J$73:$N$103,Output_1_0_0!$AA$36:$AE$66)*$L19</f>
        <v>-58222049.439256996</v>
      </c>
      <c r="E19">
        <f>SUMPRODUCT($Q$73:$U$103,Output_1_1_1!$AA$36:$AE$66)*$L19</f>
        <v>-7148835.6909694662</v>
      </c>
      <c r="F19" s="32">
        <f>SUMPRODUCT($X$73:$AB$103,Output_1_1_0!$AA$36:$AE$66)*$L19</f>
        <v>-84580784.83296071</v>
      </c>
      <c r="G19" s="37">
        <f t="shared" si="2"/>
        <v>2016</v>
      </c>
      <c r="H19" s="65">
        <f>K19*(1-PRODUCT('Mortality Table'!C14:G14)*0.85)</f>
        <v>286253149.98029292</v>
      </c>
      <c r="J19" s="37">
        <f t="shared" si="0"/>
        <v>2016</v>
      </c>
      <c r="K19" s="55">
        <v>753150000</v>
      </c>
      <c r="L19" s="37">
        <v>20783</v>
      </c>
    </row>
    <row r="20" spans="2:12" x14ac:dyDescent="0.25">
      <c r="B20" s="37">
        <f t="shared" si="1"/>
        <v>2017</v>
      </c>
      <c r="C20" s="31">
        <f>SUMPRODUCT($C$73:$G$103,Output_1_0_1!$AA$36:$AE$66)*$L20</f>
        <v>-3343793.2041599383</v>
      </c>
      <c r="D20">
        <f>SUMPRODUCT($J$73:$N$103,Output_1_0_0!$AA$36:$AE$66)*$L20</f>
        <v>-57771019.753469557</v>
      </c>
      <c r="E20">
        <f>SUMPRODUCT($Q$73:$U$103,Output_1_1_1!$AA$36:$AE$66)*$L20</f>
        <v>-7093455.6906689284</v>
      </c>
      <c r="F20" s="32">
        <f>SUMPRODUCT($X$73:$AB$103,Output_1_1_0!$AA$36:$AE$66)*$L20</f>
        <v>-83925561.508219004</v>
      </c>
      <c r="G20" s="37">
        <f t="shared" si="2"/>
        <v>2017</v>
      </c>
      <c r="H20" s="65">
        <f>K20*(1-PRODUCT('Mortality Table'!C15:G15)*0.85)</f>
        <v>330588846.64789057</v>
      </c>
      <c r="J20" s="37">
        <f t="shared" si="0"/>
        <v>2017</v>
      </c>
      <c r="K20" s="55">
        <v>869800000</v>
      </c>
      <c r="L20" s="37">
        <v>20622</v>
      </c>
    </row>
    <row r="21" spans="2:12" x14ac:dyDescent="0.25">
      <c r="B21" s="37">
        <f t="shared" si="1"/>
        <v>2018</v>
      </c>
      <c r="C21" s="31">
        <f>SUMPRODUCT($C$73:$G$103,Output_1_0_1!$AA$36:$AE$66)*$L21</f>
        <v>-3802831.0550462143</v>
      </c>
      <c r="D21">
        <f>SUMPRODUCT($J$73:$N$103,Output_1_0_0!$AA$36:$AE$66)*$L21</f>
        <v>-65701858.514117032</v>
      </c>
      <c r="E21">
        <f>SUMPRODUCT($Q$73:$U$103,Output_1_1_1!$AA$36:$AE$66)*$L21</f>
        <v>-8067249.3605498187</v>
      </c>
      <c r="F21" s="32">
        <f>SUMPRODUCT($X$73:$AB$103,Output_1_1_0!$AA$36:$AE$66)*$L21</f>
        <v>-95446910.777434796</v>
      </c>
      <c r="G21" s="37">
        <f t="shared" si="2"/>
        <v>2018</v>
      </c>
      <c r="H21" s="65">
        <f>K21*(1-PRODUCT('Mortality Table'!C16:G16)*0.85)</f>
        <v>380112560.97097647</v>
      </c>
      <c r="J21" s="37">
        <f t="shared" si="0"/>
        <v>2018</v>
      </c>
      <c r="K21" s="55">
        <v>1000100000</v>
      </c>
      <c r="L21" s="37">
        <v>23453</v>
      </c>
    </row>
    <row r="22" spans="2:12" x14ac:dyDescent="0.25">
      <c r="B22" s="37">
        <f t="shared" si="1"/>
        <v>2019</v>
      </c>
      <c r="C22" s="31">
        <f>SUMPRODUCT($C$73:$G$103,Output_1_0_1!$AA$36:$AE$66)*$L22</f>
        <v>-4313431.6175474096</v>
      </c>
      <c r="D22">
        <f>SUMPRODUCT($J$73:$N$103,Output_1_0_0!$AA$36:$AE$66)*$L22</f>
        <v>-74523550.93986021</v>
      </c>
      <c r="E22">
        <f>SUMPRODUCT($Q$73:$U$103,Output_1_1_1!$AA$36:$AE$66)*$L22</f>
        <v>-9150427.130403202</v>
      </c>
      <c r="F22" s="32">
        <f>SUMPRODUCT($X$73:$AB$103,Output_1_1_0!$AA$36:$AE$66)*$L22</f>
        <v>-108262427.85576773</v>
      </c>
      <c r="G22" s="37">
        <f t="shared" si="2"/>
        <v>2019</v>
      </c>
      <c r="H22" s="65">
        <f>K22*(1-PRODUCT('Mortality Table'!C17:G17)*0.85)</f>
        <v>424239216.63414055</v>
      </c>
      <c r="J22" s="37">
        <f t="shared" si="0"/>
        <v>2019</v>
      </c>
      <c r="K22" s="55">
        <v>1116200000</v>
      </c>
      <c r="L22" s="37">
        <v>26602</v>
      </c>
    </row>
    <row r="23" spans="2:12" x14ac:dyDescent="0.25">
      <c r="B23" s="37">
        <f t="shared" si="1"/>
        <v>2020</v>
      </c>
      <c r="C23" s="31">
        <f>SUMPRODUCT($C$73:$G$103,Output_1_0_1!$AA$36:$AE$66)*$L23</f>
        <v>-4739229.3556001689</v>
      </c>
      <c r="D23">
        <f>SUMPRODUCT($J$73:$N$103,Output_1_0_0!$AA$36:$AE$66)*$L23</f>
        <v>-81880097.243449137</v>
      </c>
      <c r="E23">
        <f>SUMPRODUCT($Q$73:$U$103,Output_1_1_1!$AA$36:$AE$66)*$L23</f>
        <v>-10053705.893069122</v>
      </c>
      <c r="F23" s="32">
        <f>SUMPRODUCT($X$73:$AB$103,Output_1_1_0!$AA$36:$AE$66)*$L23</f>
        <v>-118949486.55621304</v>
      </c>
      <c r="G23" s="37">
        <f t="shared" si="2"/>
        <v>2020</v>
      </c>
      <c r="H23" s="65">
        <f>K23*(1-PRODUCT('Mortality Table'!C18:G18)*0.85)</f>
        <v>652530997.2033006</v>
      </c>
      <c r="J23" s="37">
        <f t="shared" si="0"/>
        <v>2020</v>
      </c>
      <c r="K23" s="55">
        <v>1716850000</v>
      </c>
      <c r="L23" s="37">
        <v>29228</v>
      </c>
    </row>
    <row r="24" spans="2:12" x14ac:dyDescent="0.25">
      <c r="B24" s="37">
        <f t="shared" si="1"/>
        <v>2021</v>
      </c>
      <c r="C24" s="31">
        <f>SUMPRODUCT($C$73:$G$103,Output_1_0_1!$AA$36:$AE$66)*$L24</f>
        <v>-4917753.0835499354</v>
      </c>
      <c r="D24">
        <f>SUMPRODUCT($J$73:$N$103,Output_1_0_0!$AA$36:$AE$66)*$L24</f>
        <v>-84964467.95184648</v>
      </c>
      <c r="E24">
        <f>SUMPRODUCT($Q$73:$U$103,Output_1_1_1!$AA$36:$AE$66)*$L24</f>
        <v>-10432422.541087087</v>
      </c>
      <c r="F24" s="32">
        <f>SUMPRODUCT($X$73:$AB$103,Output_1_1_0!$AA$36:$AE$66)*$L24</f>
        <v>-123430237.36702426</v>
      </c>
      <c r="G24" s="37">
        <f t="shared" si="2"/>
        <v>2021</v>
      </c>
      <c r="H24" s="65">
        <f>K24*(1-PRODUCT('Mortality Table'!C19:G19)*0.85)</f>
        <v>691545650.12167954</v>
      </c>
      <c r="J24" s="37">
        <f t="shared" si="0"/>
        <v>2021</v>
      </c>
      <c r="K24" s="55">
        <v>1819500000</v>
      </c>
      <c r="L24" s="37">
        <v>30329</v>
      </c>
    </row>
    <row r="25" spans="2:12" x14ac:dyDescent="0.25">
      <c r="B25" s="37">
        <f t="shared" si="1"/>
        <v>2022</v>
      </c>
      <c r="C25" s="31">
        <f>SUMPRODUCT($C$73:$G$103,Output_1_0_1!$AA$36:$AE$66)*$L25</f>
        <v>-4681342.915202288</v>
      </c>
      <c r="D25">
        <f>SUMPRODUCT($J$73:$N$103,Output_1_0_0!$AA$36:$AE$66)*$L25</f>
        <v>-80879987.940181345</v>
      </c>
      <c r="E25">
        <f>SUMPRODUCT($Q$73:$U$103,Output_1_1_1!$AA$36:$AE$66)*$L25</f>
        <v>-9930906.7619679291</v>
      </c>
      <c r="F25" s="32">
        <f>SUMPRODUCT($X$73:$AB$103,Output_1_1_0!$AA$36:$AE$66)*$L25</f>
        <v>-117496600.05352493</v>
      </c>
      <c r="G25" s="37">
        <f t="shared" si="2"/>
        <v>2022</v>
      </c>
      <c r="H25" s="65">
        <f>K25*(1-PRODUCT('Mortality Table'!C20:G20)*0.85)</f>
        <v>733315843.5530467</v>
      </c>
      <c r="J25" s="37">
        <f t="shared" si="0"/>
        <v>2022</v>
      </c>
      <c r="K25" s="55">
        <v>1929400000</v>
      </c>
      <c r="L25" s="37">
        <v>28871</v>
      </c>
    </row>
    <row r="26" spans="2:12" ht="15.75" thickBot="1" x14ac:dyDescent="0.3">
      <c r="B26" s="37">
        <f t="shared" si="1"/>
        <v>2023</v>
      </c>
      <c r="C26" s="31">
        <f>SUMPRODUCT($C$73:$G$103,Output_1_0_1!$AA$36:$AE$66)*$L26</f>
        <v>-5183025.3986505885</v>
      </c>
      <c r="D26">
        <f>SUMPRODUCT($J$73:$N$103,Output_1_0_0!$AA$36:$AE$66)*$L26</f>
        <v>-89547601.901835635</v>
      </c>
      <c r="E26">
        <f>SUMPRODUCT($Q$73:$U$103,Output_1_1_1!$AA$36:$AE$66)*$L26</f>
        <v>-10995165.89817827</v>
      </c>
      <c r="F26" s="32">
        <f>SUMPRODUCT($X$73:$AB$103,Output_1_1_0!$AA$36:$AE$66)*$L26</f>
        <v>-130088283.07682188</v>
      </c>
      <c r="G26" s="38">
        <f t="shared" si="2"/>
        <v>2023</v>
      </c>
      <c r="H26" s="66">
        <f>K26*(1-PRODUCT('Mortality Table'!C21:G21)*0.85)</f>
        <v>767256501.18199205</v>
      </c>
      <c r="J26" s="38">
        <f t="shared" si="0"/>
        <v>2023</v>
      </c>
      <c r="K26" s="56">
        <v>2018700000</v>
      </c>
      <c r="L26" s="38">
        <v>31965</v>
      </c>
    </row>
    <row r="27" spans="2:12" ht="15.75" thickBot="1" x14ac:dyDescent="0.3">
      <c r="B27" s="36"/>
      <c r="C27" s="78" t="s">
        <v>103</v>
      </c>
      <c r="D27" s="80"/>
      <c r="E27" s="80"/>
      <c r="F27" s="79"/>
      <c r="G27" s="49" t="s">
        <v>98</v>
      </c>
      <c r="H27" s="49" t="s">
        <v>97</v>
      </c>
      <c r="J27" s="67" t="s">
        <v>101</v>
      </c>
      <c r="K27" s="49" t="s">
        <v>102</v>
      </c>
    </row>
    <row r="28" spans="2:12" x14ac:dyDescent="0.25">
      <c r="B28" s="36">
        <v>1</v>
      </c>
      <c r="C28" s="61">
        <f>C7/((1+$D$49)*(1+SPWL!$C$6))^$B28</f>
        <v>-944831.39203446393</v>
      </c>
      <c r="D28" s="61">
        <f>D7/((1+$D$49)*(1+SPWL!$C$6))^B28</f>
        <v>-16323938.018958399</v>
      </c>
      <c r="E28" s="61">
        <f>E7/((1+$D$49)*(1+SPWL!$C$6))^$B$28</f>
        <v>-2004346.323274883</v>
      </c>
      <c r="F28" s="61">
        <f>F7/((1+$D$49)*(1+SPWL!$C$6))^$B$28</f>
        <v>-23714237.174845267</v>
      </c>
      <c r="G28" s="64">
        <f t="shared" ref="G28:G47" si="3">-SUM(C28:F28)</f>
        <v>42987352.90911302</v>
      </c>
      <c r="H28" s="64">
        <f>H7/((1+'T20'!$C$6)*(1+T20_Savings!$F$2))^$B28</f>
        <v>26679019.630271535</v>
      </c>
      <c r="J28" s="36">
        <v>1</v>
      </c>
      <c r="K28" s="62">
        <f>-K7/((1+$D$49)*(1+SPWL!$C$6))^$B$28</f>
        <v>-67536509.767086744</v>
      </c>
    </row>
    <row r="29" spans="2:12" x14ac:dyDescent="0.25">
      <c r="B29" s="37">
        <f>B28+1</f>
        <v>2</v>
      </c>
      <c r="C29">
        <f>C8/((1+$D$49)*(1+SPWL!$C$6))^$B29</f>
        <v>-939316.45003400138</v>
      </c>
      <c r="D29">
        <f>D8/((1+$D$49)*(1+SPWL!$C$6))^$B$29</f>
        <v>-16228655.863694856</v>
      </c>
      <c r="E29">
        <f>E8/((1+$D$49)*(1+SPWL!$C$6))^$B$29</f>
        <v>-1992647.036169382</v>
      </c>
      <c r="F29">
        <f>F8/((1+$D$49)*(1+SPWL!$C$6))^$B$29</f>
        <v>-23575818.14716788</v>
      </c>
      <c r="G29" s="65">
        <f t="shared" si="3"/>
        <v>42736437.497066125</v>
      </c>
      <c r="H29" s="65">
        <f>H8/((1+'T20'!$C$6)*(1+T20_Savings!$F$2))^$B29</f>
        <v>29842784.718495201</v>
      </c>
      <c r="J29" s="37">
        <v>2</v>
      </c>
      <c r="K29" s="60">
        <f>-K8/((1+$D$49)*(1+SPWL!$C$6))^$B$29</f>
        <v>-72685140.220190495</v>
      </c>
    </row>
    <row r="30" spans="2:12" x14ac:dyDescent="0.25">
      <c r="B30" s="37">
        <f t="shared" ref="B30:B45" si="4">B29+1</f>
        <v>3</v>
      </c>
      <c r="C30">
        <f>C9/((1+$D$49)*(1+SPWL!$C$6))^$B30</f>
        <v>-1109904.0735827358</v>
      </c>
      <c r="D30">
        <f>D9/((1+$D$49)*(1+SPWL!$C$6))^$B$29</f>
        <v>-20528430.779230215</v>
      </c>
      <c r="E30">
        <f>E9/((1+$D$49)*(1+SPWL!$C$6))^$B$29</f>
        <v>-2520597.9529673853</v>
      </c>
      <c r="F30">
        <f>F9/((1+$D$49)*(1+SPWL!$C$6))^$B$29</f>
        <v>-29822220.334375035</v>
      </c>
      <c r="G30" s="65">
        <f t="shared" si="3"/>
        <v>53981153.140155375</v>
      </c>
      <c r="H30" s="65">
        <f>H9/((1+'T20'!$C$6)*(1+T20_Savings!$F$2))^$B30</f>
        <v>36103929.577032387</v>
      </c>
      <c r="J30" s="37">
        <v>3</v>
      </c>
      <c r="K30" s="60">
        <f>-K9/((1+$D$49)*(1+SPWL!$C$6))^$B$29</f>
        <v>-90572839.794186965</v>
      </c>
    </row>
    <row r="31" spans="2:12" x14ac:dyDescent="0.25">
      <c r="B31" s="37">
        <f t="shared" si="4"/>
        <v>4</v>
      </c>
      <c r="C31">
        <f>C10/((1+$D$49)*(1+SPWL!$C$6))^$B31</f>
        <v>-1179121.98158898</v>
      </c>
      <c r="D31">
        <f>D10/((1+$D$49)*(1+SPWL!$C$6))^$B$29</f>
        <v>-23346873.347514618</v>
      </c>
      <c r="E31">
        <f>E10/((1+$D$49)*(1+SPWL!$C$6))^$B$29</f>
        <v>-2866662.4254336148</v>
      </c>
      <c r="F31">
        <f>F10/((1+$D$49)*(1+SPWL!$C$6))^$B$29</f>
        <v>-33916649.965898544</v>
      </c>
      <c r="G31" s="65">
        <f t="shared" si="3"/>
        <v>61309307.720435753</v>
      </c>
      <c r="H31" s="65">
        <f>H10/((1+'T20'!$C$6)*(1+T20_Savings!$F$2))^$B31</f>
        <v>53405881.94817958</v>
      </c>
      <c r="J31" s="37">
        <v>4</v>
      </c>
      <c r="K31" s="60">
        <f>-K10/((1+$D$49)*(1+SPWL!$C$6))^$B$29</f>
        <v>-137997057.93305075</v>
      </c>
    </row>
    <row r="32" spans="2:12" x14ac:dyDescent="0.25">
      <c r="B32" s="37">
        <f t="shared" si="4"/>
        <v>5</v>
      </c>
      <c r="C32">
        <f>C11/((1+$D$49)*(1+SPWL!$C$6))^$B32</f>
        <v>-1124730.3915441553</v>
      </c>
      <c r="D32">
        <f>D11/((1+$D$49)*(1+SPWL!$C$6))^$B$29</f>
        <v>-23840650.796598271</v>
      </c>
      <c r="E32">
        <f>E11/((1+$D$49)*(1+SPWL!$C$6))^$B$29</f>
        <v>-2927291.2402108726</v>
      </c>
      <c r="F32">
        <f>F11/((1+$D$49)*(1+SPWL!$C$6))^$B$29</f>
        <v>-34633974.151126429</v>
      </c>
      <c r="G32" s="65">
        <f t="shared" si="3"/>
        <v>62526646.579479724</v>
      </c>
      <c r="H32" s="65">
        <f>H11/((1+'T20'!$C$6)*(1+T20_Savings!$F$2))^$B32</f>
        <v>59177944.569315813</v>
      </c>
      <c r="J32" s="37">
        <v>5</v>
      </c>
      <c r="K32" s="60">
        <f>-K11/((1+$D$49)*(1+SPWL!$C$6))^$B$29</f>
        <v>-157499013.32226151</v>
      </c>
    </row>
    <row r="33" spans="2:11" x14ac:dyDescent="0.25">
      <c r="B33" s="37">
        <f t="shared" si="4"/>
        <v>6</v>
      </c>
      <c r="C33">
        <f>C12/((1+$D$49)*(1+SPWL!$C$6))^$B33</f>
        <v>-1232033.8577947929</v>
      </c>
      <c r="D33">
        <f>D12/((1+$D$49)*(1+SPWL!$C$6))^$B$29</f>
        <v>-27957092.500840195</v>
      </c>
      <c r="E33">
        <f>E12/((1+$D$49)*(1+SPWL!$C$6))^$B$29</f>
        <v>-3432731.4584529633</v>
      </c>
      <c r="F33">
        <f>F12/((1+$D$49)*(1+SPWL!$C$6))^$B$29</f>
        <v>-40614043.101244025</v>
      </c>
      <c r="G33" s="65">
        <f t="shared" si="3"/>
        <v>73235900.918331981</v>
      </c>
      <c r="H33" s="65">
        <f>H12/((1+'T20'!$C$6)*(1+T20_Savings!$F$2))^$B33</f>
        <v>69072500.720982879</v>
      </c>
      <c r="J33" s="37">
        <v>6</v>
      </c>
      <c r="K33" s="60">
        <f>-K12/((1+$D$49)*(1+SPWL!$C$6))^$B$29</f>
        <v>-189347844.27108449</v>
      </c>
    </row>
    <row r="34" spans="2:11" x14ac:dyDescent="0.25">
      <c r="B34" s="37">
        <f t="shared" si="4"/>
        <v>7</v>
      </c>
      <c r="C34">
        <f>C13/((1+$D$49)*(1+SPWL!$C$6))^$B34</f>
        <v>-1274430.1331327891</v>
      </c>
      <c r="D34">
        <f>D13/((1+$D$49)*(1+SPWL!$C$6))^$B$29</f>
        <v>-30958868.280418038</v>
      </c>
      <c r="E34">
        <f>E13/((1+$D$49)*(1+SPWL!$C$6))^$B$29</f>
        <v>-3801306.6294751056</v>
      </c>
      <c r="F34">
        <f>F13/((1+$D$49)*(1+SPWL!$C$6))^$B$29</f>
        <v>-44974805.969857089</v>
      </c>
      <c r="G34" s="65">
        <f t="shared" si="3"/>
        <v>81009411.012883022</v>
      </c>
      <c r="H34" s="65">
        <f>H13/((1+'T20'!$C$6)*(1+T20_Savings!$F$2))^$B34</f>
        <v>94363957.295656219</v>
      </c>
      <c r="J34" s="37">
        <v>7</v>
      </c>
      <c r="K34" s="60">
        <f>-K13/((1+$D$49)*(1+SPWL!$C$6))^$B$29</f>
        <v>-266439466.5814546</v>
      </c>
    </row>
    <row r="35" spans="2:11" x14ac:dyDescent="0.25">
      <c r="B35" s="37">
        <f t="shared" si="4"/>
        <v>8</v>
      </c>
      <c r="C35">
        <f>C14/((1+$D$49)*(1+SPWL!$C$6))^$B35</f>
        <v>-1278820.822607958</v>
      </c>
      <c r="D35">
        <f>D14/((1+$D$49)*(1+SPWL!$C$6))^$B$29</f>
        <v>-33256644.528629087</v>
      </c>
      <c r="E35">
        <f>E14/((1+$D$49)*(1+SPWL!$C$6))^$B$29</f>
        <v>-4083440.7180425432</v>
      </c>
      <c r="F35">
        <f>F14/((1+$D$49)*(1+SPWL!$C$6))^$B$29</f>
        <v>-48312849.208046243</v>
      </c>
      <c r="G35" s="65">
        <f t="shared" si="3"/>
        <v>86931755.277325839</v>
      </c>
      <c r="H35" s="65">
        <f>H14/((1+'T20'!$C$6)*(1+T20_Savings!$F$2))^$B35</f>
        <v>100016454.66369805</v>
      </c>
      <c r="J35" s="37">
        <v>8</v>
      </c>
      <c r="K35" s="60">
        <f>-K14/((1+$D$49)*(1+SPWL!$C$6))^$B$29</f>
        <v>-290871446.48740101</v>
      </c>
    </row>
    <row r="36" spans="2:11" x14ac:dyDescent="0.25">
      <c r="B36" s="37">
        <f t="shared" si="4"/>
        <v>9</v>
      </c>
      <c r="C36">
        <f>C15/((1+$D$49)*(1+SPWL!$C$6))^$B36</f>
        <v>-1346202.1480167457</v>
      </c>
      <c r="D36">
        <f>D15/((1+$D$49)*(1+SPWL!$C$6))^$B$29</f>
        <v>-37478197.274012581</v>
      </c>
      <c r="E36">
        <f>E15/((1+$D$49)*(1+SPWL!$C$6))^$B$29</f>
        <v>-4601787.0701233568</v>
      </c>
      <c r="F36">
        <f>F15/((1+$D$49)*(1+SPWL!$C$6))^$B$29</f>
        <v>-54445615.880761854</v>
      </c>
      <c r="G36" s="65">
        <f t="shared" si="3"/>
        <v>97871802.372914538</v>
      </c>
      <c r="H36" s="65">
        <f>H15/((1+'T20'!$C$6)*(1+T20_Savings!$F$2))^$B36</f>
        <v>111260315.21375231</v>
      </c>
      <c r="J36" s="37">
        <v>9</v>
      </c>
      <c r="K36" s="60">
        <f>-K15/((1+$D$49)*(1+SPWL!$C$6))^$B$29</f>
        <v>-333278383.03843653</v>
      </c>
    </row>
    <row r="37" spans="2:11" x14ac:dyDescent="0.25">
      <c r="B37" s="37">
        <f t="shared" si="4"/>
        <v>10</v>
      </c>
      <c r="C37">
        <f>C16/((1+$D$49)*(1+SPWL!$C$6))^$B37</f>
        <v>-1380207.1965747401</v>
      </c>
      <c r="D37">
        <f>D16/((1+$D$49)*(1+SPWL!$C$6))^$B$29</f>
        <v>-41135083.728612296</v>
      </c>
      <c r="E37">
        <f>E16/((1+$D$49)*(1+SPWL!$C$6))^$B$29</f>
        <v>-5050800.47065196</v>
      </c>
      <c r="F37">
        <f>F16/((1+$D$49)*(1+SPWL!$C$6))^$B$29</f>
        <v>-59758076.183241621</v>
      </c>
      <c r="G37" s="65">
        <f t="shared" si="3"/>
        <v>107324167.57908061</v>
      </c>
      <c r="H37" s="65">
        <f>H16/((1+'T20'!$C$6)*(1+T20_Savings!$F$2))^$B37</f>
        <v>127109476.97576687</v>
      </c>
      <c r="J37" s="37">
        <v>10</v>
      </c>
      <c r="K37" s="60">
        <f>-K16/((1+$D$49)*(1+SPWL!$C$6))^$B$29</f>
        <v>-392176906.02598584</v>
      </c>
    </row>
    <row r="38" spans="2:11" x14ac:dyDescent="0.25">
      <c r="B38" s="37">
        <f t="shared" si="4"/>
        <v>11</v>
      </c>
      <c r="C38">
        <f>C17/((1+$D$49)*(1+SPWL!$C$6))^$B38</f>
        <v>-1339837.8564290518</v>
      </c>
      <c r="D38">
        <f>D17/((1+$D$49)*(1+SPWL!$C$6))^$B$29</f>
        <v>-42748415.987994522</v>
      </c>
      <c r="E38">
        <f>E17/((1+$D$49)*(1+SPWL!$C$6))^$B$29</f>
        <v>-5248894.617943991</v>
      </c>
      <c r="F38">
        <f>F17/((1+$D$49)*(1+SPWL!$C$6))^$B$29</f>
        <v>-62101808.669629753</v>
      </c>
      <c r="G38" s="65">
        <f t="shared" si="3"/>
        <v>111438957.13199732</v>
      </c>
      <c r="H38" s="65">
        <f>H17/((1+'T20'!$C$6)*(1+T20_Savings!$F$2))^$B38</f>
        <v>140636774.1954034</v>
      </c>
      <c r="J38" s="37">
        <v>11</v>
      </c>
      <c r="K38" s="60">
        <f>-K17/((1+$D$49)*(1+SPWL!$C$6))^$B$29</f>
        <v>-446930718.13663352</v>
      </c>
    </row>
    <row r="39" spans="2:11" x14ac:dyDescent="0.25">
      <c r="B39" s="37">
        <f t="shared" si="4"/>
        <v>12</v>
      </c>
      <c r="C39">
        <f>C18/((1+$D$49)*(1+SPWL!$C$6))^$B39</f>
        <v>-1263442.6626861815</v>
      </c>
      <c r="D39">
        <f>D18/((1+$D$49)*(1+SPWL!$C$6))^$B$29</f>
        <v>-43154193.495657325</v>
      </c>
      <c r="E39">
        <f>E18/((1+$D$49)*(1+SPWL!$C$6))^$B$29</f>
        <v>-5298718.2974144109</v>
      </c>
      <c r="F39">
        <f>F18/((1+$D$49)*(1+SPWL!$C$6))^$B$29</f>
        <v>-62691292.901054643</v>
      </c>
      <c r="G39" s="65">
        <f t="shared" si="3"/>
        <v>112407647.35681257</v>
      </c>
      <c r="H39" s="65">
        <f>H18/((1+'T20'!$C$6)*(1+T20_Savings!$F$2))^$B39</f>
        <v>172928269.48771948</v>
      </c>
      <c r="J39" s="37">
        <v>12</v>
      </c>
      <c r="K39" s="60">
        <f>-K18/((1+$D$49)*(1+SPWL!$C$6))^$B$29</f>
        <v>-566036620.17812216</v>
      </c>
    </row>
    <row r="40" spans="2:11" x14ac:dyDescent="0.25">
      <c r="B40" s="37">
        <f>B39+1</f>
        <v>13</v>
      </c>
      <c r="C40">
        <f>C19/((1+$D$49)*(1+SPWL!$C$6))^$B40</f>
        <v>-1389379.7620847451</v>
      </c>
      <c r="D40">
        <f>D19/((1+$D$49)*(1+SPWL!$C$6))^$B$29</f>
        <v>-50802855.07081943</v>
      </c>
      <c r="E40">
        <f>E19/((1+$D$49)*(1+SPWL!$C$6))^$B$29</f>
        <v>-6237864.6411670838</v>
      </c>
      <c r="F40">
        <f>F19/((1+$D$49)*(1+SPWL!$C$6))^$B$29</f>
        <v>-73802715.552431107</v>
      </c>
      <c r="G40" s="65">
        <f t="shared" si="3"/>
        <v>132232815.02650237</v>
      </c>
      <c r="H40" s="65">
        <f>H19/((1+'T20'!$C$6)*(1+T20_Savings!$F$2))^$B40</f>
        <v>194924466.05634859</v>
      </c>
      <c r="J40" s="37">
        <v>13</v>
      </c>
      <c r="K40" s="60">
        <f>-K19/((1+$D$49)*(1+SPWL!$C$6))^$B$29</f>
        <v>-657176630.93441141</v>
      </c>
    </row>
    <row r="41" spans="2:11" x14ac:dyDescent="0.25">
      <c r="B41" s="37">
        <f t="shared" si="4"/>
        <v>14</v>
      </c>
      <c r="C41">
        <f>C20/((1+$D$49)*(1+SPWL!$C$6))^$B41</f>
        <v>-1287786.3845424703</v>
      </c>
      <c r="D41">
        <f>D20/((1+$D$49)*(1+SPWL!$C$6))^$B$29</f>
        <v>-50409299.777242854</v>
      </c>
      <c r="E41">
        <f>E20/((1+$D$49)*(1+SPWL!$C$6))^$B$29</f>
        <v>-6189541.674933725</v>
      </c>
      <c r="F41">
        <f>F20/((1+$D$49)*(1+SPWL!$C$6))^$B$29</f>
        <v>-73230986.8701455</v>
      </c>
      <c r="G41" s="65">
        <f t="shared" si="3"/>
        <v>131117614.70686455</v>
      </c>
      <c r="H41" s="65">
        <f>H20/((1+'T20'!$C$6)*(1+T20_Savings!$F$2))^$B41</f>
        <v>218558172.9239614</v>
      </c>
      <c r="J41" s="37">
        <v>14</v>
      </c>
      <c r="K41" s="60">
        <f>-K20/((1+$D$49)*(1+SPWL!$C$6))^$B$29</f>
        <v>-758962004.36400592</v>
      </c>
    </row>
    <row r="42" spans="2:11" x14ac:dyDescent="0.25">
      <c r="B42" s="37">
        <f t="shared" si="4"/>
        <v>15</v>
      </c>
      <c r="C42">
        <f>C21/((1+$D$49)*(1+SPWL!$C$6))^$B42</f>
        <v>-1368080.8560137404</v>
      </c>
      <c r="D42">
        <f>D21/((1+$D$49)*(1+SPWL!$C$6))^$B$29</f>
        <v>-57329517.39286571</v>
      </c>
      <c r="E42">
        <f>E21/((1+$D$49)*(1+SPWL!$C$6))^$B$29</f>
        <v>-7039245.5097575719</v>
      </c>
      <c r="F42">
        <f>F21/((1+$D$49)*(1+SPWL!$C$6))^$B$29</f>
        <v>-83284178.79281944</v>
      </c>
      <c r="G42" s="65">
        <f t="shared" si="3"/>
        <v>149021022.55145645</v>
      </c>
      <c r="H42" s="65">
        <f>H21/((1+'T20'!$C$6)*(1+T20_Savings!$F$2))^$B42</f>
        <v>243979788.61478454</v>
      </c>
      <c r="J42" s="37">
        <v>15</v>
      </c>
      <c r="K42" s="60">
        <f>-K21/((1+$D$49)*(1+SPWL!$C$6))^$B$29</f>
        <v>-872657967.99774933</v>
      </c>
    </row>
    <row r="43" spans="2:11" x14ac:dyDescent="0.25">
      <c r="B43" s="37">
        <f t="shared" si="4"/>
        <v>16</v>
      </c>
      <c r="C43">
        <f>C22/((1+$D$49)*(1+SPWL!$C$6))^$B43</f>
        <v>-1449532.532544879</v>
      </c>
      <c r="D43">
        <f>D22/((1+$D$49)*(1+SPWL!$C$6))^$B$29</f>
        <v>-65027067.824372731</v>
      </c>
      <c r="E43">
        <f>E22/((1+$D$49)*(1+SPWL!$C$6))^$B$29</f>
        <v>-7984394.7064584885</v>
      </c>
      <c r="F43">
        <f>F22/((1+$D$49)*(1+SPWL!$C$6))^$B$29</f>
        <v>-94466623.64075312</v>
      </c>
      <c r="G43" s="65">
        <f t="shared" si="3"/>
        <v>168927618.70412922</v>
      </c>
      <c r="H43" s="65">
        <f>H22/((1+'T20'!$C$6)*(1+T20_Savings!$F$2))^$B43</f>
        <v>264371854.12703639</v>
      </c>
      <c r="J43" s="37">
        <v>16</v>
      </c>
      <c r="K43" s="60">
        <f>-K22/((1+$D$49)*(1+SPWL!$C$6))^$B$29</f>
        <v>-973963427.53633416</v>
      </c>
    </row>
    <row r="44" spans="2:11" x14ac:dyDescent="0.25">
      <c r="B44" s="37">
        <f t="shared" si="4"/>
        <v>17</v>
      </c>
      <c r="C44">
        <f>C23/((1+$D$49)*(1+SPWL!$C$6))^$B44</f>
        <v>-1487692.2206108363</v>
      </c>
      <c r="D44">
        <f>D23/((1+$D$49)*(1+SPWL!$C$6))^$B$29</f>
        <v>-71446174.662460193</v>
      </c>
      <c r="E44">
        <f>E23/((1+$D$49)*(1+SPWL!$C$6))^$B$29</f>
        <v>-8772569.2985628415</v>
      </c>
      <c r="F44">
        <f>F23/((1+$D$49)*(1+SPWL!$C$6))^$B$29</f>
        <v>-103791838.04871559</v>
      </c>
      <c r="G44" s="65">
        <f t="shared" si="3"/>
        <v>185498274.23034948</v>
      </c>
      <c r="H44" s="65">
        <f>H23/((1+'T20'!$C$6)*(1+T20_Savings!$F$2))^$B44</f>
        <v>394791984.73148531</v>
      </c>
      <c r="J44" s="37">
        <v>17</v>
      </c>
      <c r="K44" s="60">
        <f>-K23/((1+$D$49)*(1+SPWL!$C$6))^$B$29</f>
        <v>-1498073025.0544305</v>
      </c>
    </row>
    <row r="45" spans="2:11" x14ac:dyDescent="0.25">
      <c r="B45" s="37">
        <f t="shared" si="4"/>
        <v>18</v>
      </c>
      <c r="C45">
        <f>C24/((1+$D$49)*(1+SPWL!$C$6))^$B45</f>
        <v>-1442023.7061909197</v>
      </c>
      <c r="D45">
        <f>D24/((1+$D$49)*(1+SPWL!$C$6))^$B$29</f>
        <v>-74137506.204247817</v>
      </c>
      <c r="E45">
        <f>E24/((1+$D$49)*(1+SPWL!$C$6))^$B$29</f>
        <v>-9103026.3533636369</v>
      </c>
      <c r="F45">
        <f>F24/((1+$D$49)*(1+SPWL!$C$6))^$B$29</f>
        <v>-107701609.96919034</v>
      </c>
      <c r="G45" s="65">
        <f t="shared" si="3"/>
        <v>192384166.23299271</v>
      </c>
      <c r="H45" s="65">
        <f>H24/((1+'T20'!$C$6)*(1+T20_Savings!$F$2))^$B45</f>
        <v>406210185.80197108</v>
      </c>
      <c r="J45" s="37">
        <v>18</v>
      </c>
      <c r="K45" s="60">
        <f>-K24/((1+$D$49)*(1+SPWL!$C$6))^$B$29</f>
        <v>-1587642408.5310519</v>
      </c>
    </row>
    <row r="46" spans="2:11" x14ac:dyDescent="0.25">
      <c r="B46" s="37">
        <f>B45+1</f>
        <v>19</v>
      </c>
      <c r="C46">
        <f>C25/((1+$D$49)*(1+SPWL!$C$6))^$B46</f>
        <v>-1282261.0527514215</v>
      </c>
      <c r="D46">
        <f>D25/((1+$D$49)*(1+SPWL!$C$6))^$B$29</f>
        <v>-70573508.576703459</v>
      </c>
      <c r="E46">
        <f>E25/((1+$D$49)*(1+SPWL!$C$6))^$B$29</f>
        <v>-8665418.3734366968</v>
      </c>
      <c r="F46">
        <f>F25/((1+$D$49)*(1+SPWL!$C$6))^$B$29</f>
        <v>-102524091.8401693</v>
      </c>
      <c r="G46" s="65">
        <f t="shared" si="3"/>
        <v>183045279.84306085</v>
      </c>
      <c r="H46" s="65">
        <f>H25/((1+'T20'!$C$6)*(1+T20_Savings!$F$2))^$B46</f>
        <v>418199778.81810218</v>
      </c>
      <c r="J46" s="37">
        <v>19</v>
      </c>
      <c r="K46" s="60">
        <f>-K25/((1+$D$49)*(1+SPWL!$C$6))^$B$29</f>
        <v>-1683537929.6618912</v>
      </c>
    </row>
    <row r="47" spans="2:11" ht="15.75" thickBot="1" x14ac:dyDescent="0.3">
      <c r="B47" s="38">
        <f>B46+1</f>
        <v>20</v>
      </c>
      <c r="C47" s="34">
        <f>C26/((1+$D$49)*(1+SPWL!$C$6))^$B47</f>
        <v>-1326140.8370775285</v>
      </c>
      <c r="D47" s="34">
        <f>D26/((1+$D$49)*(1+SPWL!$C$6))^$B$29</f>
        <v>-78136614.653261945</v>
      </c>
      <c r="E47" s="34">
        <f>E26/((1+$D$49)*(1+SPWL!$C$6))^$B$29</f>
        <v>-9594059.7245299444</v>
      </c>
      <c r="F47" s="34">
        <f>F26/((1+$D$49)*(1+SPWL!$C$6))^$B$29</f>
        <v>-113511225.64757062</v>
      </c>
      <c r="G47" s="66">
        <f t="shared" si="3"/>
        <v>202568040.86244005</v>
      </c>
      <c r="H47" s="66">
        <f>H26/((1+'T20'!$C$6)*(1+T20_Savings!$F$2))^$B47</f>
        <v>424811321.94630808</v>
      </c>
      <c r="J47" s="38">
        <v>20</v>
      </c>
      <c r="K47" s="63">
        <f>-K26/((1+$D$49)*(1+SPWL!$C$6))^$B$29</f>
        <v>-1761458494.1476417</v>
      </c>
    </row>
    <row r="49" spans="3:30" x14ac:dyDescent="0.25">
      <c r="C49" t="s">
        <v>80</v>
      </c>
      <c r="D49" s="28">
        <v>3.9351530000000003E-2</v>
      </c>
    </row>
    <row r="51" spans="3:30" x14ac:dyDescent="0.25">
      <c r="C51" t="s">
        <v>95</v>
      </c>
      <c r="D51" t="s">
        <v>115</v>
      </c>
      <c r="J51" t="s">
        <v>94</v>
      </c>
    </row>
    <row r="52" spans="3:30" x14ac:dyDescent="0.25">
      <c r="C52" s="48">
        <f>SUM(C28:F47)</f>
        <v>-2278555371.6533914</v>
      </c>
      <c r="D52" s="48">
        <f>SUM(H28:H47)</f>
        <v>3586444862.0162711</v>
      </c>
      <c r="J52" s="53">
        <f>SUM(K28:K47)</f>
        <v>-12804843833.983412</v>
      </c>
    </row>
    <row r="54" spans="3:30" x14ac:dyDescent="0.25">
      <c r="D54" t="s">
        <v>116</v>
      </c>
      <c r="T54" s="12"/>
      <c r="U54" s="6"/>
      <c r="Y54" s="6"/>
    </row>
    <row r="55" spans="3:30" x14ac:dyDescent="0.25">
      <c r="D55" s="53">
        <f>D52+C52</f>
        <v>1307889490.3628798</v>
      </c>
      <c r="T55" s="48"/>
    </row>
    <row r="57" spans="3:30" x14ac:dyDescent="0.25">
      <c r="Z57" s="8"/>
      <c r="AD57" s="48"/>
    </row>
    <row r="69" spans="2:28" x14ac:dyDescent="0.25">
      <c r="B69" s="12" t="s">
        <v>106</v>
      </c>
    </row>
    <row r="72" spans="2:28" x14ac:dyDescent="0.25">
      <c r="B72" s="3" t="s">
        <v>67</v>
      </c>
      <c r="C72">
        <v>100000</v>
      </c>
      <c r="D72">
        <v>250000</v>
      </c>
      <c r="E72">
        <v>500000</v>
      </c>
      <c r="F72">
        <v>1000000</v>
      </c>
      <c r="G72">
        <v>2000000</v>
      </c>
      <c r="I72" t="s">
        <v>68</v>
      </c>
      <c r="J72">
        <v>100000</v>
      </c>
      <c r="K72">
        <v>250000</v>
      </c>
      <c r="L72">
        <v>500000</v>
      </c>
      <c r="M72">
        <v>1000000</v>
      </c>
      <c r="N72">
        <v>2000000</v>
      </c>
      <c r="P72" t="s">
        <v>69</v>
      </c>
      <c r="Q72">
        <v>100000</v>
      </c>
      <c r="R72">
        <v>250000</v>
      </c>
      <c r="S72">
        <v>500000</v>
      </c>
      <c r="T72">
        <v>1000000</v>
      </c>
      <c r="U72">
        <v>2000000</v>
      </c>
      <c r="W72" t="s">
        <v>70</v>
      </c>
      <c r="X72">
        <v>100000</v>
      </c>
      <c r="Y72">
        <v>250000</v>
      </c>
      <c r="Z72">
        <v>500000</v>
      </c>
      <c r="AA72">
        <v>1000000</v>
      </c>
      <c r="AB72">
        <v>2000000</v>
      </c>
    </row>
    <row r="73" spans="2:28" x14ac:dyDescent="0.25">
      <c r="B73" cm="1">
        <f t="array" ref="B73:B103">_xlfn.SEQUENCE(31,1, 35)</f>
        <v>35</v>
      </c>
      <c r="C73">
        <f>_xlfn.IFNA(_xlfn.XLOOKUP($B73&amp;"_"&amp;C$72,'SPWL_Demographic Split'!$C$4:$C$158,'SPWL_Demographic Split'!$D$4:$D$158),0)</f>
        <v>0</v>
      </c>
      <c r="D73">
        <f>_xlfn.IFNA(_xlfn.XLOOKUP($B73&amp;"_"&amp;D$72,'SPWL_Demographic Split'!$C$4:$C$158,'SPWL_Demographic Split'!$D$4:$D$158),0)</f>
        <v>0</v>
      </c>
      <c r="E73">
        <f>_xlfn.IFNA(_xlfn.XLOOKUP($B73&amp;"_"&amp;E$72,'SPWL_Demographic Split'!$C$4:$C$158,'SPWL_Demographic Split'!$D$4:$D$158),0)</f>
        <v>0</v>
      </c>
      <c r="F73">
        <f>_xlfn.IFNA(_xlfn.XLOOKUP($B73&amp;"_"&amp;F$72,'SPWL_Demographic Split'!$C$4:$C$158,'SPWL_Demographic Split'!$D$4:$D$158),0)</f>
        <v>0</v>
      </c>
      <c r="G73">
        <f>_xlfn.IFNA(_xlfn.XLOOKUP($B73&amp;"_"&amp;G$72,'SPWL_Demographic Split'!$C$4:$C$158,'SPWL_Demographic Split'!$D$4:$D$158),0)</f>
        <v>0</v>
      </c>
      <c r="I73" cm="1">
        <f t="array" ref="I73:I103">_xlfn.SEQUENCE(31,1, 35)</f>
        <v>35</v>
      </c>
      <c r="J73">
        <f>_xlfn.XLOOKUP($I73&amp;"_"&amp;J$72,'SPWL_Demographic Split'!$G$4:$G$158,'SPWL_Demographic Split'!$H$4:$H$158)</f>
        <v>1.8119445786157801E-3</v>
      </c>
      <c r="K73">
        <f>_xlfn.XLOOKUP($I73&amp;"_"&amp;K$72,'SPWL_Demographic Split'!$G$4:$G$158,'SPWL_Demographic Split'!$H$4:$H$158)</f>
        <v>2.8059527158218879E-3</v>
      </c>
      <c r="L73">
        <f>_xlfn.XLOOKUP($I73&amp;"_"&amp;L$72,'SPWL_Demographic Split'!$G$4:$G$158,'SPWL_Demographic Split'!$H$4:$H$158)</f>
        <v>2.889813576965545E-3</v>
      </c>
      <c r="M73">
        <f>_xlfn.XLOOKUP($I73&amp;"_"&amp;M$72,'SPWL_Demographic Split'!$G$4:$G$158,'SPWL_Demographic Split'!$H$4:$H$158)</f>
        <v>2.9972368119914948E-3</v>
      </c>
      <c r="N73">
        <f>_xlfn.XLOOKUP($I73&amp;"_"&amp;N$72,'SPWL_Demographic Split'!$G$4:$G$158,'SPWL_Demographic Split'!$H$4:$H$158)</f>
        <v>2.1966871955686139E-3</v>
      </c>
      <c r="P73" cm="1">
        <f t="array" ref="P73:P103">_xlfn.SEQUENCE(31,1, 35)</f>
        <v>35</v>
      </c>
      <c r="Q73">
        <f>_xlfn.IFNA(_xlfn.XLOOKUP($I73&amp;"_"&amp;Q$72,'SPWL_Demographic Split'!$K$4:$K$158,'SPWL_Demographic Split'!$L$4:$L$158),0)</f>
        <v>2.2591929504302361E-4</v>
      </c>
      <c r="R73">
        <f>_xlfn.IFNA(_xlfn.XLOOKUP($I73&amp;"_"&amp;R$72,'SPWL_Demographic Split'!$K$4:$K$158,'SPWL_Demographic Split'!$L$4:$L$158),0)</f>
        <v>3.0469996605982439E-4</v>
      </c>
      <c r="S73">
        <f>_xlfn.IFNA(_xlfn.XLOOKUP($I73&amp;"_"&amp;S$72,'SPWL_Demographic Split'!$K$4:$K$158,'SPWL_Demographic Split'!$L$4:$L$158),0)</f>
        <v>2.0239353189795701E-4</v>
      </c>
      <c r="T73">
        <f>_xlfn.IFNA(_xlfn.XLOOKUP($I73&amp;"_"&amp;T$72,'SPWL_Demographic Split'!$K$4:$K$158,'SPWL_Demographic Split'!$L$4:$L$158),0)</f>
        <v>1.7216626705369889E-4</v>
      </c>
      <c r="U73">
        <f>_xlfn.IFNA(_xlfn.XLOOKUP($I73&amp;"_"&amp;U$72,'SPWL_Demographic Split'!$K$4:$K$158,'SPWL_Demographic Split'!$L$4:$L$158),0)</f>
        <v>0</v>
      </c>
      <c r="W73" cm="1">
        <f t="array" ref="W73:W103">_xlfn.SEQUENCE(31,1, 35)</f>
        <v>35</v>
      </c>
      <c r="X73">
        <f>_xlfn.XLOOKUP($I73&amp;"_"&amp;X$72,'SPWL_Demographic Split'!$O$4:$O$158,'SPWL_Demographic Split'!$P$4:$P$158)</f>
        <v>2.9473657937598E-3</v>
      </c>
      <c r="Y73">
        <f>_xlfn.XLOOKUP($I73&amp;"_"&amp;Y$72,'SPWL_Demographic Split'!$O$4:$O$158,'SPWL_Demographic Split'!$P$4:$P$158)</f>
        <v>3.631784041716836E-3</v>
      </c>
      <c r="Z73">
        <f>_xlfn.XLOOKUP($I73&amp;"_"&amp;Z$72,'SPWL_Demographic Split'!$O$4:$O$158,'SPWL_Demographic Split'!$P$4:$P$158)</f>
        <v>3.8755554481790379E-3</v>
      </c>
      <c r="AA73">
        <f>_xlfn.XLOOKUP($I73&amp;"_"&amp;AA$72,'SPWL_Demographic Split'!$O$4:$O$158,'SPWL_Demographic Split'!$P$4:$P$158)</f>
        <v>4.14058241036417E-3</v>
      </c>
      <c r="AB73">
        <f>_xlfn.XLOOKUP($I73&amp;"_"&amp;AB$72,'SPWL_Demographic Split'!$O$4:$O$158,'SPWL_Demographic Split'!$P$4:$P$158)</f>
        <v>3.675678496167793E-3</v>
      </c>
    </row>
    <row r="74" spans="2:28" x14ac:dyDescent="0.25">
      <c r="B74">
        <v>36</v>
      </c>
      <c r="C74">
        <f>_xlfn.IFNA(_xlfn.XLOOKUP($B74&amp;"_"&amp;C$72,'SPWL_Demographic Split'!$C$4:$C$158,'SPWL_Demographic Split'!$D$4:$D$158),0)</f>
        <v>0</v>
      </c>
      <c r="D74">
        <f>_xlfn.IFNA(_xlfn.XLOOKUP($B74&amp;"_"&amp;D$72,'SPWL_Demographic Split'!$C$4:$C$158,'SPWL_Demographic Split'!$D$4:$D$158),0)</f>
        <v>0</v>
      </c>
      <c r="E74">
        <f>_xlfn.IFNA(_xlfn.XLOOKUP($B74&amp;"_"&amp;E$72,'SPWL_Demographic Split'!$C$4:$C$158,'SPWL_Demographic Split'!$D$4:$D$158),0)</f>
        <v>0</v>
      </c>
      <c r="F74">
        <f>_xlfn.IFNA(_xlfn.XLOOKUP($B74&amp;"_"&amp;F$72,'SPWL_Demographic Split'!$C$4:$C$158,'SPWL_Demographic Split'!$D$4:$D$158),0)</f>
        <v>0</v>
      </c>
      <c r="G74">
        <f>_xlfn.IFNA(_xlfn.XLOOKUP($B74&amp;"_"&amp;G$72,'SPWL_Demographic Split'!$C$4:$C$158,'SPWL_Demographic Split'!$D$4:$D$158),0)</f>
        <v>0</v>
      </c>
      <c r="I74">
        <v>36</v>
      </c>
      <c r="J74">
        <f>_xlfn.XLOOKUP($I74&amp;"_"&amp;J$72,'SPWL_Demographic Split'!$G$4:$G$158,'SPWL_Demographic Split'!$H$4:$H$158)</f>
        <v>1.901130558631443E-3</v>
      </c>
      <c r="K74">
        <f>_xlfn.XLOOKUP($I74&amp;"_"&amp;K$72,'SPWL_Demographic Split'!$G$4:$G$158,'SPWL_Demographic Split'!$H$4:$H$158)</f>
        <v>2.846786099078155E-3</v>
      </c>
      <c r="L74">
        <f>_xlfn.XLOOKUP($I74&amp;"_"&amp;L$72,'SPWL_Demographic Split'!$G$4:$G$158,'SPWL_Demographic Split'!$H$4:$H$158)</f>
        <v>2.9361457882309192E-3</v>
      </c>
      <c r="M74">
        <f>_xlfn.XLOOKUP($I74&amp;"_"&amp;M$72,'SPWL_Demographic Split'!$G$4:$G$158,'SPWL_Demographic Split'!$H$4:$H$158)</f>
        <v>2.8894305568023869E-3</v>
      </c>
      <c r="N74">
        <f>_xlfn.XLOOKUP($I74&amp;"_"&amp;N$72,'SPWL_Demographic Split'!$G$4:$G$158,'SPWL_Demographic Split'!$H$4:$H$158)</f>
        <v>2.3035439204314142E-3</v>
      </c>
      <c r="P74">
        <v>36</v>
      </c>
      <c r="Q74">
        <f>_xlfn.IFNA(_xlfn.XLOOKUP($I74&amp;"_"&amp;Q$72,'SPWL_Demographic Split'!$K$4:$K$158,'SPWL_Demographic Split'!$L$4:$L$158),0)</f>
        <v>2.9365099414498981E-4</v>
      </c>
      <c r="R74">
        <f>_xlfn.IFNA(_xlfn.XLOOKUP($I74&amp;"_"&amp;R$72,'SPWL_Demographic Split'!$K$4:$K$158,'SPWL_Demographic Split'!$L$4:$L$158),0)</f>
        <v>1.8954573930549161E-4</v>
      </c>
      <c r="S74">
        <f>_xlfn.IFNA(_xlfn.XLOOKUP($I74&amp;"_"&amp;S$72,'SPWL_Demographic Split'!$K$4:$K$158,'SPWL_Demographic Split'!$L$4:$L$158),0)</f>
        <v>2.3573632088555129E-4</v>
      </c>
      <c r="T74">
        <f>_xlfn.IFNA(_xlfn.XLOOKUP($I74&amp;"_"&amp;T$72,'SPWL_Demographic Split'!$K$4:$K$158,'SPWL_Demographic Split'!$L$4:$L$158),0)</f>
        <v>1.18607625743587E-4</v>
      </c>
      <c r="U74">
        <f>_xlfn.IFNA(_xlfn.XLOOKUP($I74&amp;"_"&amp;U$72,'SPWL_Demographic Split'!$K$4:$K$158,'SPWL_Demographic Split'!$L$4:$L$158),0)</f>
        <v>0</v>
      </c>
      <c r="W74">
        <v>36</v>
      </c>
      <c r="X74">
        <f>_xlfn.XLOOKUP($I74&amp;"_"&amp;X$72,'SPWL_Demographic Split'!$O$4:$O$158,'SPWL_Demographic Split'!$P$4:$P$158)</f>
        <v>3.1049607755499488E-3</v>
      </c>
      <c r="Y74">
        <f>_xlfn.XLOOKUP($I74&amp;"_"&amp;Y$72,'SPWL_Demographic Split'!$O$4:$O$158,'SPWL_Demographic Split'!$P$4:$P$158)</f>
        <v>3.767906972798522E-3</v>
      </c>
      <c r="Z74">
        <f>_xlfn.XLOOKUP($I74&amp;"_"&amp;Z$72,'SPWL_Demographic Split'!$O$4:$O$158,'SPWL_Demographic Split'!$P$4:$P$158)</f>
        <v>3.730427088392657E-3</v>
      </c>
      <c r="AA74">
        <f>_xlfn.XLOOKUP($I74&amp;"_"&amp;AA$72,'SPWL_Demographic Split'!$O$4:$O$158,'SPWL_Demographic Split'!$P$4:$P$158)</f>
        <v>3.7904097954303368E-3</v>
      </c>
      <c r="AB74">
        <f>_xlfn.XLOOKUP($I74&amp;"_"&amp;AB$72,'SPWL_Demographic Split'!$O$4:$O$158,'SPWL_Demographic Split'!$P$4:$P$158)</f>
        <v>3.6755522910284361E-3</v>
      </c>
    </row>
    <row r="75" spans="2:28" x14ac:dyDescent="0.25">
      <c r="B75">
        <v>37</v>
      </c>
      <c r="C75">
        <f>_xlfn.IFNA(_xlfn.XLOOKUP($B75&amp;"_"&amp;C$72,'SPWL_Demographic Split'!$C$4:$C$158,'SPWL_Demographic Split'!$D$4:$D$158),0)</f>
        <v>0</v>
      </c>
      <c r="D75">
        <f>_xlfn.IFNA(_xlfn.XLOOKUP($B75&amp;"_"&amp;D$72,'SPWL_Demographic Split'!$C$4:$C$158,'SPWL_Demographic Split'!$D$4:$D$158),0)</f>
        <v>0</v>
      </c>
      <c r="E75">
        <f>_xlfn.IFNA(_xlfn.XLOOKUP($B75&amp;"_"&amp;E$72,'SPWL_Demographic Split'!$C$4:$C$158,'SPWL_Demographic Split'!$D$4:$D$158),0)</f>
        <v>0</v>
      </c>
      <c r="F75">
        <f>_xlfn.IFNA(_xlfn.XLOOKUP($B75&amp;"_"&amp;F$72,'SPWL_Demographic Split'!$C$4:$C$158,'SPWL_Demographic Split'!$D$4:$D$158),0)</f>
        <v>0</v>
      </c>
      <c r="G75">
        <f>_xlfn.IFNA(_xlfn.XLOOKUP($B75&amp;"_"&amp;G$72,'SPWL_Demographic Split'!$C$4:$C$158,'SPWL_Demographic Split'!$D$4:$D$158),0)</f>
        <v>0</v>
      </c>
      <c r="I75">
        <v>37</v>
      </c>
      <c r="J75">
        <f>_xlfn.XLOOKUP($I75&amp;"_"&amp;J$72,'SPWL_Demographic Split'!$G$4:$G$158,'SPWL_Demographic Split'!$H$4:$H$158)</f>
        <v>1.9792445353456799E-3</v>
      </c>
      <c r="K75">
        <f>_xlfn.XLOOKUP($I75&amp;"_"&amp;K$72,'SPWL_Demographic Split'!$G$4:$G$158,'SPWL_Demographic Split'!$H$4:$H$158)</f>
        <v>2.712086695521971E-3</v>
      </c>
      <c r="L75">
        <f>_xlfn.XLOOKUP($I75&amp;"_"&amp;L$72,'SPWL_Demographic Split'!$G$4:$G$158,'SPWL_Demographic Split'!$H$4:$H$158)</f>
        <v>2.8249280104553089E-3</v>
      </c>
      <c r="M75">
        <f>_xlfn.XLOOKUP($I75&amp;"_"&amp;M$72,'SPWL_Demographic Split'!$G$4:$G$158,'SPWL_Demographic Split'!$H$4:$H$158)</f>
        <v>2.689268081684439E-3</v>
      </c>
      <c r="N75">
        <f>_xlfn.XLOOKUP($I75&amp;"_"&amp;N$72,'SPWL_Demographic Split'!$G$4:$G$158,'SPWL_Demographic Split'!$H$4:$H$158)</f>
        <v>2.3005661159369618E-3</v>
      </c>
      <c r="P75">
        <v>37</v>
      </c>
      <c r="Q75">
        <f>_xlfn.IFNA(_xlfn.XLOOKUP($I75&amp;"_"&amp;Q$72,'SPWL_Demographic Split'!$K$4:$K$158,'SPWL_Demographic Split'!$L$4:$L$158),0)</f>
        <v>2.230300495455958E-4</v>
      </c>
      <c r="R75">
        <f>_xlfn.IFNA(_xlfn.XLOOKUP($I75&amp;"_"&amp;R$72,'SPWL_Demographic Split'!$K$4:$K$158,'SPWL_Demographic Split'!$L$4:$L$158),0)</f>
        <v>2.2793266695937179E-4</v>
      </c>
      <c r="S75">
        <f>_xlfn.IFNA(_xlfn.XLOOKUP($I75&amp;"_"&amp;S$72,'SPWL_Demographic Split'!$K$4:$K$158,'SPWL_Demographic Split'!$L$4:$L$158),0)</f>
        <v>1.832162100970669E-4</v>
      </c>
      <c r="T75">
        <f>_xlfn.IFNA(_xlfn.XLOOKUP($I75&amp;"_"&amp;T$72,'SPWL_Demographic Split'!$K$4:$K$158,'SPWL_Demographic Split'!$L$4:$L$158),0)</f>
        <v>1.578387634224629E-4</v>
      </c>
      <c r="U75">
        <f>_xlfn.IFNA(_xlfn.XLOOKUP($I75&amp;"_"&amp;U$72,'SPWL_Demographic Split'!$K$4:$K$158,'SPWL_Demographic Split'!$L$4:$L$158),0)</f>
        <v>0</v>
      </c>
      <c r="W75">
        <v>37</v>
      </c>
      <c r="X75">
        <f>_xlfn.XLOOKUP($I75&amp;"_"&amp;X$72,'SPWL_Demographic Split'!$O$4:$O$158,'SPWL_Demographic Split'!$P$4:$P$158)</f>
        <v>3.1764792358987171E-3</v>
      </c>
      <c r="Y75">
        <f>_xlfn.XLOOKUP($I75&amp;"_"&amp;Y$72,'SPWL_Demographic Split'!$O$4:$O$158,'SPWL_Demographic Split'!$P$4:$P$158)</f>
        <v>3.681707014055775E-3</v>
      </c>
      <c r="Z75">
        <f>_xlfn.XLOOKUP($I75&amp;"_"&amp;Z$72,'SPWL_Demographic Split'!$O$4:$O$158,'SPWL_Demographic Split'!$P$4:$P$158)</f>
        <v>3.680558460610077E-3</v>
      </c>
      <c r="AA75">
        <f>_xlfn.XLOOKUP($I75&amp;"_"&amp;AA$72,'SPWL_Demographic Split'!$O$4:$O$158,'SPWL_Demographic Split'!$P$4:$P$158)</f>
        <v>4.0399326301715846E-3</v>
      </c>
      <c r="AB75">
        <f>_xlfn.XLOOKUP($I75&amp;"_"&amp;AB$72,'SPWL_Demographic Split'!$O$4:$O$158,'SPWL_Demographic Split'!$P$4:$P$158)</f>
        <v>3.613244257342902E-3</v>
      </c>
    </row>
    <row r="76" spans="2:28" x14ac:dyDescent="0.25">
      <c r="B76">
        <v>38</v>
      </c>
      <c r="C76">
        <f>_xlfn.IFNA(_xlfn.XLOOKUP($B76&amp;"_"&amp;C$72,'SPWL_Demographic Split'!$C$4:$C$158,'SPWL_Demographic Split'!$D$4:$D$158),0)</f>
        <v>0</v>
      </c>
      <c r="D76">
        <f>_xlfn.IFNA(_xlfn.XLOOKUP($B76&amp;"_"&amp;D$72,'SPWL_Demographic Split'!$C$4:$C$158,'SPWL_Demographic Split'!$D$4:$D$158),0)</f>
        <v>0</v>
      </c>
      <c r="E76">
        <f>_xlfn.IFNA(_xlfn.XLOOKUP($B76&amp;"_"&amp;E$72,'SPWL_Demographic Split'!$C$4:$C$158,'SPWL_Demographic Split'!$D$4:$D$158),0)</f>
        <v>0</v>
      </c>
      <c r="F76">
        <f>_xlfn.IFNA(_xlfn.XLOOKUP($B76&amp;"_"&amp;F$72,'SPWL_Demographic Split'!$C$4:$C$158,'SPWL_Demographic Split'!$D$4:$D$158),0)</f>
        <v>0</v>
      </c>
      <c r="G76">
        <f>_xlfn.IFNA(_xlfn.XLOOKUP($B76&amp;"_"&amp;G$72,'SPWL_Demographic Split'!$C$4:$C$158,'SPWL_Demographic Split'!$D$4:$D$158),0)</f>
        <v>0</v>
      </c>
      <c r="I76">
        <v>38</v>
      </c>
      <c r="J76">
        <f>_xlfn.XLOOKUP($I76&amp;"_"&amp;J$72,'SPWL_Demographic Split'!$G$4:$G$158,'SPWL_Demographic Split'!$H$4:$H$158)</f>
        <v>2.0907540449446611E-3</v>
      </c>
      <c r="K76">
        <f>_xlfn.XLOOKUP($I76&amp;"_"&amp;K$72,'SPWL_Demographic Split'!$G$4:$G$158,'SPWL_Demographic Split'!$H$4:$H$158)</f>
        <v>2.9804333563919609E-3</v>
      </c>
      <c r="L76">
        <f>_xlfn.XLOOKUP($I76&amp;"_"&amp;L$72,'SPWL_Demographic Split'!$G$4:$G$158,'SPWL_Demographic Split'!$H$4:$H$158)</f>
        <v>2.8926558789913129E-3</v>
      </c>
      <c r="M76">
        <f>_xlfn.XLOOKUP($I76&amp;"_"&amp;M$72,'SPWL_Demographic Split'!$G$4:$G$158,'SPWL_Demographic Split'!$H$4:$H$158)</f>
        <v>2.521978631679184E-3</v>
      </c>
      <c r="N76">
        <f>_xlfn.XLOOKUP($I76&amp;"_"&amp;N$72,'SPWL_Demographic Split'!$G$4:$G$158,'SPWL_Demographic Split'!$H$4:$H$158)</f>
        <v>2.189670863967842E-3</v>
      </c>
      <c r="P76">
        <v>38</v>
      </c>
      <c r="Q76">
        <f>_xlfn.IFNA(_xlfn.XLOOKUP($I76&amp;"_"&amp;Q$72,'SPWL_Demographic Split'!$K$4:$K$158,'SPWL_Demographic Split'!$L$4:$L$158),0)</f>
        <v>2.3279627947683321E-4</v>
      </c>
      <c r="R76">
        <f>_xlfn.IFNA(_xlfn.XLOOKUP($I76&amp;"_"&amp;R$72,'SPWL_Demographic Split'!$K$4:$K$158,'SPWL_Demographic Split'!$L$4:$L$158),0)</f>
        <v>2.4561816996632071E-4</v>
      </c>
      <c r="S76">
        <f>_xlfn.IFNA(_xlfn.XLOOKUP($I76&amp;"_"&amp;S$72,'SPWL_Demographic Split'!$K$4:$K$158,'SPWL_Demographic Split'!$L$4:$L$158),0)</f>
        <v>1.6781354223920501E-4</v>
      </c>
      <c r="T76">
        <f>_xlfn.IFNA(_xlfn.XLOOKUP($I76&amp;"_"&amp;T$72,'SPWL_Demographic Split'!$K$4:$K$158,'SPWL_Demographic Split'!$L$4:$L$158),0)</f>
        <v>1.3993641277529749E-4</v>
      </c>
      <c r="U76">
        <f>_xlfn.IFNA(_xlfn.XLOOKUP($I76&amp;"_"&amp;U$72,'SPWL_Demographic Split'!$K$4:$K$158,'SPWL_Demographic Split'!$L$4:$L$158),0)</f>
        <v>0</v>
      </c>
      <c r="W76">
        <v>38</v>
      </c>
      <c r="X76">
        <f>_xlfn.XLOOKUP($I76&amp;"_"&amp;X$72,'SPWL_Demographic Split'!$O$4:$O$158,'SPWL_Demographic Split'!$P$4:$P$158)</f>
        <v>3.0822540366527412E-3</v>
      </c>
      <c r="Y76">
        <f>_xlfn.XLOOKUP($I76&amp;"_"&amp;Y$72,'SPWL_Demographic Split'!$O$4:$O$158,'SPWL_Demographic Split'!$P$4:$P$158)</f>
        <v>3.927638723433542E-3</v>
      </c>
      <c r="Z76">
        <f>_xlfn.XLOOKUP($I76&amp;"_"&amp;Z$72,'SPWL_Demographic Split'!$O$4:$O$158,'SPWL_Demographic Split'!$P$4:$P$158)</f>
        <v>4.0439761444505022E-3</v>
      </c>
      <c r="AA76">
        <f>_xlfn.XLOOKUP($I76&amp;"_"&amp;AA$72,'SPWL_Demographic Split'!$O$4:$O$158,'SPWL_Demographic Split'!$P$4:$P$158)</f>
        <v>3.9713345077559024E-3</v>
      </c>
      <c r="AB76">
        <f>_xlfn.XLOOKUP($I76&amp;"_"&amp;AB$72,'SPWL_Demographic Split'!$O$4:$O$158,'SPWL_Demographic Split'!$P$4:$P$158)</f>
        <v>3.6215162584222011E-3</v>
      </c>
    </row>
    <row r="77" spans="2:28" x14ac:dyDescent="0.25">
      <c r="B77">
        <v>39</v>
      </c>
      <c r="C77">
        <f>_xlfn.IFNA(_xlfn.XLOOKUP($B77&amp;"_"&amp;C$72,'SPWL_Demographic Split'!$C$4:$C$158,'SPWL_Demographic Split'!$D$4:$D$158),0)</f>
        <v>0</v>
      </c>
      <c r="D77">
        <f>_xlfn.IFNA(_xlfn.XLOOKUP($B77&amp;"_"&amp;D$72,'SPWL_Demographic Split'!$C$4:$C$158,'SPWL_Demographic Split'!$D$4:$D$158),0)</f>
        <v>0</v>
      </c>
      <c r="E77">
        <f>_xlfn.IFNA(_xlfn.XLOOKUP($B77&amp;"_"&amp;E$72,'SPWL_Demographic Split'!$C$4:$C$158,'SPWL_Demographic Split'!$D$4:$D$158),0)</f>
        <v>0</v>
      </c>
      <c r="F77">
        <f>_xlfn.IFNA(_xlfn.XLOOKUP($B77&amp;"_"&amp;F$72,'SPWL_Demographic Split'!$C$4:$C$158,'SPWL_Demographic Split'!$D$4:$D$158),0)</f>
        <v>0</v>
      </c>
      <c r="G77">
        <f>_xlfn.IFNA(_xlfn.XLOOKUP($B77&amp;"_"&amp;G$72,'SPWL_Demographic Split'!$C$4:$C$158,'SPWL_Demographic Split'!$D$4:$D$158),0)</f>
        <v>0</v>
      </c>
      <c r="I77">
        <v>39</v>
      </c>
      <c r="J77">
        <f>_xlfn.XLOOKUP($I77&amp;"_"&amp;J$72,'SPWL_Demographic Split'!$G$4:$G$158,'SPWL_Demographic Split'!$H$4:$H$158)</f>
        <v>1.85247619867169E-3</v>
      </c>
      <c r="K77">
        <f>_xlfn.XLOOKUP($I77&amp;"_"&amp;K$72,'SPWL_Demographic Split'!$G$4:$G$158,'SPWL_Demographic Split'!$H$4:$H$158)</f>
        <v>2.9125009129043599E-3</v>
      </c>
      <c r="L77">
        <f>_xlfn.XLOOKUP($I77&amp;"_"&amp;L$72,'SPWL_Demographic Split'!$G$4:$G$158,'SPWL_Demographic Split'!$H$4:$H$158)</f>
        <v>2.8681613619892408E-3</v>
      </c>
      <c r="M77">
        <f>_xlfn.XLOOKUP($I77&amp;"_"&amp;M$72,'SPWL_Demographic Split'!$G$4:$G$158,'SPWL_Demographic Split'!$H$4:$H$158)</f>
        <v>2.839217643599339E-3</v>
      </c>
      <c r="N77">
        <f>_xlfn.XLOOKUP($I77&amp;"_"&amp;N$72,'SPWL_Demographic Split'!$G$4:$G$158,'SPWL_Demographic Split'!$H$4:$H$158)</f>
        <v>2.2202824400108742E-3</v>
      </c>
      <c r="P77">
        <v>39</v>
      </c>
      <c r="Q77">
        <f>_xlfn.IFNA(_xlfn.XLOOKUP($I77&amp;"_"&amp;Q$72,'SPWL_Demographic Split'!$K$4:$K$158,'SPWL_Demographic Split'!$L$4:$L$158),0)</f>
        <v>1.8133874921327531E-4</v>
      </c>
      <c r="R77">
        <f>_xlfn.IFNA(_xlfn.XLOOKUP($I77&amp;"_"&amp;R$72,'SPWL_Demographic Split'!$K$4:$K$158,'SPWL_Demographic Split'!$L$4:$L$158),0)</f>
        <v>2.2127126244607159E-4</v>
      </c>
      <c r="S77">
        <f>_xlfn.IFNA(_xlfn.XLOOKUP($I77&amp;"_"&amp;S$72,'SPWL_Demographic Split'!$K$4:$K$158,'SPWL_Demographic Split'!$L$4:$L$158),0)</f>
        <v>1.547066465372637E-4</v>
      </c>
      <c r="T77">
        <f>_xlfn.IFNA(_xlfn.XLOOKUP($I77&amp;"_"&amp;T$72,'SPWL_Demographic Split'!$K$4:$K$158,'SPWL_Demographic Split'!$L$4:$L$158),0)</f>
        <v>1.099386253256538E-4</v>
      </c>
      <c r="U77">
        <f>_xlfn.IFNA(_xlfn.XLOOKUP($I77&amp;"_"&amp;U$72,'SPWL_Demographic Split'!$K$4:$K$158,'SPWL_Demographic Split'!$L$4:$L$158),0)</f>
        <v>0</v>
      </c>
      <c r="W77">
        <v>39</v>
      </c>
      <c r="X77">
        <f>_xlfn.XLOOKUP($I77&amp;"_"&amp;X$72,'SPWL_Demographic Split'!$O$4:$O$158,'SPWL_Demographic Split'!$P$4:$P$158)</f>
        <v>3.0940508603292801E-3</v>
      </c>
      <c r="Y77">
        <f>_xlfn.XLOOKUP($I77&amp;"_"&amp;Y$72,'SPWL_Demographic Split'!$O$4:$O$158,'SPWL_Demographic Split'!$P$4:$P$158)</f>
        <v>3.6462840282648558E-3</v>
      </c>
      <c r="Z77">
        <f>_xlfn.XLOOKUP($I77&amp;"_"&amp;Z$72,'SPWL_Demographic Split'!$O$4:$O$158,'SPWL_Demographic Split'!$P$4:$P$158)</f>
        <v>3.9715392216199234E-3</v>
      </c>
      <c r="AA77">
        <f>_xlfn.XLOOKUP($I77&amp;"_"&amp;AA$72,'SPWL_Demographic Split'!$O$4:$O$158,'SPWL_Demographic Split'!$P$4:$P$158)</f>
        <v>3.9839344057418557E-3</v>
      </c>
      <c r="AB77">
        <f>_xlfn.XLOOKUP($I77&amp;"_"&amp;AB$72,'SPWL_Demographic Split'!$O$4:$O$158,'SPWL_Demographic Split'!$P$4:$P$158)</f>
        <v>3.623854063650114E-3</v>
      </c>
    </row>
    <row r="78" spans="2:28" x14ac:dyDescent="0.25">
      <c r="B78">
        <v>40</v>
      </c>
      <c r="C78">
        <f>_xlfn.IFNA(_xlfn.XLOOKUP($B78&amp;"_"&amp;C$72,'SPWL_Demographic Split'!$C$4:$C$158,'SPWL_Demographic Split'!$D$4:$D$158),0)</f>
        <v>0</v>
      </c>
      <c r="D78">
        <f>_xlfn.IFNA(_xlfn.XLOOKUP($B78&amp;"_"&amp;D$72,'SPWL_Demographic Split'!$C$4:$C$158,'SPWL_Demographic Split'!$D$4:$D$158),0)</f>
        <v>0</v>
      </c>
      <c r="E78">
        <f>_xlfn.IFNA(_xlfn.XLOOKUP($B78&amp;"_"&amp;E$72,'SPWL_Demographic Split'!$C$4:$C$158,'SPWL_Demographic Split'!$D$4:$D$158),0)</f>
        <v>0</v>
      </c>
      <c r="F78">
        <f>_xlfn.IFNA(_xlfn.XLOOKUP($B78&amp;"_"&amp;F$72,'SPWL_Demographic Split'!$C$4:$C$158,'SPWL_Demographic Split'!$D$4:$D$158),0)</f>
        <v>0</v>
      </c>
      <c r="G78">
        <f>_xlfn.IFNA(_xlfn.XLOOKUP($B78&amp;"_"&amp;G$72,'SPWL_Demographic Split'!$C$4:$C$158,'SPWL_Demographic Split'!$D$4:$D$158),0)</f>
        <v>0</v>
      </c>
      <c r="I78">
        <v>40</v>
      </c>
      <c r="J78">
        <f>_xlfn.XLOOKUP($I78&amp;"_"&amp;J$72,'SPWL_Demographic Split'!$G$4:$G$158,'SPWL_Demographic Split'!$H$4:$H$158)</f>
        <v>2.2513901952150709E-3</v>
      </c>
      <c r="K78">
        <f>_xlfn.XLOOKUP($I78&amp;"_"&amp;K$72,'SPWL_Demographic Split'!$G$4:$G$158,'SPWL_Demographic Split'!$H$4:$H$158)</f>
        <v>2.6219197383660761E-3</v>
      </c>
      <c r="L78">
        <f>_xlfn.XLOOKUP($I78&amp;"_"&amp;L$72,'SPWL_Demographic Split'!$G$4:$G$158,'SPWL_Demographic Split'!$H$4:$H$158)</f>
        <v>2.77278834273966E-3</v>
      </c>
      <c r="M78">
        <f>_xlfn.XLOOKUP($I78&amp;"_"&amp;M$72,'SPWL_Demographic Split'!$G$4:$G$158,'SPWL_Demographic Split'!$H$4:$H$158)</f>
        <v>2.8684673338805109E-3</v>
      </c>
      <c r="N78">
        <f>_xlfn.XLOOKUP($I78&amp;"_"&amp;N$72,'SPWL_Demographic Split'!$G$4:$G$158,'SPWL_Demographic Split'!$H$4:$H$158)</f>
        <v>2.24720080128076E-3</v>
      </c>
      <c r="P78">
        <v>40</v>
      </c>
      <c r="Q78">
        <f>_xlfn.IFNA(_xlfn.XLOOKUP($I78&amp;"_"&amp;Q$72,'SPWL_Demographic Split'!$K$4:$K$158,'SPWL_Demographic Split'!$L$4:$L$158),0)</f>
        <v>1.7134359053230141E-4</v>
      </c>
      <c r="R78">
        <f>_xlfn.IFNA(_xlfn.XLOOKUP($I78&amp;"_"&amp;R$72,'SPWL_Demographic Split'!$K$4:$K$158,'SPWL_Demographic Split'!$L$4:$L$158),0)</f>
        <v>1.738185337947056E-4</v>
      </c>
      <c r="S78">
        <f>_xlfn.IFNA(_xlfn.XLOOKUP($I78&amp;"_"&amp;S$72,'SPWL_Demographic Split'!$K$4:$K$158,'SPWL_Demographic Split'!$L$4:$L$158),0)</f>
        <v>2.0156349529340639E-4</v>
      </c>
      <c r="T78">
        <f>_xlfn.IFNA(_xlfn.XLOOKUP($I78&amp;"_"&amp;T$72,'SPWL_Demographic Split'!$K$4:$K$158,'SPWL_Demographic Split'!$L$4:$L$158),0)</f>
        <v>1.19592092869231E-4</v>
      </c>
      <c r="U78">
        <f>_xlfn.IFNA(_xlfn.XLOOKUP($I78&amp;"_"&amp;U$72,'SPWL_Demographic Split'!$K$4:$K$158,'SPWL_Demographic Split'!$L$4:$L$158),0)</f>
        <v>0</v>
      </c>
      <c r="W78">
        <v>40</v>
      </c>
      <c r="X78">
        <f>_xlfn.XLOOKUP($I78&amp;"_"&amp;X$72,'SPWL_Demographic Split'!$O$4:$O$158,'SPWL_Demographic Split'!$P$4:$P$158)</f>
        <v>3.398664841483605E-3</v>
      </c>
      <c r="Y78">
        <f>_xlfn.XLOOKUP($I78&amp;"_"&amp;Y$72,'SPWL_Demographic Split'!$O$4:$O$158,'SPWL_Demographic Split'!$P$4:$P$158)</f>
        <v>3.9067438658106426E-3</v>
      </c>
      <c r="Z78">
        <f>_xlfn.XLOOKUP($I78&amp;"_"&amp;Z$72,'SPWL_Demographic Split'!$O$4:$O$158,'SPWL_Demographic Split'!$P$4:$P$158)</f>
        <v>3.9447262057795184E-3</v>
      </c>
      <c r="AA78">
        <f>_xlfn.XLOOKUP($I78&amp;"_"&amp;AA$72,'SPWL_Demographic Split'!$O$4:$O$158,'SPWL_Demographic Split'!$P$4:$P$158)</f>
        <v>3.847551360794981E-3</v>
      </c>
      <c r="AB78">
        <f>_xlfn.XLOOKUP($I78&amp;"_"&amp;AB$72,'SPWL_Demographic Split'!$O$4:$O$158,'SPWL_Demographic Split'!$P$4:$P$158)</f>
        <v>3.6372685597393008E-3</v>
      </c>
    </row>
    <row r="79" spans="2:28" x14ac:dyDescent="0.25">
      <c r="B79">
        <v>41</v>
      </c>
      <c r="C79">
        <f>_xlfn.IFNA(_xlfn.XLOOKUP($B79&amp;"_"&amp;C$72,'SPWL_Demographic Split'!$C$4:$C$158,'SPWL_Demographic Split'!$D$4:$D$158),0)</f>
        <v>1.3733727305977761E-4</v>
      </c>
      <c r="D79">
        <f>_xlfn.IFNA(_xlfn.XLOOKUP($B79&amp;"_"&amp;D$72,'SPWL_Demographic Split'!$C$4:$C$158,'SPWL_Demographic Split'!$D$4:$D$158),0)</f>
        <v>9.0391983303642119E-5</v>
      </c>
      <c r="E79">
        <f>_xlfn.IFNA(_xlfn.XLOOKUP($B79&amp;"_"&amp;E$72,'SPWL_Demographic Split'!$C$4:$C$158,'SPWL_Demographic Split'!$D$4:$D$158),0)</f>
        <v>1.431464468962904E-4</v>
      </c>
      <c r="F79">
        <f>_xlfn.IFNA(_xlfn.XLOOKUP($B79&amp;"_"&amp;F$72,'SPWL_Demographic Split'!$C$4:$C$158,'SPWL_Demographic Split'!$D$4:$D$158),0)</f>
        <v>7.3631499610609299E-5</v>
      </c>
      <c r="G79">
        <f>_xlfn.IFNA(_xlfn.XLOOKUP($B79&amp;"_"&amp;G$72,'SPWL_Demographic Split'!$C$4:$C$158,'SPWL_Demographic Split'!$D$4:$D$158),0)</f>
        <v>0</v>
      </c>
      <c r="I79">
        <v>41</v>
      </c>
      <c r="J79">
        <f>_xlfn.XLOOKUP($I79&amp;"_"&amp;J$72,'SPWL_Demographic Split'!$G$4:$G$158,'SPWL_Demographic Split'!$H$4:$H$158)</f>
        <v>2.1877599365238789E-3</v>
      </c>
      <c r="K79">
        <f>_xlfn.XLOOKUP($I79&amp;"_"&amp;K$72,'SPWL_Demographic Split'!$G$4:$G$158,'SPWL_Demographic Split'!$H$4:$H$158)</f>
        <v>2.8956831152526928E-3</v>
      </c>
      <c r="L79">
        <f>_xlfn.XLOOKUP($I79&amp;"_"&amp;L$72,'SPWL_Demographic Split'!$G$4:$G$158,'SPWL_Demographic Split'!$H$4:$H$158)</f>
        <v>2.6285688860597368E-3</v>
      </c>
      <c r="M79">
        <f>_xlfn.XLOOKUP($I79&amp;"_"&amp;M$72,'SPWL_Demographic Split'!$G$4:$G$158,'SPWL_Demographic Split'!$H$4:$H$158)</f>
        <v>2.6479867990935641E-3</v>
      </c>
      <c r="N79">
        <f>_xlfn.XLOOKUP($I79&amp;"_"&amp;N$72,'SPWL_Demographic Split'!$G$4:$G$158,'SPWL_Demographic Split'!$H$4:$H$158)</f>
        <v>2.4220761489350132E-3</v>
      </c>
      <c r="P79">
        <v>41</v>
      </c>
      <c r="Q79">
        <f>_xlfn.IFNA(_xlfn.XLOOKUP($I79&amp;"_"&amp;Q$72,'SPWL_Demographic Split'!$K$4:$K$158,'SPWL_Demographic Split'!$L$4:$L$158),0)</f>
        <v>1.8672402535885931E-4</v>
      </c>
      <c r="R79">
        <f>_xlfn.IFNA(_xlfn.XLOOKUP($I79&amp;"_"&amp;R$72,'SPWL_Demographic Split'!$K$4:$K$158,'SPWL_Demographic Split'!$L$4:$L$158),0)</f>
        <v>2.1365721176167511E-4</v>
      </c>
      <c r="S79">
        <f>_xlfn.IFNA(_xlfn.XLOOKUP($I79&amp;"_"&amp;S$72,'SPWL_Demographic Split'!$K$4:$K$158,'SPWL_Demographic Split'!$L$4:$L$158),0)</f>
        <v>1.5649128670826309E-4</v>
      </c>
      <c r="T79">
        <f>_xlfn.IFNA(_xlfn.XLOOKUP($I79&amp;"_"&amp;T$72,'SPWL_Demographic Split'!$K$4:$K$158,'SPWL_Demographic Split'!$L$4:$L$158),0)</f>
        <v>2.060212021347241E-4</v>
      </c>
      <c r="U79">
        <f>_xlfn.IFNA(_xlfn.XLOOKUP($I79&amp;"_"&amp;U$72,'SPWL_Demographic Split'!$K$4:$K$158,'SPWL_Demographic Split'!$L$4:$L$158),0)</f>
        <v>1.4257053069733849E-4</v>
      </c>
      <c r="W79">
        <v>41</v>
      </c>
      <c r="X79">
        <f>_xlfn.XLOOKUP($I79&amp;"_"&amp;X$72,'SPWL_Demographic Split'!$O$4:$O$158,'SPWL_Demographic Split'!$P$4:$P$158)</f>
        <v>3.1919332365364541E-3</v>
      </c>
      <c r="Y79">
        <f>_xlfn.XLOOKUP($I79&amp;"_"&amp;Y$72,'SPWL_Demographic Split'!$O$4:$O$158,'SPWL_Demographic Split'!$P$4:$P$158)</f>
        <v>3.627709990026662E-3</v>
      </c>
      <c r="Z79">
        <f>_xlfn.XLOOKUP($I79&amp;"_"&amp;Z$72,'SPWL_Demographic Split'!$O$4:$O$158,'SPWL_Demographic Split'!$P$4:$P$158)</f>
        <v>3.8188485653654629E-3</v>
      </c>
      <c r="AA79">
        <f>_xlfn.XLOOKUP($I79&amp;"_"&amp;AA$72,'SPWL_Demographic Split'!$O$4:$O$158,'SPWL_Demographic Split'!$P$4:$P$158)</f>
        <v>4.0137594339553998E-3</v>
      </c>
      <c r="AB79">
        <f>_xlfn.XLOOKUP($I79&amp;"_"&amp;AB$72,'SPWL_Demographic Split'!$O$4:$O$158,'SPWL_Demographic Split'!$P$4:$P$158)</f>
        <v>3.617422433025836E-3</v>
      </c>
    </row>
    <row r="80" spans="2:28" x14ac:dyDescent="0.25">
      <c r="B80">
        <v>42</v>
      </c>
      <c r="C80">
        <f>_xlfn.IFNA(_xlfn.XLOOKUP($B80&amp;"_"&amp;C$72,'SPWL_Demographic Split'!$C$4:$C$158,'SPWL_Demographic Split'!$D$4:$D$158),0)</f>
        <v>5.1761718649434423E-5</v>
      </c>
      <c r="D80">
        <f>_xlfn.IFNA(_xlfn.XLOOKUP($B80&amp;"_"&amp;D$72,'SPWL_Demographic Split'!$C$4:$C$158,'SPWL_Demographic Split'!$D$4:$D$158),0)</f>
        <v>1.8239910769528211E-4</v>
      </c>
      <c r="E80">
        <f>_xlfn.IFNA(_xlfn.XLOOKUP($B80&amp;"_"&amp;E$72,'SPWL_Demographic Split'!$C$4:$C$158,'SPWL_Demographic Split'!$D$4:$D$158),0)</f>
        <v>7.226345291779479E-5</v>
      </c>
      <c r="F80">
        <f>_xlfn.IFNA(_xlfn.XLOOKUP($B80&amp;"_"&amp;F$72,'SPWL_Demographic Split'!$C$4:$C$158,'SPWL_Demographic Split'!$D$4:$D$158),0)</f>
        <v>9.198269315674381E-5</v>
      </c>
      <c r="G80">
        <f>_xlfn.IFNA(_xlfn.XLOOKUP($B80&amp;"_"&amp;G$72,'SPWL_Demographic Split'!$C$4:$C$158,'SPWL_Demographic Split'!$D$4:$D$158),0)</f>
        <v>0</v>
      </c>
      <c r="I80">
        <v>42</v>
      </c>
      <c r="J80">
        <f>_xlfn.XLOOKUP($I80&amp;"_"&amp;J$72,'SPWL_Demographic Split'!$G$4:$G$158,'SPWL_Demographic Split'!$H$4:$H$158)</f>
        <v>2.1203983555607079E-3</v>
      </c>
      <c r="K80">
        <f>_xlfn.XLOOKUP($I80&amp;"_"&amp;K$72,'SPWL_Demographic Split'!$G$4:$G$158,'SPWL_Demographic Split'!$H$4:$H$158)</f>
        <v>2.7879988818836948E-3</v>
      </c>
      <c r="L80">
        <f>_xlfn.XLOOKUP($I80&amp;"_"&amp;L$72,'SPWL_Demographic Split'!$G$4:$G$158,'SPWL_Demographic Split'!$H$4:$H$158)</f>
        <v>2.7194849349630379E-3</v>
      </c>
      <c r="M80">
        <f>_xlfn.XLOOKUP($I80&amp;"_"&amp;M$72,'SPWL_Demographic Split'!$G$4:$G$158,'SPWL_Demographic Split'!$H$4:$H$158)</f>
        <v>2.717174609500164E-3</v>
      </c>
      <c r="N80">
        <f>_xlfn.XLOOKUP($I80&amp;"_"&amp;N$72,'SPWL_Demographic Split'!$G$4:$G$158,'SPWL_Demographic Split'!$H$4:$H$158)</f>
        <v>2.4050586727890079E-3</v>
      </c>
      <c r="P80">
        <v>42</v>
      </c>
      <c r="Q80">
        <f>_xlfn.IFNA(_xlfn.XLOOKUP($I80&amp;"_"&amp;Q$72,'SPWL_Demographic Split'!$K$4:$K$158,'SPWL_Demographic Split'!$L$4:$L$158),0)</f>
        <v>2.3742543116577619E-4</v>
      </c>
      <c r="R80">
        <f>_xlfn.IFNA(_xlfn.XLOOKUP($I80&amp;"_"&amp;R$72,'SPWL_Demographic Split'!$K$4:$K$158,'SPWL_Demographic Split'!$L$4:$L$158),0)</f>
        <v>2.000713884995779E-4</v>
      </c>
      <c r="S80">
        <f>_xlfn.IFNA(_xlfn.XLOOKUP($I80&amp;"_"&amp;S$72,'SPWL_Demographic Split'!$K$4:$K$158,'SPWL_Demographic Split'!$L$4:$L$158),0)</f>
        <v>2.156626419708832E-4</v>
      </c>
      <c r="T80">
        <f>_xlfn.IFNA(_xlfn.XLOOKUP($I80&amp;"_"&amp;T$72,'SPWL_Demographic Split'!$K$4:$K$158,'SPWL_Demographic Split'!$L$4:$L$158),0)</f>
        <v>1.471571361118071E-4</v>
      </c>
      <c r="U80">
        <f>_xlfn.IFNA(_xlfn.XLOOKUP($I80&amp;"_"&amp;U$72,'SPWL_Demographic Split'!$K$4:$K$158,'SPWL_Demographic Split'!$L$4:$L$158),0)</f>
        <v>1.3401096461625669E-4</v>
      </c>
      <c r="W80">
        <v>42</v>
      </c>
      <c r="X80">
        <f>_xlfn.XLOOKUP($I80&amp;"_"&amp;X$72,'SPWL_Demographic Split'!$O$4:$O$158,'SPWL_Demographic Split'!$P$4:$P$158)</f>
        <v>3.0501698315374801E-3</v>
      </c>
      <c r="Y80">
        <f>_xlfn.XLOOKUP($I80&amp;"_"&amp;Y$72,'SPWL_Demographic Split'!$O$4:$O$158,'SPWL_Demographic Split'!$P$4:$P$158)</f>
        <v>3.6896058644136382E-3</v>
      </c>
      <c r="Z80">
        <f>_xlfn.XLOOKUP($I80&amp;"_"&amp;Z$72,'SPWL_Demographic Split'!$O$4:$O$158,'SPWL_Demographic Split'!$P$4:$P$158)</f>
        <v>3.9319905472289694E-3</v>
      </c>
      <c r="AA80">
        <f>_xlfn.XLOOKUP($I80&amp;"_"&amp;AA$72,'SPWL_Demographic Split'!$O$4:$O$158,'SPWL_Demographic Split'!$P$4:$P$158)</f>
        <v>3.9556774568198548E-3</v>
      </c>
      <c r="AB80">
        <f>_xlfn.XLOOKUP($I80&amp;"_"&amp;AB$72,'SPWL_Demographic Split'!$O$4:$O$158,'SPWL_Demographic Split'!$P$4:$P$158)</f>
        <v>3.700551065640603E-3</v>
      </c>
    </row>
    <row r="81" spans="2:28" x14ac:dyDescent="0.25">
      <c r="B81">
        <v>43</v>
      </c>
      <c r="C81">
        <f>_xlfn.IFNA(_xlfn.XLOOKUP($B81&amp;"_"&amp;C$72,'SPWL_Demographic Split'!$C$4:$C$158,'SPWL_Demographic Split'!$D$4:$D$158),0)</f>
        <v>6.8592073721859926E-5</v>
      </c>
      <c r="D81">
        <f>_xlfn.IFNA(_xlfn.XLOOKUP($B81&amp;"_"&amp;D$72,'SPWL_Demographic Split'!$C$4:$C$158,'SPWL_Demographic Split'!$D$4:$D$158),0)</f>
        <v>6.1273400898948446E-5</v>
      </c>
      <c r="E81">
        <f>_xlfn.IFNA(_xlfn.XLOOKUP($B81&amp;"_"&amp;E$72,'SPWL_Demographic Split'!$C$4:$C$158,'SPWL_Demographic Split'!$D$4:$D$158),0)</f>
        <v>1.868475246825866E-4</v>
      </c>
      <c r="F81">
        <f>_xlfn.IFNA(_xlfn.XLOOKUP($B81&amp;"_"&amp;F$72,'SPWL_Demographic Split'!$C$4:$C$158,'SPWL_Demographic Split'!$D$4:$D$158),0)</f>
        <v>6.9040250204945361E-5</v>
      </c>
      <c r="G81">
        <f>_xlfn.IFNA(_xlfn.XLOOKUP($B81&amp;"_"&amp;G$72,'SPWL_Demographic Split'!$C$4:$C$158,'SPWL_Demographic Split'!$D$4:$D$158),0)</f>
        <v>7.4547678436143056E-5</v>
      </c>
      <c r="I81">
        <v>43</v>
      </c>
      <c r="J81">
        <f>_xlfn.XLOOKUP($I81&amp;"_"&amp;J$72,'SPWL_Demographic Split'!$G$4:$G$158,'SPWL_Demographic Split'!$H$4:$H$158)</f>
        <v>2.2150413412097112E-3</v>
      </c>
      <c r="K81">
        <f>_xlfn.XLOOKUP($I81&amp;"_"&amp;K$72,'SPWL_Demographic Split'!$G$4:$G$158,'SPWL_Demographic Split'!$H$4:$H$158)</f>
        <v>2.7390164974481191E-3</v>
      </c>
      <c r="L81">
        <f>_xlfn.XLOOKUP($I81&amp;"_"&amp;L$72,'SPWL_Demographic Split'!$G$4:$G$158,'SPWL_Demographic Split'!$H$4:$H$158)</f>
        <v>2.580197633857468E-3</v>
      </c>
      <c r="M81">
        <f>_xlfn.XLOOKUP($I81&amp;"_"&amp;M$72,'SPWL_Demographic Split'!$G$4:$G$158,'SPWL_Demographic Split'!$H$4:$H$158)</f>
        <v>2.5864736505881451E-3</v>
      </c>
      <c r="N81">
        <f>_xlfn.XLOOKUP($I81&amp;"_"&amp;N$72,'SPWL_Demographic Split'!$G$4:$G$158,'SPWL_Demographic Split'!$H$4:$H$158)</f>
        <v>2.3369002818905788E-3</v>
      </c>
      <c r="P81">
        <v>43</v>
      </c>
      <c r="Q81">
        <f>_xlfn.IFNA(_xlfn.XLOOKUP($I81&amp;"_"&amp;Q$72,'SPWL_Demographic Split'!$K$4:$K$158,'SPWL_Demographic Split'!$L$4:$L$158),0)</f>
        <v>1.5333446270523879E-4</v>
      </c>
      <c r="R81">
        <f>_xlfn.IFNA(_xlfn.XLOOKUP($I81&amp;"_"&amp;R$72,'SPWL_Demographic Split'!$K$4:$K$158,'SPWL_Demographic Split'!$L$4:$L$158),0)</f>
        <v>2.6233024808663101E-4</v>
      </c>
      <c r="S81">
        <f>_xlfn.IFNA(_xlfn.XLOOKUP($I81&amp;"_"&amp;S$72,'SPWL_Demographic Split'!$K$4:$K$158,'SPWL_Demographic Split'!$L$4:$L$158),0)</f>
        <v>1.5913511754111849E-4</v>
      </c>
      <c r="T81">
        <f>_xlfn.IFNA(_xlfn.XLOOKUP($I81&amp;"_"&amp;T$72,'SPWL_Demographic Split'!$K$4:$K$158,'SPWL_Demographic Split'!$L$4:$L$158),0)</f>
        <v>1.3779791932630841E-4</v>
      </c>
      <c r="U81">
        <f>_xlfn.IFNA(_xlfn.XLOOKUP($I81&amp;"_"&amp;U$72,'SPWL_Demographic Split'!$K$4:$K$158,'SPWL_Demographic Split'!$L$4:$L$158),0)</f>
        <v>1.1013951531447049E-4</v>
      </c>
      <c r="W81">
        <v>43</v>
      </c>
      <c r="X81">
        <f>_xlfn.XLOOKUP($I81&amp;"_"&amp;X$72,'SPWL_Demographic Split'!$O$4:$O$158,'SPWL_Demographic Split'!$P$4:$P$158)</f>
        <v>3.418940993330516E-3</v>
      </c>
      <c r="Y81">
        <f>_xlfn.XLOOKUP($I81&amp;"_"&amp;Y$72,'SPWL_Demographic Split'!$O$4:$O$158,'SPWL_Demographic Split'!$P$4:$P$158)</f>
        <v>3.7170861213245759E-3</v>
      </c>
      <c r="Z81">
        <f>_xlfn.XLOOKUP($I81&amp;"_"&amp;Z$72,'SPWL_Demographic Split'!$O$4:$O$158,'SPWL_Demographic Split'!$P$4:$P$158)</f>
        <v>3.8030535661186201E-3</v>
      </c>
      <c r="AA81">
        <f>_xlfn.XLOOKUP($I81&amp;"_"&amp;AA$72,'SPWL_Demographic Split'!$O$4:$O$158,'SPWL_Demographic Split'!$P$4:$P$158)</f>
        <v>3.9835048810156282E-3</v>
      </c>
      <c r="AB81">
        <f>_xlfn.XLOOKUP($I81&amp;"_"&amp;AB$72,'SPWL_Demographic Split'!$O$4:$O$158,'SPWL_Demographic Split'!$P$4:$P$158)</f>
        <v>3.7017182438524301E-3</v>
      </c>
    </row>
    <row r="82" spans="2:28" x14ac:dyDescent="0.25">
      <c r="B82">
        <v>44</v>
      </c>
      <c r="C82">
        <f>_xlfn.IFNA(_xlfn.XLOOKUP($B82&amp;"_"&amp;C$72,'SPWL_Demographic Split'!$C$4:$C$158,'SPWL_Demographic Split'!$D$4:$D$158),0)</f>
        <v>2.1956513463367429E-4</v>
      </c>
      <c r="D82">
        <f>_xlfn.IFNA(_xlfn.XLOOKUP($B82&amp;"_"&amp;D$72,'SPWL_Demographic Split'!$C$4:$C$158,'SPWL_Demographic Split'!$D$4:$D$158),0)</f>
        <v>9.1764679755079113E-5</v>
      </c>
      <c r="E82">
        <f>_xlfn.IFNA(_xlfn.XLOOKUP($B82&amp;"_"&amp;E$72,'SPWL_Demographic Split'!$C$4:$C$158,'SPWL_Demographic Split'!$D$4:$D$158),0)</f>
        <v>1.09961098536395E-4</v>
      </c>
      <c r="F82">
        <f>_xlfn.IFNA(_xlfn.XLOOKUP($B82&amp;"_"&amp;F$72,'SPWL_Demographic Split'!$C$4:$C$158,'SPWL_Demographic Split'!$D$4:$D$158),0)</f>
        <v>2.961723985379118E-4</v>
      </c>
      <c r="G82">
        <f>_xlfn.IFNA(_xlfn.XLOOKUP($B82&amp;"_"&amp;G$72,'SPWL_Demographic Split'!$C$4:$C$158,'SPWL_Demographic Split'!$D$4:$D$158),0)</f>
        <v>1.207888100930713E-4</v>
      </c>
      <c r="I82">
        <v>44</v>
      </c>
      <c r="J82">
        <f>_xlfn.XLOOKUP($I82&amp;"_"&amp;J$72,'SPWL_Demographic Split'!$G$4:$G$158,'SPWL_Demographic Split'!$H$4:$H$158)</f>
        <v>2.137787640512809E-3</v>
      </c>
      <c r="K82">
        <f>_xlfn.XLOOKUP($I82&amp;"_"&amp;K$72,'SPWL_Demographic Split'!$G$4:$G$158,'SPWL_Demographic Split'!$H$4:$H$158)</f>
        <v>2.6821072651417809E-3</v>
      </c>
      <c r="L82">
        <f>_xlfn.XLOOKUP($I82&amp;"_"&amp;L$72,'SPWL_Demographic Split'!$G$4:$G$158,'SPWL_Demographic Split'!$H$4:$H$158)</f>
        <v>2.7311038235788292E-3</v>
      </c>
      <c r="M82">
        <f>_xlfn.XLOOKUP($I82&amp;"_"&amp;M$72,'SPWL_Demographic Split'!$G$4:$G$158,'SPWL_Demographic Split'!$H$4:$H$158)</f>
        <v>2.770520926550279E-3</v>
      </c>
      <c r="N82">
        <f>_xlfn.XLOOKUP($I82&amp;"_"&amp;N$72,'SPWL_Demographic Split'!$G$4:$G$158,'SPWL_Demographic Split'!$H$4:$H$158)</f>
        <v>2.3728626035248142E-3</v>
      </c>
      <c r="P82">
        <v>44</v>
      </c>
      <c r="Q82">
        <f>_xlfn.IFNA(_xlfn.XLOOKUP($I82&amp;"_"&amp;Q$72,'SPWL_Demographic Split'!$K$4:$K$158,'SPWL_Demographic Split'!$L$4:$L$158),0)</f>
        <v>1.899244431785176E-4</v>
      </c>
      <c r="R82">
        <f>_xlfn.IFNA(_xlfn.XLOOKUP($I82&amp;"_"&amp;R$72,'SPWL_Demographic Split'!$K$4:$K$158,'SPWL_Demographic Split'!$L$4:$L$158),0)</f>
        <v>2.3795237592329541E-4</v>
      </c>
      <c r="S82">
        <f>_xlfn.IFNA(_xlfn.XLOOKUP($I82&amp;"_"&amp;S$72,'SPWL_Demographic Split'!$K$4:$K$158,'SPWL_Demographic Split'!$L$4:$L$158),0)</f>
        <v>1.482941101808491E-4</v>
      </c>
      <c r="T82">
        <f>_xlfn.IFNA(_xlfn.XLOOKUP($I82&amp;"_"&amp;T$72,'SPWL_Demographic Split'!$K$4:$K$158,'SPWL_Demographic Split'!$L$4:$L$158),0)</f>
        <v>1.3319603817978941E-4</v>
      </c>
      <c r="U82">
        <f>_xlfn.IFNA(_xlfn.XLOOKUP($I82&amp;"_"&amp;U$72,'SPWL_Demographic Split'!$K$4:$K$158,'SPWL_Demographic Split'!$L$4:$L$158),0)</f>
        <v>1.3021243899413891E-4</v>
      </c>
      <c r="W82">
        <v>44</v>
      </c>
      <c r="X82">
        <f>_xlfn.XLOOKUP($I82&amp;"_"&amp;X$72,'SPWL_Demographic Split'!$O$4:$O$158,'SPWL_Demographic Split'!$P$4:$P$158)</f>
        <v>3.43397389102918E-3</v>
      </c>
      <c r="Y82">
        <f>_xlfn.XLOOKUP($I82&amp;"_"&amp;Y$72,'SPWL_Demographic Split'!$O$4:$O$158,'SPWL_Demographic Split'!$P$4:$P$158)</f>
        <v>3.6777959853387791E-3</v>
      </c>
      <c r="Z82">
        <f>_xlfn.XLOOKUP($I82&amp;"_"&amp;Z$72,'SPWL_Demographic Split'!$O$4:$O$158,'SPWL_Demographic Split'!$P$4:$P$158)</f>
        <v>3.8711186512284728E-3</v>
      </c>
      <c r="AA82">
        <f>_xlfn.XLOOKUP($I82&amp;"_"&amp;AA$72,'SPWL_Demographic Split'!$O$4:$O$158,'SPWL_Demographic Split'!$P$4:$P$158)</f>
        <v>3.9187671111332598E-3</v>
      </c>
      <c r="AB82">
        <f>_xlfn.XLOOKUP($I82&amp;"_"&amp;AB$72,'SPWL_Demographic Split'!$O$4:$O$158,'SPWL_Demographic Split'!$P$4:$P$158)</f>
        <v>3.5994569695140329E-3</v>
      </c>
    </row>
    <row r="83" spans="2:28" x14ac:dyDescent="0.25">
      <c r="B83">
        <v>45</v>
      </c>
      <c r="C83">
        <f>_xlfn.IFNA(_xlfn.XLOOKUP($B83&amp;"_"&amp;C$72,'SPWL_Demographic Split'!$C$4:$C$158,'SPWL_Demographic Split'!$D$4:$D$158),0)</f>
        <v>1.2175639609603681E-4</v>
      </c>
      <c r="D83">
        <f>_xlfn.IFNA(_xlfn.XLOOKUP($B83&amp;"_"&amp;D$72,'SPWL_Demographic Split'!$C$4:$C$158,'SPWL_Demographic Split'!$D$4:$D$158),0)</f>
        <v>1.196191495947601E-4</v>
      </c>
      <c r="E83">
        <f>_xlfn.IFNA(_xlfn.XLOOKUP($B83&amp;"_"&amp;E$72,'SPWL_Demographic Split'!$C$4:$C$158,'SPWL_Demographic Split'!$D$4:$D$158),0)</f>
        <v>1.048267626400295E-4</v>
      </c>
      <c r="F83">
        <f>_xlfn.IFNA(_xlfn.XLOOKUP($B83&amp;"_"&amp;F$72,'SPWL_Demographic Split'!$C$4:$C$158,'SPWL_Demographic Split'!$D$4:$D$158),0)</f>
        <v>1.993418270730377E-4</v>
      </c>
      <c r="G83">
        <f>_xlfn.IFNA(_xlfn.XLOOKUP($B83&amp;"_"&amp;G$72,'SPWL_Demographic Split'!$C$4:$C$158,'SPWL_Demographic Split'!$D$4:$D$158),0)</f>
        <v>2.1200973477199009E-4</v>
      </c>
      <c r="I83">
        <v>45</v>
      </c>
      <c r="J83">
        <f>_xlfn.XLOOKUP($I83&amp;"_"&amp;J$72,'SPWL_Demographic Split'!$G$4:$G$158,'SPWL_Demographic Split'!$H$4:$H$158)</f>
        <v>2.116016938703039E-3</v>
      </c>
      <c r="K83">
        <f>_xlfn.XLOOKUP($I83&amp;"_"&amp;K$72,'SPWL_Demographic Split'!$G$4:$G$158,'SPWL_Demographic Split'!$H$4:$H$158)</f>
        <v>2.4742949538416859E-3</v>
      </c>
      <c r="L83">
        <f>_xlfn.XLOOKUP($I83&amp;"_"&amp;L$72,'SPWL_Demographic Split'!$G$4:$G$158,'SPWL_Demographic Split'!$H$4:$H$158)</f>
        <v>2.5387845866862561E-3</v>
      </c>
      <c r="M83">
        <f>_xlfn.XLOOKUP($I83&amp;"_"&amp;M$72,'SPWL_Demographic Split'!$G$4:$G$158,'SPWL_Demographic Split'!$H$4:$H$158)</f>
        <v>2.7056565227769019E-3</v>
      </c>
      <c r="N83">
        <f>_xlfn.XLOOKUP($I83&amp;"_"&amp;N$72,'SPWL_Demographic Split'!$G$4:$G$158,'SPWL_Demographic Split'!$H$4:$H$158)</f>
        <v>2.381760841092559E-3</v>
      </c>
      <c r="P83">
        <v>45</v>
      </c>
      <c r="Q83">
        <f>_xlfn.IFNA(_xlfn.XLOOKUP($I83&amp;"_"&amp;Q$72,'SPWL_Demographic Split'!$K$4:$K$158,'SPWL_Demographic Split'!$L$4:$L$158),0)</f>
        <v>2.018843343469388E-4</v>
      </c>
      <c r="R83">
        <f>_xlfn.IFNA(_xlfn.XLOOKUP($I83&amp;"_"&amp;R$72,'SPWL_Demographic Split'!$K$4:$K$158,'SPWL_Demographic Split'!$L$4:$L$158),0)</f>
        <v>2.1207617388351339E-4</v>
      </c>
      <c r="S83">
        <f>_xlfn.IFNA(_xlfn.XLOOKUP($I83&amp;"_"&amp;S$72,'SPWL_Demographic Split'!$K$4:$K$158,'SPWL_Demographic Split'!$L$4:$L$158),0)</f>
        <v>2.218238343721276E-4</v>
      </c>
      <c r="T83">
        <f>_xlfn.IFNA(_xlfn.XLOOKUP($I83&amp;"_"&amp;T$72,'SPWL_Demographic Split'!$K$4:$K$158,'SPWL_Demographic Split'!$L$4:$L$158),0)</f>
        <v>1.5206143558329561E-4</v>
      </c>
      <c r="U83">
        <f>_xlfn.IFNA(_xlfn.XLOOKUP($I83&amp;"_"&amp;U$72,'SPWL_Demographic Split'!$K$4:$K$158,'SPWL_Demographic Split'!$L$4:$L$158),0)</f>
        <v>1.9817210142409871E-4</v>
      </c>
      <c r="W83">
        <v>45</v>
      </c>
      <c r="X83">
        <f>_xlfn.XLOOKUP($I83&amp;"_"&amp;X$72,'SPWL_Demographic Split'!$O$4:$O$158,'SPWL_Demographic Split'!$P$4:$P$158)</f>
        <v>3.4772869437244042E-3</v>
      </c>
      <c r="Y83">
        <f>_xlfn.XLOOKUP($I83&amp;"_"&amp;Y$72,'SPWL_Demographic Split'!$O$4:$O$158,'SPWL_Demographic Split'!$P$4:$P$158)</f>
        <v>3.7140920290793249E-3</v>
      </c>
      <c r="Z83">
        <f>_xlfn.XLOOKUP($I83&amp;"_"&amp;Z$72,'SPWL_Demographic Split'!$O$4:$O$158,'SPWL_Demographic Split'!$P$4:$P$158)</f>
        <v>3.780226923123456E-3</v>
      </c>
      <c r="AA83">
        <f>_xlfn.XLOOKUP($I83&amp;"_"&amp;AA$72,'SPWL_Demographic Split'!$O$4:$O$158,'SPWL_Demographic Split'!$P$4:$P$158)</f>
        <v>4.041740519415013E-3</v>
      </c>
      <c r="AB83">
        <f>_xlfn.XLOOKUP($I83&amp;"_"&amp;AB$72,'SPWL_Demographic Split'!$O$4:$O$158,'SPWL_Demographic Split'!$P$4:$P$158)</f>
        <v>3.683076449340288E-3</v>
      </c>
    </row>
    <row r="84" spans="2:28" x14ac:dyDescent="0.25">
      <c r="B84">
        <v>46</v>
      </c>
      <c r="C84">
        <f>_xlfn.IFNA(_xlfn.XLOOKUP($B84&amp;"_"&amp;C$72,'SPWL_Demographic Split'!$C$4:$C$158,'SPWL_Demographic Split'!$D$4:$D$158),0)</f>
        <v>9.7330038017288107E-5</v>
      </c>
      <c r="D84">
        <f>_xlfn.IFNA(_xlfn.XLOOKUP($B84&amp;"_"&amp;D$72,'SPWL_Demographic Split'!$C$4:$C$158,'SPWL_Demographic Split'!$D$4:$D$158),0)</f>
        <v>8.0720437337052369E-5</v>
      </c>
      <c r="E84">
        <f>_xlfn.IFNA(_xlfn.XLOOKUP($B84&amp;"_"&amp;E$72,'SPWL_Demographic Split'!$C$4:$C$158,'SPWL_Demographic Split'!$D$4:$D$158),0)</f>
        <v>1.186302076237751E-4</v>
      </c>
      <c r="F84">
        <f>_xlfn.IFNA(_xlfn.XLOOKUP($B84&amp;"_"&amp;F$72,'SPWL_Demographic Split'!$C$4:$C$158,'SPWL_Demographic Split'!$D$4:$D$158),0)</f>
        <v>1.146187722597776E-4</v>
      </c>
      <c r="G84">
        <f>_xlfn.IFNA(_xlfn.XLOOKUP($B84&amp;"_"&amp;G$72,'SPWL_Demographic Split'!$C$4:$C$158,'SPWL_Demographic Split'!$D$4:$D$158),0)</f>
        <v>7.5417045220004702E-5</v>
      </c>
      <c r="I84">
        <v>46</v>
      </c>
      <c r="J84">
        <f>_xlfn.XLOOKUP($I84&amp;"_"&amp;J$72,'SPWL_Demographic Split'!$G$4:$G$158,'SPWL_Demographic Split'!$H$4:$H$158)</f>
        <v>2.3528760554782299E-3</v>
      </c>
      <c r="K84">
        <f>_xlfn.XLOOKUP($I84&amp;"_"&amp;K$72,'SPWL_Demographic Split'!$G$4:$G$158,'SPWL_Demographic Split'!$H$4:$H$158)</f>
        <v>2.583984603317472E-3</v>
      </c>
      <c r="L84">
        <f>_xlfn.XLOOKUP($I84&amp;"_"&amp;L$72,'SPWL_Demographic Split'!$G$4:$G$158,'SPWL_Demographic Split'!$H$4:$H$158)</f>
        <v>2.567143362310789E-3</v>
      </c>
      <c r="M84">
        <f>_xlfn.XLOOKUP($I84&amp;"_"&amp;M$72,'SPWL_Demographic Split'!$G$4:$G$158,'SPWL_Demographic Split'!$H$4:$H$158)</f>
        <v>2.624227114873538E-3</v>
      </c>
      <c r="N84">
        <f>_xlfn.XLOOKUP($I84&amp;"_"&amp;N$72,'SPWL_Demographic Split'!$G$4:$G$158,'SPWL_Demographic Split'!$H$4:$H$158)</f>
        <v>2.4038210517681748E-3</v>
      </c>
      <c r="P84">
        <v>46</v>
      </c>
      <c r="Q84">
        <f>_xlfn.IFNA(_xlfn.XLOOKUP($I84&amp;"_"&amp;Q$72,'SPWL_Demographic Split'!$K$4:$K$158,'SPWL_Demographic Split'!$L$4:$L$158),0)</f>
        <v>2.5839584399575362E-4</v>
      </c>
      <c r="R84">
        <f>_xlfn.IFNA(_xlfn.XLOOKUP($I84&amp;"_"&amp;R$72,'SPWL_Demographic Split'!$K$4:$K$158,'SPWL_Demographic Split'!$L$4:$L$158),0)</f>
        <v>1.3147599961830161E-4</v>
      </c>
      <c r="S84">
        <f>_xlfn.IFNA(_xlfn.XLOOKUP($I84&amp;"_"&amp;S$72,'SPWL_Demographic Split'!$K$4:$K$158,'SPWL_Demographic Split'!$L$4:$L$158),0)</f>
        <v>1.5215122021664429E-4</v>
      </c>
      <c r="T84">
        <f>_xlfn.IFNA(_xlfn.XLOOKUP($I84&amp;"_"&amp;T$72,'SPWL_Demographic Split'!$K$4:$K$158,'SPWL_Demographic Split'!$L$4:$L$158),0)</f>
        <v>1.415306844013352E-4</v>
      </c>
      <c r="U84">
        <f>_xlfn.IFNA(_xlfn.XLOOKUP($I84&amp;"_"&amp;U$72,'SPWL_Demographic Split'!$K$4:$K$158,'SPWL_Demographic Split'!$L$4:$L$158),0)</f>
        <v>1.3083426522156869E-4</v>
      </c>
      <c r="W84">
        <v>46</v>
      </c>
      <c r="X84">
        <f>_xlfn.XLOOKUP($I84&amp;"_"&amp;X$72,'SPWL_Demographic Split'!$O$4:$O$158,'SPWL_Demographic Split'!$P$4:$P$158)</f>
        <v>3.596178894986726E-3</v>
      </c>
      <c r="Y84">
        <f>_xlfn.XLOOKUP($I84&amp;"_"&amp;Y$72,'SPWL_Demographic Split'!$O$4:$O$158,'SPWL_Demographic Split'!$P$4:$P$158)</f>
        <v>3.6553493949045301E-3</v>
      </c>
      <c r="Z84">
        <f>_xlfn.XLOOKUP($I84&amp;"_"&amp;Z$72,'SPWL_Demographic Split'!$O$4:$O$158,'SPWL_Demographic Split'!$P$4:$P$158)</f>
        <v>3.9533103070296524E-3</v>
      </c>
      <c r="AA84">
        <f>_xlfn.XLOOKUP($I84&amp;"_"&amp;AA$72,'SPWL_Demographic Split'!$O$4:$O$158,'SPWL_Demographic Split'!$P$4:$P$158)</f>
        <v>3.7554232073031511E-3</v>
      </c>
      <c r="AB84">
        <f>_xlfn.XLOOKUP($I84&amp;"_"&amp;AB$72,'SPWL_Demographic Split'!$O$4:$O$158,'SPWL_Demographic Split'!$P$4:$P$158)</f>
        <v>3.7091961772774068E-3</v>
      </c>
    </row>
    <row r="85" spans="2:28" x14ac:dyDescent="0.25">
      <c r="B85">
        <v>47</v>
      </c>
      <c r="C85">
        <f>_xlfn.IFNA(_xlfn.XLOOKUP($B85&amp;"_"&amp;C$72,'SPWL_Demographic Split'!$C$4:$C$158,'SPWL_Demographic Split'!$D$4:$D$158),0)</f>
        <v>7.4323127211627842E-5</v>
      </c>
      <c r="D85">
        <f>_xlfn.IFNA(_xlfn.XLOOKUP($B85&amp;"_"&amp;D$72,'SPWL_Demographic Split'!$C$4:$C$158,'SPWL_Demographic Split'!$D$4:$D$158),0)</f>
        <v>1.047981887157761E-4</v>
      </c>
      <c r="E85">
        <f>_xlfn.IFNA(_xlfn.XLOOKUP($B85&amp;"_"&amp;E$72,'SPWL_Demographic Split'!$C$4:$C$158,'SPWL_Demographic Split'!$D$4:$D$158),0)</f>
        <v>6.8898662956158181E-5</v>
      </c>
      <c r="F85">
        <f>_xlfn.IFNA(_xlfn.XLOOKUP($B85&amp;"_"&amp;F$72,'SPWL_Demographic Split'!$C$4:$C$158,'SPWL_Demographic Split'!$D$4:$D$158),0)</f>
        <v>1.052415781464607E-4</v>
      </c>
      <c r="G85">
        <f>_xlfn.IFNA(_xlfn.XLOOKUP($B85&amp;"_"&amp;G$72,'SPWL_Demographic Split'!$C$4:$C$158,'SPWL_Demographic Split'!$D$4:$D$158),0)</f>
        <v>1.466754738824363E-4</v>
      </c>
      <c r="I85">
        <v>47</v>
      </c>
      <c r="J85">
        <f>_xlfn.XLOOKUP($I85&amp;"_"&amp;J$72,'SPWL_Demographic Split'!$G$4:$G$158,'SPWL_Demographic Split'!$H$4:$H$158)</f>
        <v>2.4279587028626448E-3</v>
      </c>
      <c r="K85">
        <f>_xlfn.XLOOKUP($I85&amp;"_"&amp;K$72,'SPWL_Demographic Split'!$G$4:$G$158,'SPWL_Demographic Split'!$H$4:$H$158)</f>
        <v>2.5618853787463731E-3</v>
      </c>
      <c r="L85">
        <f>_xlfn.XLOOKUP($I85&amp;"_"&amp;L$72,'SPWL_Demographic Split'!$G$4:$G$158,'SPWL_Demographic Split'!$H$4:$H$158)</f>
        <v>2.7039544705891139E-3</v>
      </c>
      <c r="M85">
        <f>_xlfn.XLOOKUP($I85&amp;"_"&amp;M$72,'SPWL_Demographic Split'!$G$4:$G$158,'SPWL_Demographic Split'!$H$4:$H$158)</f>
        <v>2.4769826098426611E-3</v>
      </c>
      <c r="N85">
        <f>_xlfn.XLOOKUP($I85&amp;"_"&amp;N$72,'SPWL_Demographic Split'!$G$4:$G$158,'SPWL_Demographic Split'!$H$4:$H$158)</f>
        <v>2.5384021384272561E-3</v>
      </c>
      <c r="P85">
        <v>47</v>
      </c>
      <c r="Q85">
        <f>_xlfn.IFNA(_xlfn.XLOOKUP($I85&amp;"_"&amp;Q$72,'SPWL_Demographic Split'!$K$4:$K$158,'SPWL_Demographic Split'!$L$4:$L$158),0)</f>
        <v>2.4911405372966171E-4</v>
      </c>
      <c r="R85">
        <f>_xlfn.IFNA(_xlfn.XLOOKUP($I85&amp;"_"&amp;R$72,'SPWL_Demographic Split'!$K$4:$K$158,'SPWL_Demographic Split'!$L$4:$L$158),0)</f>
        <v>1.740565333259608E-4</v>
      </c>
      <c r="S85">
        <f>_xlfn.IFNA(_xlfn.XLOOKUP($I85&amp;"_"&amp;S$72,'SPWL_Demographic Split'!$K$4:$K$158,'SPWL_Demographic Split'!$L$4:$L$158),0)</f>
        <v>2.359968304791786E-4</v>
      </c>
      <c r="T85">
        <f>_xlfn.IFNA(_xlfn.XLOOKUP($I85&amp;"_"&amp;T$72,'SPWL_Demographic Split'!$K$4:$K$158,'SPWL_Demographic Split'!$L$4:$L$158),0)</f>
        <v>1.5292376245204579E-4</v>
      </c>
      <c r="U85">
        <f>_xlfn.IFNA(_xlfn.XLOOKUP($I85&amp;"_"&amp;U$72,'SPWL_Demographic Split'!$K$4:$K$158,'SPWL_Demographic Split'!$L$4:$L$158),0)</f>
        <v>1.400373546517359E-4</v>
      </c>
      <c r="W85">
        <v>47</v>
      </c>
      <c r="X85">
        <f>_xlfn.XLOOKUP($I85&amp;"_"&amp;X$72,'SPWL_Demographic Split'!$O$4:$O$158,'SPWL_Demographic Split'!$P$4:$P$158)</f>
        <v>3.5849494524978912E-3</v>
      </c>
      <c r="Y85">
        <f>_xlfn.XLOOKUP($I85&amp;"_"&amp;Y$72,'SPWL_Demographic Split'!$O$4:$O$158,'SPWL_Demographic Split'!$P$4:$P$158)</f>
        <v>3.7780670983675211E-3</v>
      </c>
      <c r="Z85">
        <f>_xlfn.XLOOKUP($I85&amp;"_"&amp;Z$72,'SPWL_Demographic Split'!$O$4:$O$158,'SPWL_Demographic Split'!$P$4:$P$158)</f>
        <v>3.673006856730123E-3</v>
      </c>
      <c r="AA85">
        <f>_xlfn.XLOOKUP($I85&amp;"_"&amp;AA$72,'SPWL_Demographic Split'!$O$4:$O$158,'SPWL_Demographic Split'!$P$4:$P$158)</f>
        <v>3.8991306016218081E-3</v>
      </c>
      <c r="AB85">
        <f>_xlfn.XLOOKUP($I85&amp;"_"&amp;AB$72,'SPWL_Demographic Split'!$O$4:$O$158,'SPWL_Demographic Split'!$P$4:$P$158)</f>
        <v>3.5109341572153239E-3</v>
      </c>
    </row>
    <row r="86" spans="2:28" x14ac:dyDescent="0.25">
      <c r="B86">
        <v>48</v>
      </c>
      <c r="C86">
        <f>_xlfn.IFNA(_xlfn.XLOOKUP($B86&amp;"_"&amp;C$72,'SPWL_Demographic Split'!$C$4:$C$158,'SPWL_Demographic Split'!$D$4:$D$158),0)</f>
        <v>1.2907355100317251E-4</v>
      </c>
      <c r="D86">
        <f>_xlfn.IFNA(_xlfn.XLOOKUP($B86&amp;"_"&amp;D$72,'SPWL_Demographic Split'!$C$4:$C$158,'SPWL_Demographic Split'!$D$4:$D$158),0)</f>
        <v>5.9583530492483663E-5</v>
      </c>
      <c r="E86">
        <f>_xlfn.IFNA(_xlfn.XLOOKUP($B86&amp;"_"&amp;E$72,'SPWL_Demographic Split'!$C$4:$C$158,'SPWL_Demographic Split'!$D$4:$D$158),0)</f>
        <v>1.201943072982593E-4</v>
      </c>
      <c r="F86">
        <f>_xlfn.IFNA(_xlfn.XLOOKUP($B86&amp;"_"&amp;F$72,'SPWL_Demographic Split'!$C$4:$C$158,'SPWL_Demographic Split'!$D$4:$D$158),0)</f>
        <v>1.578907761212446E-4</v>
      </c>
      <c r="G86">
        <f>_xlfn.IFNA(_xlfn.XLOOKUP($B86&amp;"_"&amp;G$72,'SPWL_Demographic Split'!$C$4:$C$158,'SPWL_Demographic Split'!$D$4:$D$158),0)</f>
        <v>8.3050838407801693E-5</v>
      </c>
      <c r="I86">
        <v>48</v>
      </c>
      <c r="J86">
        <f>_xlfn.XLOOKUP($I86&amp;"_"&amp;J$72,'SPWL_Demographic Split'!$G$4:$G$158,'SPWL_Demographic Split'!$H$4:$H$158)</f>
        <v>2.2550687036390418E-3</v>
      </c>
      <c r="K86">
        <f>_xlfn.XLOOKUP($I86&amp;"_"&amp;K$72,'SPWL_Demographic Split'!$G$4:$G$158,'SPWL_Demographic Split'!$H$4:$H$158)</f>
        <v>2.6701948989419442E-3</v>
      </c>
      <c r="L86">
        <f>_xlfn.XLOOKUP($I86&amp;"_"&amp;L$72,'SPWL_Demographic Split'!$G$4:$G$158,'SPWL_Demographic Split'!$H$4:$H$158)</f>
        <v>2.2915843415180939E-3</v>
      </c>
      <c r="M86">
        <f>_xlfn.XLOOKUP($I86&amp;"_"&amp;M$72,'SPWL_Demographic Split'!$G$4:$G$158,'SPWL_Demographic Split'!$H$4:$H$158)</f>
        <v>2.6523174346423919E-3</v>
      </c>
      <c r="N86">
        <f>_xlfn.XLOOKUP($I86&amp;"_"&amp;N$72,'SPWL_Demographic Split'!$G$4:$G$158,'SPWL_Demographic Split'!$H$4:$H$158)</f>
        <v>2.3124396874009412E-3</v>
      </c>
      <c r="P86">
        <v>48</v>
      </c>
      <c r="Q86">
        <f>_xlfn.IFNA(_xlfn.XLOOKUP($I86&amp;"_"&amp;Q$72,'SPWL_Demographic Split'!$K$4:$K$158,'SPWL_Demographic Split'!$L$4:$L$158),0)</f>
        <v>2.2136256214364729E-4</v>
      </c>
      <c r="R86">
        <f>_xlfn.IFNA(_xlfn.XLOOKUP($I86&amp;"_"&amp;R$72,'SPWL_Demographic Split'!$K$4:$K$158,'SPWL_Demographic Split'!$L$4:$L$158),0)</f>
        <v>1.9269770680697851E-4</v>
      </c>
      <c r="S86">
        <f>_xlfn.IFNA(_xlfn.XLOOKUP($I86&amp;"_"&amp;S$72,'SPWL_Demographic Split'!$K$4:$K$158,'SPWL_Demographic Split'!$L$4:$L$158),0)</f>
        <v>1.7768105756076549E-4</v>
      </c>
      <c r="T86">
        <f>_xlfn.IFNA(_xlfn.XLOOKUP($I86&amp;"_"&amp;T$72,'SPWL_Demographic Split'!$K$4:$K$158,'SPWL_Demographic Split'!$L$4:$L$158),0)</f>
        <v>1.5917174678074241E-4</v>
      </c>
      <c r="U86">
        <f>_xlfn.IFNA(_xlfn.XLOOKUP($I86&amp;"_"&amp;U$72,'SPWL_Demographic Split'!$K$4:$K$158,'SPWL_Demographic Split'!$L$4:$L$158),0)</f>
        <v>1.7087278291955679E-4</v>
      </c>
      <c r="W86">
        <v>48</v>
      </c>
      <c r="X86">
        <f>_xlfn.XLOOKUP($I86&amp;"_"&amp;X$72,'SPWL_Demographic Split'!$O$4:$O$158,'SPWL_Demographic Split'!$P$4:$P$158)</f>
        <v>3.3123605824399221E-3</v>
      </c>
      <c r="Y86">
        <f>_xlfn.XLOOKUP($I86&amp;"_"&amp;Y$72,'SPWL_Demographic Split'!$O$4:$O$158,'SPWL_Demographic Split'!$P$4:$P$158)</f>
        <v>3.7508205564086138E-3</v>
      </c>
      <c r="Z86">
        <f>_xlfn.XLOOKUP($I86&amp;"_"&amp;Z$72,'SPWL_Demographic Split'!$O$4:$O$158,'SPWL_Demographic Split'!$P$4:$P$158)</f>
        <v>4.0776154964811519E-3</v>
      </c>
      <c r="AA86">
        <f>_xlfn.XLOOKUP($I86&amp;"_"&amp;AA$72,'SPWL_Demographic Split'!$O$4:$O$158,'SPWL_Demographic Split'!$P$4:$P$158)</f>
        <v>3.8467999336264619E-3</v>
      </c>
      <c r="AB86">
        <f>_xlfn.XLOOKUP($I86&amp;"_"&amp;AB$72,'SPWL_Demographic Split'!$O$4:$O$158,'SPWL_Demographic Split'!$P$4:$P$158)</f>
        <v>3.544032794925826E-3</v>
      </c>
    </row>
    <row r="87" spans="2:28" x14ac:dyDescent="0.25">
      <c r="B87">
        <v>49</v>
      </c>
      <c r="C87">
        <f>_xlfn.IFNA(_xlfn.XLOOKUP($B87&amp;"_"&amp;C$72,'SPWL_Demographic Split'!$C$4:$C$158,'SPWL_Demographic Split'!$D$4:$D$158),0)</f>
        <v>9.6099372591050694E-5</v>
      </c>
      <c r="D87">
        <f>_xlfn.IFNA(_xlfn.XLOOKUP($B87&amp;"_"&amp;D$72,'SPWL_Demographic Split'!$C$4:$C$158,'SPWL_Demographic Split'!$D$4:$D$158),0)</f>
        <v>1.385985627600402E-4</v>
      </c>
      <c r="E87">
        <f>_xlfn.IFNA(_xlfn.XLOOKUP($B87&amp;"_"&amp;E$72,'SPWL_Demographic Split'!$C$4:$C$158,'SPWL_Demographic Split'!$D$4:$D$158),0)</f>
        <v>3.1834861757860651E-4</v>
      </c>
      <c r="F87">
        <f>_xlfn.IFNA(_xlfn.XLOOKUP($B87&amp;"_"&amp;F$72,'SPWL_Demographic Split'!$C$4:$C$158,'SPWL_Demographic Split'!$D$4:$D$158),0)</f>
        <v>1.1210616343309999E-4</v>
      </c>
      <c r="G87">
        <f>_xlfn.IFNA(_xlfn.XLOOKUP($B87&amp;"_"&amp;G$72,'SPWL_Demographic Split'!$C$4:$C$158,'SPWL_Demographic Split'!$D$4:$D$158),0)</f>
        <v>1.2971801075558571E-4</v>
      </c>
      <c r="I87">
        <v>49</v>
      </c>
      <c r="J87">
        <f>_xlfn.XLOOKUP($I87&amp;"_"&amp;J$72,'SPWL_Demographic Split'!$G$4:$G$158,'SPWL_Demographic Split'!$H$4:$H$158)</f>
        <v>2.359277419066109E-3</v>
      </c>
      <c r="K87">
        <f>_xlfn.XLOOKUP($I87&amp;"_"&amp;K$72,'SPWL_Demographic Split'!$G$4:$G$158,'SPWL_Demographic Split'!$H$4:$H$158)</f>
        <v>2.6081442610386939E-3</v>
      </c>
      <c r="L87">
        <f>_xlfn.XLOOKUP($I87&amp;"_"&amp;L$72,'SPWL_Demographic Split'!$G$4:$G$158,'SPWL_Demographic Split'!$H$4:$H$158)</f>
        <v>2.554348765636458E-3</v>
      </c>
      <c r="M87">
        <f>_xlfn.XLOOKUP($I87&amp;"_"&amp;M$72,'SPWL_Demographic Split'!$G$4:$G$158,'SPWL_Demographic Split'!$H$4:$H$158)</f>
        <v>2.6905471774067119E-3</v>
      </c>
      <c r="N87">
        <f>_xlfn.XLOOKUP($I87&amp;"_"&amp;N$72,'SPWL_Demographic Split'!$G$4:$G$158,'SPWL_Demographic Split'!$H$4:$H$158)</f>
        <v>2.483783125154604E-3</v>
      </c>
      <c r="P87">
        <v>49</v>
      </c>
      <c r="Q87">
        <f>_xlfn.IFNA(_xlfn.XLOOKUP($I87&amp;"_"&amp;Q$72,'SPWL_Demographic Split'!$K$4:$K$158,'SPWL_Demographic Split'!$L$4:$L$158),0)</f>
        <v>2.6472293524405712E-4</v>
      </c>
      <c r="R87">
        <f>_xlfn.IFNA(_xlfn.XLOOKUP($I87&amp;"_"&amp;R$72,'SPWL_Demographic Split'!$K$4:$K$158,'SPWL_Demographic Split'!$L$4:$L$158),0)</f>
        <v>2.3125541909731971E-4</v>
      </c>
      <c r="S87">
        <f>_xlfn.IFNA(_xlfn.XLOOKUP($I87&amp;"_"&amp;S$72,'SPWL_Demographic Split'!$K$4:$K$158,'SPWL_Demographic Split'!$L$4:$L$158),0)</f>
        <v>1.5421497995505041E-4</v>
      </c>
      <c r="T87">
        <f>_xlfn.IFNA(_xlfn.XLOOKUP($I87&amp;"_"&amp;T$72,'SPWL_Demographic Split'!$K$4:$K$158,'SPWL_Demographic Split'!$L$4:$L$158),0)</f>
        <v>1.8891869984761329E-4</v>
      </c>
      <c r="U87">
        <f>_xlfn.IFNA(_xlfn.XLOOKUP($I87&amp;"_"&amp;U$72,'SPWL_Demographic Split'!$K$4:$K$158,'SPWL_Demographic Split'!$L$4:$L$158),0)</f>
        <v>2.2197364278324339E-4</v>
      </c>
      <c r="W87">
        <v>49</v>
      </c>
      <c r="X87">
        <f>_xlfn.XLOOKUP($I87&amp;"_"&amp;X$72,'SPWL_Demographic Split'!$O$4:$O$158,'SPWL_Demographic Split'!$P$4:$P$158)</f>
        <v>3.5767602821352678E-3</v>
      </c>
      <c r="Y87">
        <f>_xlfn.XLOOKUP($I87&amp;"_"&amp;Y$72,'SPWL_Demographic Split'!$O$4:$O$158,'SPWL_Demographic Split'!$P$4:$P$158)</f>
        <v>3.566950482751287E-3</v>
      </c>
      <c r="Z87">
        <f>_xlfn.XLOOKUP($I87&amp;"_"&amp;Z$72,'SPWL_Demographic Split'!$O$4:$O$158,'SPWL_Demographic Split'!$P$4:$P$158)</f>
        <v>3.477639844569386E-3</v>
      </c>
      <c r="AA87">
        <f>_xlfn.XLOOKUP($I87&amp;"_"&amp;AA$72,'SPWL_Demographic Split'!$O$4:$O$158,'SPWL_Demographic Split'!$P$4:$P$158)</f>
        <v>3.8170762255203151E-3</v>
      </c>
      <c r="AB87">
        <f>_xlfn.XLOOKUP($I87&amp;"_"&amp;AB$72,'SPWL_Demographic Split'!$O$4:$O$158,'SPWL_Demographic Split'!$P$4:$P$158)</f>
        <v>3.5843025683784811E-3</v>
      </c>
    </row>
    <row r="88" spans="2:28" x14ac:dyDescent="0.25">
      <c r="B88">
        <v>50</v>
      </c>
      <c r="C88">
        <f>_xlfn.IFNA(_xlfn.XLOOKUP($B88&amp;"_"&amp;C$72,'SPWL_Demographic Split'!$C$4:$C$158,'SPWL_Demographic Split'!$D$4:$D$158),0)</f>
        <v>1.522306884661268E-4</v>
      </c>
      <c r="D88">
        <f>_xlfn.IFNA(_xlfn.XLOOKUP($B88&amp;"_"&amp;D$72,'SPWL_Demographic Split'!$C$4:$C$158,'SPWL_Demographic Split'!$D$4:$D$158),0)</f>
        <v>9.629425562300487E-5</v>
      </c>
      <c r="E88">
        <f>_xlfn.IFNA(_xlfn.XLOOKUP($B88&amp;"_"&amp;E$72,'SPWL_Demographic Split'!$C$4:$C$158,'SPWL_Demographic Split'!$D$4:$D$158),0)</f>
        <v>1.7448388765348331E-4</v>
      </c>
      <c r="F88">
        <f>_xlfn.IFNA(_xlfn.XLOOKUP($B88&amp;"_"&amp;F$72,'SPWL_Demographic Split'!$C$4:$C$158,'SPWL_Demographic Split'!$D$4:$D$158),0)</f>
        <v>1.3115269465582621E-4</v>
      </c>
      <c r="G88">
        <f>_xlfn.IFNA(_xlfn.XLOOKUP($B88&amp;"_"&amp;G$72,'SPWL_Demographic Split'!$C$4:$C$158,'SPWL_Demographic Split'!$D$4:$D$158),0)</f>
        <v>1.276480060950135E-4</v>
      </c>
      <c r="I88">
        <v>50</v>
      </c>
      <c r="J88">
        <f>_xlfn.XLOOKUP($I88&amp;"_"&amp;J$72,'SPWL_Demographic Split'!$G$4:$G$158,'SPWL_Demographic Split'!$H$4:$H$158)</f>
        <v>2.2219249687860801E-3</v>
      </c>
      <c r="K88">
        <f>_xlfn.XLOOKUP($I88&amp;"_"&amp;K$72,'SPWL_Demographic Split'!$G$4:$G$158,'SPWL_Demographic Split'!$H$4:$H$158)</f>
        <v>2.5567954125525539E-3</v>
      </c>
      <c r="L88">
        <f>_xlfn.XLOOKUP($I88&amp;"_"&amp;L$72,'SPWL_Demographic Split'!$G$4:$G$158,'SPWL_Demographic Split'!$H$4:$H$158)</f>
        <v>2.6253513222927378E-3</v>
      </c>
      <c r="M88">
        <f>_xlfn.XLOOKUP($I88&amp;"_"&amp;M$72,'SPWL_Demographic Split'!$G$4:$G$158,'SPWL_Demographic Split'!$H$4:$H$158)</f>
        <v>2.7190474374278852E-3</v>
      </c>
      <c r="N88">
        <f>_xlfn.XLOOKUP($I88&amp;"_"&amp;N$72,'SPWL_Demographic Split'!$G$4:$G$158,'SPWL_Demographic Split'!$H$4:$H$158)</f>
        <v>2.4491968829210638E-3</v>
      </c>
      <c r="P88">
        <v>50</v>
      </c>
      <c r="Q88">
        <f>_xlfn.IFNA(_xlfn.XLOOKUP($I88&amp;"_"&amp;Q$72,'SPWL_Demographic Split'!$K$4:$K$158,'SPWL_Demographic Split'!$L$4:$L$158),0)</f>
        <v>1.5525673991508311E-4</v>
      </c>
      <c r="R88">
        <f>_xlfn.IFNA(_xlfn.XLOOKUP($I88&amp;"_"&amp;R$72,'SPWL_Demographic Split'!$K$4:$K$158,'SPWL_Demographic Split'!$L$4:$L$158),0)</f>
        <v>1.8023475350370481E-4</v>
      </c>
      <c r="S88">
        <f>_xlfn.IFNA(_xlfn.XLOOKUP($I88&amp;"_"&amp;S$72,'SPWL_Demographic Split'!$K$4:$K$158,'SPWL_Demographic Split'!$L$4:$L$158),0)</f>
        <v>1.5766631007118709E-4</v>
      </c>
      <c r="T88">
        <f>_xlfn.IFNA(_xlfn.XLOOKUP($I88&amp;"_"&amp;T$72,'SPWL_Demographic Split'!$K$4:$K$158,'SPWL_Demographic Split'!$L$4:$L$158),0)</f>
        <v>2.072110997029838E-4</v>
      </c>
      <c r="U88">
        <f>_xlfn.IFNA(_xlfn.XLOOKUP($I88&amp;"_"&amp;U$72,'SPWL_Demographic Split'!$K$4:$K$158,'SPWL_Demographic Split'!$L$4:$L$158),0)</f>
        <v>1.610985898561652E-4</v>
      </c>
      <c r="W88">
        <v>50</v>
      </c>
      <c r="X88">
        <f>_xlfn.XLOOKUP($I88&amp;"_"&amp;X$72,'SPWL_Demographic Split'!$O$4:$O$158,'SPWL_Demographic Split'!$P$4:$P$158)</f>
        <v>3.305745356119506E-3</v>
      </c>
      <c r="Y88">
        <f>_xlfn.XLOOKUP($I88&amp;"_"&amp;Y$72,'SPWL_Demographic Split'!$O$4:$O$158,'SPWL_Demographic Split'!$P$4:$P$158)</f>
        <v>3.6490520578737751E-3</v>
      </c>
      <c r="Z88">
        <f>_xlfn.XLOOKUP($I88&amp;"_"&amp;Z$72,'SPWL_Demographic Split'!$O$4:$O$158,'SPWL_Demographic Split'!$P$4:$P$158)</f>
        <v>3.751687178065967E-3</v>
      </c>
      <c r="AA88">
        <f>_xlfn.XLOOKUP($I88&amp;"_"&amp;AA$72,'SPWL_Demographic Split'!$O$4:$O$158,'SPWL_Demographic Split'!$P$4:$P$158)</f>
        <v>3.706088444690427E-3</v>
      </c>
      <c r="AB88">
        <f>_xlfn.XLOOKUP($I88&amp;"_"&amp;AB$72,'SPWL_Demographic Split'!$O$4:$O$158,'SPWL_Demographic Split'!$P$4:$P$158)</f>
        <v>3.8751101464912581E-3</v>
      </c>
    </row>
    <row r="89" spans="2:28" x14ac:dyDescent="0.25">
      <c r="B89">
        <v>51</v>
      </c>
      <c r="C89">
        <f>_xlfn.IFNA(_xlfn.XLOOKUP($B89&amp;"_"&amp;C$72,'SPWL_Demographic Split'!$C$4:$C$158,'SPWL_Demographic Split'!$D$4:$D$158),0)</f>
        <v>1.2688548477057281E-4</v>
      </c>
      <c r="D89">
        <f>_xlfn.IFNA(_xlfn.XLOOKUP($B89&amp;"_"&amp;D$72,'SPWL_Demographic Split'!$C$4:$C$158,'SPWL_Demographic Split'!$D$4:$D$158),0)</f>
        <v>1.171141044801938E-4</v>
      </c>
      <c r="E89">
        <f>_xlfn.IFNA(_xlfn.XLOOKUP($B89&amp;"_"&amp;E$72,'SPWL_Demographic Split'!$C$4:$C$158,'SPWL_Demographic Split'!$D$4:$D$158),0)</f>
        <v>1.39940315033609E-4</v>
      </c>
      <c r="F89">
        <f>_xlfn.IFNA(_xlfn.XLOOKUP($B89&amp;"_"&amp;F$72,'SPWL_Demographic Split'!$C$4:$C$158,'SPWL_Demographic Split'!$D$4:$D$158),0)</f>
        <v>2.008104955241374E-4</v>
      </c>
      <c r="G89">
        <f>_xlfn.IFNA(_xlfn.XLOOKUP($B89&amp;"_"&amp;G$72,'SPWL_Demographic Split'!$C$4:$C$158,'SPWL_Demographic Split'!$D$4:$D$158),0)</f>
        <v>1.3300950958966849E-4</v>
      </c>
      <c r="I89">
        <v>51</v>
      </c>
      <c r="J89">
        <f>_xlfn.XLOOKUP($I89&amp;"_"&amp;J$72,'SPWL_Demographic Split'!$G$4:$G$158,'SPWL_Demographic Split'!$H$4:$H$158)</f>
        <v>2.248279898047391E-3</v>
      </c>
      <c r="K89">
        <f>_xlfn.XLOOKUP($I89&amp;"_"&amp;K$72,'SPWL_Demographic Split'!$G$4:$G$158,'SPWL_Demographic Split'!$H$4:$H$158)</f>
        <v>2.5810619414651701E-3</v>
      </c>
      <c r="L89">
        <f>_xlfn.XLOOKUP($I89&amp;"_"&amp;L$72,'SPWL_Demographic Split'!$G$4:$G$158,'SPWL_Demographic Split'!$H$4:$H$158)</f>
        <v>2.3868367409805658E-3</v>
      </c>
      <c r="M89">
        <f>_xlfn.XLOOKUP($I89&amp;"_"&amp;M$72,'SPWL_Demographic Split'!$G$4:$G$158,'SPWL_Demographic Split'!$H$4:$H$158)</f>
        <v>2.4760794431299129E-3</v>
      </c>
      <c r="N89">
        <f>_xlfn.XLOOKUP($I89&amp;"_"&amp;N$72,'SPWL_Demographic Split'!$G$4:$G$158,'SPWL_Demographic Split'!$H$4:$H$158)</f>
        <v>2.487167226569856E-3</v>
      </c>
      <c r="P89">
        <v>51</v>
      </c>
      <c r="Q89">
        <f>_xlfn.IFNA(_xlfn.XLOOKUP($I89&amp;"_"&amp;Q$72,'SPWL_Demographic Split'!$K$4:$K$158,'SPWL_Demographic Split'!$L$4:$L$158),0)</f>
        <v>2.161867090347148E-4</v>
      </c>
      <c r="R89">
        <f>_xlfn.IFNA(_xlfn.XLOOKUP($I89&amp;"_"&amp;R$72,'SPWL_Demographic Split'!$K$4:$K$158,'SPWL_Demographic Split'!$L$4:$L$158),0)</f>
        <v>1.4328918485866809E-4</v>
      </c>
      <c r="S89">
        <f>_xlfn.IFNA(_xlfn.XLOOKUP($I89&amp;"_"&amp;S$72,'SPWL_Demographic Split'!$K$4:$K$158,'SPWL_Demographic Split'!$L$4:$L$158),0)</f>
        <v>1.332272415885229E-4</v>
      </c>
      <c r="T89">
        <f>_xlfn.IFNA(_xlfn.XLOOKUP($I89&amp;"_"&amp;T$72,'SPWL_Demographic Split'!$K$4:$K$158,'SPWL_Demographic Split'!$L$4:$L$158),0)</f>
        <v>1.721909904046668E-4</v>
      </c>
      <c r="U89">
        <f>_xlfn.IFNA(_xlfn.XLOOKUP($I89&amp;"_"&amp;U$72,'SPWL_Demographic Split'!$K$4:$K$158,'SPWL_Demographic Split'!$L$4:$L$158),0)</f>
        <v>1.3269631666826479E-4</v>
      </c>
      <c r="W89">
        <v>51</v>
      </c>
      <c r="X89">
        <f>_xlfn.XLOOKUP($I89&amp;"_"&amp;X$72,'SPWL_Demographic Split'!$O$4:$O$158,'SPWL_Demographic Split'!$P$4:$P$158)</f>
        <v>3.5824140395216081E-3</v>
      </c>
      <c r="Y89">
        <f>_xlfn.XLOOKUP($I89&amp;"_"&amp;Y$72,'SPWL_Demographic Split'!$O$4:$O$158,'SPWL_Demographic Split'!$P$4:$P$158)</f>
        <v>3.7874366491630418E-3</v>
      </c>
      <c r="Z89">
        <f>_xlfn.XLOOKUP($I89&amp;"_"&amp;Z$72,'SPWL_Demographic Split'!$O$4:$O$158,'SPWL_Demographic Split'!$P$4:$P$158)</f>
        <v>3.790380704957489E-3</v>
      </c>
      <c r="AA89">
        <f>_xlfn.XLOOKUP($I89&amp;"_"&amp;AA$72,'SPWL_Demographic Split'!$O$4:$O$158,'SPWL_Demographic Split'!$P$4:$P$158)</f>
        <v>3.824734718907295E-3</v>
      </c>
      <c r="AB89">
        <f>_xlfn.XLOOKUP($I89&amp;"_"&amp;AB$72,'SPWL_Demographic Split'!$O$4:$O$158,'SPWL_Demographic Split'!$P$4:$P$158)</f>
        <v>3.5827766160244031E-3</v>
      </c>
    </row>
    <row r="90" spans="2:28" x14ac:dyDescent="0.25">
      <c r="B90">
        <v>52</v>
      </c>
      <c r="C90">
        <f>_xlfn.IFNA(_xlfn.XLOOKUP($B90&amp;"_"&amp;C$72,'SPWL_Demographic Split'!$C$4:$C$158,'SPWL_Demographic Split'!$D$4:$D$158),0)</f>
        <v>8.081335892424208E-5</v>
      </c>
      <c r="D90">
        <f>_xlfn.IFNA(_xlfn.XLOOKUP($B90&amp;"_"&amp;D$72,'SPWL_Demographic Split'!$C$4:$C$158,'SPWL_Demographic Split'!$D$4:$D$158),0)</f>
        <v>1.5301087290213651E-4</v>
      </c>
      <c r="E90">
        <f>_xlfn.IFNA(_xlfn.XLOOKUP($B90&amp;"_"&amp;E$72,'SPWL_Demographic Split'!$C$4:$C$158,'SPWL_Demographic Split'!$D$4:$D$158),0)</f>
        <v>1.3611233984975541E-4</v>
      </c>
      <c r="F90">
        <f>_xlfn.IFNA(_xlfn.XLOOKUP($B90&amp;"_"&amp;F$72,'SPWL_Demographic Split'!$C$4:$C$158,'SPWL_Demographic Split'!$D$4:$D$158),0)</f>
        <v>1.3077050769685631E-4</v>
      </c>
      <c r="G90">
        <f>_xlfn.IFNA(_xlfn.XLOOKUP($B90&amp;"_"&amp;G$72,'SPWL_Demographic Split'!$C$4:$C$158,'SPWL_Demographic Split'!$D$4:$D$158),0)</f>
        <v>8.8969253331862955E-5</v>
      </c>
      <c r="I90">
        <v>52</v>
      </c>
      <c r="J90">
        <f>_xlfn.XLOOKUP($I90&amp;"_"&amp;J$72,'SPWL_Demographic Split'!$G$4:$G$158,'SPWL_Demographic Split'!$H$4:$H$158)</f>
        <v>2.301387066226861E-3</v>
      </c>
      <c r="K90">
        <f>_xlfn.XLOOKUP($I90&amp;"_"&amp;K$72,'SPWL_Demographic Split'!$G$4:$G$158,'SPWL_Demographic Split'!$H$4:$H$158)</f>
        <v>2.4809233669448108E-3</v>
      </c>
      <c r="L90">
        <f>_xlfn.XLOOKUP($I90&amp;"_"&amp;L$72,'SPWL_Demographic Split'!$G$4:$G$158,'SPWL_Demographic Split'!$H$4:$H$158)</f>
        <v>2.7600540709329289E-3</v>
      </c>
      <c r="M90">
        <f>_xlfn.XLOOKUP($I90&amp;"_"&amp;M$72,'SPWL_Demographic Split'!$G$4:$G$158,'SPWL_Demographic Split'!$H$4:$H$158)</f>
        <v>2.578149073176759E-3</v>
      </c>
      <c r="N90">
        <f>_xlfn.XLOOKUP($I90&amp;"_"&amp;N$72,'SPWL_Demographic Split'!$G$4:$G$158,'SPWL_Demographic Split'!$H$4:$H$158)</f>
        <v>2.5271561375499979E-3</v>
      </c>
      <c r="P90">
        <v>52</v>
      </c>
      <c r="Q90">
        <f>_xlfn.IFNA(_xlfn.XLOOKUP($I90&amp;"_"&amp;Q$72,'SPWL_Demographic Split'!$K$4:$K$158,'SPWL_Demographic Split'!$L$4:$L$158),0)</f>
        <v>2.1001519262908399E-4</v>
      </c>
      <c r="R90">
        <f>_xlfn.IFNA(_xlfn.XLOOKUP($I90&amp;"_"&amp;R$72,'SPWL_Demographic Split'!$K$4:$K$158,'SPWL_Demographic Split'!$L$4:$L$158),0)</f>
        <v>1.96397114135397E-4</v>
      </c>
      <c r="S90">
        <f>_xlfn.IFNA(_xlfn.XLOOKUP($I90&amp;"_"&amp;S$72,'SPWL_Demographic Split'!$K$4:$K$158,'SPWL_Demographic Split'!$L$4:$L$158),0)</f>
        <v>1.6451536317549359E-4</v>
      </c>
      <c r="T90">
        <f>_xlfn.IFNA(_xlfn.XLOOKUP($I90&amp;"_"&amp;T$72,'SPWL_Demographic Split'!$K$4:$K$158,'SPWL_Demographic Split'!$L$4:$L$158),0)</f>
        <v>1.6573787058357629E-4</v>
      </c>
      <c r="U90">
        <f>_xlfn.IFNA(_xlfn.XLOOKUP($I90&amp;"_"&amp;U$72,'SPWL_Demographic Split'!$K$4:$K$158,'SPWL_Demographic Split'!$L$4:$L$158),0)</f>
        <v>1.3108735337390121E-4</v>
      </c>
      <c r="W90">
        <v>52</v>
      </c>
      <c r="X90">
        <f>_xlfn.XLOOKUP($I90&amp;"_"&amp;X$72,'SPWL_Demographic Split'!$O$4:$O$158,'SPWL_Demographic Split'!$P$4:$P$158)</f>
        <v>3.457820801624619E-3</v>
      </c>
      <c r="Y90">
        <f>_xlfn.XLOOKUP($I90&amp;"_"&amp;Y$72,'SPWL_Demographic Split'!$O$4:$O$158,'SPWL_Demographic Split'!$P$4:$P$158)</f>
        <v>3.8629439587175179E-3</v>
      </c>
      <c r="Z90">
        <f>_xlfn.XLOOKUP($I90&amp;"_"&amp;Z$72,'SPWL_Demographic Split'!$O$4:$O$158,'SPWL_Demographic Split'!$P$4:$P$158)</f>
        <v>3.828387469549964E-3</v>
      </c>
      <c r="AA90">
        <f>_xlfn.XLOOKUP($I90&amp;"_"&amp;AA$72,'SPWL_Demographic Split'!$O$4:$O$158,'SPWL_Demographic Split'!$P$4:$P$158)</f>
        <v>3.7589819069199599E-3</v>
      </c>
      <c r="AB90">
        <f>_xlfn.XLOOKUP($I90&amp;"_"&amp;AB$72,'SPWL_Demographic Split'!$O$4:$O$158,'SPWL_Demographic Split'!$P$4:$P$158)</f>
        <v>3.3592322082688889E-3</v>
      </c>
    </row>
    <row r="91" spans="2:28" x14ac:dyDescent="0.25">
      <c r="B91">
        <v>53</v>
      </c>
      <c r="C91">
        <f>_xlfn.IFNA(_xlfn.XLOOKUP($B91&amp;"_"&amp;C$72,'SPWL_Demographic Split'!$C$4:$C$158,'SPWL_Demographic Split'!$D$4:$D$158),0)</f>
        <v>1.421780895666637E-4</v>
      </c>
      <c r="D91">
        <f>_xlfn.IFNA(_xlfn.XLOOKUP($B91&amp;"_"&amp;D$72,'SPWL_Demographic Split'!$C$4:$C$158,'SPWL_Demographic Split'!$D$4:$D$158),0)</f>
        <v>1.349817043772983E-4</v>
      </c>
      <c r="E91">
        <f>_xlfn.IFNA(_xlfn.XLOOKUP($B91&amp;"_"&amp;E$72,'SPWL_Demographic Split'!$C$4:$C$158,'SPWL_Demographic Split'!$D$4:$D$158),0)</f>
        <v>1.2649704518662131E-4</v>
      </c>
      <c r="F91">
        <f>_xlfn.IFNA(_xlfn.XLOOKUP($B91&amp;"_"&amp;F$72,'SPWL_Demographic Split'!$C$4:$C$158,'SPWL_Demographic Split'!$D$4:$D$158),0)</f>
        <v>1.35833851968254E-4</v>
      </c>
      <c r="G91">
        <f>_xlfn.IFNA(_xlfn.XLOOKUP($B91&amp;"_"&amp;G$72,'SPWL_Demographic Split'!$C$4:$C$158,'SPWL_Demographic Split'!$D$4:$D$158),0)</f>
        <v>1.0347615055142409E-4</v>
      </c>
      <c r="I91">
        <v>53</v>
      </c>
      <c r="J91">
        <f>_xlfn.XLOOKUP($I91&amp;"_"&amp;J$72,'SPWL_Demographic Split'!$G$4:$G$158,'SPWL_Demographic Split'!$H$4:$H$158)</f>
        <v>2.2888398545869789E-3</v>
      </c>
      <c r="K91">
        <f>_xlfn.XLOOKUP($I91&amp;"_"&amp;K$72,'SPWL_Demographic Split'!$G$4:$G$158,'SPWL_Demographic Split'!$H$4:$H$158)</f>
        <v>2.5088202760314639E-3</v>
      </c>
      <c r="L91">
        <f>_xlfn.XLOOKUP($I91&amp;"_"&amp;L$72,'SPWL_Demographic Split'!$G$4:$G$158,'SPWL_Demographic Split'!$H$4:$H$158)</f>
        <v>2.493360608927193E-3</v>
      </c>
      <c r="M91">
        <f>_xlfn.XLOOKUP($I91&amp;"_"&amp;M$72,'SPWL_Demographic Split'!$G$4:$G$158,'SPWL_Demographic Split'!$H$4:$H$158)</f>
        <v>2.473656559555483E-3</v>
      </c>
      <c r="N91">
        <f>_xlfn.XLOOKUP($I91&amp;"_"&amp;N$72,'SPWL_Demographic Split'!$G$4:$G$158,'SPWL_Demographic Split'!$H$4:$H$158)</f>
        <v>2.502910496185483E-3</v>
      </c>
      <c r="P91">
        <v>53</v>
      </c>
      <c r="Q91">
        <f>_xlfn.IFNA(_xlfn.XLOOKUP($I91&amp;"_"&amp;Q$72,'SPWL_Demographic Split'!$K$4:$K$158,'SPWL_Demographic Split'!$L$4:$L$158),0)</f>
        <v>2.6009716862162408E-4</v>
      </c>
      <c r="R91">
        <f>_xlfn.IFNA(_xlfn.XLOOKUP($I91&amp;"_"&amp;R$72,'SPWL_Demographic Split'!$K$4:$K$158,'SPWL_Demographic Split'!$L$4:$L$158),0)</f>
        <v>2.6979096811205439E-4</v>
      </c>
      <c r="S91">
        <f>_xlfn.IFNA(_xlfn.XLOOKUP($I91&amp;"_"&amp;S$72,'SPWL_Demographic Split'!$K$4:$K$158,'SPWL_Demographic Split'!$L$4:$L$158),0)</f>
        <v>2.0103934655158319E-4</v>
      </c>
      <c r="T91">
        <f>_xlfn.IFNA(_xlfn.XLOOKUP($I91&amp;"_"&amp;T$72,'SPWL_Demographic Split'!$K$4:$K$158,'SPWL_Demographic Split'!$L$4:$L$158),0)</f>
        <v>1.8005841222136219E-4</v>
      </c>
      <c r="U91">
        <f>_xlfn.IFNA(_xlfn.XLOOKUP($I91&amp;"_"&amp;U$72,'SPWL_Demographic Split'!$K$4:$K$158,'SPWL_Demographic Split'!$L$4:$L$158),0)</f>
        <v>2.1794010067028891E-4</v>
      </c>
      <c r="W91">
        <v>53</v>
      </c>
      <c r="X91">
        <f>_xlfn.XLOOKUP($I91&amp;"_"&amp;X$72,'SPWL_Demographic Split'!$O$4:$O$158,'SPWL_Demographic Split'!$P$4:$P$158)</f>
        <v>3.6887447960942728E-3</v>
      </c>
      <c r="Y91">
        <f>_xlfn.XLOOKUP($I91&amp;"_"&amp;Y$72,'SPWL_Demographic Split'!$O$4:$O$158,'SPWL_Demographic Split'!$P$4:$P$158)</f>
        <v>3.529767940136961E-3</v>
      </c>
      <c r="Z91">
        <f>_xlfn.XLOOKUP($I91&amp;"_"&amp;Z$72,'SPWL_Demographic Split'!$O$4:$O$158,'SPWL_Demographic Split'!$P$4:$P$158)</f>
        <v>3.7910418284283309E-3</v>
      </c>
      <c r="AA91">
        <f>_xlfn.XLOOKUP($I91&amp;"_"&amp;AA$72,'SPWL_Demographic Split'!$O$4:$O$158,'SPWL_Demographic Split'!$P$4:$P$158)</f>
        <v>3.4649751450587492E-3</v>
      </c>
      <c r="AB91">
        <f>_xlfn.XLOOKUP($I91&amp;"_"&amp;AB$72,'SPWL_Demographic Split'!$O$4:$O$158,'SPWL_Demographic Split'!$P$4:$P$158)</f>
        <v>3.5636635905467928E-3</v>
      </c>
    </row>
    <row r="92" spans="2:28" x14ac:dyDescent="0.25">
      <c r="B92">
        <v>54</v>
      </c>
      <c r="C92">
        <f>_xlfn.IFNA(_xlfn.XLOOKUP($B92&amp;"_"&amp;C$72,'SPWL_Demographic Split'!$C$4:$C$158,'SPWL_Demographic Split'!$D$4:$D$158),0)</f>
        <v>1.5850364860004791E-4</v>
      </c>
      <c r="D92">
        <f>_xlfn.IFNA(_xlfn.XLOOKUP($B92&amp;"_"&amp;D$72,'SPWL_Demographic Split'!$C$4:$C$158,'SPWL_Demographic Split'!$D$4:$D$158),0)</f>
        <v>1.1506017634866299E-4</v>
      </c>
      <c r="E92">
        <f>_xlfn.IFNA(_xlfn.XLOOKUP($B92&amp;"_"&amp;E$72,'SPWL_Demographic Split'!$C$4:$C$158,'SPWL_Demographic Split'!$D$4:$D$158),0)</f>
        <v>1.568213479541152E-4</v>
      </c>
      <c r="F92">
        <f>_xlfn.IFNA(_xlfn.XLOOKUP($B92&amp;"_"&amp;F$72,'SPWL_Demographic Split'!$C$4:$C$158,'SPWL_Demographic Split'!$D$4:$D$158),0)</f>
        <v>1.205976272338753E-4</v>
      </c>
      <c r="G92">
        <f>_xlfn.IFNA(_xlfn.XLOOKUP($B92&amp;"_"&amp;G$72,'SPWL_Demographic Split'!$C$4:$C$158,'SPWL_Demographic Split'!$D$4:$D$158),0)</f>
        <v>8.7186673661905273E-5</v>
      </c>
      <c r="I92">
        <v>54</v>
      </c>
      <c r="J92">
        <f>_xlfn.XLOOKUP($I92&amp;"_"&amp;J$72,'SPWL_Demographic Split'!$G$4:$G$158,'SPWL_Demographic Split'!$H$4:$H$158)</f>
        <v>2.2169465212885679E-3</v>
      </c>
      <c r="K92">
        <f>_xlfn.XLOOKUP($I92&amp;"_"&amp;K$72,'SPWL_Demographic Split'!$G$4:$G$158,'SPWL_Demographic Split'!$H$4:$H$158)</f>
        <v>2.4894596767831038E-3</v>
      </c>
      <c r="L92">
        <f>_xlfn.XLOOKUP($I92&amp;"_"&amp;L$72,'SPWL_Demographic Split'!$G$4:$G$158,'SPWL_Demographic Split'!$H$4:$H$158)</f>
        <v>2.7293206605763132E-3</v>
      </c>
      <c r="M92">
        <f>_xlfn.XLOOKUP($I92&amp;"_"&amp;M$72,'SPWL_Demographic Split'!$G$4:$G$158,'SPWL_Demographic Split'!$H$4:$H$158)</f>
        <v>2.5858080227566691E-3</v>
      </c>
      <c r="N92">
        <f>_xlfn.XLOOKUP($I92&amp;"_"&amp;N$72,'SPWL_Demographic Split'!$G$4:$G$158,'SPWL_Demographic Split'!$H$4:$H$158)</f>
        <v>2.3663654995945988E-3</v>
      </c>
      <c r="P92">
        <v>54</v>
      </c>
      <c r="Q92">
        <f>_xlfn.IFNA(_xlfn.XLOOKUP($I92&amp;"_"&amp;Q$72,'SPWL_Demographic Split'!$K$4:$K$158,'SPWL_Demographic Split'!$L$4:$L$158),0)</f>
        <v>2.4544847109400099E-4</v>
      </c>
      <c r="R92">
        <f>_xlfn.IFNA(_xlfn.XLOOKUP($I92&amp;"_"&amp;R$72,'SPWL_Demographic Split'!$K$4:$K$158,'SPWL_Demographic Split'!$L$4:$L$158),0)</f>
        <v>2.3085783527914349E-4</v>
      </c>
      <c r="S92">
        <f>_xlfn.IFNA(_xlfn.XLOOKUP($I92&amp;"_"&amp;S$72,'SPWL_Demographic Split'!$K$4:$K$158,'SPWL_Demographic Split'!$L$4:$L$158),0)</f>
        <v>1.8952795847673921E-4</v>
      </c>
      <c r="T92">
        <f>_xlfn.IFNA(_xlfn.XLOOKUP($I92&amp;"_"&amp;T$72,'SPWL_Demographic Split'!$K$4:$K$158,'SPWL_Demographic Split'!$L$4:$L$158),0)</f>
        <v>3.2314378378637068E-4</v>
      </c>
      <c r="U92">
        <f>_xlfn.IFNA(_xlfn.XLOOKUP($I92&amp;"_"&amp;U$72,'SPWL_Demographic Split'!$K$4:$K$158,'SPWL_Demographic Split'!$L$4:$L$158),0)</f>
        <v>1.7009102482597359E-4</v>
      </c>
      <c r="W92">
        <v>54</v>
      </c>
      <c r="X92">
        <f>_xlfn.XLOOKUP($I92&amp;"_"&amp;X$72,'SPWL_Demographic Split'!$O$4:$O$158,'SPWL_Demographic Split'!$P$4:$P$158)</f>
        <v>3.577795954017264E-3</v>
      </c>
      <c r="Y92">
        <f>_xlfn.XLOOKUP($I92&amp;"_"&amp;Y$72,'SPWL_Demographic Split'!$O$4:$O$158,'SPWL_Demographic Split'!$P$4:$P$158)</f>
        <v>3.3974410706161099E-3</v>
      </c>
      <c r="Z92">
        <f>_xlfn.XLOOKUP($I92&amp;"_"&amp;Z$72,'SPWL_Demographic Split'!$O$4:$O$158,'SPWL_Demographic Split'!$P$4:$P$158)</f>
        <v>3.696432260237336E-3</v>
      </c>
      <c r="AA92">
        <f>_xlfn.XLOOKUP($I92&amp;"_"&amp;AA$72,'SPWL_Demographic Split'!$O$4:$O$158,'SPWL_Demographic Split'!$P$4:$P$158)</f>
        <v>3.720393212556045E-3</v>
      </c>
      <c r="AB92">
        <f>_xlfn.XLOOKUP($I92&amp;"_"&amp;AB$72,'SPWL_Demographic Split'!$O$4:$O$158,'SPWL_Demographic Split'!$P$4:$P$158)</f>
        <v>3.712737889309137E-3</v>
      </c>
    </row>
    <row r="93" spans="2:28" x14ac:dyDescent="0.25">
      <c r="B93">
        <v>55</v>
      </c>
      <c r="C93">
        <f>_xlfn.IFNA(_xlfn.XLOOKUP($B93&amp;"_"&amp;C$72,'SPWL_Demographic Split'!$C$4:$C$158,'SPWL_Demographic Split'!$D$4:$D$158),0)</f>
        <v>1.0156144406610171E-4</v>
      </c>
      <c r="D93">
        <f>_xlfn.IFNA(_xlfn.XLOOKUP($B93&amp;"_"&amp;D$72,'SPWL_Demographic Split'!$C$4:$C$158,'SPWL_Demographic Split'!$D$4:$D$158),0)</f>
        <v>1.3054639883595091E-4</v>
      </c>
      <c r="E93">
        <f>_xlfn.IFNA(_xlfn.XLOOKUP($B93&amp;"_"&amp;E$72,'SPWL_Demographic Split'!$C$4:$C$158,'SPWL_Demographic Split'!$D$4:$D$158),0)</f>
        <v>1.4189522340407129E-4</v>
      </c>
      <c r="F93">
        <f>_xlfn.IFNA(_xlfn.XLOOKUP($B93&amp;"_"&amp;F$72,'SPWL_Demographic Split'!$C$4:$C$158,'SPWL_Demographic Split'!$D$4:$D$158),0)</f>
        <v>1.6584497022388309E-4</v>
      </c>
      <c r="G93">
        <f>_xlfn.IFNA(_xlfn.XLOOKUP($B93&amp;"_"&amp;G$72,'SPWL_Demographic Split'!$C$4:$C$158,'SPWL_Demographic Split'!$D$4:$D$158),0)</f>
        <v>1.3816511617934139E-4</v>
      </c>
      <c r="I93">
        <v>55</v>
      </c>
      <c r="J93">
        <f>_xlfn.XLOOKUP($I93&amp;"_"&amp;J$72,'SPWL_Demographic Split'!$G$4:$G$158,'SPWL_Demographic Split'!$H$4:$H$158)</f>
        <v>2.4582726309221288E-3</v>
      </c>
      <c r="K93">
        <f>_xlfn.XLOOKUP($I93&amp;"_"&amp;K$72,'SPWL_Demographic Split'!$G$4:$G$158,'SPWL_Demographic Split'!$H$4:$H$158)</f>
        <v>2.4501389329547821E-3</v>
      </c>
      <c r="L93">
        <f>_xlfn.XLOOKUP($I93&amp;"_"&amp;L$72,'SPWL_Demographic Split'!$G$4:$G$158,'SPWL_Demographic Split'!$H$4:$H$158)</f>
        <v>2.4408933459382008E-3</v>
      </c>
      <c r="M93">
        <f>_xlfn.XLOOKUP($I93&amp;"_"&amp;M$72,'SPWL_Demographic Split'!$G$4:$G$158,'SPWL_Demographic Split'!$H$4:$H$158)</f>
        <v>2.5275369523213489E-3</v>
      </c>
      <c r="N93">
        <f>_xlfn.XLOOKUP($I93&amp;"_"&amp;N$72,'SPWL_Demographic Split'!$G$4:$G$158,'SPWL_Demographic Split'!$H$4:$H$158)</f>
        <v>2.580805752195763E-3</v>
      </c>
      <c r="P93">
        <v>55</v>
      </c>
      <c r="Q93">
        <f>_xlfn.IFNA(_xlfn.XLOOKUP($I93&amp;"_"&amp;Q$72,'SPWL_Demographic Split'!$K$4:$K$158,'SPWL_Demographic Split'!$L$4:$L$158),0)</f>
        <v>2.6661415461289061E-4</v>
      </c>
      <c r="R93">
        <f>_xlfn.IFNA(_xlfn.XLOOKUP($I93&amp;"_"&amp;R$72,'SPWL_Demographic Split'!$K$4:$K$158,'SPWL_Demographic Split'!$L$4:$L$158),0)</f>
        <v>2.152153997668573E-4</v>
      </c>
      <c r="S93">
        <f>_xlfn.IFNA(_xlfn.XLOOKUP($I93&amp;"_"&amp;S$72,'SPWL_Demographic Split'!$K$4:$K$158,'SPWL_Demographic Split'!$L$4:$L$158),0)</f>
        <v>3.4174662153787529E-4</v>
      </c>
      <c r="T93">
        <f>_xlfn.IFNA(_xlfn.XLOOKUP($I93&amp;"_"&amp;T$72,'SPWL_Demographic Split'!$K$4:$K$158,'SPWL_Demographic Split'!$L$4:$L$158),0)</f>
        <v>3.0911674867021942E-4</v>
      </c>
      <c r="U93">
        <f>_xlfn.IFNA(_xlfn.XLOOKUP($I93&amp;"_"&amp;U$72,'SPWL_Demographic Split'!$K$4:$K$158,'SPWL_Demographic Split'!$L$4:$L$158),0)</f>
        <v>2.5164149914710612E-4</v>
      </c>
      <c r="W93">
        <v>55</v>
      </c>
      <c r="X93">
        <f>_xlfn.XLOOKUP($I93&amp;"_"&amp;X$72,'SPWL_Demographic Split'!$O$4:$O$158,'SPWL_Demographic Split'!$P$4:$P$158)</f>
        <v>3.626708859265138E-3</v>
      </c>
      <c r="Y93">
        <f>_xlfn.XLOOKUP($I93&amp;"_"&amp;Y$72,'SPWL_Demographic Split'!$O$4:$O$158,'SPWL_Demographic Split'!$P$4:$P$158)</f>
        <v>3.874302556155364E-3</v>
      </c>
      <c r="Z93">
        <f>_xlfn.XLOOKUP($I93&amp;"_"&amp;Z$72,'SPWL_Demographic Split'!$O$4:$O$158,'SPWL_Demographic Split'!$P$4:$P$158)</f>
        <v>3.627384360376185E-3</v>
      </c>
      <c r="AA93">
        <f>_xlfn.XLOOKUP($I93&amp;"_"&amp;AA$72,'SPWL_Demographic Split'!$O$4:$O$158,'SPWL_Demographic Split'!$P$4:$P$158)</f>
        <v>3.4424803208450952E-3</v>
      </c>
      <c r="AB93">
        <f>_xlfn.XLOOKUP($I93&amp;"_"&amp;AB$72,'SPWL_Demographic Split'!$O$4:$O$158,'SPWL_Demographic Split'!$P$4:$P$158)</f>
        <v>3.643334439143889E-3</v>
      </c>
    </row>
    <row r="94" spans="2:28" x14ac:dyDescent="0.25">
      <c r="B94">
        <v>56</v>
      </c>
      <c r="C94">
        <f>_xlfn.IFNA(_xlfn.XLOOKUP($B94&amp;"_"&amp;C$72,'SPWL_Demographic Split'!$C$4:$C$158,'SPWL_Demographic Split'!$D$4:$D$158),0)</f>
        <v>1.3529560607914839E-4</v>
      </c>
      <c r="D94">
        <f>_xlfn.IFNA(_xlfn.XLOOKUP($B94&amp;"_"&amp;D$72,'SPWL_Demographic Split'!$C$4:$C$158,'SPWL_Demographic Split'!$D$4:$D$158),0)</f>
        <v>1.5392956434946131E-4</v>
      </c>
      <c r="E94">
        <f>_xlfn.IFNA(_xlfn.XLOOKUP($B94&amp;"_"&amp;E$72,'SPWL_Demographic Split'!$C$4:$C$158,'SPWL_Demographic Split'!$D$4:$D$158),0)</f>
        <v>1.665717584607191E-4</v>
      </c>
      <c r="F94">
        <f>_xlfn.IFNA(_xlfn.XLOOKUP($B94&amp;"_"&amp;F$72,'SPWL_Demographic Split'!$C$4:$C$158,'SPWL_Demographic Split'!$D$4:$D$158),0)</f>
        <v>1.141931342355661E-4</v>
      </c>
      <c r="G94">
        <f>_xlfn.IFNA(_xlfn.XLOOKUP($B94&amp;"_"&amp;G$72,'SPWL_Demographic Split'!$C$4:$C$158,'SPWL_Demographic Split'!$D$4:$D$158),0)</f>
        <v>1.3838406154036481E-4</v>
      </c>
      <c r="I94">
        <v>56</v>
      </c>
      <c r="J94">
        <f>_xlfn.XLOOKUP($I94&amp;"_"&amp;J$72,'SPWL_Demographic Split'!$G$4:$G$158,'SPWL_Demographic Split'!$H$4:$H$158)</f>
        <v>2.2705040562475479E-3</v>
      </c>
      <c r="K94">
        <f>_xlfn.XLOOKUP($I94&amp;"_"&amp;K$72,'SPWL_Demographic Split'!$G$4:$G$158,'SPWL_Demographic Split'!$H$4:$H$158)</f>
        <v>2.481825068123735E-3</v>
      </c>
      <c r="L94">
        <f>_xlfn.XLOOKUP($I94&amp;"_"&amp;L$72,'SPWL_Demographic Split'!$G$4:$G$158,'SPWL_Demographic Split'!$H$4:$H$158)</f>
        <v>2.6071351201228539E-3</v>
      </c>
      <c r="M94">
        <f>_xlfn.XLOOKUP($I94&amp;"_"&amp;M$72,'SPWL_Demographic Split'!$G$4:$G$158,'SPWL_Demographic Split'!$H$4:$H$158)</f>
        <v>2.391681019362536E-3</v>
      </c>
      <c r="N94">
        <f>_xlfn.XLOOKUP($I94&amp;"_"&amp;N$72,'SPWL_Demographic Split'!$G$4:$G$158,'SPWL_Demographic Split'!$H$4:$H$158)</f>
        <v>2.551804573564504E-3</v>
      </c>
      <c r="P94">
        <v>56</v>
      </c>
      <c r="Q94">
        <f>_xlfn.IFNA(_xlfn.XLOOKUP($I94&amp;"_"&amp;Q$72,'SPWL_Demographic Split'!$K$4:$K$158,'SPWL_Demographic Split'!$L$4:$L$158),0)</f>
        <v>2.7375711648522719E-4</v>
      </c>
      <c r="R94">
        <f>_xlfn.IFNA(_xlfn.XLOOKUP($I94&amp;"_"&amp;R$72,'SPWL_Demographic Split'!$K$4:$K$158,'SPWL_Demographic Split'!$L$4:$L$158),0)</f>
        <v>2.8113786011803749E-4</v>
      </c>
      <c r="S94">
        <f>_xlfn.IFNA(_xlfn.XLOOKUP($I94&amp;"_"&amp;S$72,'SPWL_Demographic Split'!$K$4:$K$158,'SPWL_Demographic Split'!$L$4:$L$158),0)</f>
        <v>1.804592327967409E-4</v>
      </c>
      <c r="T94">
        <f>_xlfn.IFNA(_xlfn.XLOOKUP($I94&amp;"_"&amp;T$72,'SPWL_Demographic Split'!$K$4:$K$158,'SPWL_Demographic Split'!$L$4:$L$158),0)</f>
        <v>2.9876029392480942E-4</v>
      </c>
      <c r="U94">
        <f>_xlfn.IFNA(_xlfn.XLOOKUP($I94&amp;"_"&amp;U$72,'SPWL_Demographic Split'!$K$4:$K$158,'SPWL_Demographic Split'!$L$4:$L$158),0)</f>
        <v>2.6167818800162381E-4</v>
      </c>
      <c r="W94">
        <v>56</v>
      </c>
      <c r="X94">
        <f>_xlfn.XLOOKUP($I94&amp;"_"&amp;X$72,'SPWL_Demographic Split'!$O$4:$O$158,'SPWL_Demographic Split'!$P$4:$P$158)</f>
        <v>3.55637081267974E-3</v>
      </c>
      <c r="Y94">
        <f>_xlfn.XLOOKUP($I94&amp;"_"&amp;Y$72,'SPWL_Demographic Split'!$O$4:$O$158,'SPWL_Demographic Split'!$P$4:$P$158)</f>
        <v>3.5807149609259968E-3</v>
      </c>
      <c r="Z94">
        <f>_xlfn.XLOOKUP($I94&amp;"_"&amp;Z$72,'SPWL_Demographic Split'!$O$4:$O$158,'SPWL_Demographic Split'!$P$4:$P$158)</f>
        <v>3.6266397329792759E-3</v>
      </c>
      <c r="AA94">
        <f>_xlfn.XLOOKUP($I94&amp;"_"&amp;AA$72,'SPWL_Demographic Split'!$O$4:$O$158,'SPWL_Demographic Split'!$P$4:$P$158)</f>
        <v>3.76443343276817E-3</v>
      </c>
      <c r="AB94">
        <f>_xlfn.XLOOKUP($I94&amp;"_"&amp;AB$72,'SPWL_Demographic Split'!$O$4:$O$158,'SPWL_Demographic Split'!$P$4:$P$158)</f>
        <v>3.641336548478057E-3</v>
      </c>
    </row>
    <row r="95" spans="2:28" x14ac:dyDescent="0.25">
      <c r="B95">
        <v>57</v>
      </c>
      <c r="C95">
        <f>_xlfn.IFNA(_xlfn.XLOOKUP($B95&amp;"_"&amp;C$72,'SPWL_Demographic Split'!$C$4:$C$158,'SPWL_Demographic Split'!$D$4:$D$158),0)</f>
        <v>1.49714605383318E-4</v>
      </c>
      <c r="D95">
        <f>_xlfn.IFNA(_xlfn.XLOOKUP($B95&amp;"_"&amp;D$72,'SPWL_Demographic Split'!$C$4:$C$158,'SPWL_Demographic Split'!$D$4:$D$158),0)</f>
        <v>1.125672048266388E-4</v>
      </c>
      <c r="E95">
        <f>_xlfn.IFNA(_xlfn.XLOOKUP($B95&amp;"_"&amp;E$72,'SPWL_Demographic Split'!$C$4:$C$158,'SPWL_Demographic Split'!$D$4:$D$158),0)</f>
        <v>1.4556875168961539E-4</v>
      </c>
      <c r="F95">
        <f>_xlfn.IFNA(_xlfn.XLOOKUP($B95&amp;"_"&amp;F$72,'SPWL_Demographic Split'!$C$4:$C$158,'SPWL_Demographic Split'!$D$4:$D$158),0)</f>
        <v>1.170304563893695E-4</v>
      </c>
      <c r="G95">
        <f>_xlfn.IFNA(_xlfn.XLOOKUP($B95&amp;"_"&amp;G$72,'SPWL_Demographic Split'!$C$4:$C$158,'SPWL_Demographic Split'!$D$4:$D$158),0)</f>
        <v>1.438818753139772E-4</v>
      </c>
      <c r="I95">
        <v>57</v>
      </c>
      <c r="J95">
        <f>_xlfn.XLOOKUP($I95&amp;"_"&amp;J$72,'SPWL_Demographic Split'!$G$4:$G$158,'SPWL_Demographic Split'!$H$4:$H$158)</f>
        <v>2.4852037791092429E-3</v>
      </c>
      <c r="K95">
        <f>_xlfn.XLOOKUP($I95&amp;"_"&amp;K$72,'SPWL_Demographic Split'!$G$4:$G$158,'SPWL_Demographic Split'!$H$4:$H$158)</f>
        <v>2.4909460787670319E-3</v>
      </c>
      <c r="L95">
        <f>_xlfn.XLOOKUP($I95&amp;"_"&amp;L$72,'SPWL_Demographic Split'!$G$4:$G$158,'SPWL_Demographic Split'!$H$4:$H$158)</f>
        <v>2.486490875917847E-3</v>
      </c>
      <c r="M95">
        <f>_xlfn.XLOOKUP($I95&amp;"_"&amp;M$72,'SPWL_Demographic Split'!$G$4:$G$158,'SPWL_Demographic Split'!$H$4:$H$158)</f>
        <v>2.6461382906581492E-3</v>
      </c>
      <c r="N95">
        <f>_xlfn.XLOOKUP($I95&amp;"_"&amp;N$72,'SPWL_Demographic Split'!$G$4:$G$158,'SPWL_Demographic Split'!$H$4:$H$158)</f>
        <v>2.440689277604395E-3</v>
      </c>
      <c r="P95">
        <v>57</v>
      </c>
      <c r="Q95">
        <f>_xlfn.IFNA(_xlfn.XLOOKUP($I95&amp;"_"&amp;Q$72,'SPWL_Demographic Split'!$K$4:$K$158,'SPWL_Demographic Split'!$L$4:$L$158),0)</f>
        <v>2.6737140187416152E-4</v>
      </c>
      <c r="R95">
        <f>_xlfn.IFNA(_xlfn.XLOOKUP($I95&amp;"_"&amp;R$72,'SPWL_Demographic Split'!$K$4:$K$158,'SPWL_Demographic Split'!$L$4:$L$158),0)</f>
        <v>3.3266133164265452E-4</v>
      </c>
      <c r="S95">
        <f>_xlfn.IFNA(_xlfn.XLOOKUP($I95&amp;"_"&amp;S$72,'SPWL_Demographic Split'!$K$4:$K$158,'SPWL_Demographic Split'!$L$4:$L$158),0)</f>
        <v>3.6899179559432148E-4</v>
      </c>
      <c r="T95">
        <f>_xlfn.IFNA(_xlfn.XLOOKUP($I95&amp;"_"&amp;T$72,'SPWL_Demographic Split'!$K$4:$K$158,'SPWL_Demographic Split'!$L$4:$L$158),0)</f>
        <v>3.7106356283289361E-4</v>
      </c>
      <c r="U95">
        <f>_xlfn.IFNA(_xlfn.XLOOKUP($I95&amp;"_"&amp;U$72,'SPWL_Demographic Split'!$K$4:$K$158,'SPWL_Demographic Split'!$L$4:$L$158),0)</f>
        <v>2.5335960556480721E-4</v>
      </c>
      <c r="W95">
        <v>57</v>
      </c>
      <c r="X95">
        <f>_xlfn.XLOOKUP($I95&amp;"_"&amp;X$72,'SPWL_Demographic Split'!$O$4:$O$158,'SPWL_Demographic Split'!$P$4:$P$158)</f>
        <v>3.8334118086247549E-3</v>
      </c>
      <c r="Y95">
        <f>_xlfn.XLOOKUP($I95&amp;"_"&amp;Y$72,'SPWL_Demographic Split'!$O$4:$O$158,'SPWL_Demographic Split'!$P$4:$P$158)</f>
        <v>3.4331563030565019E-3</v>
      </c>
      <c r="Z95">
        <f>_xlfn.XLOOKUP($I95&amp;"_"&amp;Z$72,'SPWL_Demographic Split'!$O$4:$O$158,'SPWL_Demographic Split'!$P$4:$P$158)</f>
        <v>3.3852603152930692E-3</v>
      </c>
      <c r="AA95">
        <f>_xlfn.XLOOKUP($I95&amp;"_"&amp;AA$72,'SPWL_Demographic Split'!$O$4:$O$158,'SPWL_Demographic Split'!$P$4:$P$158)</f>
        <v>3.6485479584997759E-3</v>
      </c>
      <c r="AB95">
        <f>_xlfn.XLOOKUP($I95&amp;"_"&amp;AB$72,'SPWL_Demographic Split'!$O$4:$O$158,'SPWL_Demographic Split'!$P$4:$P$158)</f>
        <v>3.4516006563516562E-3</v>
      </c>
    </row>
    <row r="96" spans="2:28" x14ac:dyDescent="0.25">
      <c r="B96">
        <v>58</v>
      </c>
      <c r="C96">
        <f>_xlfn.IFNA(_xlfn.XLOOKUP($B96&amp;"_"&amp;C$72,'SPWL_Demographic Split'!$C$4:$C$158,'SPWL_Demographic Split'!$D$4:$D$158),0)</f>
        <v>1.6443688876613489E-4</v>
      </c>
      <c r="D96">
        <f>_xlfn.IFNA(_xlfn.XLOOKUP($B96&amp;"_"&amp;D$72,'SPWL_Demographic Split'!$C$4:$C$158,'SPWL_Demographic Split'!$D$4:$D$158),0)</f>
        <v>1.6654404868176489E-4</v>
      </c>
      <c r="E96">
        <f>_xlfn.IFNA(_xlfn.XLOOKUP($B96&amp;"_"&amp;E$72,'SPWL_Demographic Split'!$C$4:$C$158,'SPWL_Demographic Split'!$D$4:$D$158),0)</f>
        <v>1.622358938083851E-4</v>
      </c>
      <c r="F96">
        <f>_xlfn.IFNA(_xlfn.XLOOKUP($B96&amp;"_"&amp;F$72,'SPWL_Demographic Split'!$C$4:$C$158,'SPWL_Demographic Split'!$D$4:$D$158),0)</f>
        <v>1.619317862978822E-4</v>
      </c>
      <c r="G96">
        <f>_xlfn.IFNA(_xlfn.XLOOKUP($B96&amp;"_"&amp;G$72,'SPWL_Demographic Split'!$C$4:$C$158,'SPWL_Demographic Split'!$D$4:$D$158),0)</f>
        <v>1.3173823761406751E-4</v>
      </c>
      <c r="I96">
        <v>58</v>
      </c>
      <c r="J96">
        <f>_xlfn.XLOOKUP($I96&amp;"_"&amp;J$72,'SPWL_Demographic Split'!$G$4:$G$158,'SPWL_Demographic Split'!$H$4:$H$158)</f>
        <v>2.2983562748595992E-3</v>
      </c>
      <c r="K96">
        <f>_xlfn.XLOOKUP($I96&amp;"_"&amp;K$72,'SPWL_Demographic Split'!$G$4:$G$158,'SPWL_Demographic Split'!$H$4:$H$158)</f>
        <v>2.6488813498024041E-3</v>
      </c>
      <c r="L96">
        <f>_xlfn.XLOOKUP($I96&amp;"_"&amp;L$72,'SPWL_Demographic Split'!$G$4:$G$158,'SPWL_Demographic Split'!$H$4:$H$158)</f>
        <v>2.545709438329101E-3</v>
      </c>
      <c r="M96">
        <f>_xlfn.XLOOKUP($I96&amp;"_"&amp;M$72,'SPWL_Demographic Split'!$G$4:$G$158,'SPWL_Demographic Split'!$H$4:$H$158)</f>
        <v>2.450337668910973E-3</v>
      </c>
      <c r="N96">
        <f>_xlfn.XLOOKUP($I96&amp;"_"&amp;N$72,'SPWL_Demographic Split'!$G$4:$G$158,'SPWL_Demographic Split'!$H$4:$H$158)</f>
        <v>2.5301823118351859E-3</v>
      </c>
      <c r="P96">
        <v>58</v>
      </c>
      <c r="Q96">
        <f>_xlfn.IFNA(_xlfn.XLOOKUP($I96&amp;"_"&amp;Q$72,'SPWL_Demographic Split'!$K$4:$K$158,'SPWL_Demographic Split'!$L$4:$L$158),0)</f>
        <v>3.2969169749862652E-4</v>
      </c>
      <c r="R96">
        <f>_xlfn.IFNA(_xlfn.XLOOKUP($I96&amp;"_"&amp;R$72,'SPWL_Demographic Split'!$K$4:$K$158,'SPWL_Demographic Split'!$L$4:$L$158),0)</f>
        <v>2.6897943008349668E-4</v>
      </c>
      <c r="S96">
        <f>_xlfn.IFNA(_xlfn.XLOOKUP($I96&amp;"_"&amp;S$72,'SPWL_Demographic Split'!$K$4:$K$158,'SPWL_Demographic Split'!$L$4:$L$158),0)</f>
        <v>2.2871238128373381E-4</v>
      </c>
      <c r="T96">
        <f>_xlfn.IFNA(_xlfn.XLOOKUP($I96&amp;"_"&amp;T$72,'SPWL_Demographic Split'!$K$4:$K$158,'SPWL_Demographic Split'!$L$4:$L$158),0)</f>
        <v>3.0240784729240538E-4</v>
      </c>
      <c r="U96">
        <f>_xlfn.IFNA(_xlfn.XLOOKUP($I96&amp;"_"&amp;U$72,'SPWL_Demographic Split'!$K$4:$K$158,'SPWL_Demographic Split'!$L$4:$L$158),0)</f>
        <v>2.8315202979447922E-4</v>
      </c>
      <c r="W96">
        <v>58</v>
      </c>
      <c r="X96">
        <f>_xlfn.XLOOKUP($I96&amp;"_"&amp;X$72,'SPWL_Demographic Split'!$O$4:$O$158,'SPWL_Demographic Split'!$P$4:$P$158)</f>
        <v>3.477684055665611E-3</v>
      </c>
      <c r="Y96">
        <f>_xlfn.XLOOKUP($I96&amp;"_"&amp;Y$72,'SPWL_Demographic Split'!$O$4:$O$158,'SPWL_Demographic Split'!$P$4:$P$158)</f>
        <v>3.4577532143308899E-3</v>
      </c>
      <c r="Z96">
        <f>_xlfn.XLOOKUP($I96&amp;"_"&amp;Z$72,'SPWL_Demographic Split'!$O$4:$O$158,'SPWL_Demographic Split'!$P$4:$P$158)</f>
        <v>3.63411657606008E-3</v>
      </c>
      <c r="AA96">
        <f>_xlfn.XLOOKUP($I96&amp;"_"&amp;AA$72,'SPWL_Demographic Split'!$O$4:$O$158,'SPWL_Demographic Split'!$P$4:$P$158)</f>
        <v>3.6563473537572899E-3</v>
      </c>
      <c r="AB96">
        <f>_xlfn.XLOOKUP($I96&amp;"_"&amp;AB$72,'SPWL_Demographic Split'!$O$4:$O$158,'SPWL_Demographic Split'!$P$4:$P$158)</f>
        <v>3.542501430337781E-3</v>
      </c>
    </row>
    <row r="97" spans="2:28" x14ac:dyDescent="0.25">
      <c r="B97">
        <v>59</v>
      </c>
      <c r="C97">
        <f>_xlfn.IFNA(_xlfn.XLOOKUP($B97&amp;"_"&amp;C$72,'SPWL_Demographic Split'!$C$4:$C$158,'SPWL_Demographic Split'!$D$4:$D$158),0)</f>
        <v>1.742284643502162E-4</v>
      </c>
      <c r="D97">
        <f>_xlfn.IFNA(_xlfn.XLOOKUP($B97&amp;"_"&amp;D$72,'SPWL_Demographic Split'!$C$4:$C$158,'SPWL_Demographic Split'!$D$4:$D$158),0)</f>
        <v>1.8836846598365109E-4</v>
      </c>
      <c r="E97">
        <f>_xlfn.IFNA(_xlfn.XLOOKUP($B97&amp;"_"&amp;E$72,'SPWL_Demographic Split'!$C$4:$C$158,'SPWL_Demographic Split'!$D$4:$D$158),0)</f>
        <v>1.6391891576407011E-4</v>
      </c>
      <c r="F97">
        <f>_xlfn.IFNA(_xlfn.XLOOKUP($B97&amp;"_"&amp;F$72,'SPWL_Demographic Split'!$C$4:$C$158,'SPWL_Demographic Split'!$D$4:$D$158),0)</f>
        <v>1.9517282299590821E-4</v>
      </c>
      <c r="G97">
        <f>_xlfn.IFNA(_xlfn.XLOOKUP($B97&amp;"_"&amp;G$72,'SPWL_Demographic Split'!$C$4:$C$158,'SPWL_Demographic Split'!$D$4:$D$158),0)</f>
        <v>2.1097423505584011E-4</v>
      </c>
      <c r="I97">
        <v>59</v>
      </c>
      <c r="J97">
        <f>_xlfn.XLOOKUP($I97&amp;"_"&amp;J$72,'SPWL_Demographic Split'!$G$4:$G$158,'SPWL_Demographic Split'!$H$4:$H$158)</f>
        <v>2.22769236016027E-3</v>
      </c>
      <c r="K97">
        <f>_xlfn.XLOOKUP($I97&amp;"_"&amp;K$72,'SPWL_Demographic Split'!$G$4:$G$158,'SPWL_Demographic Split'!$H$4:$H$158)</f>
        <v>2.546317234630383E-3</v>
      </c>
      <c r="L97">
        <f>_xlfn.XLOOKUP($I97&amp;"_"&amp;L$72,'SPWL_Demographic Split'!$G$4:$G$158,'SPWL_Demographic Split'!$H$4:$H$158)</f>
        <v>2.5462514704080539E-3</v>
      </c>
      <c r="M97">
        <f>_xlfn.XLOOKUP($I97&amp;"_"&amp;M$72,'SPWL_Demographic Split'!$G$4:$G$158,'SPWL_Demographic Split'!$H$4:$H$158)</f>
        <v>2.5250305464157249E-3</v>
      </c>
      <c r="N97">
        <f>_xlfn.XLOOKUP($I97&amp;"_"&amp;N$72,'SPWL_Demographic Split'!$G$4:$G$158,'SPWL_Demographic Split'!$H$4:$H$158)</f>
        <v>2.440321792029142E-3</v>
      </c>
      <c r="P97">
        <v>59</v>
      </c>
      <c r="Q97">
        <f>_xlfn.IFNA(_xlfn.XLOOKUP($I97&amp;"_"&amp;Q$72,'SPWL_Demographic Split'!$K$4:$K$158,'SPWL_Demographic Split'!$L$4:$L$158),0)</f>
        <v>3.1070065459495291E-4</v>
      </c>
      <c r="R97">
        <f>_xlfn.IFNA(_xlfn.XLOOKUP($I97&amp;"_"&amp;R$72,'SPWL_Demographic Split'!$K$4:$K$158,'SPWL_Demographic Split'!$L$4:$L$158),0)</f>
        <v>3.8078747241913137E-4</v>
      </c>
      <c r="S97">
        <f>_xlfn.IFNA(_xlfn.XLOOKUP($I97&amp;"_"&amp;S$72,'SPWL_Demographic Split'!$K$4:$K$158,'SPWL_Demographic Split'!$L$4:$L$158),0)</f>
        <v>3.043011431449683E-4</v>
      </c>
      <c r="T97">
        <f>_xlfn.IFNA(_xlfn.XLOOKUP($I97&amp;"_"&amp;T$72,'SPWL_Demographic Split'!$K$4:$K$158,'SPWL_Demographic Split'!$L$4:$L$158),0)</f>
        <v>3.7315755307767512E-4</v>
      </c>
      <c r="U97">
        <f>_xlfn.IFNA(_xlfn.XLOOKUP($I97&amp;"_"&amp;U$72,'SPWL_Demographic Split'!$K$4:$K$158,'SPWL_Demographic Split'!$L$4:$L$158),0)</f>
        <v>2.461350303942059E-4</v>
      </c>
      <c r="W97">
        <v>59</v>
      </c>
      <c r="X97">
        <f>_xlfn.XLOOKUP($I97&amp;"_"&amp;X$72,'SPWL_Demographic Split'!$O$4:$O$158,'SPWL_Demographic Split'!$P$4:$P$158)</f>
        <v>3.579015484027781E-3</v>
      </c>
      <c r="Y97">
        <f>_xlfn.XLOOKUP($I97&amp;"_"&amp;Y$72,'SPWL_Demographic Split'!$O$4:$O$158,'SPWL_Demographic Split'!$P$4:$P$158)</f>
        <v>3.5081176646878441E-3</v>
      </c>
      <c r="Z97">
        <f>_xlfn.XLOOKUP($I97&amp;"_"&amp;Z$72,'SPWL_Demographic Split'!$O$4:$O$158,'SPWL_Demographic Split'!$P$4:$P$158)</f>
        <v>3.6286585776486762E-3</v>
      </c>
      <c r="AA97">
        <f>_xlfn.XLOOKUP($I97&amp;"_"&amp;AA$72,'SPWL_Demographic Split'!$O$4:$O$158,'SPWL_Demographic Split'!$P$4:$P$158)</f>
        <v>3.5043097167282758E-3</v>
      </c>
      <c r="AB97">
        <f>_xlfn.XLOOKUP($I97&amp;"_"&amp;AB$72,'SPWL_Demographic Split'!$O$4:$O$158,'SPWL_Demographic Split'!$P$4:$P$158)</f>
        <v>3.6132763771840729E-3</v>
      </c>
    </row>
    <row r="98" spans="2:28" x14ac:dyDescent="0.25">
      <c r="B98">
        <v>60</v>
      </c>
      <c r="C98">
        <f>_xlfn.IFNA(_xlfn.XLOOKUP($B98&amp;"_"&amp;C$72,'SPWL_Demographic Split'!$C$4:$C$158,'SPWL_Demographic Split'!$D$4:$D$158),0)</f>
        <v>2.1873721523746161E-4</v>
      </c>
      <c r="D98">
        <f>_xlfn.IFNA(_xlfn.XLOOKUP($B98&amp;"_"&amp;D$72,'SPWL_Demographic Split'!$C$4:$C$158,'SPWL_Demographic Split'!$D$4:$D$158),0)</f>
        <v>1.5358036017743831E-4</v>
      </c>
      <c r="E98">
        <f>_xlfn.IFNA(_xlfn.XLOOKUP($B98&amp;"_"&amp;E$72,'SPWL_Demographic Split'!$C$4:$C$158,'SPWL_Demographic Split'!$D$4:$D$158),0)</f>
        <v>1.6692312876660049E-4</v>
      </c>
      <c r="F98">
        <f>_xlfn.IFNA(_xlfn.XLOOKUP($B98&amp;"_"&amp;F$72,'SPWL_Demographic Split'!$C$4:$C$158,'SPWL_Demographic Split'!$D$4:$D$158),0)</f>
        <v>1.7267212707602149E-4</v>
      </c>
      <c r="G98">
        <f>_xlfn.IFNA(_xlfn.XLOOKUP($B98&amp;"_"&amp;G$72,'SPWL_Demographic Split'!$C$4:$C$158,'SPWL_Demographic Split'!$D$4:$D$158),0)</f>
        <v>1.5194449074994179E-4</v>
      </c>
      <c r="I98">
        <v>60</v>
      </c>
      <c r="J98">
        <f>_xlfn.XLOOKUP($I98&amp;"_"&amp;J$72,'SPWL_Demographic Split'!$G$4:$G$158,'SPWL_Demographic Split'!$H$4:$H$158)</f>
        <v>2.424203870731687E-3</v>
      </c>
      <c r="K98">
        <f>_xlfn.XLOOKUP($I98&amp;"_"&amp;K$72,'SPWL_Demographic Split'!$G$4:$G$158,'SPWL_Demographic Split'!$H$4:$H$158)</f>
        <v>2.3400322461382158E-3</v>
      </c>
      <c r="L98">
        <f>_xlfn.XLOOKUP($I98&amp;"_"&amp;L$72,'SPWL_Demographic Split'!$G$4:$G$158,'SPWL_Demographic Split'!$H$4:$H$158)</f>
        <v>2.4160013880546961E-3</v>
      </c>
      <c r="M98">
        <f>_xlfn.XLOOKUP($I98&amp;"_"&amp;M$72,'SPWL_Demographic Split'!$G$4:$G$158,'SPWL_Demographic Split'!$H$4:$H$158)</f>
        <v>2.3941082683808751E-3</v>
      </c>
      <c r="N98">
        <f>_xlfn.XLOOKUP($I98&amp;"_"&amp;N$72,'SPWL_Demographic Split'!$G$4:$G$158,'SPWL_Demographic Split'!$H$4:$H$158)</f>
        <v>2.577341598705108E-3</v>
      </c>
      <c r="P98">
        <v>60</v>
      </c>
      <c r="Q98">
        <f>_xlfn.IFNA(_xlfn.XLOOKUP($I98&amp;"_"&amp;Q$72,'SPWL_Demographic Split'!$K$4:$K$158,'SPWL_Demographic Split'!$L$4:$L$158),0)</f>
        <v>3.3892024859604272E-4</v>
      </c>
      <c r="R98">
        <f>_xlfn.IFNA(_xlfn.XLOOKUP($I98&amp;"_"&amp;R$72,'SPWL_Demographic Split'!$K$4:$K$158,'SPWL_Demographic Split'!$L$4:$L$158),0)</f>
        <v>3.4847350014704289E-4</v>
      </c>
      <c r="S98">
        <f>_xlfn.IFNA(_xlfn.XLOOKUP($I98&amp;"_"&amp;S$72,'SPWL_Demographic Split'!$K$4:$K$158,'SPWL_Demographic Split'!$L$4:$L$158),0)</f>
        <v>3.1256969054345961E-4</v>
      </c>
      <c r="T98">
        <f>_xlfn.IFNA(_xlfn.XLOOKUP($I98&amp;"_"&amp;T$72,'SPWL_Demographic Split'!$K$4:$K$158,'SPWL_Demographic Split'!$L$4:$L$158),0)</f>
        <v>4.0068516580967363E-4</v>
      </c>
      <c r="U98">
        <f>_xlfn.IFNA(_xlfn.XLOOKUP($I98&amp;"_"&amp;U$72,'SPWL_Demographic Split'!$K$4:$K$158,'SPWL_Demographic Split'!$L$4:$L$158),0)</f>
        <v>2.8806819939655259E-4</v>
      </c>
      <c r="W98">
        <v>60</v>
      </c>
      <c r="X98">
        <f>_xlfn.XLOOKUP($I98&amp;"_"&amp;X$72,'SPWL_Demographic Split'!$O$4:$O$158,'SPWL_Demographic Split'!$P$4:$P$158)</f>
        <v>3.312019293446745E-3</v>
      </c>
      <c r="Y98">
        <f>_xlfn.XLOOKUP($I98&amp;"_"&amp;Y$72,'SPWL_Demographic Split'!$O$4:$O$158,'SPWL_Demographic Split'!$P$4:$P$158)</f>
        <v>3.5835292152099681E-3</v>
      </c>
      <c r="Z98">
        <f>_xlfn.XLOOKUP($I98&amp;"_"&amp;Z$72,'SPWL_Demographic Split'!$O$4:$O$158,'SPWL_Demographic Split'!$P$4:$P$158)</f>
        <v>3.610170985428548E-3</v>
      </c>
      <c r="AA98">
        <f>_xlfn.XLOOKUP($I98&amp;"_"&amp;AA$72,'SPWL_Demographic Split'!$O$4:$O$158,'SPWL_Demographic Split'!$P$4:$P$158)</f>
        <v>3.3900887815585521E-3</v>
      </c>
      <c r="AB98">
        <f>_xlfn.XLOOKUP($I98&amp;"_"&amp;AB$72,'SPWL_Demographic Split'!$O$4:$O$158,'SPWL_Demographic Split'!$P$4:$P$158)</f>
        <v>3.4172795774348682E-3</v>
      </c>
    </row>
    <row r="99" spans="2:28" x14ac:dyDescent="0.25">
      <c r="B99">
        <v>61</v>
      </c>
      <c r="C99">
        <f>_xlfn.IFNA(_xlfn.XLOOKUP($B99&amp;"_"&amp;C$72,'SPWL_Demographic Split'!$C$4:$C$158,'SPWL_Demographic Split'!$D$4:$D$158),0)</f>
        <v>1.8839755236740139E-4</v>
      </c>
      <c r="D99">
        <f>_xlfn.IFNA(_xlfn.XLOOKUP($B99&amp;"_"&amp;D$72,'SPWL_Demographic Split'!$C$4:$C$158,'SPWL_Demographic Split'!$D$4:$D$158),0)</f>
        <v>1.464663232635693E-4</v>
      </c>
      <c r="E99">
        <f>_xlfn.IFNA(_xlfn.XLOOKUP($B99&amp;"_"&amp;E$72,'SPWL_Demographic Split'!$C$4:$C$158,'SPWL_Demographic Split'!$D$4:$D$158),0)</f>
        <v>1.410402304129156E-4</v>
      </c>
      <c r="F99">
        <f>_xlfn.IFNA(_xlfn.XLOOKUP($B99&amp;"_"&amp;F$72,'SPWL_Demographic Split'!$C$4:$C$158,'SPWL_Demographic Split'!$D$4:$D$158),0)</f>
        <v>2.013557953092091E-4</v>
      </c>
      <c r="G99">
        <f>_xlfn.IFNA(_xlfn.XLOOKUP($B99&amp;"_"&amp;G$72,'SPWL_Demographic Split'!$C$4:$C$158,'SPWL_Demographic Split'!$D$4:$D$158),0)</f>
        <v>1.6619831029977781E-4</v>
      </c>
      <c r="I99">
        <v>61</v>
      </c>
      <c r="J99">
        <f>_xlfn.XLOOKUP($I99&amp;"_"&amp;J$72,'SPWL_Demographic Split'!$G$4:$G$158,'SPWL_Demographic Split'!$H$4:$H$158)</f>
        <v>2.499181699472833E-3</v>
      </c>
      <c r="K99">
        <f>_xlfn.XLOOKUP($I99&amp;"_"&amp;K$72,'SPWL_Demographic Split'!$G$4:$G$158,'SPWL_Demographic Split'!$H$4:$H$158)</f>
        <v>2.4452220911055332E-3</v>
      </c>
      <c r="L99">
        <f>_xlfn.XLOOKUP($I99&amp;"_"&amp;L$72,'SPWL_Demographic Split'!$G$4:$G$158,'SPWL_Demographic Split'!$H$4:$H$158)</f>
        <v>2.4823111937344201E-3</v>
      </c>
      <c r="M99">
        <f>_xlfn.XLOOKUP($I99&amp;"_"&amp;M$72,'SPWL_Demographic Split'!$G$4:$G$158,'SPWL_Demographic Split'!$H$4:$H$158)</f>
        <v>2.3855710037688702E-3</v>
      </c>
      <c r="N99">
        <f>_xlfn.XLOOKUP($I99&amp;"_"&amp;N$72,'SPWL_Demographic Split'!$G$4:$G$158,'SPWL_Demographic Split'!$H$4:$H$158)</f>
        <v>2.339401570492507E-3</v>
      </c>
      <c r="P99">
        <v>61</v>
      </c>
      <c r="Q99">
        <f>_xlfn.IFNA(_xlfn.XLOOKUP($I99&amp;"_"&amp;Q$72,'SPWL_Demographic Split'!$K$4:$K$158,'SPWL_Demographic Split'!$L$4:$L$158),0)</f>
        <v>3.6122976015549348E-4</v>
      </c>
      <c r="R99">
        <f>_xlfn.IFNA(_xlfn.XLOOKUP($I99&amp;"_"&amp;R$72,'SPWL_Demographic Split'!$K$4:$K$158,'SPWL_Demographic Split'!$L$4:$L$158),0)</f>
        <v>4.5127831031437061E-4</v>
      </c>
      <c r="S99">
        <f>_xlfn.IFNA(_xlfn.XLOOKUP($I99&amp;"_"&amp;S$72,'SPWL_Demographic Split'!$K$4:$K$158,'SPWL_Demographic Split'!$L$4:$L$158),0)</f>
        <v>3.47493233900978E-4</v>
      </c>
      <c r="T99">
        <f>_xlfn.IFNA(_xlfn.XLOOKUP($I99&amp;"_"&amp;T$72,'SPWL_Demographic Split'!$K$4:$K$158,'SPWL_Demographic Split'!$L$4:$L$158),0)</f>
        <v>3.3185733440149002E-4</v>
      </c>
      <c r="U99">
        <f>_xlfn.IFNA(_xlfn.XLOOKUP($I99&amp;"_"&amp;U$72,'SPWL_Demographic Split'!$K$4:$K$158,'SPWL_Demographic Split'!$L$4:$L$158),0)</f>
        <v>3.4681852310064043E-4</v>
      </c>
      <c r="W99">
        <v>61</v>
      </c>
      <c r="X99">
        <f>_xlfn.XLOOKUP($I99&amp;"_"&amp;X$72,'SPWL_Demographic Split'!$O$4:$O$158,'SPWL_Demographic Split'!$P$4:$P$158)</f>
        <v>3.5569423634079461E-3</v>
      </c>
      <c r="Y99">
        <f>_xlfn.XLOOKUP($I99&amp;"_"&amp;Y$72,'SPWL_Demographic Split'!$O$4:$O$158,'SPWL_Demographic Split'!$P$4:$P$158)</f>
        <v>3.5450566147439549E-3</v>
      </c>
      <c r="Z99">
        <f>_xlfn.XLOOKUP($I99&amp;"_"&amp;Z$72,'SPWL_Demographic Split'!$O$4:$O$158,'SPWL_Demographic Split'!$P$4:$P$158)</f>
        <v>3.2445970492953309E-3</v>
      </c>
      <c r="AA99">
        <f>_xlfn.XLOOKUP($I99&amp;"_"&amp;AA$72,'SPWL_Demographic Split'!$O$4:$O$158,'SPWL_Demographic Split'!$P$4:$P$158)</f>
        <v>3.3663229492434531E-3</v>
      </c>
      <c r="AB99">
        <f>_xlfn.XLOOKUP($I99&amp;"_"&amp;AB$72,'SPWL_Demographic Split'!$O$4:$O$158,'SPWL_Demographic Split'!$P$4:$P$158)</f>
        <v>3.570646355712651E-3</v>
      </c>
    </row>
    <row r="100" spans="2:28" x14ac:dyDescent="0.25">
      <c r="B100">
        <v>62</v>
      </c>
      <c r="C100">
        <f>_xlfn.IFNA(_xlfn.XLOOKUP($B100&amp;"_"&amp;C$72,'SPWL_Demographic Split'!$C$4:$C$158,'SPWL_Demographic Split'!$D$4:$D$158),0)</f>
        <v>2.0851531420921899E-4</v>
      </c>
      <c r="D100">
        <f>_xlfn.IFNA(_xlfn.XLOOKUP($B100&amp;"_"&amp;D$72,'SPWL_Demographic Split'!$C$4:$C$158,'SPWL_Demographic Split'!$D$4:$D$158),0)</f>
        <v>1.774513410494337E-4</v>
      </c>
      <c r="E100">
        <f>_xlfn.IFNA(_xlfn.XLOOKUP($B100&amp;"_"&amp;E$72,'SPWL_Demographic Split'!$C$4:$C$158,'SPWL_Demographic Split'!$D$4:$D$158),0)</f>
        <v>1.436980476328233E-4</v>
      </c>
      <c r="F100">
        <f>_xlfn.IFNA(_xlfn.XLOOKUP($B100&amp;"_"&amp;F$72,'SPWL_Demographic Split'!$C$4:$C$158,'SPWL_Demographic Split'!$D$4:$D$158),0)</f>
        <v>1.474230196931547E-4</v>
      </c>
      <c r="G100">
        <f>_xlfn.IFNA(_xlfn.XLOOKUP($B100&amp;"_"&amp;G$72,'SPWL_Demographic Split'!$C$4:$C$158,'SPWL_Demographic Split'!$D$4:$D$158),0)</f>
        <v>2.076970202035657E-4</v>
      </c>
      <c r="I100">
        <v>62</v>
      </c>
      <c r="J100">
        <f>_xlfn.XLOOKUP($I100&amp;"_"&amp;J$72,'SPWL_Demographic Split'!$G$4:$G$158,'SPWL_Demographic Split'!$H$4:$H$158)</f>
        <v>2.249810485925631E-3</v>
      </c>
      <c r="K100">
        <f>_xlfn.XLOOKUP($I100&amp;"_"&amp;K$72,'SPWL_Demographic Split'!$G$4:$G$158,'SPWL_Demographic Split'!$H$4:$H$158)</f>
        <v>2.5726041205275741E-3</v>
      </c>
      <c r="L100">
        <f>_xlfn.XLOOKUP($I100&amp;"_"&amp;L$72,'SPWL_Demographic Split'!$G$4:$G$158,'SPWL_Demographic Split'!$H$4:$H$158)</f>
        <v>2.3440290654051081E-3</v>
      </c>
      <c r="M100">
        <f>_xlfn.XLOOKUP($I100&amp;"_"&amp;M$72,'SPWL_Demographic Split'!$G$4:$G$158,'SPWL_Demographic Split'!$H$4:$H$158)</f>
        <v>2.3680766253665049E-3</v>
      </c>
      <c r="N100">
        <f>_xlfn.XLOOKUP($I100&amp;"_"&amp;N$72,'SPWL_Demographic Split'!$G$4:$G$158,'SPWL_Demographic Split'!$H$4:$H$158)</f>
        <v>2.2709854966500059E-3</v>
      </c>
      <c r="P100">
        <v>62</v>
      </c>
      <c r="Q100">
        <f>_xlfn.IFNA(_xlfn.XLOOKUP($I100&amp;"_"&amp;Q$72,'SPWL_Demographic Split'!$K$4:$K$158,'SPWL_Demographic Split'!$L$4:$L$158),0)</f>
        <v>4.8985378613008209E-4</v>
      </c>
      <c r="R100">
        <f>_xlfn.IFNA(_xlfn.XLOOKUP($I100&amp;"_"&amp;R$72,'SPWL_Demographic Split'!$K$4:$K$158,'SPWL_Demographic Split'!$L$4:$L$158),0)</f>
        <v>3.9198180850523359E-4</v>
      </c>
      <c r="S100">
        <f>_xlfn.IFNA(_xlfn.XLOOKUP($I100&amp;"_"&amp;S$72,'SPWL_Demographic Split'!$K$4:$K$158,'SPWL_Demographic Split'!$L$4:$L$158),0)</f>
        <v>3.8647053157178109E-4</v>
      </c>
      <c r="T100">
        <f>_xlfn.IFNA(_xlfn.XLOOKUP($I100&amp;"_"&amp;T$72,'SPWL_Demographic Split'!$K$4:$K$158,'SPWL_Demographic Split'!$L$4:$L$158),0)</f>
        <v>3.9898827741083407E-4</v>
      </c>
      <c r="U100">
        <f>_xlfn.IFNA(_xlfn.XLOOKUP($I100&amp;"_"&amp;U$72,'SPWL_Demographic Split'!$K$4:$K$158,'SPWL_Demographic Split'!$L$4:$L$158),0)</f>
        <v>4.0849539437316247E-4</v>
      </c>
      <c r="W100">
        <v>62</v>
      </c>
      <c r="X100">
        <f>_xlfn.XLOOKUP($I100&amp;"_"&amp;X$72,'SPWL_Demographic Split'!$O$4:$O$158,'SPWL_Demographic Split'!$P$4:$P$158)</f>
        <v>3.2278249664701021E-3</v>
      </c>
      <c r="Y100">
        <f>_xlfn.XLOOKUP($I100&amp;"_"&amp;Y$72,'SPWL_Demographic Split'!$O$4:$O$158,'SPWL_Demographic Split'!$P$4:$P$158)</f>
        <v>3.537537677704265E-3</v>
      </c>
      <c r="Z100">
        <f>_xlfn.XLOOKUP($I100&amp;"_"&amp;Z$72,'SPWL_Demographic Split'!$O$4:$O$158,'SPWL_Demographic Split'!$P$4:$P$158)</f>
        <v>3.3212115118506878E-3</v>
      </c>
      <c r="AA100">
        <f>_xlfn.XLOOKUP($I100&amp;"_"&amp;AA$72,'SPWL_Demographic Split'!$O$4:$O$158,'SPWL_Demographic Split'!$P$4:$P$158)</f>
        <v>3.5182191470294701E-3</v>
      </c>
      <c r="AB100">
        <f>_xlfn.XLOOKUP($I100&amp;"_"&amp;AB$72,'SPWL_Demographic Split'!$O$4:$O$158,'SPWL_Demographic Split'!$P$4:$P$158)</f>
        <v>3.4596600083600581E-3</v>
      </c>
    </row>
    <row r="101" spans="2:28" x14ac:dyDescent="0.25">
      <c r="B101">
        <v>63</v>
      </c>
      <c r="C101">
        <f>_xlfn.IFNA(_xlfn.XLOOKUP($B101&amp;"_"&amp;C$72,'SPWL_Demographic Split'!$C$4:$C$158,'SPWL_Demographic Split'!$D$4:$D$158),0)</f>
        <v>2.4100819945657129E-4</v>
      </c>
      <c r="D101">
        <f>_xlfn.IFNA(_xlfn.XLOOKUP($B101&amp;"_"&amp;D$72,'SPWL_Demographic Split'!$C$4:$C$158,'SPWL_Demographic Split'!$D$4:$D$158),0)</f>
        <v>1.7840045431885841E-4</v>
      </c>
      <c r="E101">
        <f>_xlfn.IFNA(_xlfn.XLOOKUP($B101&amp;"_"&amp;E$72,'SPWL_Demographic Split'!$C$4:$C$158,'SPWL_Demographic Split'!$D$4:$D$158),0)</f>
        <v>2.0694727054623241E-4</v>
      </c>
      <c r="F101">
        <f>_xlfn.IFNA(_xlfn.XLOOKUP($B101&amp;"_"&amp;F$72,'SPWL_Demographic Split'!$C$4:$C$158,'SPWL_Demographic Split'!$D$4:$D$158),0)</f>
        <v>2.110724005748998E-4</v>
      </c>
      <c r="G101">
        <f>_xlfn.IFNA(_xlfn.XLOOKUP($B101&amp;"_"&amp;G$72,'SPWL_Demographic Split'!$C$4:$C$158,'SPWL_Demographic Split'!$D$4:$D$158),0)</f>
        <v>2.184887326063279E-4</v>
      </c>
      <c r="I101">
        <v>63</v>
      </c>
      <c r="J101">
        <f>_xlfn.XLOOKUP($I101&amp;"_"&amp;J$72,'SPWL_Demographic Split'!$G$4:$G$158,'SPWL_Demographic Split'!$H$4:$H$158)</f>
        <v>2.4249624852793359E-3</v>
      </c>
      <c r="K101">
        <f>_xlfn.XLOOKUP($I101&amp;"_"&amp;K$72,'SPWL_Demographic Split'!$G$4:$G$158,'SPWL_Demographic Split'!$H$4:$H$158)</f>
        <v>2.359839471704758E-3</v>
      </c>
      <c r="L101">
        <f>_xlfn.XLOOKUP($I101&amp;"_"&amp;L$72,'SPWL_Demographic Split'!$G$4:$G$158,'SPWL_Demographic Split'!$H$4:$H$158)</f>
        <v>2.4263403714120538E-3</v>
      </c>
      <c r="M101">
        <f>_xlfn.XLOOKUP($I101&amp;"_"&amp;M$72,'SPWL_Demographic Split'!$G$4:$G$158,'SPWL_Demographic Split'!$H$4:$H$158)</f>
        <v>2.4537598636354581E-3</v>
      </c>
      <c r="N101">
        <f>_xlfn.XLOOKUP($I101&amp;"_"&amp;N$72,'SPWL_Demographic Split'!$G$4:$G$158,'SPWL_Demographic Split'!$H$4:$H$158)</f>
        <v>2.4799234222159039E-3</v>
      </c>
      <c r="P101">
        <v>63</v>
      </c>
      <c r="Q101">
        <f>_xlfn.IFNA(_xlfn.XLOOKUP($I101&amp;"_"&amp;Q$72,'SPWL_Demographic Split'!$K$4:$K$158,'SPWL_Demographic Split'!$L$4:$L$158),0)</f>
        <v>4.9342554176667311E-4</v>
      </c>
      <c r="R101">
        <f>_xlfn.IFNA(_xlfn.XLOOKUP($I101&amp;"_"&amp;R$72,'SPWL_Demographic Split'!$K$4:$K$158,'SPWL_Demographic Split'!$L$4:$L$158),0)</f>
        <v>4.2929589484829459E-4</v>
      </c>
      <c r="S101">
        <f>_xlfn.IFNA(_xlfn.XLOOKUP($I101&amp;"_"&amp;S$72,'SPWL_Demographic Split'!$K$4:$K$158,'SPWL_Demographic Split'!$L$4:$L$158),0)</f>
        <v>4.2691290562692739E-4</v>
      </c>
      <c r="T101">
        <f>_xlfn.IFNA(_xlfn.XLOOKUP($I101&amp;"_"&amp;T$72,'SPWL_Demographic Split'!$K$4:$K$158,'SPWL_Demographic Split'!$L$4:$L$158),0)</f>
        <v>4.7683511324550948E-4</v>
      </c>
      <c r="U101">
        <f>_xlfn.IFNA(_xlfn.XLOOKUP($I101&amp;"_"&amp;U$72,'SPWL_Demographic Split'!$K$4:$K$158,'SPWL_Demographic Split'!$L$4:$L$158),0)</f>
        <v>4.5127862286153692E-4</v>
      </c>
      <c r="W101">
        <v>63</v>
      </c>
      <c r="X101">
        <f>_xlfn.XLOOKUP($I101&amp;"_"&amp;X$72,'SPWL_Demographic Split'!$O$4:$O$158,'SPWL_Demographic Split'!$P$4:$P$158)</f>
        <v>3.3808073163810151E-3</v>
      </c>
      <c r="Y101">
        <f>_xlfn.XLOOKUP($I101&amp;"_"&amp;Y$72,'SPWL_Demographic Split'!$O$4:$O$158,'SPWL_Demographic Split'!$P$4:$P$158)</f>
        <v>3.455942549513819E-3</v>
      </c>
      <c r="Z101">
        <f>_xlfn.XLOOKUP($I101&amp;"_"&amp;Z$72,'SPWL_Demographic Split'!$O$4:$O$158,'SPWL_Demographic Split'!$P$4:$P$158)</f>
        <v>3.3791488057517889E-3</v>
      </c>
      <c r="AA101">
        <f>_xlfn.XLOOKUP($I101&amp;"_"&amp;AA$72,'SPWL_Demographic Split'!$O$4:$O$158,'SPWL_Demographic Split'!$P$4:$P$158)</f>
        <v>3.4317035494280169E-3</v>
      </c>
      <c r="AB101">
        <f>_xlfn.XLOOKUP($I101&amp;"_"&amp;AB$72,'SPWL_Demographic Split'!$O$4:$O$158,'SPWL_Demographic Split'!$P$4:$P$158)</f>
        <v>3.3795543741429309E-3</v>
      </c>
    </row>
    <row r="102" spans="2:28" x14ac:dyDescent="0.25">
      <c r="B102">
        <v>64</v>
      </c>
      <c r="C102">
        <f>_xlfn.IFNA(_xlfn.XLOOKUP($B102&amp;"_"&amp;C$72,'SPWL_Demographic Split'!$C$4:$C$158,'SPWL_Demographic Split'!$D$4:$D$158),0)</f>
        <v>2.1077975606286341E-4</v>
      </c>
      <c r="D102">
        <f>_xlfn.IFNA(_xlfn.XLOOKUP($B102&amp;"_"&amp;D$72,'SPWL_Demographic Split'!$C$4:$C$158,'SPWL_Demographic Split'!$D$4:$D$158),0)</f>
        <v>2.0749564876106731E-4</v>
      </c>
      <c r="E102">
        <f>_xlfn.IFNA(_xlfn.XLOOKUP($B102&amp;"_"&amp;E$72,'SPWL_Demographic Split'!$C$4:$C$158,'SPWL_Demographic Split'!$D$4:$D$158),0)</f>
        <v>2.8530065410408811E-4</v>
      </c>
      <c r="F102">
        <f>_xlfn.IFNA(_xlfn.XLOOKUP($B102&amp;"_"&amp;F$72,'SPWL_Demographic Split'!$C$4:$C$158,'SPWL_Demographic Split'!$D$4:$D$158),0)</f>
        <v>2.214966247125508E-4</v>
      </c>
      <c r="G102">
        <f>_xlfn.IFNA(_xlfn.XLOOKUP($B102&amp;"_"&amp;G$72,'SPWL_Demographic Split'!$C$4:$C$158,'SPWL_Demographic Split'!$D$4:$D$158),0)</f>
        <v>1.8505742837187001E-4</v>
      </c>
      <c r="I102">
        <v>64</v>
      </c>
      <c r="J102">
        <f>_xlfn.XLOOKUP($I102&amp;"_"&amp;J$72,'SPWL_Demographic Split'!$G$4:$G$158,'SPWL_Demographic Split'!$H$4:$H$158)</f>
        <v>2.3390789119967048E-3</v>
      </c>
      <c r="K102">
        <f>_xlfn.XLOOKUP($I102&amp;"_"&amp;K$72,'SPWL_Demographic Split'!$G$4:$G$158,'SPWL_Demographic Split'!$H$4:$H$158)</f>
        <v>2.4984602700816949E-3</v>
      </c>
      <c r="L102">
        <f>_xlfn.XLOOKUP($I102&amp;"_"&amp;L$72,'SPWL_Demographic Split'!$G$4:$G$158,'SPWL_Demographic Split'!$H$4:$H$158)</f>
        <v>2.460370832739998E-3</v>
      </c>
      <c r="M102">
        <f>_xlfn.XLOOKUP($I102&amp;"_"&amp;M$72,'SPWL_Demographic Split'!$G$4:$G$158,'SPWL_Demographic Split'!$H$4:$H$158)</f>
        <v>2.50956137384128E-3</v>
      </c>
      <c r="N102">
        <f>_xlfn.XLOOKUP($I102&amp;"_"&amp;N$72,'SPWL_Demographic Split'!$G$4:$G$158,'SPWL_Demographic Split'!$H$4:$H$158)</f>
        <v>2.4605305795809742E-3</v>
      </c>
      <c r="P102">
        <v>64</v>
      </c>
      <c r="Q102">
        <f>_xlfn.IFNA(_xlfn.XLOOKUP($I102&amp;"_"&amp;Q$72,'SPWL_Demographic Split'!$K$4:$K$158,'SPWL_Demographic Split'!$L$4:$L$158),0)</f>
        <v>5.3283084778555983E-4</v>
      </c>
      <c r="R102">
        <f>_xlfn.IFNA(_xlfn.XLOOKUP($I102&amp;"_"&amp;R$72,'SPWL_Demographic Split'!$K$4:$K$158,'SPWL_Demographic Split'!$L$4:$L$158),0)</f>
        <v>5.8117395272096759E-4</v>
      </c>
      <c r="S102">
        <f>_xlfn.IFNA(_xlfn.XLOOKUP($I102&amp;"_"&amp;S$72,'SPWL_Demographic Split'!$K$4:$K$158,'SPWL_Demographic Split'!$L$4:$L$158),0)</f>
        <v>4.6590680195099642E-4</v>
      </c>
      <c r="T102">
        <f>_xlfn.IFNA(_xlfn.XLOOKUP($I102&amp;"_"&amp;T$72,'SPWL_Demographic Split'!$K$4:$K$158,'SPWL_Demographic Split'!$L$4:$L$158),0)</f>
        <v>5.2962785974555423E-4</v>
      </c>
      <c r="U102">
        <f>_xlfn.IFNA(_xlfn.XLOOKUP($I102&amp;"_"&amp;U$72,'SPWL_Demographic Split'!$K$4:$K$158,'SPWL_Demographic Split'!$L$4:$L$158),0)</f>
        <v>4.3323938943309941E-4</v>
      </c>
      <c r="W102">
        <v>64</v>
      </c>
      <c r="X102">
        <f>_xlfn.XLOOKUP($I102&amp;"_"&amp;X$72,'SPWL_Demographic Split'!$O$4:$O$158,'SPWL_Demographic Split'!$P$4:$P$158)</f>
        <v>3.216468593911326E-3</v>
      </c>
      <c r="Y102">
        <f>_xlfn.XLOOKUP($I102&amp;"_"&amp;Y$72,'SPWL_Demographic Split'!$O$4:$O$158,'SPWL_Demographic Split'!$P$4:$P$158)</f>
        <v>3.3675104584443699E-3</v>
      </c>
      <c r="Z102">
        <f>_xlfn.XLOOKUP($I102&amp;"_"&amp;Z$72,'SPWL_Demographic Split'!$O$4:$O$158,'SPWL_Demographic Split'!$P$4:$P$158)</f>
        <v>3.234306285275598E-3</v>
      </c>
      <c r="AA102">
        <f>_xlfn.XLOOKUP($I102&amp;"_"&amp;AA$72,'SPWL_Demographic Split'!$O$4:$O$158,'SPWL_Demographic Split'!$P$4:$P$158)</f>
        <v>3.4375699313587589E-3</v>
      </c>
      <c r="AB102">
        <f>_xlfn.XLOOKUP($I102&amp;"_"&amp;AB$72,'SPWL_Demographic Split'!$O$4:$O$158,'SPWL_Demographic Split'!$P$4:$P$158)</f>
        <v>3.420938671600279E-3</v>
      </c>
    </row>
    <row r="103" spans="2:28" x14ac:dyDescent="0.25">
      <c r="B103">
        <v>65</v>
      </c>
      <c r="C103">
        <f>_xlfn.IFNA(_xlfn.XLOOKUP($B103&amp;"_"&amp;C$72,'SPWL_Demographic Split'!$C$4:$C$158,'SPWL_Demographic Split'!$D$4:$D$158),0)</f>
        <v>2.5100992538888039E-4</v>
      </c>
      <c r="D103">
        <f>_xlfn.IFNA(_xlfn.XLOOKUP($B103&amp;"_"&amp;D$72,'SPWL_Demographic Split'!$C$4:$C$158,'SPWL_Demographic Split'!$D$4:$D$158),0)</f>
        <v>2.104712755247164E-4</v>
      </c>
      <c r="E103">
        <f>_xlfn.IFNA(_xlfn.XLOOKUP($B103&amp;"_"&amp;E$72,'SPWL_Demographic Split'!$C$4:$C$158,'SPWL_Demographic Split'!$D$4:$D$158),0)</f>
        <v>2.1553787572285721E-4</v>
      </c>
      <c r="F103">
        <f>_xlfn.IFNA(_xlfn.XLOOKUP($B103&amp;"_"&amp;F$72,'SPWL_Demographic Split'!$C$4:$C$158,'SPWL_Demographic Split'!$D$4:$D$158),0)</f>
        <v>1.8760661296722791E-4</v>
      </c>
      <c r="G103">
        <f>_xlfn.IFNA(_xlfn.XLOOKUP($B103&amp;"_"&amp;G$72,'SPWL_Demographic Split'!$C$4:$C$158,'SPWL_Demographic Split'!$D$4:$D$158),0)</f>
        <v>1.8672744993572339E-4</v>
      </c>
      <c r="I103">
        <v>65</v>
      </c>
      <c r="J103">
        <f>_xlfn.XLOOKUP($I103&amp;"_"&amp;J$72,'SPWL_Demographic Split'!$G$4:$G$158,'SPWL_Demographic Split'!$H$4:$H$158)</f>
        <v>2.2052572106197048E-3</v>
      </c>
      <c r="K103">
        <f>_xlfn.XLOOKUP($I103&amp;"_"&amp;K$72,'SPWL_Demographic Split'!$G$4:$G$158,'SPWL_Demographic Split'!$H$4:$H$158)</f>
        <v>2.234507610549801E-3</v>
      </c>
      <c r="L103">
        <f>_xlfn.XLOOKUP($I103&amp;"_"&amp;L$72,'SPWL_Demographic Split'!$G$4:$G$158,'SPWL_Demographic Split'!$H$4:$H$158)</f>
        <v>2.435498679307761E-3</v>
      </c>
      <c r="M103">
        <f>_xlfn.XLOOKUP($I103&amp;"_"&amp;M$72,'SPWL_Demographic Split'!$G$4:$G$158,'SPWL_Demographic Split'!$H$4:$H$158)</f>
        <v>2.0919583787672429E-3</v>
      </c>
      <c r="N103">
        <f>_xlfn.XLOOKUP($I103&amp;"_"&amp;N$72,'SPWL_Demographic Split'!$G$4:$G$158,'SPWL_Demographic Split'!$H$4:$H$158)</f>
        <v>2.3972470533248549E-3</v>
      </c>
      <c r="P103">
        <v>65</v>
      </c>
      <c r="Q103">
        <f>_xlfn.IFNA(_xlfn.XLOOKUP($I103&amp;"_"&amp;Q$72,'SPWL_Demographic Split'!$K$4:$K$158,'SPWL_Demographic Split'!$L$4:$L$158),0)</f>
        <v>4.7192073880500678E-4</v>
      </c>
      <c r="R103">
        <f>_xlfn.IFNA(_xlfn.XLOOKUP($I103&amp;"_"&amp;R$72,'SPWL_Demographic Split'!$K$4:$K$158,'SPWL_Demographic Split'!$L$4:$L$158),0)</f>
        <v>4.6369665529855949E-4</v>
      </c>
      <c r="S103">
        <f>_xlfn.IFNA(_xlfn.XLOOKUP($I103&amp;"_"&amp;S$72,'SPWL_Demographic Split'!$K$4:$K$158,'SPWL_Demographic Split'!$L$4:$L$158),0)</f>
        <v>5.3761209809652193E-4</v>
      </c>
      <c r="T103">
        <f>_xlfn.IFNA(_xlfn.XLOOKUP($I103&amp;"_"&amp;T$72,'SPWL_Demographic Split'!$K$4:$K$158,'SPWL_Demographic Split'!$L$4:$L$158),0)</f>
        <v>5.0507829341691788E-4</v>
      </c>
      <c r="U103">
        <f>_xlfn.IFNA(_xlfn.XLOOKUP($I103&amp;"_"&amp;U$72,'SPWL_Demographic Split'!$K$4:$K$158,'SPWL_Demographic Split'!$L$4:$L$158),0)</f>
        <v>3.8413879460167018E-4</v>
      </c>
      <c r="W103">
        <v>65</v>
      </c>
      <c r="X103">
        <f>_xlfn.XLOOKUP($I103&amp;"_"&amp;X$72,'SPWL_Demographic Split'!$O$4:$O$158,'SPWL_Demographic Split'!$P$4:$P$158)</f>
        <v>3.2669363398632359E-3</v>
      </c>
      <c r="Y103">
        <f>_xlfn.XLOOKUP($I103&amp;"_"&amp;Y$72,'SPWL_Demographic Split'!$O$4:$O$158,'SPWL_Demographic Split'!$P$4:$P$158)</f>
        <v>3.1924296938408811E-3</v>
      </c>
      <c r="Z103">
        <f>_xlfn.XLOOKUP($I103&amp;"_"&amp;Z$72,'SPWL_Demographic Split'!$O$4:$O$158,'SPWL_Demographic Split'!$P$4:$P$158)</f>
        <v>3.1137791108820962E-3</v>
      </c>
      <c r="AA103">
        <f>_xlfn.XLOOKUP($I103&amp;"_"&amp;AA$72,'SPWL_Demographic Split'!$O$4:$O$158,'SPWL_Demographic Split'!$P$4:$P$158)</f>
        <v>3.2197577532129969E-3</v>
      </c>
      <c r="AB103">
        <f>_xlfn.XLOOKUP($I103&amp;"_"&amp;AB$72,'SPWL_Demographic Split'!$O$4:$O$158,'SPWL_Demographic Split'!$P$4:$P$158)</f>
        <v>3.391879985303518E-3</v>
      </c>
    </row>
  </sheetData>
  <mergeCells count="2">
    <mergeCell ref="C5:F5"/>
    <mergeCell ref="C27:F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529E-870F-448B-8641-0057B3CBECD8}">
  <sheetPr codeName="Sheet8"/>
  <dimension ref="A1:H121"/>
  <sheetViews>
    <sheetView workbookViewId="0">
      <selection activeCell="J11" sqref="J11"/>
    </sheetView>
  </sheetViews>
  <sheetFormatPr defaultRowHeight="15" x14ac:dyDescent="0.25"/>
  <cols>
    <col min="1" max="1" width="9.42578125" customWidth="1"/>
    <col min="2" max="2" width="16.140625" customWidth="1"/>
    <col min="3" max="7" width="17.28515625" bestFit="1" customWidth="1"/>
    <col min="8" max="8" width="13.42578125" customWidth="1"/>
  </cols>
  <sheetData>
    <row r="1" spans="1:8" x14ac:dyDescent="0.25">
      <c r="A1" s="57" t="s">
        <v>11</v>
      </c>
      <c r="B1" s="57" t="s">
        <v>91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114</v>
      </c>
    </row>
    <row r="2" spans="1:8" x14ac:dyDescent="0.25">
      <c r="A2" s="58">
        <v>1</v>
      </c>
      <c r="B2" s="59">
        <v>3.5467709367217283E-3</v>
      </c>
      <c r="C2">
        <f>IF('T20'!$F$4=1,0.925,1)</f>
        <v>0.92500000000000004</v>
      </c>
      <c r="D2">
        <f>IF('T20'!$F$4=1,0.925,1)</f>
        <v>0.92500000000000004</v>
      </c>
      <c r="E2">
        <f>IF('T20'!$F$4=1,0.925,1)</f>
        <v>0.92500000000000004</v>
      </c>
      <c r="F2">
        <f>IF('T20'!$F$4=1,0.97,1)</f>
        <v>0.97</v>
      </c>
      <c r="G2">
        <f>IF('T20'!$F$4=1,0.95,1)</f>
        <v>0.95</v>
      </c>
      <c r="H2">
        <f>PRODUCT(B2:G2)</f>
        <v>2.5867453606176734E-3</v>
      </c>
    </row>
    <row r="3" spans="1:8" x14ac:dyDescent="0.25">
      <c r="A3" s="58">
        <v>2</v>
      </c>
      <c r="B3" s="59">
        <v>3.3729701321473949E-4</v>
      </c>
      <c r="C3">
        <f>IF('T20'!$F$4=1,0.925,1)</f>
        <v>0.92500000000000004</v>
      </c>
      <c r="D3">
        <f>IF('T20'!$F$4=1,0.925,1)</f>
        <v>0.92500000000000004</v>
      </c>
      <c r="E3">
        <f>IF('T20'!$F$4=1,0.925,1)</f>
        <v>0.92500000000000004</v>
      </c>
      <c r="F3">
        <f>IF('T20'!$F$4=1,0.97,1)</f>
        <v>0.97</v>
      </c>
      <c r="G3">
        <f>IF('T20'!$F$4=1,0.95,1)</f>
        <v>0.95</v>
      </c>
      <c r="H3">
        <f t="shared" ref="H3:H66" si="0">PRODUCT(B3:G3)</f>
        <v>2.4599882531175718E-4</v>
      </c>
    </row>
    <row r="4" spans="1:8" x14ac:dyDescent="0.25">
      <c r="A4" s="58">
        <v>3</v>
      </c>
      <c r="B4" s="59">
        <v>2.4023107547649304E-4</v>
      </c>
      <c r="C4">
        <f>IF('T20'!$F$4=1,0.925,1)</f>
        <v>0.92500000000000004</v>
      </c>
      <c r="D4">
        <f>IF('T20'!$F$4=1,0.925,1)</f>
        <v>0.92500000000000004</v>
      </c>
      <c r="E4">
        <f>IF('T20'!$F$4=1,0.925,1)</f>
        <v>0.92500000000000004</v>
      </c>
      <c r="F4">
        <f>IF('T20'!$F$4=1,0.97,1)</f>
        <v>0.97</v>
      </c>
      <c r="G4">
        <f>IF('T20'!$F$4=1,0.95,1)</f>
        <v>0.95</v>
      </c>
      <c r="H4">
        <f t="shared" si="0"/>
        <v>1.7520630202845478E-4</v>
      </c>
    </row>
    <row r="5" spans="1:8" x14ac:dyDescent="0.25">
      <c r="A5" s="58">
        <v>4</v>
      </c>
      <c r="B5" s="59">
        <v>1.8043713926302416E-4</v>
      </c>
      <c r="C5">
        <f>IF('T20'!$F$4=1,0.925,1)</f>
        <v>0.92500000000000004</v>
      </c>
      <c r="D5">
        <f>IF('T20'!$F$4=1,0.925,1)</f>
        <v>0.92500000000000004</v>
      </c>
      <c r="E5">
        <f>IF('T20'!$F$4=1,0.925,1)</f>
        <v>0.92500000000000004</v>
      </c>
      <c r="F5">
        <f>IF('T20'!$F$4=1,0.97,1)</f>
        <v>0.97</v>
      </c>
      <c r="G5">
        <f>IF('T20'!$F$4=1,0.95,1)</f>
        <v>0.95</v>
      </c>
      <c r="H5">
        <f t="shared" si="0"/>
        <v>1.3159714602352189E-4</v>
      </c>
    </row>
    <row r="6" spans="1:8" ht="10.15" customHeight="1" x14ac:dyDescent="0.25">
      <c r="A6" s="58">
        <v>5</v>
      </c>
      <c r="B6" s="59">
        <v>1.5766389199491741E-4</v>
      </c>
      <c r="C6">
        <f>IF('T20'!$F$4=1,0.925,1)</f>
        <v>0.92500000000000004</v>
      </c>
      <c r="D6">
        <f>IF('T20'!$F$4=1,0.925,1)</f>
        <v>0.92500000000000004</v>
      </c>
      <c r="E6">
        <f>IF('T20'!$F$4=1,0.925,1)</f>
        <v>0.92500000000000004</v>
      </c>
      <c r="F6">
        <f>IF('T20'!$F$4=1,0.97,1)</f>
        <v>0.97</v>
      </c>
      <c r="G6">
        <f>IF('T20'!$F$4=1,0.95,1)</f>
        <v>0.95</v>
      </c>
      <c r="H6">
        <f t="shared" si="0"/>
        <v>1.1498806898754523E-4</v>
      </c>
    </row>
    <row r="7" spans="1:8" x14ac:dyDescent="0.25">
      <c r="A7" s="58">
        <v>6</v>
      </c>
      <c r="B7" s="59">
        <v>1.474379697585769E-4</v>
      </c>
      <c r="C7">
        <f>IF('T20'!$F$4=1,0.925,1)</f>
        <v>0.92500000000000004</v>
      </c>
      <c r="D7">
        <f>IF('T20'!$F$4=1,0.925,1)</f>
        <v>0.92500000000000004</v>
      </c>
      <c r="E7">
        <f>IF('T20'!$F$4=1,0.925,1)</f>
        <v>0.92500000000000004</v>
      </c>
      <c r="F7">
        <f>IF('T20'!$F$4=1,0.97,1)</f>
        <v>0.97</v>
      </c>
      <c r="G7">
        <f>IF('T20'!$F$4=1,0.95,1)</f>
        <v>0.95</v>
      </c>
      <c r="H7">
        <f t="shared" si="0"/>
        <v>1.0753005791921831E-4</v>
      </c>
    </row>
    <row r="8" spans="1:8" x14ac:dyDescent="0.25">
      <c r="A8" s="58">
        <v>7</v>
      </c>
      <c r="B8" s="59">
        <v>1.3814060864040663E-4</v>
      </c>
      <c r="C8">
        <f>IF('T20'!$F$4=1,0.925,1)</f>
        <v>0.92500000000000004</v>
      </c>
      <c r="D8">
        <f>IF('T20'!$F$4=1,0.925,1)</f>
        <v>0.92500000000000004</v>
      </c>
      <c r="E8">
        <f>IF('T20'!$F$4=1,0.925,1)</f>
        <v>0.92500000000000004</v>
      </c>
      <c r="F8">
        <f>IF('T20'!$F$4=1,0.97,1)</f>
        <v>0.97</v>
      </c>
      <c r="G8">
        <f>IF('T20'!$F$4=1,0.95,1)</f>
        <v>0.95</v>
      </c>
      <c r="H8">
        <f t="shared" si="0"/>
        <v>1.0074926881062049E-4</v>
      </c>
    </row>
    <row r="9" spans="1:8" x14ac:dyDescent="0.25">
      <c r="A9" s="58">
        <v>8</v>
      </c>
      <c r="B9" s="59">
        <v>1.2860488919949175E-4</v>
      </c>
      <c r="C9">
        <f>IF('T20'!$F$4=1,0.925,1)</f>
        <v>0.92500000000000004</v>
      </c>
      <c r="D9">
        <f>IF('T20'!$F$4=1,0.925,1)</f>
        <v>0.92500000000000004</v>
      </c>
      <c r="E9">
        <f>IF('T20'!$F$4=1,0.925,1)</f>
        <v>0.92500000000000004</v>
      </c>
      <c r="F9">
        <f>IF('T20'!$F$4=1,0.97,1)</f>
        <v>0.97</v>
      </c>
      <c r="G9">
        <f>IF('T20'!$F$4=1,0.95,1)</f>
        <v>0.95</v>
      </c>
      <c r="H9">
        <f t="shared" si="0"/>
        <v>9.3794639243610021E-5</v>
      </c>
    </row>
    <row r="10" spans="1:8" x14ac:dyDescent="0.25">
      <c r="A10" s="58">
        <v>9</v>
      </c>
      <c r="B10" s="59">
        <v>1.2627726836086407E-4</v>
      </c>
      <c r="C10">
        <f>IF('T20'!$F$4=1,0.925,1)</f>
        <v>0.92500000000000004</v>
      </c>
      <c r="D10">
        <f>IF('T20'!$F$4=1,0.925,1)</f>
        <v>0.92500000000000004</v>
      </c>
      <c r="E10">
        <f>IF('T20'!$F$4=1,0.925,1)</f>
        <v>0.92500000000000004</v>
      </c>
      <c r="F10">
        <f>IF('T20'!$F$4=1,0.97,1)</f>
        <v>0.97</v>
      </c>
      <c r="G10">
        <f>IF('T20'!$F$4=1,0.95,1)</f>
        <v>0.95</v>
      </c>
      <c r="H10">
        <f t="shared" si="0"/>
        <v>9.2097049375806946E-5</v>
      </c>
    </row>
    <row r="11" spans="1:8" x14ac:dyDescent="0.25">
      <c r="A11" s="58">
        <v>10</v>
      </c>
      <c r="B11" s="59">
        <v>1.2500360584498095E-4</v>
      </c>
      <c r="C11">
        <f>IF('T20'!$F$4=1,0.925,1)</f>
        <v>0.92500000000000004</v>
      </c>
      <c r="D11">
        <f>IF('T20'!$F$4=1,0.925,1)</f>
        <v>0.92500000000000004</v>
      </c>
      <c r="E11">
        <f>IF('T20'!$F$4=1,0.925,1)</f>
        <v>0.92500000000000004</v>
      </c>
      <c r="F11">
        <f>IF('T20'!$F$4=1,0.97,1)</f>
        <v>0.97</v>
      </c>
      <c r="G11">
        <f>IF('T20'!$F$4=1,0.95,1)</f>
        <v>0.95</v>
      </c>
      <c r="H11">
        <f t="shared" si="0"/>
        <v>9.1168136665419573E-5</v>
      </c>
    </row>
    <row r="12" spans="1:8" x14ac:dyDescent="0.25">
      <c r="A12" s="58">
        <v>11</v>
      </c>
      <c r="B12" s="59">
        <v>1.3696678500635325E-4</v>
      </c>
      <c r="C12">
        <f>IF('T20'!$F$4=1,0.925,1)</f>
        <v>0.92500000000000004</v>
      </c>
      <c r="D12">
        <f>IF('T20'!$F$4=1,0.925,1)</f>
        <v>0.92500000000000004</v>
      </c>
      <c r="E12">
        <f>IF('T20'!$F$4=1,0.925,1)</f>
        <v>0.92500000000000004</v>
      </c>
      <c r="F12">
        <f>IF('T20'!$F$4=1,0.97,1)</f>
        <v>0.97</v>
      </c>
      <c r="G12">
        <f>IF('T20'!$F$4=1,0.95,1)</f>
        <v>0.95</v>
      </c>
      <c r="H12">
        <f t="shared" si="0"/>
        <v>9.9893170998344649E-5</v>
      </c>
    </row>
    <row r="13" spans="1:8" x14ac:dyDescent="0.25">
      <c r="A13" s="58">
        <v>12</v>
      </c>
      <c r="B13" s="59">
        <v>1.4521640584498093E-4</v>
      </c>
      <c r="C13">
        <f>IF('T20'!$F$4=1,0.925,1)</f>
        <v>0.92500000000000004</v>
      </c>
      <c r="D13">
        <f>IF('T20'!$F$4=1,0.925,1)</f>
        <v>0.92500000000000004</v>
      </c>
      <c r="E13">
        <f>IF('T20'!$F$4=1,0.925,1)</f>
        <v>0.92500000000000004</v>
      </c>
      <c r="F13">
        <f>IF('T20'!$F$4=1,0.97,1)</f>
        <v>0.97</v>
      </c>
      <c r="G13">
        <f>IF('T20'!$F$4=1,0.95,1)</f>
        <v>0.95</v>
      </c>
      <c r="H13">
        <f t="shared" si="0"/>
        <v>1.0590981791800708E-4</v>
      </c>
    </row>
    <row r="14" spans="1:8" ht="16.5" customHeight="1" x14ac:dyDescent="0.25">
      <c r="A14" s="58">
        <v>13</v>
      </c>
      <c r="B14" s="59">
        <v>1.6118866836086404E-4</v>
      </c>
      <c r="C14">
        <f>IF('T20'!$F$4=1,0.925,1)</f>
        <v>0.92500000000000004</v>
      </c>
      <c r="D14">
        <f>IF('T20'!$F$4=1,0.925,1)</f>
        <v>0.92500000000000004</v>
      </c>
      <c r="E14">
        <f>IF('T20'!$F$4=1,0.925,1)</f>
        <v>0.92500000000000004</v>
      </c>
      <c r="F14">
        <f>IF('T20'!$F$4=1,0.97,1)</f>
        <v>0.97</v>
      </c>
      <c r="G14">
        <f>IF('T20'!$F$4=1,0.95,1)</f>
        <v>0.95</v>
      </c>
      <c r="H14">
        <f t="shared" si="0"/>
        <v>1.1755877317862413E-4</v>
      </c>
    </row>
    <row r="15" spans="1:8" x14ac:dyDescent="0.25">
      <c r="A15" s="58">
        <v>14</v>
      </c>
      <c r="B15" s="59">
        <v>1.8100057255400254E-4</v>
      </c>
      <c r="C15">
        <f>IF('T20'!$F$4=1,0.925,1)</f>
        <v>0.92500000000000004</v>
      </c>
      <c r="D15">
        <f>IF('T20'!$F$4=1,0.925,1)</f>
        <v>0.92500000000000004</v>
      </c>
      <c r="E15">
        <f>IF('T20'!$F$4=1,0.925,1)</f>
        <v>0.92500000000000004</v>
      </c>
      <c r="F15">
        <f>IF('T20'!$F$4=1,0.97,1)</f>
        <v>0.97</v>
      </c>
      <c r="G15">
        <f>IF('T20'!$F$4=1,0.95,1)</f>
        <v>0.95</v>
      </c>
      <c r="H15">
        <f t="shared" si="0"/>
        <v>1.3200807147584418E-4</v>
      </c>
    </row>
    <row r="16" spans="1:8" x14ac:dyDescent="0.25">
      <c r="A16" s="58">
        <v>15</v>
      </c>
      <c r="B16" s="59">
        <v>2.1694796289707752E-4</v>
      </c>
      <c r="C16">
        <f>IF('T20'!$F$4=1,0.925,1)</f>
        <v>0.92500000000000004</v>
      </c>
      <c r="D16">
        <f>IF('T20'!$F$4=1,0.925,1)</f>
        <v>0.92500000000000004</v>
      </c>
      <c r="E16">
        <f>IF('T20'!$F$4=1,0.925,1)</f>
        <v>0.92500000000000004</v>
      </c>
      <c r="F16">
        <f>IF('T20'!$F$4=1,0.97,1)</f>
        <v>0.97</v>
      </c>
      <c r="G16">
        <f>IF('T20'!$F$4=1,0.95,1)</f>
        <v>0.95</v>
      </c>
      <c r="H16">
        <f t="shared" si="0"/>
        <v>1.5822536795628991E-4</v>
      </c>
    </row>
    <row r="17" spans="1:8" x14ac:dyDescent="0.25">
      <c r="A17" s="58">
        <v>16</v>
      </c>
      <c r="B17" s="59">
        <v>2.6258807827191869E-4</v>
      </c>
      <c r="C17">
        <f>IF('T20'!$F$4=1,0.925,1)</f>
        <v>0.92500000000000004</v>
      </c>
      <c r="D17">
        <f>IF('T20'!$F$4=1,0.925,1)</f>
        <v>0.92500000000000004</v>
      </c>
      <c r="E17">
        <f>IF('T20'!$F$4=1,0.925,1)</f>
        <v>0.92500000000000004</v>
      </c>
      <c r="F17">
        <f>IF('T20'!$F$4=1,0.97,1)</f>
        <v>0.97</v>
      </c>
      <c r="G17">
        <f>IF('T20'!$F$4=1,0.95,1)</f>
        <v>0.95</v>
      </c>
      <c r="H17">
        <f t="shared" si="0"/>
        <v>1.9151180195787435E-4</v>
      </c>
    </row>
    <row r="18" spans="1:8" x14ac:dyDescent="0.25">
      <c r="A18" s="58">
        <v>17</v>
      </c>
      <c r="B18" s="59">
        <v>3.1455799364675985E-4</v>
      </c>
      <c r="C18">
        <f>IF('T20'!$F$4=1,0.925,1)</f>
        <v>0.92500000000000004</v>
      </c>
      <c r="D18">
        <f>IF('T20'!$F$4=1,0.925,1)</f>
        <v>0.92500000000000004</v>
      </c>
      <c r="E18">
        <f>IF('T20'!$F$4=1,0.925,1)</f>
        <v>0.92500000000000004</v>
      </c>
      <c r="F18">
        <f>IF('T20'!$F$4=1,0.97,1)</f>
        <v>0.97</v>
      </c>
      <c r="G18">
        <f>IF('T20'!$F$4=1,0.95,1)</f>
        <v>0.95</v>
      </c>
      <c r="H18">
        <f t="shared" si="0"/>
        <v>2.2941471136081975E-4</v>
      </c>
    </row>
    <row r="19" spans="1:8" x14ac:dyDescent="0.25">
      <c r="A19" s="58">
        <v>18</v>
      </c>
      <c r="B19" s="59">
        <v>3.7621994790343078E-4</v>
      </c>
      <c r="C19">
        <f>IF('T20'!$F$4=1,0.925,1)</f>
        <v>0.92500000000000004</v>
      </c>
      <c r="D19">
        <f>IF('T20'!$F$4=1,0.925,1)</f>
        <v>0.92500000000000004</v>
      </c>
      <c r="E19">
        <f>IF('T20'!$F$4=1,0.925,1)</f>
        <v>0.92500000000000004</v>
      </c>
      <c r="F19">
        <f>IF('T20'!$F$4=1,0.97,1)</f>
        <v>0.97</v>
      </c>
      <c r="G19">
        <f>IF('T20'!$F$4=1,0.95,1)</f>
        <v>0.95</v>
      </c>
      <c r="H19">
        <f t="shared" si="0"/>
        <v>2.7438625785925017E-4</v>
      </c>
    </row>
    <row r="20" spans="1:8" x14ac:dyDescent="0.25">
      <c r="A20" s="58">
        <v>19</v>
      </c>
      <c r="B20" s="59">
        <v>4.2354015349428209E-4</v>
      </c>
      <c r="C20">
        <f>IF('T20'!$F$4=1,0.925,1)</f>
        <v>0.92500000000000004</v>
      </c>
      <c r="D20">
        <f>IF('T20'!$F$4=1,0.925,1)</f>
        <v>0.92500000000000004</v>
      </c>
      <c r="E20">
        <f>IF('T20'!$F$4=1,0.925,1)</f>
        <v>0.92500000000000004</v>
      </c>
      <c r="F20">
        <f>IF('T20'!$F$4=1,0.97,1)</f>
        <v>0.97</v>
      </c>
      <c r="G20">
        <f>IF('T20'!$F$4=1,0.95,1)</f>
        <v>0.95</v>
      </c>
      <c r="H20">
        <f t="shared" si="0"/>
        <v>3.088980220694159E-4</v>
      </c>
    </row>
    <row r="21" spans="1:8" x14ac:dyDescent="0.25">
      <c r="A21" s="58">
        <v>20</v>
      </c>
      <c r="B21" s="59">
        <v>4.5942347293519695E-4</v>
      </c>
      <c r="C21">
        <f>IF('T20'!$F$4=1,0.925,1)</f>
        <v>0.92500000000000004</v>
      </c>
      <c r="D21">
        <f>IF('T20'!$F$4=1,0.925,1)</f>
        <v>0.92500000000000004</v>
      </c>
      <c r="E21">
        <f>IF('T20'!$F$4=1,0.925,1)</f>
        <v>0.92500000000000004</v>
      </c>
      <c r="F21">
        <f>IF('T20'!$F$4=1,0.97,1)</f>
        <v>0.97</v>
      </c>
      <c r="G21">
        <f>IF('T20'!$F$4=1,0.95,1)</f>
        <v>0.95</v>
      </c>
      <c r="H21">
        <f t="shared" si="0"/>
        <v>3.3506859009971079E-4</v>
      </c>
    </row>
    <row r="22" spans="1:8" x14ac:dyDescent="0.25">
      <c r="A22" s="58">
        <v>21</v>
      </c>
      <c r="B22" s="59">
        <v>4.9583377153748407E-4</v>
      </c>
      <c r="C22">
        <f>IF('T20'!$F$4=1,0.925,1)</f>
        <v>0.92500000000000004</v>
      </c>
      <c r="D22">
        <f>IF('T20'!$F$4=1,0.925,1)</f>
        <v>0.92500000000000004</v>
      </c>
      <c r="E22">
        <f>IF('T20'!$F$4=1,0.925,1)</f>
        <v>0.92500000000000004</v>
      </c>
      <c r="F22">
        <f>IF('T20'!$F$4=1,0.97,1)</f>
        <v>0.97</v>
      </c>
      <c r="G22">
        <f>IF('T20'!$F$4=1,0.95,1)</f>
        <v>0.95</v>
      </c>
      <c r="H22">
        <f t="shared" si="0"/>
        <v>3.6162349670871343E-4</v>
      </c>
    </row>
    <row r="23" spans="1:8" x14ac:dyDescent="0.25">
      <c r="A23" s="58">
        <v>22</v>
      </c>
      <c r="B23" s="59">
        <v>5.2075138958068614E-4</v>
      </c>
      <c r="C23">
        <f>IF('T20'!$F$4=1,0.925,1)</f>
        <v>0.92500000000000004</v>
      </c>
      <c r="D23">
        <f>IF('T20'!$F$4=1,0.925,1)</f>
        <v>0.92500000000000004</v>
      </c>
      <c r="E23">
        <f>IF('T20'!$F$4=1,0.925,1)</f>
        <v>0.92500000000000004</v>
      </c>
      <c r="F23">
        <f>IF('T20'!$F$4=1,0.97,1)</f>
        <v>0.97</v>
      </c>
      <c r="G23">
        <f>IF('T20'!$F$4=1,0.95,1)</f>
        <v>0.95</v>
      </c>
      <c r="H23">
        <f t="shared" si="0"/>
        <v>3.7979651493313601E-4</v>
      </c>
    </row>
    <row r="24" spans="1:8" x14ac:dyDescent="0.25">
      <c r="A24" s="58">
        <v>23</v>
      </c>
      <c r="B24" s="59">
        <v>5.4044964650571791E-4</v>
      </c>
      <c r="C24">
        <f>IF('T20'!$F$4=1,0.925,1)</f>
        <v>0.92500000000000004</v>
      </c>
      <c r="D24">
        <f>IF('T20'!$F$4=1,0.925,1)</f>
        <v>0.92500000000000004</v>
      </c>
      <c r="E24">
        <f>IF('T20'!$F$4=1,0.925,1)</f>
        <v>0.92500000000000004</v>
      </c>
      <c r="F24">
        <f>IF('T20'!$F$4=1,0.97,1)</f>
        <v>0.97</v>
      </c>
      <c r="G24">
        <f>IF('T20'!$F$4=1,0.95,1)</f>
        <v>0.95</v>
      </c>
      <c r="H24">
        <f t="shared" si="0"/>
        <v>3.9416292754397629E-4</v>
      </c>
    </row>
    <row r="25" spans="1:8" x14ac:dyDescent="0.25">
      <c r="A25" s="58">
        <v>24</v>
      </c>
      <c r="B25" s="59">
        <v>5.4255756315120713E-4</v>
      </c>
      <c r="C25">
        <f>IF('T20'!$F$4=1,0.925,1)</f>
        <v>0.92500000000000004</v>
      </c>
      <c r="D25">
        <f>IF('T20'!$F$4=1,0.925,1)</f>
        <v>0.92500000000000004</v>
      </c>
      <c r="E25">
        <f>IF('T20'!$F$4=1,0.925,1)</f>
        <v>0.92500000000000004</v>
      </c>
      <c r="F25">
        <f>IF('T20'!$F$4=1,0.97,1)</f>
        <v>0.97</v>
      </c>
      <c r="G25">
        <f>IF('T20'!$F$4=1,0.95,1)</f>
        <v>0.95</v>
      </c>
      <c r="H25">
        <f t="shared" si="0"/>
        <v>3.957002818588078E-4</v>
      </c>
    </row>
    <row r="26" spans="1:8" x14ac:dyDescent="0.25">
      <c r="A26" s="58">
        <v>25</v>
      </c>
      <c r="B26" s="59">
        <v>5.4536811867852606E-4</v>
      </c>
      <c r="C26">
        <f>IF('T20'!$F$4=1,0.925,1)</f>
        <v>0.92500000000000004</v>
      </c>
      <c r="D26">
        <f>IF('T20'!$F$4=1,0.925,1)</f>
        <v>0.92500000000000004</v>
      </c>
      <c r="E26">
        <f>IF('T20'!$F$4=1,0.925,1)</f>
        <v>0.92500000000000004</v>
      </c>
      <c r="F26">
        <f>IF('T20'!$F$4=1,0.97,1)</f>
        <v>0.97</v>
      </c>
      <c r="G26">
        <f>IF('T20'!$F$4=1,0.95,1)</f>
        <v>0.95</v>
      </c>
      <c r="H26">
        <f t="shared" si="0"/>
        <v>3.977500876119163E-4</v>
      </c>
    </row>
    <row r="27" spans="1:8" x14ac:dyDescent="0.25">
      <c r="A27" s="58">
        <v>26</v>
      </c>
      <c r="B27" s="59">
        <v>5.558572714104193E-4</v>
      </c>
      <c r="C27">
        <f>IF('T20'!$F$4=1,0.925,1)</f>
        <v>0.92500000000000004</v>
      </c>
      <c r="D27">
        <f>IF('T20'!$F$4=1,0.925,1)</f>
        <v>0.92500000000000004</v>
      </c>
      <c r="E27">
        <f>IF('T20'!$F$4=1,0.925,1)</f>
        <v>0.92500000000000004</v>
      </c>
      <c r="F27">
        <f>IF('T20'!$F$4=1,0.97,1)</f>
        <v>0.97</v>
      </c>
      <c r="G27">
        <f>IF('T20'!$F$4=1,0.95,1)</f>
        <v>0.95</v>
      </c>
      <c r="H27">
        <f t="shared" si="0"/>
        <v>4.0540007901257718E-4</v>
      </c>
    </row>
    <row r="28" spans="1:8" x14ac:dyDescent="0.25">
      <c r="A28" s="58">
        <v>27</v>
      </c>
      <c r="B28" s="59">
        <v>5.6823515476493009E-4</v>
      </c>
      <c r="C28">
        <f>IF('T20'!$F$4=1,0.925,1)</f>
        <v>0.92500000000000004</v>
      </c>
      <c r="D28">
        <f>IF('T20'!$F$4=1,0.925,1)</f>
        <v>0.92500000000000004</v>
      </c>
      <c r="E28">
        <f>IF('T20'!$F$4=1,0.925,1)</f>
        <v>0.92500000000000004</v>
      </c>
      <c r="F28">
        <f>IF('T20'!$F$4=1,0.97,1)</f>
        <v>0.97</v>
      </c>
      <c r="G28">
        <f>IF('T20'!$F$4=1,0.95,1)</f>
        <v>0.95</v>
      </c>
      <c r="H28">
        <f t="shared" si="0"/>
        <v>4.14427567089138E-4</v>
      </c>
    </row>
    <row r="29" spans="1:8" x14ac:dyDescent="0.25">
      <c r="A29" s="58">
        <v>28</v>
      </c>
      <c r="B29" s="59">
        <v>5.8293444091486659E-4</v>
      </c>
      <c r="C29">
        <f>IF('T20'!$F$4=1,0.925,1)</f>
        <v>0.92500000000000004</v>
      </c>
      <c r="D29">
        <f>IF('T20'!$F$4=1,0.925,1)</f>
        <v>0.92500000000000004</v>
      </c>
      <c r="E29">
        <f>IF('T20'!$F$4=1,0.925,1)</f>
        <v>0.92500000000000004</v>
      </c>
      <c r="F29">
        <f>IF('T20'!$F$4=1,0.97,1)</f>
        <v>0.97</v>
      </c>
      <c r="G29">
        <f>IF('T20'!$F$4=1,0.95,1)</f>
        <v>0.95</v>
      </c>
      <c r="H29">
        <f t="shared" si="0"/>
        <v>4.2514811006502142E-4</v>
      </c>
    </row>
    <row r="30" spans="1:8" x14ac:dyDescent="0.25">
      <c r="A30" s="58">
        <v>29</v>
      </c>
      <c r="B30" s="59">
        <v>5.9880064650571791E-4</v>
      </c>
      <c r="C30">
        <f>IF('T20'!$F$4=1,0.925,1)</f>
        <v>0.92500000000000004</v>
      </c>
      <c r="D30">
        <f>IF('T20'!$F$4=1,0.925,1)</f>
        <v>0.92500000000000004</v>
      </c>
      <c r="E30">
        <f>IF('T20'!$F$4=1,0.925,1)</f>
        <v>0.92500000000000004</v>
      </c>
      <c r="F30">
        <f>IF('T20'!$F$4=1,0.97,1)</f>
        <v>0.97</v>
      </c>
      <c r="G30">
        <f>IF('T20'!$F$4=1,0.95,1)</f>
        <v>0.95</v>
      </c>
      <c r="H30">
        <f t="shared" si="0"/>
        <v>4.3671971545904663E-4</v>
      </c>
    </row>
    <row r="31" spans="1:8" x14ac:dyDescent="0.25">
      <c r="A31" s="58">
        <v>30</v>
      </c>
      <c r="B31" s="59">
        <v>6.1932831181702667E-4</v>
      </c>
      <c r="C31">
        <f>IF('T20'!$F$4=1,0.925,1)</f>
        <v>0.92500000000000004</v>
      </c>
      <c r="D31">
        <f>IF('T20'!$F$4=1,0.925,1)</f>
        <v>0.92500000000000004</v>
      </c>
      <c r="E31">
        <f>IF('T20'!$F$4=1,0.925,1)</f>
        <v>0.92500000000000004</v>
      </c>
      <c r="F31">
        <f>IF('T20'!$F$4=1,0.97,1)</f>
        <v>0.97</v>
      </c>
      <c r="G31">
        <f>IF('T20'!$F$4=1,0.95,1)</f>
        <v>0.95</v>
      </c>
      <c r="H31">
        <f t="shared" si="0"/>
        <v>4.5169103555715818E-4</v>
      </c>
    </row>
    <row r="32" spans="1:8" x14ac:dyDescent="0.25">
      <c r="A32" s="58">
        <v>31</v>
      </c>
      <c r="B32" s="59">
        <v>6.4993111181702663E-4</v>
      </c>
      <c r="C32">
        <f>IF('T20'!$F$4=1,0.925,1)</f>
        <v>0.92500000000000004</v>
      </c>
      <c r="D32">
        <f>IF('T20'!$F$4=1,0.925,1)</f>
        <v>0.92500000000000004</v>
      </c>
      <c r="E32">
        <f>IF('T20'!$F$4=1,0.925,1)</f>
        <v>0.92500000000000004</v>
      </c>
      <c r="F32">
        <f>IF('T20'!$F$4=1,0.97,1)</f>
        <v>0.97</v>
      </c>
      <c r="G32">
        <f>IF('T20'!$F$4=1,0.95,1)</f>
        <v>0.95</v>
      </c>
      <c r="H32">
        <f t="shared" si="0"/>
        <v>4.7401039373794884E-4</v>
      </c>
    </row>
    <row r="33" spans="1:8" x14ac:dyDescent="0.25">
      <c r="A33" s="58">
        <v>32</v>
      </c>
      <c r="B33" s="59">
        <v>6.8674453265565438E-4</v>
      </c>
      <c r="C33">
        <f>IF('T20'!$F$4=1,0.925,1)</f>
        <v>0.92500000000000004</v>
      </c>
      <c r="D33">
        <f>IF('T20'!$F$4=1,0.925,1)</f>
        <v>0.92500000000000004</v>
      </c>
      <c r="E33">
        <f>IF('T20'!$F$4=1,0.925,1)</f>
        <v>0.92500000000000004</v>
      </c>
      <c r="F33">
        <f>IF('T20'!$F$4=1,0.97,1)</f>
        <v>0.97</v>
      </c>
      <c r="G33">
        <f>IF('T20'!$F$4=1,0.95,1)</f>
        <v>0.95</v>
      </c>
      <c r="H33">
        <f t="shared" si="0"/>
        <v>5.0085930709089404E-4</v>
      </c>
    </row>
    <row r="34" spans="1:8" x14ac:dyDescent="0.25">
      <c r="A34" s="58">
        <v>33</v>
      </c>
      <c r="B34" s="59">
        <v>7.2349525489199488E-4</v>
      </c>
      <c r="C34">
        <f>IF('T20'!$F$4=1,0.925,1)</f>
        <v>0.92500000000000004</v>
      </c>
      <c r="D34">
        <f>IF('T20'!$F$4=1,0.925,1)</f>
        <v>0.92500000000000004</v>
      </c>
      <c r="E34">
        <f>IF('T20'!$F$4=1,0.925,1)</f>
        <v>0.92500000000000004</v>
      </c>
      <c r="F34">
        <f>IF('T20'!$F$4=1,0.97,1)</f>
        <v>0.97</v>
      </c>
      <c r="G34">
        <f>IF('T20'!$F$4=1,0.95,1)</f>
        <v>0.95</v>
      </c>
      <c r="H34">
        <f t="shared" si="0"/>
        <v>5.2766249284499607E-4</v>
      </c>
    </row>
    <row r="35" spans="1:8" x14ac:dyDescent="0.25">
      <c r="A35" s="58">
        <v>34</v>
      </c>
      <c r="B35" s="59">
        <v>7.6924228132147399E-4</v>
      </c>
      <c r="C35">
        <f>IF('T20'!$F$4=1,0.925,1)</f>
        <v>0.92500000000000004</v>
      </c>
      <c r="D35">
        <f>IF('T20'!$F$4=1,0.925,1)</f>
        <v>0.92500000000000004</v>
      </c>
      <c r="E35">
        <f>IF('T20'!$F$4=1,0.925,1)</f>
        <v>0.92500000000000004</v>
      </c>
      <c r="F35">
        <f>IF('T20'!$F$4=1,0.97,1)</f>
        <v>0.97</v>
      </c>
      <c r="G35">
        <f>IF('T20'!$F$4=1,0.95,1)</f>
        <v>0.95</v>
      </c>
      <c r="H35">
        <f t="shared" si="0"/>
        <v>5.6102689965044003E-4</v>
      </c>
    </row>
    <row r="36" spans="1:8" x14ac:dyDescent="0.25">
      <c r="A36" s="58">
        <v>35</v>
      </c>
      <c r="B36" s="59">
        <v>8.1713505082592125E-4</v>
      </c>
      <c r="C36">
        <f>IF('T20'!$F$4=1,0.925,1)</f>
        <v>0.92500000000000004</v>
      </c>
      <c r="D36">
        <f>IF('T20'!$F$4=1,0.925,1)</f>
        <v>0.92500000000000004</v>
      </c>
      <c r="E36">
        <f>IF('T20'!$F$4=1,0.925,1)</f>
        <v>0.92500000000000004</v>
      </c>
      <c r="F36">
        <f>IF('T20'!$F$4=1,0.97,1)</f>
        <v>0.97</v>
      </c>
      <c r="G36">
        <f>IF('T20'!$F$4=1,0.95,1)</f>
        <v>0.95</v>
      </c>
      <c r="H36">
        <f t="shared" si="0"/>
        <v>5.9595624849563729E-4</v>
      </c>
    </row>
    <row r="37" spans="1:8" x14ac:dyDescent="0.25">
      <c r="A37" s="58">
        <v>36</v>
      </c>
      <c r="B37" s="59">
        <v>8.7338418424396443E-4</v>
      </c>
      <c r="C37">
        <f>IF('T20'!$F$4=1,0.925,1)</f>
        <v>0.92500000000000004</v>
      </c>
      <c r="D37">
        <f>IF('T20'!$F$4=1,0.925,1)</f>
        <v>0.92500000000000004</v>
      </c>
      <c r="E37">
        <f>IF('T20'!$F$4=1,0.925,1)</f>
        <v>0.92500000000000004</v>
      </c>
      <c r="F37">
        <f>IF('T20'!$F$4=1,0.97,1)</f>
        <v>0.97</v>
      </c>
      <c r="G37">
        <f>IF('T20'!$F$4=1,0.95,1)</f>
        <v>0.95</v>
      </c>
      <c r="H37">
        <f t="shared" si="0"/>
        <v>6.3698009455274258E-4</v>
      </c>
    </row>
    <row r="38" spans="1:8" x14ac:dyDescent="0.25">
      <c r="A38" s="58">
        <v>37</v>
      </c>
      <c r="B38" s="59">
        <v>9.4989016213468871E-4</v>
      </c>
      <c r="C38">
        <f>IF('T20'!$F$4=1,0.925,1)</f>
        <v>0.92500000000000004</v>
      </c>
      <c r="D38">
        <f>IF('T20'!$F$4=1,0.925,1)</f>
        <v>0.92500000000000004</v>
      </c>
      <c r="E38">
        <f>IF('T20'!$F$4=1,0.925,1)</f>
        <v>0.92500000000000004</v>
      </c>
      <c r="F38">
        <f>IF('T20'!$F$4=1,0.97,1)</f>
        <v>0.97</v>
      </c>
      <c r="G38">
        <f>IF('T20'!$F$4=1,0.95,1)</f>
        <v>0.95</v>
      </c>
      <c r="H38">
        <f t="shared" si="0"/>
        <v>6.927777445558381E-4</v>
      </c>
    </row>
    <row r="39" spans="1:8" x14ac:dyDescent="0.25">
      <c r="A39" s="58">
        <v>38</v>
      </c>
      <c r="B39" s="59">
        <v>1.0389179067344346E-3</v>
      </c>
      <c r="C39">
        <f>IF('T20'!$F$4=1,0.925,1)</f>
        <v>0.92500000000000004</v>
      </c>
      <c r="D39">
        <f>IF('T20'!$F$4=1,0.925,1)</f>
        <v>0.92500000000000004</v>
      </c>
      <c r="E39">
        <f>IF('T20'!$F$4=1,0.925,1)</f>
        <v>0.92500000000000004</v>
      </c>
      <c r="F39">
        <f>IF('T20'!$F$4=1,0.97,1)</f>
        <v>0.97</v>
      </c>
      <c r="G39">
        <f>IF('T20'!$F$4=1,0.95,1)</f>
        <v>0.95</v>
      </c>
      <c r="H39">
        <f t="shared" si="0"/>
        <v>7.5770782022700788E-4</v>
      </c>
    </row>
    <row r="40" spans="1:8" x14ac:dyDescent="0.25">
      <c r="A40" s="58">
        <v>39</v>
      </c>
      <c r="B40" s="59">
        <v>1.1303800152477764E-3</v>
      </c>
      <c r="C40">
        <f>IF('T20'!$F$4=1,0.925,1)</f>
        <v>0.92500000000000004</v>
      </c>
      <c r="D40">
        <f>IF('T20'!$F$4=1,0.925,1)</f>
        <v>0.92500000000000004</v>
      </c>
      <c r="E40">
        <f>IF('T20'!$F$4=1,0.925,1)</f>
        <v>0.92500000000000004</v>
      </c>
      <c r="F40">
        <f>IF('T20'!$F$4=1,0.97,1)</f>
        <v>0.97</v>
      </c>
      <c r="G40">
        <f>IF('T20'!$F$4=1,0.95,1)</f>
        <v>0.95</v>
      </c>
      <c r="H40">
        <f t="shared" si="0"/>
        <v>8.2441333605822635E-4</v>
      </c>
    </row>
    <row r="41" spans="1:8" x14ac:dyDescent="0.25">
      <c r="A41" s="58">
        <v>40</v>
      </c>
      <c r="B41" s="59">
        <v>1.2258009445997461E-3</v>
      </c>
      <c r="C41">
        <f>IF('T20'!$F$4=1,0.925,1)</f>
        <v>0.92500000000000004</v>
      </c>
      <c r="D41">
        <f>IF('T20'!$F$4=1,0.925,1)</f>
        <v>0.92500000000000004</v>
      </c>
      <c r="E41">
        <f>IF('T20'!$F$4=1,0.925,1)</f>
        <v>0.92500000000000004</v>
      </c>
      <c r="F41">
        <f>IF('T20'!$F$4=1,0.97,1)</f>
        <v>0.97</v>
      </c>
      <c r="G41">
        <f>IF('T20'!$F$4=1,0.95,1)</f>
        <v>0.95</v>
      </c>
      <c r="H41">
        <f t="shared" si="0"/>
        <v>8.940061151552544E-4</v>
      </c>
    </row>
    <row r="42" spans="1:8" x14ac:dyDescent="0.25">
      <c r="A42" s="58">
        <v>41</v>
      </c>
      <c r="B42" s="59">
        <v>1.337018476747141E-3</v>
      </c>
      <c r="C42">
        <f>IF('T20'!$F$4=1,0.925,1)</f>
        <v>0.92500000000000004</v>
      </c>
      <c r="D42">
        <f>IF('T20'!$F$4=1,0.925,1)</f>
        <v>0.92500000000000004</v>
      </c>
      <c r="E42">
        <f>IF('T20'!$F$4=1,0.925,1)</f>
        <v>0.92500000000000004</v>
      </c>
      <c r="F42">
        <f>IF('T20'!$F$4=1,0.97,1)</f>
        <v>0.97</v>
      </c>
      <c r="G42">
        <f>IF('T20'!$F$4=1,0.95,1)</f>
        <v>0.95</v>
      </c>
      <c r="H42">
        <f t="shared" si="0"/>
        <v>9.751197366533299E-4</v>
      </c>
    </row>
    <row r="43" spans="1:8" x14ac:dyDescent="0.25">
      <c r="A43" s="58">
        <v>42</v>
      </c>
      <c r="B43" s="59">
        <v>1.4474328449809405E-3</v>
      </c>
      <c r="C43">
        <f>IF('T20'!$F$4=1,0.925,1)</f>
        <v>0.92500000000000004</v>
      </c>
      <c r="D43">
        <f>IF('T20'!$F$4=1,0.925,1)</f>
        <v>0.92500000000000004</v>
      </c>
      <c r="E43">
        <f>IF('T20'!$F$4=1,0.925,1)</f>
        <v>0.92500000000000004</v>
      </c>
      <c r="F43">
        <f>IF('T20'!$F$4=1,0.97,1)</f>
        <v>0.97</v>
      </c>
      <c r="G43">
        <f>IF('T20'!$F$4=1,0.95,1)</f>
        <v>0.95</v>
      </c>
      <c r="H43">
        <f t="shared" si="0"/>
        <v>1.0556475913893633E-3</v>
      </c>
    </row>
    <row r="44" spans="1:8" x14ac:dyDescent="0.25">
      <c r="A44" s="58">
        <v>43</v>
      </c>
      <c r="B44" s="59">
        <v>1.5733551951715374E-3</v>
      </c>
      <c r="C44">
        <f>IF('T20'!$F$4=1,0.925,1)</f>
        <v>0.92500000000000004</v>
      </c>
      <c r="D44">
        <f>IF('T20'!$F$4=1,0.925,1)</f>
        <v>0.92500000000000004</v>
      </c>
      <c r="E44">
        <f>IF('T20'!$F$4=1,0.925,1)</f>
        <v>0.92500000000000004</v>
      </c>
      <c r="F44">
        <f>IF('T20'!$F$4=1,0.97,1)</f>
        <v>0.97</v>
      </c>
      <c r="G44">
        <f>IF('T20'!$F$4=1,0.95,1)</f>
        <v>0.95</v>
      </c>
      <c r="H44">
        <f t="shared" si="0"/>
        <v>1.1474857904061489E-3</v>
      </c>
    </row>
    <row r="45" spans="1:8" x14ac:dyDescent="0.25">
      <c r="A45" s="58">
        <v>44</v>
      </c>
      <c r="B45" s="59">
        <v>1.7089262259212198E-3</v>
      </c>
      <c r="C45">
        <f>IF('T20'!$F$4=1,0.925,1)</f>
        <v>0.92500000000000004</v>
      </c>
      <c r="D45">
        <f>IF('T20'!$F$4=1,0.925,1)</f>
        <v>0.92500000000000004</v>
      </c>
      <c r="E45">
        <f>IF('T20'!$F$4=1,0.925,1)</f>
        <v>0.92500000000000004</v>
      </c>
      <c r="F45">
        <f>IF('T20'!$F$4=1,0.97,1)</f>
        <v>0.97</v>
      </c>
      <c r="G45">
        <f>IF('T20'!$F$4=1,0.95,1)</f>
        <v>0.95</v>
      </c>
      <c r="H45">
        <f t="shared" si="0"/>
        <v>1.2463610042506709E-3</v>
      </c>
    </row>
    <row r="46" spans="1:8" x14ac:dyDescent="0.25">
      <c r="A46" s="58">
        <v>45</v>
      </c>
      <c r="B46" s="59">
        <v>1.8567366205844982E-3</v>
      </c>
      <c r="C46">
        <f>IF('T20'!$F$4=1,0.925,1)</f>
        <v>0.92500000000000004</v>
      </c>
      <c r="D46">
        <f>IF('T20'!$F$4=1,0.925,1)</f>
        <v>0.92500000000000004</v>
      </c>
      <c r="E46">
        <f>IF('T20'!$F$4=1,0.925,1)</f>
        <v>0.92500000000000004</v>
      </c>
      <c r="F46">
        <f>IF('T20'!$F$4=1,0.97,1)</f>
        <v>0.97</v>
      </c>
      <c r="G46">
        <f>IF('T20'!$F$4=1,0.95,1)</f>
        <v>0.95</v>
      </c>
      <c r="H46">
        <f t="shared" si="0"/>
        <v>1.3541626806114525E-3</v>
      </c>
    </row>
    <row r="47" spans="1:8" x14ac:dyDescent="0.25">
      <c r="A47" s="58">
        <v>46</v>
      </c>
      <c r="B47" s="59">
        <v>2.0141832597204575E-3</v>
      </c>
      <c r="C47">
        <f>IF('T20'!$F$4=1,0.925,1)</f>
        <v>0.92500000000000004</v>
      </c>
      <c r="D47">
        <f>IF('T20'!$F$4=1,0.925,1)</f>
        <v>0.92500000000000004</v>
      </c>
      <c r="E47">
        <f>IF('T20'!$F$4=1,0.925,1)</f>
        <v>0.92500000000000004</v>
      </c>
      <c r="F47">
        <f>IF('T20'!$F$4=1,0.97,1)</f>
        <v>0.97</v>
      </c>
      <c r="G47">
        <f>IF('T20'!$F$4=1,0.95,1)</f>
        <v>0.95</v>
      </c>
      <c r="H47">
        <f t="shared" si="0"/>
        <v>1.46899230186301E-3</v>
      </c>
    </row>
    <row r="48" spans="1:8" x14ac:dyDescent="0.25">
      <c r="A48" s="58">
        <v>47</v>
      </c>
      <c r="B48" s="59">
        <v>2.1985740808132146E-3</v>
      </c>
      <c r="C48">
        <f>IF('T20'!$F$4=1,0.925,1)</f>
        <v>0.92500000000000004</v>
      </c>
      <c r="D48">
        <f>IF('T20'!$F$4=1,0.925,1)</f>
        <v>0.92500000000000004</v>
      </c>
      <c r="E48">
        <f>IF('T20'!$F$4=1,0.925,1)</f>
        <v>0.92500000000000004</v>
      </c>
      <c r="F48">
        <f>IF('T20'!$F$4=1,0.97,1)</f>
        <v>0.97</v>
      </c>
      <c r="G48">
        <f>IF('T20'!$F$4=1,0.95,1)</f>
        <v>0.95</v>
      </c>
      <c r="H48">
        <f t="shared" si="0"/>
        <v>1.6034729631495372E-3</v>
      </c>
    </row>
    <row r="49" spans="1:8" x14ac:dyDescent="0.25">
      <c r="A49" s="58">
        <v>48</v>
      </c>
      <c r="B49" s="59">
        <v>2.4105056658195682E-3</v>
      </c>
      <c r="C49">
        <f>IF('T20'!$F$4=1,0.925,1)</f>
        <v>0.92500000000000004</v>
      </c>
      <c r="D49">
        <f>IF('T20'!$F$4=1,0.925,1)</f>
        <v>0.92500000000000004</v>
      </c>
      <c r="E49">
        <f>IF('T20'!$F$4=1,0.925,1)</f>
        <v>0.92500000000000004</v>
      </c>
      <c r="F49">
        <f>IF('T20'!$F$4=1,0.97,1)</f>
        <v>0.97</v>
      </c>
      <c r="G49">
        <f>IF('T20'!$F$4=1,0.95,1)</f>
        <v>0.95</v>
      </c>
      <c r="H49">
        <f t="shared" si="0"/>
        <v>1.7580397660427194E-3</v>
      </c>
    </row>
    <row r="50" spans="1:8" x14ac:dyDescent="0.25">
      <c r="A50" s="58">
        <v>49</v>
      </c>
      <c r="B50" s="59">
        <v>2.63510375501906E-3</v>
      </c>
      <c r="C50">
        <f>IF('T20'!$F$4=1,0.925,1)</f>
        <v>0.92500000000000004</v>
      </c>
      <c r="D50">
        <f>IF('T20'!$F$4=1,0.925,1)</f>
        <v>0.92500000000000004</v>
      </c>
      <c r="E50">
        <f>IF('T20'!$F$4=1,0.925,1)</f>
        <v>0.92500000000000004</v>
      </c>
      <c r="F50">
        <f>IF('T20'!$F$4=1,0.97,1)</f>
        <v>0.97</v>
      </c>
      <c r="G50">
        <f>IF('T20'!$F$4=1,0.95,1)</f>
        <v>0.95</v>
      </c>
      <c r="H50">
        <f t="shared" si="0"/>
        <v>1.9218445551327575E-3</v>
      </c>
    </row>
    <row r="51" spans="1:8" x14ac:dyDescent="0.25">
      <c r="A51" s="58">
        <v>50</v>
      </c>
      <c r="B51" s="59">
        <v>2.8812138650571792E-3</v>
      </c>
      <c r="C51">
        <f>IF('T20'!$F$4=1,0.925,1)</f>
        <v>0.92500000000000004</v>
      </c>
      <c r="D51">
        <f>IF('T20'!$F$4=1,0.925,1)</f>
        <v>0.92500000000000004</v>
      </c>
      <c r="E51">
        <f>IF('T20'!$F$4=1,0.925,1)</f>
        <v>0.92500000000000004</v>
      </c>
      <c r="F51">
        <f>IF('T20'!$F$4=1,0.97,1)</f>
        <v>0.97</v>
      </c>
      <c r="G51">
        <f>IF('T20'!$F$4=1,0.95,1)</f>
        <v>0.95</v>
      </c>
      <c r="H51">
        <f t="shared" si="0"/>
        <v>2.1013385784853459E-3</v>
      </c>
    </row>
    <row r="52" spans="1:8" x14ac:dyDescent="0.25">
      <c r="A52" s="58">
        <v>51</v>
      </c>
      <c r="B52" s="59">
        <v>3.145021744599746E-3</v>
      </c>
      <c r="C52">
        <f>IF('T20'!$F$4=1,0.925,1)</f>
        <v>0.92500000000000004</v>
      </c>
      <c r="D52">
        <f>IF('T20'!$F$4=1,0.925,1)</f>
        <v>0.92500000000000004</v>
      </c>
      <c r="E52">
        <f>IF('T20'!$F$4=1,0.925,1)</f>
        <v>0.92500000000000004</v>
      </c>
      <c r="F52">
        <f>IF('T20'!$F$4=1,0.97,1)</f>
        <v>0.97</v>
      </c>
      <c r="G52">
        <f>IF('T20'!$F$4=1,0.95,1)</f>
        <v>0.95</v>
      </c>
      <c r="H52">
        <f t="shared" si="0"/>
        <v>2.2937400108518418E-3</v>
      </c>
    </row>
    <row r="53" spans="1:8" x14ac:dyDescent="0.25">
      <c r="A53" s="58">
        <v>52</v>
      </c>
      <c r="B53" s="59">
        <v>3.4487228810673445E-3</v>
      </c>
      <c r="C53">
        <f>IF('T20'!$F$4=1,0.925,1)</f>
        <v>0.92500000000000004</v>
      </c>
      <c r="D53">
        <f>IF('T20'!$F$4=1,0.925,1)</f>
        <v>0.92500000000000004</v>
      </c>
      <c r="E53">
        <f>IF('T20'!$F$4=1,0.925,1)</f>
        <v>0.92500000000000004</v>
      </c>
      <c r="F53">
        <f>IF('T20'!$F$4=1,0.97,1)</f>
        <v>0.97</v>
      </c>
      <c r="G53">
        <f>IF('T20'!$F$4=1,0.95,1)</f>
        <v>0.95</v>
      </c>
      <c r="H53">
        <f t="shared" si="0"/>
        <v>2.5152365551135924E-3</v>
      </c>
    </row>
    <row r="54" spans="1:8" x14ac:dyDescent="0.25">
      <c r="A54" s="58">
        <v>53</v>
      </c>
      <c r="B54" s="59">
        <v>3.7953977966963151E-3</v>
      </c>
      <c r="C54">
        <f>IF('T20'!$F$4=1,0.925,1)</f>
        <v>0.92500000000000004</v>
      </c>
      <c r="D54">
        <f>IF('T20'!$F$4=1,0.925,1)</f>
        <v>0.92500000000000004</v>
      </c>
      <c r="E54">
        <f>IF('T20'!$F$4=1,0.925,1)</f>
        <v>0.92500000000000004</v>
      </c>
      <c r="F54">
        <f>IF('T20'!$F$4=1,0.97,1)</f>
        <v>0.97</v>
      </c>
      <c r="G54">
        <f>IF('T20'!$F$4=1,0.95,1)</f>
        <v>0.95</v>
      </c>
      <c r="H54">
        <f t="shared" si="0"/>
        <v>2.7680749102385604E-3</v>
      </c>
    </row>
    <row r="55" spans="1:8" x14ac:dyDescent="0.25">
      <c r="A55" s="58">
        <v>54</v>
      </c>
      <c r="B55" s="59">
        <v>4.1777060914866583E-3</v>
      </c>
      <c r="C55">
        <f>IF('T20'!$F$4=1,0.925,1)</f>
        <v>0.92500000000000004</v>
      </c>
      <c r="D55">
        <f>IF('T20'!$F$4=1,0.925,1)</f>
        <v>0.92500000000000004</v>
      </c>
      <c r="E55">
        <f>IF('T20'!$F$4=1,0.925,1)</f>
        <v>0.92500000000000004</v>
      </c>
      <c r="F55">
        <f>IF('T20'!$F$4=1,0.97,1)</f>
        <v>0.97</v>
      </c>
      <c r="G55">
        <f>IF('T20'!$F$4=1,0.95,1)</f>
        <v>0.95</v>
      </c>
      <c r="H55">
        <f t="shared" si="0"/>
        <v>3.0469015459357175E-3</v>
      </c>
    </row>
    <row r="56" spans="1:8" x14ac:dyDescent="0.25">
      <c r="A56" s="58">
        <v>55</v>
      </c>
      <c r="B56" s="59">
        <v>4.6130945583227447E-3</v>
      </c>
      <c r="C56">
        <f>IF('T20'!$F$4=1,0.925,1)</f>
        <v>0.92500000000000004</v>
      </c>
      <c r="D56">
        <f>IF('T20'!$F$4=1,0.925,1)</f>
        <v>0.92500000000000004</v>
      </c>
      <c r="E56">
        <f>IF('T20'!$F$4=1,0.925,1)</f>
        <v>0.92500000000000004</v>
      </c>
      <c r="F56">
        <f>IF('T20'!$F$4=1,0.97,1)</f>
        <v>0.97</v>
      </c>
      <c r="G56">
        <f>IF('T20'!$F$4=1,0.95,1)</f>
        <v>0.95</v>
      </c>
      <c r="H56">
        <f t="shared" si="0"/>
        <v>3.3644408279327859E-3</v>
      </c>
    </row>
    <row r="57" spans="1:8" x14ac:dyDescent="0.25">
      <c r="A57" s="58">
        <v>56</v>
      </c>
      <c r="B57" s="59">
        <v>5.1056032027954256E-3</v>
      </c>
      <c r="C57">
        <f>IF('T20'!$F$4=1,0.925,1)</f>
        <v>0.92500000000000004</v>
      </c>
      <c r="D57">
        <f>IF('T20'!$F$4=1,0.925,1)</f>
        <v>0.92500000000000004</v>
      </c>
      <c r="E57">
        <f>IF('T20'!$F$4=1,0.925,1)</f>
        <v>0.92500000000000004</v>
      </c>
      <c r="F57">
        <f>IF('T20'!$F$4=1,0.97,1)</f>
        <v>0.97</v>
      </c>
      <c r="G57">
        <f>IF('T20'!$F$4=1,0.95,1)</f>
        <v>0.95</v>
      </c>
      <c r="H57">
        <f t="shared" si="0"/>
        <v>3.7236392294882456E-3</v>
      </c>
    </row>
    <row r="58" spans="1:8" x14ac:dyDescent="0.25">
      <c r="A58" s="58">
        <v>57</v>
      </c>
      <c r="B58" s="59">
        <v>5.619987973824651E-3</v>
      </c>
      <c r="C58">
        <f>IF('T20'!$F$4=1,0.925,1)</f>
        <v>0.92500000000000004</v>
      </c>
      <c r="D58">
        <f>IF('T20'!$F$4=1,0.925,1)</f>
        <v>0.92500000000000004</v>
      </c>
      <c r="E58">
        <f>IF('T20'!$F$4=1,0.925,1)</f>
        <v>0.92500000000000004</v>
      </c>
      <c r="F58">
        <f>IF('T20'!$F$4=1,0.97,1)</f>
        <v>0.97</v>
      </c>
      <c r="G58">
        <f>IF('T20'!$F$4=1,0.95,1)</f>
        <v>0.95</v>
      </c>
      <c r="H58">
        <f t="shared" si="0"/>
        <v>4.0987924163647825E-3</v>
      </c>
    </row>
    <row r="59" spans="1:8" x14ac:dyDescent="0.25">
      <c r="A59" s="58">
        <v>58</v>
      </c>
      <c r="B59" s="59">
        <v>6.1702892129606099E-3</v>
      </c>
      <c r="C59">
        <f>IF('T20'!$F$4=1,0.925,1)</f>
        <v>0.92500000000000004</v>
      </c>
      <c r="D59">
        <f>IF('T20'!$F$4=1,0.925,1)</f>
        <v>0.92500000000000004</v>
      </c>
      <c r="E59">
        <f>IF('T20'!$F$4=1,0.925,1)</f>
        <v>0.92500000000000004</v>
      </c>
      <c r="F59">
        <f>IF('T20'!$F$4=1,0.97,1)</f>
        <v>0.97</v>
      </c>
      <c r="G59">
        <f>IF('T20'!$F$4=1,0.95,1)</f>
        <v>0.95</v>
      </c>
      <c r="H59">
        <f t="shared" si="0"/>
        <v>4.5001403473909751E-3</v>
      </c>
    </row>
    <row r="60" spans="1:8" x14ac:dyDescent="0.25">
      <c r="A60" s="58">
        <v>59</v>
      </c>
      <c r="B60" s="59">
        <v>6.7757222424396444E-3</v>
      </c>
      <c r="C60">
        <f>IF('T20'!$F$4=1,0.925,1)</f>
        <v>0.92500000000000004</v>
      </c>
      <c r="D60">
        <f>IF('T20'!$F$4=1,0.925,1)</f>
        <v>0.92500000000000004</v>
      </c>
      <c r="E60">
        <f>IF('T20'!$F$4=1,0.925,1)</f>
        <v>0.92500000000000004</v>
      </c>
      <c r="F60">
        <f>IF('T20'!$F$4=1,0.97,1)</f>
        <v>0.97</v>
      </c>
      <c r="G60">
        <f>IF('T20'!$F$4=1,0.95,1)</f>
        <v>0.95</v>
      </c>
      <c r="H60">
        <f t="shared" si="0"/>
        <v>4.9416972192923613E-3</v>
      </c>
    </row>
    <row r="61" spans="1:8" x14ac:dyDescent="0.25">
      <c r="A61" s="58">
        <v>60</v>
      </c>
      <c r="B61" s="59">
        <v>7.5010029440914869E-3</v>
      </c>
      <c r="C61">
        <f>IF('T20'!$F$4=1,0.925,1)</f>
        <v>0.92500000000000004</v>
      </c>
      <c r="D61">
        <f>IF('T20'!$F$4=1,0.925,1)</f>
        <v>0.92500000000000004</v>
      </c>
      <c r="E61">
        <f>IF('T20'!$F$4=1,0.925,1)</f>
        <v>0.92500000000000004</v>
      </c>
      <c r="F61">
        <f>IF('T20'!$F$4=1,0.97,1)</f>
        <v>0.97</v>
      </c>
      <c r="G61">
        <f>IF('T20'!$F$4=1,0.95,1)</f>
        <v>0.95</v>
      </c>
      <c r="H61">
        <f t="shared" si="0"/>
        <v>5.4706618814076785E-3</v>
      </c>
    </row>
    <row r="62" spans="1:8" x14ac:dyDescent="0.25">
      <c r="A62" s="58">
        <v>61</v>
      </c>
      <c r="B62" s="59">
        <v>8.2742651761118172E-3</v>
      </c>
      <c r="C62">
        <f>IF('T20'!$F$4=1,0.925,1)</f>
        <v>0.92500000000000004</v>
      </c>
      <c r="D62">
        <f>IF('T20'!$F$4=1,0.925,1)</f>
        <v>0.92500000000000004</v>
      </c>
      <c r="E62">
        <f>IF('T20'!$F$4=1,0.925,1)</f>
        <v>0.92500000000000004</v>
      </c>
      <c r="F62">
        <f>IF('T20'!$F$4=1,0.97,1)</f>
        <v>0.97</v>
      </c>
      <c r="G62">
        <f>IF('T20'!$F$4=1,0.95,1)</f>
        <v>0.95</v>
      </c>
      <c r="H62">
        <f t="shared" si="0"/>
        <v>6.0346206278014515E-3</v>
      </c>
    </row>
    <row r="63" spans="1:8" x14ac:dyDescent="0.25">
      <c r="A63" s="58">
        <v>62</v>
      </c>
      <c r="B63" s="59">
        <v>9.0435150193138511E-3</v>
      </c>
      <c r="C63">
        <f>IF('T20'!$F$4=1,0.925,1)</f>
        <v>0.92500000000000004</v>
      </c>
      <c r="D63">
        <f>IF('T20'!$F$4=1,0.925,1)</f>
        <v>0.92500000000000004</v>
      </c>
      <c r="E63">
        <f>IF('T20'!$F$4=1,0.925,1)</f>
        <v>0.92500000000000004</v>
      </c>
      <c r="F63">
        <f>IF('T20'!$F$4=1,0.97,1)</f>
        <v>0.97</v>
      </c>
      <c r="G63">
        <f>IF('T20'!$F$4=1,0.95,1)</f>
        <v>0.95</v>
      </c>
      <c r="H63">
        <f t="shared" si="0"/>
        <v>6.5956530425132828E-3</v>
      </c>
    </row>
    <row r="64" spans="1:8" x14ac:dyDescent="0.25">
      <c r="A64" s="58">
        <v>63</v>
      </c>
      <c r="B64" s="59">
        <v>9.8905893872935201E-3</v>
      </c>
      <c r="C64">
        <f>IF('T20'!$F$4=1,0.925,1)</f>
        <v>0.92500000000000004</v>
      </c>
      <c r="D64">
        <f>IF('T20'!$F$4=1,0.925,1)</f>
        <v>0.92500000000000004</v>
      </c>
      <c r="E64">
        <f>IF('T20'!$F$4=1,0.925,1)</f>
        <v>0.92500000000000004</v>
      </c>
      <c r="F64">
        <f>IF('T20'!$F$4=1,0.97,1)</f>
        <v>0.97</v>
      </c>
      <c r="G64">
        <f>IF('T20'!$F$4=1,0.95,1)</f>
        <v>0.95</v>
      </c>
      <c r="H64">
        <f t="shared" si="0"/>
        <v>7.213444755190067E-3</v>
      </c>
    </row>
    <row r="65" spans="1:8" x14ac:dyDescent="0.25">
      <c r="A65" s="58">
        <v>64</v>
      </c>
      <c r="B65" s="59">
        <v>1.0791810686149936E-2</v>
      </c>
      <c r="C65">
        <f>IF('T20'!$F$4=1,0.925,1)</f>
        <v>0.92500000000000004</v>
      </c>
      <c r="D65">
        <f>IF('T20'!$F$4=1,0.925,1)</f>
        <v>0.92500000000000004</v>
      </c>
      <c r="E65">
        <f>IF('T20'!$F$4=1,0.925,1)</f>
        <v>0.92500000000000004</v>
      </c>
      <c r="F65">
        <f>IF('T20'!$F$4=1,0.97,1)</f>
        <v>0.97</v>
      </c>
      <c r="G65">
        <f>IF('T20'!$F$4=1,0.95,1)</f>
        <v>0.95</v>
      </c>
      <c r="H65">
        <f t="shared" si="0"/>
        <v>7.8707271270427644E-3</v>
      </c>
    </row>
    <row r="66" spans="1:8" x14ac:dyDescent="0.25">
      <c r="A66" s="58">
        <v>65</v>
      </c>
      <c r="B66" s="59">
        <v>1.179480792249047E-2</v>
      </c>
      <c r="C66">
        <f>IF('T20'!$F$4=1,0.925,1)</f>
        <v>0.92500000000000004</v>
      </c>
      <c r="D66">
        <f>IF('T20'!$F$4=1,0.925,1)</f>
        <v>0.92500000000000004</v>
      </c>
      <c r="E66">
        <f>IF('T20'!$F$4=1,0.925,1)</f>
        <v>0.92500000000000004</v>
      </c>
      <c r="F66">
        <f>IF('T20'!$F$4=1,0.97,1)</f>
        <v>0.97</v>
      </c>
      <c r="G66">
        <f>IF('T20'!$F$4=1,0.95,1)</f>
        <v>0.95</v>
      </c>
      <c r="H66">
        <f t="shared" si="0"/>
        <v>8.6022371382909971E-3</v>
      </c>
    </row>
    <row r="67" spans="1:8" x14ac:dyDescent="0.25">
      <c r="A67" s="58">
        <v>66</v>
      </c>
      <c r="B67" s="59">
        <v>1.295246090444727E-2</v>
      </c>
      <c r="C67">
        <f>IF('T20'!$F$4=1,0.925,1)</f>
        <v>0.92500000000000004</v>
      </c>
      <c r="D67">
        <f>IF('T20'!$F$4=1,0.925,1)</f>
        <v>0.92500000000000004</v>
      </c>
      <c r="E67">
        <f>IF('T20'!$F$4=1,0.925,1)</f>
        <v>0.92500000000000004</v>
      </c>
      <c r="F67">
        <f>IF('T20'!$F$4=1,0.97,1)</f>
        <v>0.97</v>
      </c>
      <c r="G67">
        <f>IF('T20'!$F$4=1,0.95,1)</f>
        <v>0.95</v>
      </c>
      <c r="H67">
        <f t="shared" ref="H67:H121" si="1">PRODUCT(B67:G67)</f>
        <v>9.446541305012806E-3</v>
      </c>
    </row>
    <row r="68" spans="1:8" x14ac:dyDescent="0.25">
      <c r="A68" s="58">
        <v>67</v>
      </c>
      <c r="B68" s="59">
        <v>1.4188622256416773E-2</v>
      </c>
      <c r="C68">
        <f>IF('T20'!$F$4=1,0.925,1)</f>
        <v>0.92500000000000004</v>
      </c>
      <c r="D68">
        <f>IF('T20'!$F$4=1,0.925,1)</f>
        <v>0.92500000000000004</v>
      </c>
      <c r="E68">
        <f>IF('T20'!$F$4=1,0.925,1)</f>
        <v>0.92500000000000004</v>
      </c>
      <c r="F68">
        <f>IF('T20'!$F$4=1,0.97,1)</f>
        <v>0.97</v>
      </c>
      <c r="G68">
        <f>IF('T20'!$F$4=1,0.95,1)</f>
        <v>0.95</v>
      </c>
      <c r="H68">
        <f t="shared" si="1"/>
        <v>1.0348103514479186E-2</v>
      </c>
    </row>
    <row r="69" spans="1:8" x14ac:dyDescent="0.25">
      <c r="A69" s="58">
        <v>68</v>
      </c>
      <c r="B69" s="59">
        <v>1.5503496109021601E-2</v>
      </c>
      <c r="C69">
        <f>IF('T20'!$F$4=1,0.925,1)</f>
        <v>0.92500000000000004</v>
      </c>
      <c r="D69">
        <f>IF('T20'!$F$4=1,0.925,1)</f>
        <v>0.92500000000000004</v>
      </c>
      <c r="E69">
        <f>IF('T20'!$F$4=1,0.925,1)</f>
        <v>0.92500000000000004</v>
      </c>
      <c r="F69">
        <f>IF('T20'!$F$4=1,0.97,1)</f>
        <v>0.97</v>
      </c>
      <c r="G69">
        <f>IF('T20'!$F$4=1,0.95,1)</f>
        <v>0.95</v>
      </c>
      <c r="H69">
        <f t="shared" si="1"/>
        <v>1.1307072644063514E-2</v>
      </c>
    </row>
    <row r="70" spans="1:8" x14ac:dyDescent="0.25">
      <c r="A70" s="58">
        <v>69</v>
      </c>
      <c r="B70" s="59">
        <v>1.6983421589326558E-2</v>
      </c>
      <c r="C70">
        <f>IF('T20'!$F$4=1,0.925,1)</f>
        <v>0.92500000000000004</v>
      </c>
      <c r="D70">
        <f>IF('T20'!$F$4=1,0.925,1)</f>
        <v>0.92500000000000004</v>
      </c>
      <c r="E70">
        <f>IF('T20'!$F$4=1,0.925,1)</f>
        <v>0.92500000000000004</v>
      </c>
      <c r="F70">
        <f>IF('T20'!$F$4=1,0.97,1)</f>
        <v>0.97</v>
      </c>
      <c r="G70">
        <f>IF('T20'!$F$4=1,0.95,1)</f>
        <v>0.95</v>
      </c>
      <c r="H70">
        <f t="shared" si="1"/>
        <v>1.2386417895994871E-2</v>
      </c>
    </row>
    <row r="71" spans="1:8" x14ac:dyDescent="0.25">
      <c r="A71" s="58">
        <v>70</v>
      </c>
      <c r="B71" s="59">
        <v>1.8651765124269377E-2</v>
      </c>
      <c r="C71">
        <f>IF('T20'!$F$4=1,0.925,1)</f>
        <v>0.92500000000000004</v>
      </c>
      <c r="D71">
        <f>IF('T20'!$F$4=1,0.925,1)</f>
        <v>0.92500000000000004</v>
      </c>
      <c r="E71">
        <f>IF('T20'!$F$4=1,0.925,1)</f>
        <v>0.92500000000000004</v>
      </c>
      <c r="F71">
        <f>IF('T20'!$F$4=1,0.97,1)</f>
        <v>0.97</v>
      </c>
      <c r="G71">
        <f>IF('T20'!$F$4=1,0.95,1)</f>
        <v>0.95</v>
      </c>
      <c r="H71">
        <f t="shared" si="1"/>
        <v>1.3603180967511048E-2</v>
      </c>
    </row>
    <row r="72" spans="1:8" x14ac:dyDescent="0.25">
      <c r="A72" s="58">
        <v>71</v>
      </c>
      <c r="B72" s="59">
        <v>2.0562487060736975E-2</v>
      </c>
      <c r="C72">
        <f>IF('T20'!$F$4=1,0.925,1)</f>
        <v>0.92500000000000004</v>
      </c>
      <c r="D72">
        <f>IF('T20'!$F$4=1,0.925,1)</f>
        <v>0.92500000000000004</v>
      </c>
      <c r="E72">
        <f>IF('T20'!$F$4=1,0.925,1)</f>
        <v>0.92500000000000004</v>
      </c>
      <c r="F72">
        <f>IF('T20'!$F$4=1,0.97,1)</f>
        <v>0.97</v>
      </c>
      <c r="G72">
        <f>IF('T20'!$F$4=1,0.95,1)</f>
        <v>0.95</v>
      </c>
      <c r="H72">
        <f t="shared" si="1"/>
        <v>1.4996716437595946E-2</v>
      </c>
    </row>
    <row r="73" spans="1:8" x14ac:dyDescent="0.25">
      <c r="A73" s="58">
        <v>72</v>
      </c>
      <c r="B73" s="59">
        <v>2.2765758884625162E-2</v>
      </c>
      <c r="C73">
        <f>IF('T20'!$F$4=1,0.925,1)</f>
        <v>0.92500000000000004</v>
      </c>
      <c r="D73">
        <f>IF('T20'!$F$4=1,0.925,1)</f>
        <v>0.92500000000000004</v>
      </c>
      <c r="E73">
        <f>IF('T20'!$F$4=1,0.925,1)</f>
        <v>0.92500000000000004</v>
      </c>
      <c r="F73">
        <f>IF('T20'!$F$4=1,0.97,1)</f>
        <v>0.97</v>
      </c>
      <c r="G73">
        <f>IF('T20'!$F$4=1,0.95,1)</f>
        <v>0.95</v>
      </c>
      <c r="H73">
        <f t="shared" si="1"/>
        <v>1.6603615577772804E-2</v>
      </c>
    </row>
    <row r="74" spans="1:8" x14ac:dyDescent="0.25">
      <c r="A74" s="58">
        <v>73</v>
      </c>
      <c r="B74" s="59">
        <v>2.5307340269123256E-2</v>
      </c>
      <c r="C74">
        <f>IF('T20'!$F$4=1,0.925,1)</f>
        <v>0.92500000000000004</v>
      </c>
      <c r="D74">
        <f>IF('T20'!$F$4=1,0.925,1)</f>
        <v>0.92500000000000004</v>
      </c>
      <c r="E74">
        <f>IF('T20'!$F$4=1,0.925,1)</f>
        <v>0.92500000000000004</v>
      </c>
      <c r="F74">
        <f>IF('T20'!$F$4=1,0.97,1)</f>
        <v>0.97</v>
      </c>
      <c r="G74">
        <f>IF('T20'!$F$4=1,0.95,1)</f>
        <v>0.95</v>
      </c>
      <c r="H74">
        <f t="shared" si="1"/>
        <v>1.8457252018433221E-2</v>
      </c>
    </row>
    <row r="75" spans="1:8" x14ac:dyDescent="0.25">
      <c r="A75" s="58">
        <v>74</v>
      </c>
      <c r="B75" s="59">
        <v>2.8334236526048284E-2</v>
      </c>
      <c r="C75">
        <f>IF('T20'!$F$4=1,0.925,1)</f>
        <v>0.92500000000000004</v>
      </c>
      <c r="D75">
        <f>IF('T20'!$F$4=1,0.925,1)</f>
        <v>0.92500000000000004</v>
      </c>
      <c r="E75">
        <f>IF('T20'!$F$4=1,0.925,1)</f>
        <v>0.92500000000000004</v>
      </c>
      <c r="F75">
        <f>IF('T20'!$F$4=1,0.97,1)</f>
        <v>0.97</v>
      </c>
      <c r="G75">
        <f>IF('T20'!$F$4=1,0.95,1)</f>
        <v>0.95</v>
      </c>
      <c r="H75">
        <f t="shared" si="1"/>
        <v>2.0664840269652197E-2</v>
      </c>
    </row>
    <row r="76" spans="1:8" x14ac:dyDescent="0.25">
      <c r="A76" s="58">
        <v>75</v>
      </c>
      <c r="B76" s="59">
        <v>3.1824836496060993E-2</v>
      </c>
      <c r="C76">
        <f>IF('T20'!$F$4=1,0.925,1)</f>
        <v>0.92500000000000004</v>
      </c>
      <c r="D76">
        <f>IF('T20'!$F$4=1,0.925,1)</f>
        <v>0.92500000000000004</v>
      </c>
      <c r="E76">
        <f>IF('T20'!$F$4=1,0.925,1)</f>
        <v>0.92500000000000004</v>
      </c>
      <c r="F76">
        <f>IF('T20'!$F$4=1,0.97,1)</f>
        <v>0.97</v>
      </c>
      <c r="G76">
        <f>IF('T20'!$F$4=1,0.95,1)</f>
        <v>0.95</v>
      </c>
      <c r="H76">
        <f t="shared" si="1"/>
        <v>2.3210618793073935E-2</v>
      </c>
    </row>
    <row r="77" spans="1:8" x14ac:dyDescent="0.25">
      <c r="A77" s="58">
        <v>76</v>
      </c>
      <c r="B77" s="59">
        <v>3.5833906505717918E-2</v>
      </c>
      <c r="C77">
        <f>IF('T20'!$F$4=1,0.925,1)</f>
        <v>0.92500000000000004</v>
      </c>
      <c r="D77">
        <f>IF('T20'!$F$4=1,0.925,1)</f>
        <v>0.92500000000000004</v>
      </c>
      <c r="E77">
        <f>IF('T20'!$F$4=1,0.925,1)</f>
        <v>0.92500000000000004</v>
      </c>
      <c r="F77">
        <f>IF('T20'!$F$4=1,0.97,1)</f>
        <v>0.97</v>
      </c>
      <c r="G77">
        <f>IF('T20'!$F$4=1,0.95,1)</f>
        <v>0.95</v>
      </c>
      <c r="H77">
        <f t="shared" si="1"/>
        <v>2.6134529988042974E-2</v>
      </c>
    </row>
    <row r="78" spans="1:8" x14ac:dyDescent="0.25">
      <c r="A78" s="58">
        <v>77</v>
      </c>
      <c r="B78" s="59">
        <v>4.0464987995425666E-2</v>
      </c>
      <c r="C78">
        <f>IF('T20'!$F$4=1,0.925,1)</f>
        <v>0.92500000000000004</v>
      </c>
      <c r="D78">
        <f>IF('T20'!$F$4=1,0.925,1)</f>
        <v>0.92500000000000004</v>
      </c>
      <c r="E78">
        <f>IF('T20'!$F$4=1,0.925,1)</f>
        <v>0.92500000000000004</v>
      </c>
      <c r="F78">
        <f>IF('T20'!$F$4=1,0.97,1)</f>
        <v>0.97</v>
      </c>
      <c r="G78">
        <f>IF('T20'!$F$4=1,0.95,1)</f>
        <v>0.95</v>
      </c>
      <c r="H78">
        <f t="shared" si="1"/>
        <v>2.9512089117704862E-2</v>
      </c>
    </row>
    <row r="79" spans="1:8" x14ac:dyDescent="0.25">
      <c r="A79" s="58">
        <v>78</v>
      </c>
      <c r="B79" s="59">
        <v>4.5643336333418043E-2</v>
      </c>
      <c r="C79">
        <f>IF('T20'!$F$4=1,0.925,1)</f>
        <v>0.92500000000000004</v>
      </c>
      <c r="D79">
        <f>IF('T20'!$F$4=1,0.925,1)</f>
        <v>0.92500000000000004</v>
      </c>
      <c r="E79">
        <f>IF('T20'!$F$4=1,0.925,1)</f>
        <v>0.92500000000000004</v>
      </c>
      <c r="F79">
        <f>IF('T20'!$F$4=1,0.97,1)</f>
        <v>0.97</v>
      </c>
      <c r="G79">
        <f>IF('T20'!$F$4=1,0.95,1)</f>
        <v>0.95</v>
      </c>
      <c r="H79">
        <f t="shared" si="1"/>
        <v>3.3288783124153738E-2</v>
      </c>
    </row>
    <row r="80" spans="1:8" x14ac:dyDescent="0.25">
      <c r="A80" s="58">
        <v>79</v>
      </c>
      <c r="B80" s="59">
        <v>5.1405899271918687E-2</v>
      </c>
      <c r="C80">
        <f>IF('T20'!$F$4=1,0.925,1)</f>
        <v>0.92500000000000004</v>
      </c>
      <c r="D80">
        <f>IF('T20'!$F$4=1,0.925,1)</f>
        <v>0.92500000000000004</v>
      </c>
      <c r="E80">
        <f>IF('T20'!$F$4=1,0.925,1)</f>
        <v>0.92500000000000004</v>
      </c>
      <c r="F80">
        <f>IF('T20'!$F$4=1,0.97,1)</f>
        <v>0.97</v>
      </c>
      <c r="G80">
        <f>IF('T20'!$F$4=1,0.95,1)</f>
        <v>0.95</v>
      </c>
      <c r="H80">
        <f t="shared" si="1"/>
        <v>3.7491558891852947E-2</v>
      </c>
    </row>
    <row r="81" spans="1:8" x14ac:dyDescent="0.25">
      <c r="A81" s="58">
        <v>80</v>
      </c>
      <c r="B81" s="59">
        <v>5.7695679228970773E-2</v>
      </c>
      <c r="C81">
        <f>IF('T20'!$F$4=1,0.925,1)</f>
        <v>0.92500000000000004</v>
      </c>
      <c r="D81">
        <f>IF('T20'!$F$4=1,0.925,1)</f>
        <v>0.92500000000000004</v>
      </c>
      <c r="E81">
        <f>IF('T20'!$F$4=1,0.925,1)</f>
        <v>0.92500000000000004</v>
      </c>
      <c r="F81">
        <f>IF('T20'!$F$4=1,0.97,1)</f>
        <v>0.97</v>
      </c>
      <c r="G81">
        <f>IF('T20'!$F$4=1,0.95,1)</f>
        <v>0.95</v>
      </c>
      <c r="H81">
        <f t="shared" si="1"/>
        <v>4.2078846713222338E-2</v>
      </c>
    </row>
    <row r="82" spans="1:8" x14ac:dyDescent="0.25">
      <c r="A82" s="58">
        <v>81</v>
      </c>
      <c r="B82" s="59">
        <v>6.4609670970775093E-2</v>
      </c>
      <c r="C82">
        <f>IF('T20'!$F$4=1,0.925,1)</f>
        <v>0.92500000000000004</v>
      </c>
      <c r="D82">
        <f>IF('T20'!$F$4=1,0.925,1)</f>
        <v>0.92500000000000004</v>
      </c>
      <c r="E82">
        <f>IF('T20'!$F$4=1,0.925,1)</f>
        <v>0.92500000000000004</v>
      </c>
      <c r="F82">
        <f>IF('T20'!$F$4=1,0.97,1)</f>
        <v>0.97</v>
      </c>
      <c r="G82">
        <f>IF('T20'!$F$4=1,0.95,1)</f>
        <v>0.95</v>
      </c>
      <c r="H82">
        <f t="shared" si="1"/>
        <v>4.7121387204430959E-2</v>
      </c>
    </row>
    <row r="83" spans="1:8" x14ac:dyDescent="0.25">
      <c r="A83" s="58">
        <v>82</v>
      </c>
      <c r="B83" s="59">
        <v>7.238829879618805E-2</v>
      </c>
      <c r="C83">
        <f>IF('T20'!$F$4=1,0.925,1)</f>
        <v>0.92500000000000004</v>
      </c>
      <c r="D83">
        <f>IF('T20'!$F$4=1,0.925,1)</f>
        <v>0.92500000000000004</v>
      </c>
      <c r="E83">
        <f>IF('T20'!$F$4=1,0.925,1)</f>
        <v>0.92500000000000004</v>
      </c>
      <c r="F83">
        <f>IF('T20'!$F$4=1,0.97,1)</f>
        <v>0.97</v>
      </c>
      <c r="G83">
        <f>IF('T20'!$F$4=1,0.95,1)</f>
        <v>0.95</v>
      </c>
      <c r="H83">
        <f t="shared" si="1"/>
        <v>5.2794527589966153E-2</v>
      </c>
    </row>
    <row r="84" spans="1:8" x14ac:dyDescent="0.25">
      <c r="A84" s="58">
        <v>83</v>
      </c>
      <c r="B84" s="59">
        <v>8.1128882170520972E-2</v>
      </c>
      <c r="C84">
        <f>IF('T20'!$F$4=1,0.925,1)</f>
        <v>0.92500000000000004</v>
      </c>
      <c r="D84">
        <f>IF('T20'!$F$4=1,0.925,1)</f>
        <v>0.92500000000000004</v>
      </c>
      <c r="E84">
        <f>IF('T20'!$F$4=1,0.925,1)</f>
        <v>0.92500000000000004</v>
      </c>
      <c r="F84">
        <f>IF('T20'!$F$4=1,0.97,1)</f>
        <v>0.97</v>
      </c>
      <c r="G84">
        <f>IF('T20'!$F$4=1,0.95,1)</f>
        <v>0.95</v>
      </c>
      <c r="H84">
        <f t="shared" si="1"/>
        <v>5.9169245296868782E-2</v>
      </c>
    </row>
    <row r="85" spans="1:8" x14ac:dyDescent="0.25">
      <c r="A85" s="58">
        <v>84</v>
      </c>
      <c r="B85" s="59">
        <v>9.0986516077001256E-2</v>
      </c>
      <c r="C85">
        <f>IF('T20'!$F$4=1,0.925,1)</f>
        <v>0.92500000000000004</v>
      </c>
      <c r="D85">
        <f>IF('T20'!$F$4=1,0.925,1)</f>
        <v>0.92500000000000004</v>
      </c>
      <c r="E85">
        <f>IF('T20'!$F$4=1,0.925,1)</f>
        <v>0.92500000000000004</v>
      </c>
      <c r="F85">
        <f>IF('T20'!$F$4=1,0.97,1)</f>
        <v>0.97</v>
      </c>
      <c r="G85">
        <f>IF('T20'!$F$4=1,0.95,1)</f>
        <v>0.95</v>
      </c>
      <c r="H85">
        <f t="shared" si="1"/>
        <v>6.6358654827167948E-2</v>
      </c>
    </row>
    <row r="86" spans="1:8" x14ac:dyDescent="0.25">
      <c r="A86" s="58">
        <v>85</v>
      </c>
      <c r="B86" s="59">
        <v>0.10163566077153749</v>
      </c>
      <c r="C86">
        <f>IF('T20'!$F$4=1,0.925,1)</f>
        <v>0.92500000000000004</v>
      </c>
      <c r="D86">
        <f>IF('T20'!$F$4=1,0.925,1)</f>
        <v>0.92500000000000004</v>
      </c>
      <c r="E86">
        <f>IF('T20'!$F$4=1,0.925,1)</f>
        <v>0.92500000000000004</v>
      </c>
      <c r="F86">
        <f>IF('T20'!$F$4=1,0.97,1)</f>
        <v>0.97</v>
      </c>
      <c r="G86">
        <f>IF('T20'!$F$4=1,0.95,1)</f>
        <v>0.95</v>
      </c>
      <c r="H86">
        <f t="shared" si="1"/>
        <v>7.4125332214741005E-2</v>
      </c>
    </row>
    <row r="87" spans="1:8" x14ac:dyDescent="0.25">
      <c r="A87" s="58">
        <v>86</v>
      </c>
      <c r="B87" s="59">
        <v>0.11276342591181704</v>
      </c>
      <c r="C87">
        <f>IF('T20'!$F$4=1,0.925,1)</f>
        <v>0.92500000000000004</v>
      </c>
      <c r="D87">
        <f>IF('T20'!$F$4=1,0.925,1)</f>
        <v>0.92500000000000004</v>
      </c>
      <c r="E87">
        <f>IF('T20'!$F$4=1,0.925,1)</f>
        <v>0.92500000000000004</v>
      </c>
      <c r="F87">
        <f>IF('T20'!$F$4=1,0.97,1)</f>
        <v>0.97</v>
      </c>
      <c r="G87">
        <f>IF('T20'!$F$4=1,0.95,1)</f>
        <v>0.95</v>
      </c>
      <c r="H87">
        <f t="shared" si="1"/>
        <v>8.2241079006459925E-2</v>
      </c>
    </row>
    <row r="88" spans="1:8" x14ac:dyDescent="0.25">
      <c r="A88" s="58">
        <v>87</v>
      </c>
      <c r="B88" s="59">
        <v>0.12490965290927573</v>
      </c>
      <c r="C88">
        <f>IF('T20'!$F$4=1,0.925,1)</f>
        <v>0.92500000000000004</v>
      </c>
      <c r="D88">
        <f>IF('T20'!$F$4=1,0.925,1)</f>
        <v>0.92500000000000004</v>
      </c>
      <c r="E88">
        <f>IF('T20'!$F$4=1,0.925,1)</f>
        <v>0.92500000000000004</v>
      </c>
      <c r="F88">
        <f>IF('T20'!$F$4=1,0.97,1)</f>
        <v>0.97</v>
      </c>
      <c r="G88">
        <f>IF('T20'!$F$4=1,0.95,1)</f>
        <v>0.95</v>
      </c>
      <c r="H88">
        <f t="shared" si="1"/>
        <v>9.1099614529401268E-2</v>
      </c>
    </row>
    <row r="89" spans="1:8" x14ac:dyDescent="0.25">
      <c r="A89" s="58">
        <v>88</v>
      </c>
      <c r="B89" s="59">
        <v>0.13803127342998731</v>
      </c>
      <c r="C89">
        <f>IF('T20'!$F$4=1,0.925,1)</f>
        <v>0.92500000000000004</v>
      </c>
      <c r="D89">
        <f>IF('T20'!$F$4=1,0.925,1)</f>
        <v>0.92500000000000004</v>
      </c>
      <c r="E89">
        <f>IF('T20'!$F$4=1,0.925,1)</f>
        <v>0.92500000000000004</v>
      </c>
      <c r="F89">
        <f>IF('T20'!$F$4=1,0.97,1)</f>
        <v>0.97</v>
      </c>
      <c r="G89">
        <f>IF('T20'!$F$4=1,0.95,1)</f>
        <v>0.95</v>
      </c>
      <c r="H89">
        <f t="shared" si="1"/>
        <v>0.10066952801163734</v>
      </c>
    </row>
    <row r="90" spans="1:8" x14ac:dyDescent="0.25">
      <c r="A90" s="58">
        <v>89</v>
      </c>
      <c r="B90" s="59">
        <v>0.15248948848157562</v>
      </c>
      <c r="C90">
        <f>IF('T20'!$F$4=1,0.925,1)</f>
        <v>0.92500000000000004</v>
      </c>
      <c r="D90">
        <f>IF('T20'!$F$4=1,0.925,1)</f>
        <v>0.92500000000000004</v>
      </c>
      <c r="E90">
        <f>IF('T20'!$F$4=1,0.925,1)</f>
        <v>0.92500000000000004</v>
      </c>
      <c r="F90">
        <f>IF('T20'!$F$4=1,0.97,1)</f>
        <v>0.97</v>
      </c>
      <c r="G90">
        <f>IF('T20'!$F$4=1,0.95,1)</f>
        <v>0.95</v>
      </c>
      <c r="H90">
        <f t="shared" si="1"/>
        <v>0.11121425203660557</v>
      </c>
    </row>
    <row r="91" spans="1:8" x14ac:dyDescent="0.25">
      <c r="A91" s="58">
        <v>90</v>
      </c>
      <c r="B91" s="59">
        <v>0.16847775353087674</v>
      </c>
      <c r="C91">
        <f>IF('T20'!$F$4=1,0.925,1)</f>
        <v>0.92500000000000004</v>
      </c>
      <c r="D91">
        <f>IF('T20'!$F$4=1,0.925,1)</f>
        <v>0.92500000000000004</v>
      </c>
      <c r="E91">
        <f>IF('T20'!$F$4=1,0.925,1)</f>
        <v>0.92500000000000004</v>
      </c>
      <c r="F91">
        <f>IF('T20'!$F$4=1,0.97,1)</f>
        <v>0.97</v>
      </c>
      <c r="G91">
        <f>IF('T20'!$F$4=1,0.95,1)</f>
        <v>0.95</v>
      </c>
      <c r="H91">
        <f t="shared" si="1"/>
        <v>0.12287487832978029</v>
      </c>
    </row>
    <row r="92" spans="1:8" x14ac:dyDescent="0.25">
      <c r="A92" s="58">
        <v>91</v>
      </c>
      <c r="B92" s="59">
        <v>0.18435779780889455</v>
      </c>
      <c r="C92">
        <f>IF('T20'!$F$4=1,0.925,1)</f>
        <v>0.92500000000000004</v>
      </c>
      <c r="D92">
        <f>IF('T20'!$F$4=1,0.925,1)</f>
        <v>0.92500000000000004</v>
      </c>
      <c r="E92">
        <f>IF('T20'!$F$4=1,0.925,1)</f>
        <v>0.92500000000000004</v>
      </c>
      <c r="F92">
        <f>IF('T20'!$F$4=1,0.97,1)</f>
        <v>0.97</v>
      </c>
      <c r="G92">
        <f>IF('T20'!$F$4=1,0.95,1)</f>
        <v>0.95</v>
      </c>
      <c r="H92">
        <f t="shared" si="1"/>
        <v>0.1344565766112413</v>
      </c>
    </row>
    <row r="93" spans="1:8" x14ac:dyDescent="0.25">
      <c r="A93" s="58">
        <v>92</v>
      </c>
      <c r="B93" s="59">
        <v>0.20150767026226174</v>
      </c>
      <c r="C93">
        <f>IF('T20'!$F$4=1,0.925,1)</f>
        <v>0.92500000000000004</v>
      </c>
      <c r="D93">
        <f>IF('T20'!$F$4=1,0.925,1)</f>
        <v>0.92500000000000004</v>
      </c>
      <c r="E93">
        <f>IF('T20'!$F$4=1,0.925,1)</f>
        <v>0.92500000000000004</v>
      </c>
      <c r="F93">
        <f>IF('T20'!$F$4=1,0.97,1)</f>
        <v>0.97</v>
      </c>
      <c r="G93">
        <f>IF('T20'!$F$4=1,0.95,1)</f>
        <v>0.95</v>
      </c>
      <c r="H93">
        <f t="shared" si="1"/>
        <v>0.14696439112630449</v>
      </c>
    </row>
    <row r="94" spans="1:8" x14ac:dyDescent="0.25">
      <c r="A94" s="58">
        <v>93</v>
      </c>
      <c r="B94" s="59">
        <v>0.21947818412782719</v>
      </c>
      <c r="C94">
        <f>IF('T20'!$F$4=1,0.925,1)</f>
        <v>0.92500000000000004</v>
      </c>
      <c r="D94">
        <f>IF('T20'!$F$4=1,0.925,1)</f>
        <v>0.92500000000000004</v>
      </c>
      <c r="E94">
        <f>IF('T20'!$F$4=1,0.925,1)</f>
        <v>0.92500000000000004</v>
      </c>
      <c r="F94">
        <f>IF('T20'!$F$4=1,0.97,1)</f>
        <v>0.97</v>
      </c>
      <c r="G94">
        <f>IF('T20'!$F$4=1,0.95,1)</f>
        <v>0.95</v>
      </c>
      <c r="H94">
        <f t="shared" si="1"/>
        <v>0.16007071916355667</v>
      </c>
    </row>
    <row r="95" spans="1:8" x14ac:dyDescent="0.25">
      <c r="A95" s="58">
        <v>94</v>
      </c>
      <c r="B95" s="59">
        <v>0.23804537449479032</v>
      </c>
      <c r="C95">
        <f>IF('T20'!$F$4=1,0.925,1)</f>
        <v>0.92500000000000004</v>
      </c>
      <c r="D95">
        <f>IF('T20'!$F$4=1,0.925,1)</f>
        <v>0.92500000000000004</v>
      </c>
      <c r="E95">
        <f>IF('T20'!$F$4=1,0.925,1)</f>
        <v>0.92500000000000004</v>
      </c>
      <c r="F95">
        <f>IF('T20'!$F$4=1,0.97,1)</f>
        <v>0.97</v>
      </c>
      <c r="G95">
        <f>IF('T20'!$F$4=1,0.95,1)</f>
        <v>0.95</v>
      </c>
      <c r="H95">
        <f t="shared" si="1"/>
        <v>0.17361221772614491</v>
      </c>
    </row>
    <row r="96" spans="1:8" x14ac:dyDescent="0.25">
      <c r="A96" s="58">
        <v>95</v>
      </c>
      <c r="B96" s="59">
        <v>0.25796651698627704</v>
      </c>
      <c r="C96">
        <f>IF('T20'!$F$4=1,0.925,1)</f>
        <v>0.92500000000000004</v>
      </c>
      <c r="D96">
        <f>IF('T20'!$F$4=1,0.925,1)</f>
        <v>0.92500000000000004</v>
      </c>
      <c r="E96">
        <f>IF('T20'!$F$4=1,0.925,1)</f>
        <v>0.92500000000000004</v>
      </c>
      <c r="F96">
        <f>IF('T20'!$F$4=1,0.97,1)</f>
        <v>0.97</v>
      </c>
      <c r="G96">
        <f>IF('T20'!$F$4=1,0.95,1)</f>
        <v>0.95</v>
      </c>
      <c r="H96">
        <f t="shared" si="1"/>
        <v>0.18814118614204342</v>
      </c>
    </row>
    <row r="97" spans="1:8" x14ac:dyDescent="0.25">
      <c r="A97" s="58">
        <v>96</v>
      </c>
      <c r="B97" s="59">
        <v>0.27845540395654383</v>
      </c>
      <c r="C97">
        <f>IF('T20'!$F$4=1,0.925,1)</f>
        <v>0.92500000000000004</v>
      </c>
      <c r="D97">
        <f>IF('T20'!$F$4=1,0.925,1)</f>
        <v>0.92500000000000004</v>
      </c>
      <c r="E97">
        <f>IF('T20'!$F$4=1,0.925,1)</f>
        <v>0.92500000000000004</v>
      </c>
      <c r="F97">
        <f>IF('T20'!$F$4=1,0.97,1)</f>
        <v>0.97</v>
      </c>
      <c r="G97">
        <f>IF('T20'!$F$4=1,0.95,1)</f>
        <v>0.95</v>
      </c>
      <c r="H97">
        <f t="shared" si="1"/>
        <v>0.2030842242632323</v>
      </c>
    </row>
    <row r="98" spans="1:8" x14ac:dyDescent="0.25">
      <c r="A98" s="58">
        <v>97</v>
      </c>
      <c r="B98" s="59">
        <v>0.3001550888663278</v>
      </c>
      <c r="C98">
        <f>IF('T20'!$F$4=1,0.925,1)</f>
        <v>0.92500000000000004</v>
      </c>
      <c r="D98">
        <f>IF('T20'!$F$4=1,0.925,1)</f>
        <v>0.92500000000000004</v>
      </c>
      <c r="E98">
        <f>IF('T20'!$F$4=1,0.925,1)</f>
        <v>0.92500000000000004</v>
      </c>
      <c r="F98">
        <f>IF('T20'!$F$4=1,0.97,1)</f>
        <v>0.97</v>
      </c>
      <c r="G98">
        <f>IF('T20'!$F$4=1,0.95,1)</f>
        <v>0.95</v>
      </c>
      <c r="H98">
        <f t="shared" si="1"/>
        <v>0.21891032644707709</v>
      </c>
    </row>
    <row r="99" spans="1:8" x14ac:dyDescent="0.25">
      <c r="A99" s="58">
        <v>98</v>
      </c>
      <c r="B99" s="59">
        <v>0.32312675535603558</v>
      </c>
      <c r="C99">
        <f>IF('T20'!$F$4=1,0.925,1)</f>
        <v>0.92500000000000004</v>
      </c>
      <c r="D99">
        <f>IF('T20'!$F$4=1,0.925,1)</f>
        <v>0.92500000000000004</v>
      </c>
      <c r="E99">
        <f>IF('T20'!$F$4=1,0.925,1)</f>
        <v>0.92500000000000004</v>
      </c>
      <c r="F99">
        <f>IF('T20'!$F$4=1,0.97,1)</f>
        <v>0.97</v>
      </c>
      <c r="G99">
        <f>IF('T20'!$F$4=1,0.95,1)</f>
        <v>0.95</v>
      </c>
      <c r="H99">
        <f t="shared" si="1"/>
        <v>0.23566411539427967</v>
      </c>
    </row>
    <row r="100" spans="1:8" x14ac:dyDescent="0.25">
      <c r="A100" s="58">
        <v>99</v>
      </c>
      <c r="B100" s="59">
        <v>0.34652291522744605</v>
      </c>
      <c r="C100">
        <f>IF('T20'!$F$4=1,0.925,1)</f>
        <v>0.92500000000000004</v>
      </c>
      <c r="D100">
        <f>IF('T20'!$F$4=1,0.925,1)</f>
        <v>0.92500000000000004</v>
      </c>
      <c r="E100">
        <f>IF('T20'!$F$4=1,0.925,1)</f>
        <v>0.92500000000000004</v>
      </c>
      <c r="F100">
        <f>IF('T20'!$F$4=1,0.97,1)</f>
        <v>0.97</v>
      </c>
      <c r="G100">
        <f>IF('T20'!$F$4=1,0.95,1)</f>
        <v>0.95</v>
      </c>
      <c r="H100">
        <f t="shared" si="1"/>
        <v>0.25272749757581375</v>
      </c>
    </row>
    <row r="101" spans="1:8" x14ac:dyDescent="0.25">
      <c r="A101" s="58">
        <v>100</v>
      </c>
      <c r="B101" s="59">
        <v>0.37097341737992373</v>
      </c>
      <c r="C101">
        <f>IF('T20'!$F$4=1,0.925,1)</f>
        <v>0.92500000000000004</v>
      </c>
      <c r="D101">
        <f>IF('T20'!$F$4=1,0.925,1)</f>
        <v>0.92500000000000004</v>
      </c>
      <c r="E101">
        <f>IF('T20'!$F$4=1,0.925,1)</f>
        <v>0.92500000000000004</v>
      </c>
      <c r="F101">
        <f>IF('T20'!$F$4=1,0.97,1)</f>
        <v>0.97</v>
      </c>
      <c r="G101">
        <f>IF('T20'!$F$4=1,0.95,1)</f>
        <v>0.95</v>
      </c>
      <c r="H101">
        <f t="shared" si="1"/>
        <v>0.27055983694480429</v>
      </c>
    </row>
    <row r="102" spans="1:8" x14ac:dyDescent="0.25">
      <c r="A102" s="58">
        <v>101</v>
      </c>
      <c r="B102" s="59">
        <v>0.39558799944950446</v>
      </c>
      <c r="C102">
        <f>IF('T20'!$F$4=1,0.925,1)</f>
        <v>0.92500000000000004</v>
      </c>
      <c r="D102">
        <f>IF('T20'!$F$4=1,0.925,1)</f>
        <v>0.92500000000000004</v>
      </c>
      <c r="E102">
        <f>IF('T20'!$F$4=1,0.925,1)</f>
        <v>0.92500000000000004</v>
      </c>
      <c r="F102">
        <f>IF('T20'!$F$4=1,0.97,1)</f>
        <v>0.97</v>
      </c>
      <c r="G102">
        <f>IF('T20'!$F$4=1,0.95,1)</f>
        <v>0.95</v>
      </c>
      <c r="H102">
        <f t="shared" si="1"/>
        <v>0.28851184374422911</v>
      </c>
    </row>
    <row r="103" spans="1:8" x14ac:dyDescent="0.25">
      <c r="A103" s="58">
        <v>102</v>
      </c>
      <c r="B103" s="59">
        <v>0.41980049707080053</v>
      </c>
      <c r="C103">
        <f>IF('T20'!$F$4=1,0.925,1)</f>
        <v>0.92500000000000004</v>
      </c>
      <c r="D103">
        <f>IF('T20'!$F$4=1,0.925,1)</f>
        <v>0.92500000000000004</v>
      </c>
      <c r="E103">
        <f>IF('T20'!$F$4=1,0.925,1)</f>
        <v>0.92500000000000004</v>
      </c>
      <c r="F103">
        <f>IF('T20'!$F$4=1,0.97,1)</f>
        <v>0.97</v>
      </c>
      <c r="G103">
        <f>IF('T20'!$F$4=1,0.95,1)</f>
        <v>0.95</v>
      </c>
      <c r="H103">
        <f t="shared" si="1"/>
        <v>0.30617060068350421</v>
      </c>
    </row>
    <row r="104" spans="1:8" x14ac:dyDescent="0.25">
      <c r="A104" s="58">
        <v>103</v>
      </c>
      <c r="B104" s="59">
        <v>0.44459121840721733</v>
      </c>
      <c r="C104">
        <f>IF('T20'!$F$4=1,0.925,1)</f>
        <v>0.92500000000000004</v>
      </c>
      <c r="D104">
        <f>IF('T20'!$F$4=1,0.925,1)</f>
        <v>0.92500000000000004</v>
      </c>
      <c r="E104">
        <f>IF('T20'!$F$4=1,0.925,1)</f>
        <v>0.92500000000000004</v>
      </c>
      <c r="F104">
        <f>IF('T20'!$F$4=1,0.97,1)</f>
        <v>0.97</v>
      </c>
      <c r="G104">
        <f>IF('T20'!$F$4=1,0.95,1)</f>
        <v>0.95</v>
      </c>
      <c r="H104">
        <f t="shared" si="1"/>
        <v>0.32425107008720772</v>
      </c>
    </row>
    <row r="105" spans="1:8" x14ac:dyDescent="0.25">
      <c r="A105" s="58">
        <v>104</v>
      </c>
      <c r="B105" s="59">
        <v>0.46981582329306226</v>
      </c>
      <c r="C105">
        <f>IF('T20'!$F$4=1,0.925,1)</f>
        <v>0.92500000000000004</v>
      </c>
      <c r="D105">
        <f>IF('T20'!$F$4=1,0.925,1)</f>
        <v>0.92500000000000004</v>
      </c>
      <c r="E105">
        <f>IF('T20'!$F$4=1,0.925,1)</f>
        <v>0.92500000000000004</v>
      </c>
      <c r="F105">
        <f>IF('T20'!$F$4=1,0.97,1)</f>
        <v>0.97</v>
      </c>
      <c r="G105">
        <f>IF('T20'!$F$4=1,0.95,1)</f>
        <v>0.95</v>
      </c>
      <c r="H105">
        <f t="shared" si="1"/>
        <v>0.34264798120044221</v>
      </c>
    </row>
    <row r="106" spans="1:8" x14ac:dyDescent="0.25">
      <c r="A106" s="58">
        <v>105</v>
      </c>
      <c r="B106" s="59">
        <v>0.49531220556264299</v>
      </c>
      <c r="C106">
        <f>IF('T20'!$F$4=1,0.925,1)</f>
        <v>0.92500000000000004</v>
      </c>
      <c r="D106">
        <f>IF('T20'!$F$4=1,0.925,1)</f>
        <v>0.92500000000000004</v>
      </c>
      <c r="E106">
        <f>IF('T20'!$F$4=1,0.925,1)</f>
        <v>0.92500000000000004</v>
      </c>
      <c r="F106">
        <f>IF('T20'!$F$4=1,0.97,1)</f>
        <v>0.97</v>
      </c>
      <c r="G106">
        <f>IF('T20'!$F$4=1,0.95,1)</f>
        <v>0.95</v>
      </c>
      <c r="H106">
        <f t="shared" si="1"/>
        <v>0.36124310609715526</v>
      </c>
    </row>
    <row r="107" spans="1:8" x14ac:dyDescent="0.25">
      <c r="A107" s="58">
        <v>106</v>
      </c>
      <c r="B107" s="59">
        <v>0.5209182590502669</v>
      </c>
      <c r="C107">
        <f>IF('T20'!$F$4=1,0.925,1)</f>
        <v>0.92500000000000004</v>
      </c>
      <c r="D107">
        <f>IF('T20'!$F$4=1,0.925,1)</f>
        <v>0.92500000000000004</v>
      </c>
      <c r="E107">
        <f>IF('T20'!$F$4=1,0.925,1)</f>
        <v>0.92500000000000004</v>
      </c>
      <c r="F107">
        <f>IF('T20'!$F$4=1,0.97,1)</f>
        <v>0.97</v>
      </c>
      <c r="G107">
        <f>IF('T20'!$F$4=1,0.95,1)</f>
        <v>0.95</v>
      </c>
      <c r="H107">
        <f t="shared" si="1"/>
        <v>0.37991821685129418</v>
      </c>
    </row>
    <row r="108" spans="1:8" x14ac:dyDescent="0.25">
      <c r="A108" s="58">
        <v>107</v>
      </c>
      <c r="B108" s="59">
        <v>0.54665980912289713</v>
      </c>
      <c r="C108">
        <f>IF('T20'!$F$4=1,0.925,1)</f>
        <v>0.92500000000000004</v>
      </c>
      <c r="D108">
        <f>IF('T20'!$F$4=1,0.925,1)</f>
        <v>0.92500000000000004</v>
      </c>
      <c r="E108">
        <f>IF('T20'!$F$4=1,0.925,1)</f>
        <v>0.92500000000000004</v>
      </c>
      <c r="F108">
        <f>IF('T20'!$F$4=1,0.97,1)</f>
        <v>0.97</v>
      </c>
      <c r="G108">
        <f>IF('T20'!$F$4=1,0.95,1)</f>
        <v>0.95</v>
      </c>
      <c r="H108">
        <f t="shared" si="1"/>
        <v>0.39869214852420615</v>
      </c>
    </row>
    <row r="109" spans="1:8" x14ac:dyDescent="0.25">
      <c r="A109" s="58">
        <v>108</v>
      </c>
      <c r="B109" s="59">
        <v>0.57258531688320202</v>
      </c>
      <c r="C109">
        <f>IF('T20'!$F$4=1,0.925,1)</f>
        <v>0.92500000000000004</v>
      </c>
      <c r="D109">
        <f>IF('T20'!$F$4=1,0.925,1)</f>
        <v>0.92500000000000004</v>
      </c>
      <c r="E109">
        <f>IF('T20'!$F$4=1,0.925,1)</f>
        <v>0.92500000000000004</v>
      </c>
      <c r="F109">
        <f>IF('T20'!$F$4=1,0.97,1)</f>
        <v>0.97</v>
      </c>
      <c r="G109">
        <f>IF('T20'!$F$4=1,0.95,1)</f>
        <v>0.95</v>
      </c>
      <c r="H109">
        <f t="shared" si="1"/>
        <v>0.41760024496378395</v>
      </c>
    </row>
    <row r="110" spans="1:8" x14ac:dyDescent="0.25">
      <c r="A110" s="58">
        <v>109</v>
      </c>
      <c r="B110" s="59">
        <v>0.59854572710932663</v>
      </c>
      <c r="C110">
        <f>IF('T20'!$F$4=1,0.925,1)</f>
        <v>0.92500000000000004</v>
      </c>
      <c r="D110">
        <f>IF('T20'!$F$4=1,0.925,1)</f>
        <v>0.92500000000000004</v>
      </c>
      <c r="E110">
        <f>IF('T20'!$F$4=1,0.925,1)</f>
        <v>0.92500000000000004</v>
      </c>
      <c r="F110">
        <f>IF('T20'!$F$4=1,0.97,1)</f>
        <v>0.97</v>
      </c>
      <c r="G110">
        <f>IF('T20'!$F$4=1,0.95,1)</f>
        <v>0.95</v>
      </c>
      <c r="H110">
        <f t="shared" si="1"/>
        <v>0.43653379661125191</v>
      </c>
    </row>
    <row r="111" spans="1:8" x14ac:dyDescent="0.25">
      <c r="A111" s="58">
        <v>110</v>
      </c>
      <c r="B111" s="59">
        <v>0.62439216023913602</v>
      </c>
      <c r="C111">
        <f>IF('T20'!$F$4=1,0.925,1)</f>
        <v>0.92500000000000004</v>
      </c>
      <c r="D111">
        <f>IF('T20'!$F$4=1,0.925,1)</f>
        <v>0.92500000000000004</v>
      </c>
      <c r="E111">
        <f>IF('T20'!$F$4=1,0.925,1)</f>
        <v>0.92500000000000004</v>
      </c>
      <c r="F111">
        <f>IF('T20'!$F$4=1,0.97,1)</f>
        <v>0.97</v>
      </c>
      <c r="G111">
        <f>IF('T20'!$F$4=1,0.95,1)</f>
        <v>0.95</v>
      </c>
      <c r="H111">
        <f t="shared" si="1"/>
        <v>0.45538422202069384</v>
      </c>
    </row>
    <row r="112" spans="1:8" x14ac:dyDescent="0.25">
      <c r="A112" s="58">
        <v>111</v>
      </c>
      <c r="B112" s="59">
        <v>0.65439911939105466</v>
      </c>
      <c r="C112">
        <f>IF('T20'!$F$4=1,0.925,1)</f>
        <v>0.92500000000000004</v>
      </c>
      <c r="D112">
        <f>IF('T20'!$F$4=1,0.925,1)</f>
        <v>0.92500000000000004</v>
      </c>
      <c r="E112">
        <f>IF('T20'!$F$4=1,0.925,1)</f>
        <v>0.92500000000000004</v>
      </c>
      <c r="F112">
        <f>IF('T20'!$F$4=1,0.97,1)</f>
        <v>0.97</v>
      </c>
      <c r="G112">
        <f>IF('T20'!$F$4=1,0.95,1)</f>
        <v>0.95</v>
      </c>
      <c r="H112">
        <f t="shared" si="1"/>
        <v>0.47726901913821346</v>
      </c>
    </row>
    <row r="113" spans="1:8" x14ac:dyDescent="0.25">
      <c r="A113" s="58">
        <v>112</v>
      </c>
      <c r="B113" s="59">
        <v>0.68424289066266841</v>
      </c>
      <c r="C113">
        <f>IF('T20'!$F$4=1,0.925,1)</f>
        <v>0.92500000000000004</v>
      </c>
      <c r="D113">
        <f>IF('T20'!$F$4=1,0.925,1)</f>
        <v>0.92500000000000004</v>
      </c>
      <c r="E113">
        <f>IF('T20'!$F$4=1,0.925,1)</f>
        <v>0.92500000000000004</v>
      </c>
      <c r="F113">
        <f>IF('T20'!$F$4=1,0.97,1)</f>
        <v>0.97</v>
      </c>
      <c r="G113">
        <f>IF('T20'!$F$4=1,0.95,1)</f>
        <v>0.95</v>
      </c>
      <c r="H113">
        <f t="shared" si="1"/>
        <v>0.49903479940919315</v>
      </c>
    </row>
    <row r="114" spans="1:8" x14ac:dyDescent="0.25">
      <c r="A114" s="58">
        <v>113</v>
      </c>
      <c r="B114" s="59">
        <v>0.71388658551268114</v>
      </c>
      <c r="C114">
        <f>IF('T20'!$F$4=1,0.925,1)</f>
        <v>0.92500000000000004</v>
      </c>
      <c r="D114">
        <f>IF('T20'!$F$4=1,0.925,1)</f>
        <v>0.92500000000000004</v>
      </c>
      <c r="E114">
        <f>IF('T20'!$F$4=1,0.925,1)</f>
        <v>0.92500000000000004</v>
      </c>
      <c r="F114">
        <f>IF('T20'!$F$4=1,0.97,1)</f>
        <v>0.97</v>
      </c>
      <c r="G114">
        <f>IF('T20'!$F$4=1,0.95,1)</f>
        <v>0.95</v>
      </c>
      <c r="H114">
        <f t="shared" si="1"/>
        <v>0.52065465913312325</v>
      </c>
    </row>
    <row r="115" spans="1:8" x14ac:dyDescent="0.25">
      <c r="A115" s="58">
        <v>114</v>
      </c>
      <c r="B115" s="59">
        <v>0.74329384237895813</v>
      </c>
      <c r="C115">
        <f>IF('T20'!$F$4=1,0.925,1)</f>
        <v>0.92500000000000004</v>
      </c>
      <c r="D115">
        <f>IF('T20'!$F$4=1,0.925,1)</f>
        <v>0.92500000000000004</v>
      </c>
      <c r="E115">
        <f>IF('T20'!$F$4=1,0.925,1)</f>
        <v>0.92500000000000004</v>
      </c>
      <c r="F115">
        <f>IF('T20'!$F$4=1,0.97,1)</f>
        <v>0.97</v>
      </c>
      <c r="G115">
        <f>IF('T20'!$F$4=1,0.95,1)</f>
        <v>0.95</v>
      </c>
      <c r="H115">
        <f t="shared" si="1"/>
        <v>0.54210207894807327</v>
      </c>
    </row>
    <row r="116" spans="1:8" x14ac:dyDescent="0.25">
      <c r="A116" s="58">
        <v>115</v>
      </c>
      <c r="B116" s="59">
        <v>0.77242812403964423</v>
      </c>
      <c r="C116">
        <f>IF('T20'!$F$4=1,0.925,1)</f>
        <v>0.92500000000000004</v>
      </c>
      <c r="D116">
        <f>IF('T20'!$F$4=1,0.925,1)</f>
        <v>0.92500000000000004</v>
      </c>
      <c r="E116">
        <f>IF('T20'!$F$4=1,0.925,1)</f>
        <v>0.92500000000000004</v>
      </c>
      <c r="F116">
        <f>IF('T20'!$F$4=1,0.97,1)</f>
        <v>0.97</v>
      </c>
      <c r="G116">
        <f>IF('T20'!$F$4=1,0.95,1)</f>
        <v>0.95</v>
      </c>
      <c r="H116">
        <f t="shared" si="1"/>
        <v>0.56335041137925257</v>
      </c>
    </row>
    <row r="117" spans="1:8" x14ac:dyDescent="0.25">
      <c r="A117" s="58">
        <v>116</v>
      </c>
      <c r="B117" s="59">
        <v>0.80141379757682352</v>
      </c>
      <c r="C117">
        <f>IF('T20'!$F$4=1,0.925,1)</f>
        <v>0.92500000000000004</v>
      </c>
      <c r="D117">
        <f>IF('T20'!$F$4=1,0.925,1)</f>
        <v>0.92500000000000004</v>
      </c>
      <c r="E117">
        <f>IF('T20'!$F$4=1,0.925,1)</f>
        <v>0.92500000000000004</v>
      </c>
      <c r="F117">
        <f>IF('T20'!$F$4=1,0.97,1)</f>
        <v>0.97</v>
      </c>
      <c r="G117">
        <f>IF('T20'!$F$4=1,0.95,1)</f>
        <v>0.95</v>
      </c>
      <c r="H117">
        <f t="shared" si="1"/>
        <v>0.58449036033123636</v>
      </c>
    </row>
    <row r="118" spans="1:8" x14ac:dyDescent="0.25">
      <c r="A118" s="58">
        <v>117</v>
      </c>
      <c r="B118" s="59">
        <v>0.83039947111400259</v>
      </c>
      <c r="C118">
        <f>IF('T20'!$F$4=1,0.925,1)</f>
        <v>0.92500000000000004</v>
      </c>
      <c r="D118">
        <f>IF('T20'!$F$4=1,0.925,1)</f>
        <v>0.92500000000000004</v>
      </c>
      <c r="E118">
        <f>IF('T20'!$F$4=1,0.925,1)</f>
        <v>0.92500000000000004</v>
      </c>
      <c r="F118">
        <f>IF('T20'!$F$4=1,0.97,1)</f>
        <v>0.97</v>
      </c>
      <c r="G118">
        <f>IF('T20'!$F$4=1,0.95,1)</f>
        <v>0.95</v>
      </c>
      <c r="H118">
        <f t="shared" si="1"/>
        <v>0.60563030928321981</v>
      </c>
    </row>
    <row r="119" spans="1:8" x14ac:dyDescent="0.25">
      <c r="A119" s="58">
        <v>118</v>
      </c>
      <c r="B119" s="59">
        <v>0.85938514465118176</v>
      </c>
      <c r="C119">
        <f>IF('T20'!$F$4=1,0.925,1)</f>
        <v>0.92500000000000004</v>
      </c>
      <c r="D119">
        <f>IF('T20'!$F$4=1,0.925,1)</f>
        <v>0.92500000000000004</v>
      </c>
      <c r="E119">
        <f>IF('T20'!$F$4=1,0.925,1)</f>
        <v>0.92500000000000004</v>
      </c>
      <c r="F119">
        <f>IF('T20'!$F$4=1,0.97,1)</f>
        <v>0.97</v>
      </c>
      <c r="G119">
        <f>IF('T20'!$F$4=1,0.95,1)</f>
        <v>0.95</v>
      </c>
      <c r="H119">
        <f t="shared" si="1"/>
        <v>0.62677025823520371</v>
      </c>
    </row>
    <row r="120" spans="1:8" x14ac:dyDescent="0.25">
      <c r="A120" s="58">
        <v>119</v>
      </c>
      <c r="B120" s="59">
        <v>0.88837081818836094</v>
      </c>
      <c r="C120">
        <f>IF('T20'!$F$4=1,0.925,1)</f>
        <v>0.92500000000000004</v>
      </c>
      <c r="D120">
        <f>IF('T20'!$F$4=1,0.925,1)</f>
        <v>0.92500000000000004</v>
      </c>
      <c r="E120">
        <f>IF('T20'!$F$4=1,0.925,1)</f>
        <v>0.92500000000000004</v>
      </c>
      <c r="F120">
        <f>IF('T20'!$F$4=1,0.97,1)</f>
        <v>0.97</v>
      </c>
      <c r="G120">
        <f>IF('T20'!$F$4=1,0.95,1)</f>
        <v>0.95</v>
      </c>
      <c r="H120">
        <f t="shared" si="1"/>
        <v>0.64791020718718739</v>
      </c>
    </row>
    <row r="121" spans="1:8" x14ac:dyDescent="0.25">
      <c r="A121" s="58">
        <v>120</v>
      </c>
      <c r="B121" s="59">
        <v>1</v>
      </c>
      <c r="C121">
        <f>IF('T20'!$F$4=1,0.925,1)</f>
        <v>0.92500000000000004</v>
      </c>
      <c r="D121">
        <f>IF('T20'!$F$4=1,0.925,1)</f>
        <v>0.92500000000000004</v>
      </c>
      <c r="E121">
        <f>IF('T20'!$F$4=1,0.925,1)</f>
        <v>0.92500000000000004</v>
      </c>
      <c r="F121">
        <f>IF('T20'!$F$4=1,0.97,1)</f>
        <v>0.97</v>
      </c>
      <c r="G121">
        <f>IF('T20'!$F$4=1,0.95,1)</f>
        <v>0.95</v>
      </c>
      <c r="H121">
        <f t="shared" si="1"/>
        <v>0.72932405468750006</v>
      </c>
    </row>
  </sheetData>
  <phoneticPr fontId="1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32308-6BAC-4A04-B37D-CB1EBFF2A4AB}">
  <sheetPr codeName="Sheet1">
    <tabColor theme="4" tint="0.79998168889431442"/>
  </sheetPr>
  <dimension ref="B2:X102"/>
  <sheetViews>
    <sheetView topLeftCell="A4" zoomScaleNormal="100" workbookViewId="0">
      <selection activeCell="P34" sqref="P34"/>
    </sheetView>
  </sheetViews>
  <sheetFormatPr defaultColWidth="8.85546875" defaultRowHeight="15" x14ac:dyDescent="0.25"/>
  <cols>
    <col min="2" max="2" width="16.28515625" bestFit="1" customWidth="1"/>
    <col min="5" max="5" width="16.140625" customWidth="1"/>
    <col min="7" max="7" width="10.42578125" customWidth="1"/>
    <col min="10" max="10" width="19.28515625" customWidth="1"/>
    <col min="11" max="11" width="13.7109375" customWidth="1"/>
    <col min="12" max="12" width="11.85546875" bestFit="1" customWidth="1"/>
    <col min="13" max="13" width="14.42578125" bestFit="1" customWidth="1"/>
    <col min="14" max="16" width="12.7109375" bestFit="1" customWidth="1"/>
    <col min="17" max="17" width="21.28515625" bestFit="1" customWidth="1"/>
    <col min="18" max="18" width="12.7109375" bestFit="1" customWidth="1"/>
    <col min="19" max="19" width="18.28515625" customWidth="1"/>
    <col min="20" max="20" width="18.42578125" bestFit="1" customWidth="1"/>
    <col min="21" max="21" width="12" bestFit="1" customWidth="1"/>
    <col min="22" max="22" width="13" bestFit="1" customWidth="1"/>
    <col min="24" max="24" width="11.85546875" bestFit="1" customWidth="1"/>
  </cols>
  <sheetData>
    <row r="2" spans="2:24" x14ac:dyDescent="0.25">
      <c r="B2" t="s">
        <v>0</v>
      </c>
      <c r="J2" t="s">
        <v>15</v>
      </c>
    </row>
    <row r="3" spans="2:24" x14ac:dyDescent="0.25">
      <c r="E3" t="s">
        <v>16</v>
      </c>
      <c r="F3">
        <f>2024+G3</f>
        <v>2043</v>
      </c>
      <c r="G3">
        <v>19</v>
      </c>
    </row>
    <row r="4" spans="2:24" x14ac:dyDescent="0.25">
      <c r="B4" t="s">
        <v>11</v>
      </c>
      <c r="C4">
        <f ca="1">OFFSET($B$73, 29, 0)</f>
        <v>55</v>
      </c>
      <c r="E4" t="s">
        <v>52</v>
      </c>
      <c r="F4">
        <v>1</v>
      </c>
      <c r="G4" t="s">
        <v>59</v>
      </c>
      <c r="J4" t="s">
        <v>17</v>
      </c>
      <c r="K4">
        <v>50267.754233069456</v>
      </c>
    </row>
    <row r="5" spans="2:24" x14ac:dyDescent="0.25">
      <c r="B5" t="s">
        <v>1</v>
      </c>
      <c r="C5" s="1">
        <v>0</v>
      </c>
      <c r="E5" t="s">
        <v>57</v>
      </c>
      <c r="F5">
        <v>1</v>
      </c>
      <c r="G5">
        <f ca="1">OFFSET($C$152, 0, 4)</f>
        <v>0</v>
      </c>
      <c r="J5" t="s">
        <v>19</v>
      </c>
      <c r="K5">
        <f ca="1">OFFSET($C$72, 0, 5)</f>
        <v>2000000</v>
      </c>
    </row>
    <row r="6" spans="2:24" x14ac:dyDescent="0.25">
      <c r="B6" t="s">
        <v>2</v>
      </c>
      <c r="C6" s="2">
        <f>'Total Mortality Savings'!D6</f>
        <v>0.03</v>
      </c>
      <c r="E6" t="s">
        <v>51</v>
      </c>
      <c r="F6">
        <v>1</v>
      </c>
      <c r="G6" t="s">
        <v>58</v>
      </c>
    </row>
    <row r="7" spans="2:24" x14ac:dyDescent="0.25">
      <c r="B7" t="s">
        <v>3</v>
      </c>
      <c r="C7" s="1">
        <f>'Total Mortality Savings'!D7</f>
        <v>0.04</v>
      </c>
      <c r="E7" s="81" t="s">
        <v>53</v>
      </c>
      <c r="F7" s="81"/>
      <c r="G7" t="s">
        <v>60</v>
      </c>
      <c r="J7" t="s">
        <v>16</v>
      </c>
      <c r="K7" t="s">
        <v>17</v>
      </c>
      <c r="L7" t="s">
        <v>18</v>
      </c>
      <c r="M7" t="s">
        <v>27</v>
      </c>
      <c r="N7" t="s">
        <v>25</v>
      </c>
      <c r="O7" t="s">
        <v>24</v>
      </c>
      <c r="P7" t="s">
        <v>38</v>
      </c>
      <c r="Q7" t="s">
        <v>28</v>
      </c>
      <c r="R7" t="s">
        <v>29</v>
      </c>
      <c r="S7" t="s">
        <v>31</v>
      </c>
      <c r="T7" t="s">
        <v>30</v>
      </c>
      <c r="U7" t="s">
        <v>23</v>
      </c>
      <c r="V7" t="s">
        <v>32</v>
      </c>
      <c r="X7" t="s">
        <v>89</v>
      </c>
    </row>
    <row r="8" spans="2:24" x14ac:dyDescent="0.25">
      <c r="B8" t="s">
        <v>44</v>
      </c>
      <c r="C8" s="2">
        <f>'Total Mortality Savings'!D8</f>
        <v>2.75E-2</v>
      </c>
      <c r="E8" t="s">
        <v>16</v>
      </c>
      <c r="F8" t="s">
        <v>83</v>
      </c>
      <c r="J8">
        <v>0</v>
      </c>
      <c r="O8">
        <v>1</v>
      </c>
      <c r="R8">
        <f ca="1">NPV($C$6,P9:$P$28)</f>
        <v>-221914.54844142179</v>
      </c>
      <c r="T8">
        <f t="shared" ref="T8:T28" ca="1" si="0">R8-Q8</f>
        <v>-221914.54844142179</v>
      </c>
      <c r="V8">
        <f ca="1">SUM(S8:U8)</f>
        <v>-221914.54844142179</v>
      </c>
    </row>
    <row r="9" spans="2:24" x14ac:dyDescent="0.25">
      <c r="E9" s="29">
        <v>1</v>
      </c>
      <c r="F9" s="45">
        <f>'Total Mortality Savings'!G6</f>
        <v>667.42</v>
      </c>
      <c r="J9">
        <v>1</v>
      </c>
      <c r="K9">
        <f>IF($F$4=1,$K$4 + 200,$K$4)</f>
        <v>50467.754233069456</v>
      </c>
      <c r="L9">
        <f t="shared" ref="L9:L28" si="1">-IF($F$4=0,K9*$C$5,IF($F$6=0,IF(J9=1,$K$9*$C$5+$F$9,MOD(J9,2)*$F$10+$C$5*K9+(MOD(J9,2)+1)*$F$11),IF(J9=1, $F$15+K9*$C$5,MOD(J9,2)*$F$16+K9*$C$5)))</f>
        <v>-2987.42</v>
      </c>
      <c r="M9">
        <f ca="1">-$K$5*E20</f>
        <v>-6728.8816558655717</v>
      </c>
      <c r="N9">
        <v>1</v>
      </c>
      <c r="O9">
        <f ca="1">G20</f>
        <v>0.98666920358034649</v>
      </c>
      <c r="P9">
        <f ca="1">N9*M9</f>
        <v>-6728.8816558655717</v>
      </c>
      <c r="Q9">
        <f ca="1">NPV($C$6,P9:P28)</f>
        <v>-221914.54844142179</v>
      </c>
      <c r="R9">
        <f ca="1">NPV($C$6,P10:$P$28)</f>
        <v>-221843.10323879888</v>
      </c>
      <c r="S9">
        <f ca="1">N9*SUM(K9:M9)</f>
        <v>40751.452577203883</v>
      </c>
      <c r="T9">
        <f t="shared" ca="1" si="0"/>
        <v>71.445202622911893</v>
      </c>
      <c r="U9">
        <f t="shared" ref="U9:U28" ca="1" si="2">$C$7*SUM(K9:L9,-Q9)*N9</f>
        <v>10775.795306979651</v>
      </c>
      <c r="V9">
        <f t="shared" ref="V9:V28" ca="1" si="3">SUM(S9:U9)*(1-$C$8)</f>
        <v>50179.729026919267</v>
      </c>
      <c r="X9">
        <f>L9*N9</f>
        <v>-2987.42</v>
      </c>
    </row>
    <row r="10" spans="2:24" x14ac:dyDescent="0.25">
      <c r="E10" s="29" t="s">
        <v>54</v>
      </c>
      <c r="F10" s="45">
        <f>'Total Mortality Savings'!G7</f>
        <v>575</v>
      </c>
      <c r="J10">
        <f t="shared" ref="J10:J28" si="4">J9+1</f>
        <v>2</v>
      </c>
      <c r="K10">
        <f>IF($F$4=1,$K$4 + 200,$K$4)</f>
        <v>50467.754233069456</v>
      </c>
      <c r="L10">
        <f t="shared" si="1"/>
        <v>0</v>
      </c>
      <c r="M10">
        <f t="shared" ref="M10:M28" ca="1" si="5">-$K$5*E21</f>
        <v>-7447.2784589764915</v>
      </c>
      <c r="N10">
        <f ca="1">O9</f>
        <v>0.98666920358034649</v>
      </c>
      <c r="O10">
        <f t="shared" ref="O10:O28" ca="1" si="6">N10*G21</f>
        <v>0.97316525139309318</v>
      </c>
      <c r="P10">
        <f ca="1">N10*M10</f>
        <v>-7348.0003059594046</v>
      </c>
      <c r="Q10">
        <f ca="1">R9</f>
        <v>-221843.10323879888</v>
      </c>
      <c r="R10">
        <f ca="1">NPV($C$6,P11:$P$28)</f>
        <v>-221150.39603000347</v>
      </c>
      <c r="S10">
        <f t="shared" ref="S10:S28" ca="1" si="7">N10*SUM(K10:M10)</f>
        <v>42446.978569671897</v>
      </c>
      <c r="T10">
        <f t="shared" ca="1" si="0"/>
        <v>692.70720879541477</v>
      </c>
      <c r="U10">
        <f t="shared" ca="1" si="2"/>
        <v>10747.229474721984</v>
      </c>
      <c r="V10">
        <f t="shared" ca="1" si="3"/>
        <v>52405.025083726592</v>
      </c>
      <c r="X10">
        <f t="shared" ref="X10:X28" ca="1" si="8">L10*N10</f>
        <v>0</v>
      </c>
    </row>
    <row r="11" spans="2:24" x14ac:dyDescent="0.25">
      <c r="B11" t="s">
        <v>10</v>
      </c>
      <c r="C11" t="s">
        <v>4</v>
      </c>
      <c r="E11" s="29" t="s">
        <v>55</v>
      </c>
      <c r="F11" s="45">
        <f>'Total Mortality Savings'!G8</f>
        <v>52.5</v>
      </c>
      <c r="J11">
        <f t="shared" si="4"/>
        <v>3</v>
      </c>
      <c r="K11">
        <f t="shared" ref="K11:K28" si="9">IF($F$4=1,$K$4 + 200,$K$4)</f>
        <v>50467.754233069456</v>
      </c>
      <c r="L11">
        <f t="shared" si="1"/>
        <v>-740</v>
      </c>
      <c r="M11">
        <f t="shared" ca="1" si="5"/>
        <v>-8197.5848327295644</v>
      </c>
      <c r="N11">
        <f ca="1">O10</f>
        <v>0.97316525139309318</v>
      </c>
      <c r="O11">
        <f t="shared" ca="1" si="6"/>
        <v>0.95948468455040525</v>
      </c>
      <c r="P11">
        <f t="shared" ref="P11:P28" ca="1" si="10">N11*M11</f>
        <v>-7977.6047045594742</v>
      </c>
      <c r="Q11">
        <f t="shared" ref="Q11:Q28" ca="1" si="11">R10</f>
        <v>-221150.39603000347</v>
      </c>
      <c r="R11">
        <f ca="1">NPV($C$6,P12:$P$28)</f>
        <v>-219807.30320634414</v>
      </c>
      <c r="S11">
        <f t="shared" ca="1" si="7"/>
        <v>40415.717744879512</v>
      </c>
      <c r="T11">
        <f t="shared" ca="1" si="0"/>
        <v>1343.0928236593318</v>
      </c>
      <c r="U11">
        <f t="shared" ca="1" si="2"/>
        <v>10544.368127906379</v>
      </c>
      <c r="V11">
        <f t="shared" ca="1" si="3"/>
        <v>50864.841282292975</v>
      </c>
      <c r="X11">
        <f t="shared" ca="1" si="8"/>
        <v>-720.14228603088895</v>
      </c>
    </row>
    <row r="12" spans="2:24" x14ac:dyDescent="0.25">
      <c r="B12" t="s">
        <v>5</v>
      </c>
      <c r="C12" s="1">
        <v>0.01</v>
      </c>
      <c r="J12">
        <f t="shared" si="4"/>
        <v>4</v>
      </c>
      <c r="K12">
        <f t="shared" si="9"/>
        <v>50467.754233069456</v>
      </c>
      <c r="L12">
        <f t="shared" si="1"/>
        <v>0</v>
      </c>
      <c r="M12">
        <f t="shared" ca="1" si="5"/>
        <v>-9000.2806947819499</v>
      </c>
      <c r="N12">
        <f t="shared" ref="N12:N28" ca="1" si="12">O11</f>
        <v>0.95948468455040525</v>
      </c>
      <c r="O12">
        <f t="shared" ca="1" si="6"/>
        <v>0.94704795042388179</v>
      </c>
      <c r="P12">
        <f t="shared" ca="1" si="10"/>
        <v>-8635.6314832979606</v>
      </c>
      <c r="Q12">
        <f t="shared" ca="1" si="11"/>
        <v>-219807.30320634414</v>
      </c>
      <c r="R12">
        <f ca="1">NPV($C$6,P13:$P$28)</f>
        <v>-217765.89081923646</v>
      </c>
      <c r="S12">
        <f t="shared" ca="1" si="7"/>
        <v>39787.405766986063</v>
      </c>
      <c r="T12">
        <f t="shared" ca="1" si="0"/>
        <v>2041.4123871076736</v>
      </c>
      <c r="U12">
        <f t="shared" ca="1" si="2"/>
        <v>10372.991129163936</v>
      </c>
      <c r="V12">
        <f t="shared" ca="1" si="3"/>
        <v>50766.25952796809</v>
      </c>
      <c r="X12">
        <f t="shared" ca="1" si="8"/>
        <v>0</v>
      </c>
    </row>
    <row r="13" spans="2:24" x14ac:dyDescent="0.25">
      <c r="B13" t="s">
        <v>6</v>
      </c>
      <c r="C13" s="2">
        <v>8.5000000000000006E-3</v>
      </c>
      <c r="E13" s="81" t="s">
        <v>56</v>
      </c>
      <c r="F13" s="81"/>
      <c r="G13" t="s">
        <v>61</v>
      </c>
      <c r="J13">
        <f t="shared" si="4"/>
        <v>5</v>
      </c>
      <c r="K13">
        <f t="shared" si="9"/>
        <v>50467.754233069456</v>
      </c>
      <c r="L13">
        <f t="shared" si="1"/>
        <v>-740</v>
      </c>
      <c r="M13">
        <f t="shared" ca="1" si="5"/>
        <v>-9883.3944385847226</v>
      </c>
      <c r="N13">
        <f t="shared" ca="1" si="12"/>
        <v>0.94704795042388179</v>
      </c>
      <c r="O13">
        <f t="shared" ca="1" si="6"/>
        <v>0.93435779882802927</v>
      </c>
      <c r="P13">
        <f t="shared" ca="1" si="10"/>
        <v>-9360.0484462924542</v>
      </c>
      <c r="Q13">
        <f t="shared" ca="1" si="11"/>
        <v>-217765.89081923646</v>
      </c>
      <c r="R13">
        <f ca="1">NPV($C$6,P14:$P$28)</f>
        <v>-214938.81909752113</v>
      </c>
      <c r="S13">
        <f t="shared" ca="1" si="7"/>
        <v>37734.519279318491</v>
      </c>
      <c r="T13">
        <f t="shared" ca="1" si="0"/>
        <v>2827.0717217153287</v>
      </c>
      <c r="U13">
        <f t="shared" ca="1" si="2"/>
        <v>10133.172331927984</v>
      </c>
      <c r="V13">
        <f t="shared" ca="1" si="3"/>
        <v>49300.657341305356</v>
      </c>
      <c r="X13">
        <f t="shared" ca="1" si="8"/>
        <v>-700.81548331367253</v>
      </c>
    </row>
    <row r="14" spans="2:24" x14ac:dyDescent="0.25">
      <c r="B14" t="s">
        <v>7</v>
      </c>
      <c r="C14" s="2">
        <v>5.7999999999999996E-3</v>
      </c>
      <c r="E14" t="s">
        <v>16</v>
      </c>
      <c r="F14" t="s">
        <v>83</v>
      </c>
      <c r="J14">
        <f t="shared" si="4"/>
        <v>6</v>
      </c>
      <c r="K14">
        <f t="shared" si="9"/>
        <v>50467.754233069456</v>
      </c>
      <c r="L14">
        <f t="shared" si="1"/>
        <v>0</v>
      </c>
      <c r="M14">
        <f t="shared" ca="1" si="5"/>
        <v>-10941.323762815357</v>
      </c>
      <c r="N14">
        <f t="shared" ca="1" si="12"/>
        <v>0.93435779882802927</v>
      </c>
      <c r="O14">
        <f t="shared" ca="1" si="6"/>
        <v>0.92134765016689246</v>
      </c>
      <c r="P14">
        <f t="shared" ca="1" si="10"/>
        <v>-10223.111187288967</v>
      </c>
      <c r="Q14">
        <f t="shared" ca="1" si="11"/>
        <v>-214938.81909752113</v>
      </c>
      <c r="R14">
        <f ca="1">NPV($C$6,P15:$P$28)</f>
        <v>-211163.87248315779</v>
      </c>
      <c r="S14">
        <f t="shared" ca="1" si="7"/>
        <v>36931.828569715763</v>
      </c>
      <c r="T14">
        <f t="shared" ca="1" si="0"/>
        <v>3774.9466143633472</v>
      </c>
      <c r="U14">
        <f t="shared" ca="1" si="2"/>
        <v>9919.3880660664236</v>
      </c>
      <c r="V14">
        <f t="shared" ca="1" si="3"/>
        <v>49233.943760766531</v>
      </c>
      <c r="X14">
        <f t="shared" ca="1" si="8"/>
        <v>0</v>
      </c>
    </row>
    <row r="15" spans="2:24" x14ac:dyDescent="0.25">
      <c r="B15" t="s">
        <v>8</v>
      </c>
      <c r="C15" s="2">
        <v>2.7000000000000001E-3</v>
      </c>
      <c r="E15" s="29">
        <v>1</v>
      </c>
      <c r="F15" s="45">
        <f>'Total Mortality Savings'!J6</f>
        <v>2987.42</v>
      </c>
      <c r="J15">
        <f t="shared" si="4"/>
        <v>7</v>
      </c>
      <c r="K15">
        <f t="shared" si="9"/>
        <v>50467.754233069456</v>
      </c>
      <c r="L15">
        <f t="shared" si="1"/>
        <v>-740</v>
      </c>
      <c r="M15">
        <f t="shared" ca="1" si="5"/>
        <v>-12069.241255602903</v>
      </c>
      <c r="N15">
        <f t="shared" ca="1" si="12"/>
        <v>0.92134765016689246</v>
      </c>
      <c r="O15">
        <f t="shared" ca="1" si="6"/>
        <v>0.91047609816535435</v>
      </c>
      <c r="P15">
        <f t="shared" ca="1" si="10"/>
        <v>-11119.96707014705</v>
      </c>
      <c r="Q15">
        <f t="shared" ca="1" si="11"/>
        <v>-211163.87248315779</v>
      </c>
      <c r="R15">
        <f ca="1">NPV($C$6,P16:$P$28)</f>
        <v>-206378.82158750549</v>
      </c>
      <c r="S15">
        <f t="shared" ca="1" si="7"/>
        <v>34696.582440568236</v>
      </c>
      <c r="T15">
        <f t="shared" ca="1" si="0"/>
        <v>4785.0508956522972</v>
      </c>
      <c r="U15">
        <f t="shared" ca="1" si="2"/>
        <v>9614.875488928561</v>
      </c>
      <c r="V15">
        <f t="shared" ca="1" si="3"/>
        <v>47746.354832457495</v>
      </c>
      <c r="X15">
        <f t="shared" ca="1" si="8"/>
        <v>-681.79726112350045</v>
      </c>
    </row>
    <row r="16" spans="2:24" x14ac:dyDescent="0.25">
      <c r="B16" t="s">
        <v>9</v>
      </c>
      <c r="C16" s="2">
        <v>0.1106</v>
      </c>
      <c r="E16" s="29" t="s">
        <v>54</v>
      </c>
      <c r="F16" s="45">
        <f>'Total Mortality Savings'!J7</f>
        <v>740</v>
      </c>
      <c r="J16">
        <f t="shared" si="4"/>
        <v>8</v>
      </c>
      <c r="K16">
        <f t="shared" si="9"/>
        <v>50467.754233069456</v>
      </c>
      <c r="L16">
        <f t="shared" si="1"/>
        <v>0</v>
      </c>
      <c r="M16">
        <f t="shared" ca="1" si="5"/>
        <v>-13191.306085026565</v>
      </c>
      <c r="N16">
        <f t="shared" ca="1" si="12"/>
        <v>0.91047609816535435</v>
      </c>
      <c r="O16">
        <f t="shared" ca="1" si="6"/>
        <v>0.89922498241878801</v>
      </c>
      <c r="P16">
        <f t="shared" ca="1" si="10"/>
        <v>-12010.368893999883</v>
      </c>
      <c r="Q16">
        <f t="shared" ca="1" si="11"/>
        <v>-206378.82158750549</v>
      </c>
      <c r="R16">
        <f ca="1">NPV($C$6,P17:$P$28)</f>
        <v>-200559.81734113075</v>
      </c>
      <c r="S16">
        <f t="shared" ca="1" si="7"/>
        <v>33939.315063293245</v>
      </c>
      <c r="T16">
        <f t="shared" ca="1" si="0"/>
        <v>5819.0042463747377</v>
      </c>
      <c r="U16">
        <f t="shared" ca="1" si="2"/>
        <v>9354.1067272099572</v>
      </c>
      <c r="V16">
        <f t="shared" ca="1" si="3"/>
        <v>47761.834320863796</v>
      </c>
      <c r="X16">
        <f t="shared" ca="1" si="8"/>
        <v>0</v>
      </c>
    </row>
    <row r="17" spans="2:24" x14ac:dyDescent="0.25">
      <c r="J17">
        <f t="shared" si="4"/>
        <v>9</v>
      </c>
      <c r="K17">
        <f t="shared" si="9"/>
        <v>50467.754233069456</v>
      </c>
      <c r="L17">
        <f t="shared" si="1"/>
        <v>-740</v>
      </c>
      <c r="M17">
        <f t="shared" ca="1" si="5"/>
        <v>-14426.889510380133</v>
      </c>
      <c r="N17">
        <f t="shared" ca="1" si="12"/>
        <v>0.89922498241878801</v>
      </c>
      <c r="O17">
        <f t="shared" ca="1" si="6"/>
        <v>0.88756058954404671</v>
      </c>
      <c r="P17">
        <f t="shared" ca="1" si="10"/>
        <v>-12973.019466329373</v>
      </c>
      <c r="Q17">
        <f t="shared" ca="1" si="11"/>
        <v>-200559.81734113075</v>
      </c>
      <c r="R17">
        <f ca="1">NPV($C$6,P18:$P$28)</f>
        <v>-193603.59239503532</v>
      </c>
      <c r="S17">
        <f t="shared" ca="1" si="7"/>
        <v>31743.41945962832</v>
      </c>
      <c r="T17">
        <f t="shared" ca="1" si="0"/>
        <v>6956.2249460954336</v>
      </c>
      <c r="U17">
        <f t="shared" ca="1" si="2"/>
        <v>9002.5934859380541</v>
      </c>
      <c r="V17">
        <f t="shared" ca="1" si="3"/>
        <v>46390.426349641108</v>
      </c>
      <c r="X17">
        <f t="shared" ca="1" si="8"/>
        <v>-665.42648698990308</v>
      </c>
    </row>
    <row r="18" spans="2:24" x14ac:dyDescent="0.25">
      <c r="B18" t="s">
        <v>12</v>
      </c>
      <c r="J18">
        <f t="shared" si="4"/>
        <v>10</v>
      </c>
      <c r="K18">
        <f t="shared" si="9"/>
        <v>50467.754233069456</v>
      </c>
      <c r="L18">
        <f t="shared" si="1"/>
        <v>0</v>
      </c>
      <c r="M18">
        <f t="shared" ca="1" si="5"/>
        <v>-15741.454254085529</v>
      </c>
      <c r="N18">
        <f t="shared" ca="1" si="12"/>
        <v>0.88756058954404671</v>
      </c>
      <c r="O18">
        <f t="shared" ca="1" si="6"/>
        <v>0.87546750824948516</v>
      </c>
      <c r="P18">
        <f t="shared" ca="1" si="10"/>
        <v>-13971.494418036795</v>
      </c>
      <c r="Q18">
        <f t="shared" ca="1" si="11"/>
        <v>-193603.59239503532</v>
      </c>
      <c r="R18">
        <f ca="1">NPV($C$6,P19:$P$28)</f>
        <v>-185440.20574884958</v>
      </c>
      <c r="S18">
        <f t="shared" ca="1" si="7"/>
        <v>30821.695282030389</v>
      </c>
      <c r="T18">
        <f t="shared" ca="1" si="0"/>
        <v>8163.3866461857397</v>
      </c>
      <c r="U18">
        <f t="shared" ca="1" si="2"/>
        <v>8665.1243321620022</v>
      </c>
      <c r="V18">
        <f t="shared" ca="1" si="3"/>
        <v>46339.825588217725</v>
      </c>
      <c r="X18">
        <f t="shared" ca="1" si="8"/>
        <v>0</v>
      </c>
    </row>
    <row r="19" spans="2:24" x14ac:dyDescent="0.25">
      <c r="B19" t="s">
        <v>11</v>
      </c>
      <c r="C19" t="s">
        <v>13</v>
      </c>
      <c r="D19" t="s">
        <v>14</v>
      </c>
      <c r="E19" t="s">
        <v>20</v>
      </c>
      <c r="F19" t="s">
        <v>21</v>
      </c>
      <c r="G19" t="s">
        <v>22</v>
      </c>
      <c r="J19">
        <f t="shared" si="4"/>
        <v>11</v>
      </c>
      <c r="K19">
        <f t="shared" si="9"/>
        <v>50467.754233069456</v>
      </c>
      <c r="L19">
        <f t="shared" si="1"/>
        <v>-740</v>
      </c>
      <c r="M19">
        <f t="shared" ca="1" si="5"/>
        <v>-17204.474276581994</v>
      </c>
      <c r="N19">
        <f t="shared" ca="1" si="12"/>
        <v>0.87546750824948516</v>
      </c>
      <c r="O19">
        <f t="shared" ca="1" si="6"/>
        <v>0.86559310050798532</v>
      </c>
      <c r="P19">
        <f t="shared" ca="1" si="10"/>
        <v>-15061.958225661601</v>
      </c>
      <c r="Q19">
        <f t="shared" ca="1" si="11"/>
        <v>-185440.20574884958</v>
      </c>
      <c r="R19">
        <f ca="1">NPV($C$6,P20:$P$28)</f>
        <v>-175941.4536956535</v>
      </c>
      <c r="S19">
        <f t="shared" ca="1" si="7"/>
        <v>28473.074863606504</v>
      </c>
      <c r="T19">
        <f t="shared" ca="1" si="0"/>
        <v>9498.7520531960763</v>
      </c>
      <c r="U19">
        <f t="shared" ca="1" si="2"/>
        <v>8235.2763178194127</v>
      </c>
      <c r="V19">
        <f t="shared" ca="1" si="3"/>
        <v>44936.407895669894</v>
      </c>
      <c r="X19">
        <f t="shared" ca="1" si="8"/>
        <v>-647.84595610461906</v>
      </c>
    </row>
    <row r="20" spans="2:24" x14ac:dyDescent="0.25">
      <c r="B20">
        <f ca="1">C4</f>
        <v>55</v>
      </c>
      <c r="C20">
        <f ca="1">INDEX('Mortality Table'!$A$2:$H$121,MATCH('T20'!B20,'Mortality Table'!$A$2:$A$121),8)</f>
        <v>3.3644408279327859E-3</v>
      </c>
      <c r="D20" s="1">
        <f>$C$12</f>
        <v>0.01</v>
      </c>
      <c r="E20">
        <f ca="1">C20</f>
        <v>3.3644408279327859E-3</v>
      </c>
      <c r="F20">
        <f ca="1">(1-E20)*D20</f>
        <v>9.9663555917206721E-3</v>
      </c>
      <c r="G20">
        <f ca="1">1-(F20+E20)</f>
        <v>0.98666920358034649</v>
      </c>
      <c r="J20">
        <f t="shared" si="4"/>
        <v>12</v>
      </c>
      <c r="K20">
        <f t="shared" si="9"/>
        <v>50467.754233069456</v>
      </c>
      <c r="L20">
        <f t="shared" si="1"/>
        <v>0</v>
      </c>
      <c r="M20">
        <f t="shared" ca="1" si="5"/>
        <v>-18893.082610025613</v>
      </c>
      <c r="N20">
        <f t="shared" ca="1" si="12"/>
        <v>0.86559310050798532</v>
      </c>
      <c r="O20">
        <f t="shared" ca="1" si="6"/>
        <v>0.85510121568396957</v>
      </c>
      <c r="P20">
        <f t="shared" ca="1" si="10"/>
        <v>-16353.72195456557</v>
      </c>
      <c r="Q20">
        <f t="shared" ca="1" si="11"/>
        <v>-175941.4536956535</v>
      </c>
      <c r="R20">
        <f ca="1">NPV($C$6,P21:$P$28)</f>
        <v>-164865.97535195752</v>
      </c>
      <c r="S20">
        <f t="shared" ca="1" si="7"/>
        <v>27330.817907712022</v>
      </c>
      <c r="T20">
        <f t="shared" ca="1" si="0"/>
        <v>11075.478343695984</v>
      </c>
      <c r="U20">
        <f t="shared" ca="1" si="2"/>
        <v>7839.1299309832184</v>
      </c>
      <c r="V20">
        <f t="shared" ca="1" si="3"/>
        <v>44973.676962375466</v>
      </c>
      <c r="X20">
        <f t="shared" ca="1" si="8"/>
        <v>0</v>
      </c>
    </row>
    <row r="21" spans="2:24" x14ac:dyDescent="0.25">
      <c r="B21">
        <f ca="1">B20+1</f>
        <v>56</v>
      </c>
      <c r="C21">
        <f ca="1">INDEX('Mortality Table'!$A$2:$H$121,MATCH('T20'!B21,'Mortality Table'!$A$2:$A$121),8)</f>
        <v>3.7236392294882456E-3</v>
      </c>
      <c r="D21" s="1">
        <f t="shared" ref="D21:D22" si="13">$C$12</f>
        <v>0.01</v>
      </c>
      <c r="E21">
        <f t="shared" ref="E21:E23" ca="1" si="14">C21</f>
        <v>3.7236392294882456E-3</v>
      </c>
      <c r="F21">
        <f t="shared" ref="F21:F23" ca="1" si="15">(1-E21)*D21</f>
        <v>9.9627636077051183E-3</v>
      </c>
      <c r="G21">
        <f t="shared" ref="G21:G23" ca="1" si="16">1-(F21+E21)</f>
        <v>0.98631359716280664</v>
      </c>
      <c r="J21">
        <f t="shared" si="4"/>
        <v>13</v>
      </c>
      <c r="K21">
        <f t="shared" si="9"/>
        <v>50467.754233069456</v>
      </c>
      <c r="L21">
        <f t="shared" si="1"/>
        <v>-740</v>
      </c>
      <c r="M21">
        <f t="shared" ca="1" si="5"/>
        <v>-20696.207028958372</v>
      </c>
      <c r="N21">
        <f t="shared" ca="1" si="12"/>
        <v>0.85510121568396957</v>
      </c>
      <c r="O21">
        <f t="shared" ca="1" si="6"/>
        <v>0.84396765793128525</v>
      </c>
      <c r="P21">
        <f t="shared" ca="1" si="10"/>
        <v>-17697.35179050942</v>
      </c>
      <c r="Q21">
        <f t="shared" ca="1" si="11"/>
        <v>-164865.97535195752</v>
      </c>
      <c r="R21">
        <f ca="1">NPV($C$6,P22:$P$28)</f>
        <v>-152114.6028220068</v>
      </c>
      <c r="S21">
        <f t="shared" ca="1" si="7"/>
        <v>24824.911307421935</v>
      </c>
      <c r="T21">
        <f t="shared" ca="1" si="0"/>
        <v>12751.37252995072</v>
      </c>
      <c r="U21">
        <f t="shared" ca="1" si="2"/>
        <v>7339.9743618525445</v>
      </c>
      <c r="V21">
        <f t="shared" ca="1" si="3"/>
        <v>43681.061098746512</v>
      </c>
      <c r="X21">
        <f t="shared" ca="1" si="8"/>
        <v>-632.77489960613752</v>
      </c>
    </row>
    <row r="22" spans="2:24" x14ac:dyDescent="0.25">
      <c r="B22">
        <f t="shared" ref="B22:B39" ca="1" si="17">B21+1</f>
        <v>57</v>
      </c>
      <c r="C22">
        <f ca="1">INDEX('Mortality Table'!$A$2:$H$121,MATCH('T20'!B22,'Mortality Table'!$A$2:$A$121),8)</f>
        <v>4.0987924163647825E-3</v>
      </c>
      <c r="D22" s="1">
        <f t="shared" si="13"/>
        <v>0.01</v>
      </c>
      <c r="E22">
        <f t="shared" ca="1" si="14"/>
        <v>4.0987924163647825E-3</v>
      </c>
      <c r="F22">
        <f t="shared" ca="1" si="15"/>
        <v>9.9590120758363525E-3</v>
      </c>
      <c r="G22">
        <f t="shared" ca="1" si="16"/>
        <v>0.98594219550779882</v>
      </c>
      <c r="J22">
        <f t="shared" si="4"/>
        <v>14</v>
      </c>
      <c r="K22">
        <f t="shared" si="9"/>
        <v>50467.754233069456</v>
      </c>
      <c r="L22">
        <f t="shared" si="1"/>
        <v>0</v>
      </c>
      <c r="M22">
        <f t="shared" ca="1" si="5"/>
        <v>-22614.145288127027</v>
      </c>
      <c r="N22">
        <f t="shared" ca="1" si="12"/>
        <v>0.84396765793128525</v>
      </c>
      <c r="O22">
        <f t="shared" ca="1" si="6"/>
        <v>0.83217190720716872</v>
      </c>
      <c r="P22">
        <f t="shared" ca="1" si="10"/>
        <v>-19085.607234938376</v>
      </c>
      <c r="Q22">
        <f t="shared" ca="1" si="11"/>
        <v>-152114.6028220068</v>
      </c>
      <c r="R22">
        <f ca="1">NPV($C$6,P23:$P$28)</f>
        <v>-137592.43367172865</v>
      </c>
      <c r="S22">
        <f t="shared" ca="1" si="7"/>
        <v>23507.545106196958</v>
      </c>
      <c r="T22">
        <f t="shared" ca="1" si="0"/>
        <v>14522.169150278147</v>
      </c>
      <c r="U22">
        <f t="shared" ca="1" si="2"/>
        <v>6838.9182968788837</v>
      </c>
      <c r="V22">
        <f t="shared" ca="1" si="3"/>
        <v>43634.74515813675</v>
      </c>
      <c r="X22">
        <f t="shared" ca="1" si="8"/>
        <v>0</v>
      </c>
    </row>
    <row r="23" spans="2:24" x14ac:dyDescent="0.25">
      <c r="B23">
        <f t="shared" ca="1" si="17"/>
        <v>58</v>
      </c>
      <c r="C23">
        <f ca="1">INDEX('Mortality Table'!$A$2:$H$121,MATCH('T20'!B23,'Mortality Table'!$A$2:$A$121),8)</f>
        <v>4.5001403473909751E-3</v>
      </c>
      <c r="D23" s="2">
        <f>$C$13</f>
        <v>8.5000000000000006E-3</v>
      </c>
      <c r="E23">
        <f t="shared" ca="1" si="14"/>
        <v>4.5001403473909751E-3</v>
      </c>
      <c r="F23">
        <f t="shared" ca="1" si="15"/>
        <v>8.4617488070471772E-3</v>
      </c>
      <c r="G23">
        <f t="shared" ca="1" si="16"/>
        <v>0.98703811084556181</v>
      </c>
      <c r="J23">
        <f t="shared" si="4"/>
        <v>15</v>
      </c>
      <c r="K23">
        <f t="shared" si="9"/>
        <v>50467.754233069456</v>
      </c>
      <c r="L23">
        <f t="shared" si="1"/>
        <v>-740</v>
      </c>
      <c r="M23">
        <f t="shared" ca="1" si="5"/>
        <v>-24772.835791989743</v>
      </c>
      <c r="N23">
        <f t="shared" ca="1" si="12"/>
        <v>0.83217190720716872</v>
      </c>
      <c r="O23">
        <f t="shared" ca="1" si="6"/>
        <v>0.81964524465204502</v>
      </c>
      <c r="P23">
        <f t="shared" ca="1" si="10"/>
        <v>-20615.258007950117</v>
      </c>
      <c r="Q23">
        <f t="shared" ca="1" si="11"/>
        <v>-137592.43367172865</v>
      </c>
      <c r="R23">
        <f ca="1">NPV($C$6,P24:$P$28)</f>
        <v>-121104.94867393041</v>
      </c>
      <c r="S23">
        <f t="shared" ca="1" si="7"/>
        <v>20766.78207331265</v>
      </c>
      <c r="T23">
        <f t="shared" ca="1" si="0"/>
        <v>16487.484997798238</v>
      </c>
      <c r="U23">
        <f t="shared" ca="1" si="2"/>
        <v>6235.3039210856423</v>
      </c>
      <c r="V23">
        <f t="shared" ca="1" si="3"/>
        <v>42293.607789911126</v>
      </c>
      <c r="X23">
        <f t="shared" ca="1" si="8"/>
        <v>-615.80721133330485</v>
      </c>
    </row>
    <row r="24" spans="2:24" x14ac:dyDescent="0.25">
      <c r="B24">
        <f t="shared" ca="1" si="17"/>
        <v>59</v>
      </c>
      <c r="C24">
        <f ca="1">INDEX('Mortality Table'!$A$2:$H$121,MATCH('T20'!B24,'Mortality Table'!$A$2:$A$121),8)</f>
        <v>4.9416972192923613E-3</v>
      </c>
      <c r="D24" s="2">
        <f t="shared" ref="D24:D25" si="18">$C$13</f>
        <v>8.5000000000000006E-3</v>
      </c>
      <c r="E24">
        <f t="shared" ref="E24:E39" ca="1" si="19">C24</f>
        <v>4.9416972192923613E-3</v>
      </c>
      <c r="F24">
        <f t="shared" ref="F24:F39" ca="1" si="20">(1-E24)*D24</f>
        <v>8.4579955736360148E-3</v>
      </c>
      <c r="G24">
        <f t="shared" ref="G24:G39" ca="1" si="21">1-(F24+E24)</f>
        <v>0.98660030720707159</v>
      </c>
      <c r="J24">
        <f t="shared" si="4"/>
        <v>16</v>
      </c>
      <c r="K24">
        <f t="shared" si="9"/>
        <v>50467.754233069456</v>
      </c>
      <c r="L24">
        <f t="shared" si="1"/>
        <v>0</v>
      </c>
      <c r="M24">
        <f t="shared" ca="1" si="5"/>
        <v>-27206.361935022098</v>
      </c>
      <c r="N24">
        <f t="shared" ca="1" si="12"/>
        <v>0.81964524465204502</v>
      </c>
      <c r="O24">
        <f t="shared" ca="1" si="6"/>
        <v>0.8063125243123217</v>
      </c>
      <c r="P24">
        <f t="shared" ca="1" si="10"/>
        <v>-22299.565184323274</v>
      </c>
      <c r="Q24">
        <f t="shared" ca="1" si="11"/>
        <v>-121104.94867393041</v>
      </c>
      <c r="R24">
        <f ca="1">NPV($C$6,P25:$P$28)</f>
        <v>-102438.53194982503</v>
      </c>
      <c r="S24">
        <f t="shared" ca="1" si="7"/>
        <v>19066.089581080221</v>
      </c>
      <c r="T24">
        <f t="shared" ca="1" si="0"/>
        <v>18666.41672410538</v>
      </c>
      <c r="U24">
        <f t="shared" ca="1" si="2"/>
        <v>5625.1500019928208</v>
      </c>
      <c r="V24">
        <f t="shared" ca="1" si="3"/>
        <v>42165.32075873101</v>
      </c>
      <c r="X24">
        <f t="shared" ca="1" si="8"/>
        <v>0</v>
      </c>
    </row>
    <row r="25" spans="2:24" x14ac:dyDescent="0.25">
      <c r="B25">
        <f t="shared" ca="1" si="17"/>
        <v>60</v>
      </c>
      <c r="C25">
        <f ca="1">INDEX('Mortality Table'!$A$2:$H$121,MATCH('T20'!B25,'Mortality Table'!$A$2:$A$121),8)</f>
        <v>5.4706618814076785E-3</v>
      </c>
      <c r="D25" s="2">
        <f t="shared" si="18"/>
        <v>8.5000000000000006E-3</v>
      </c>
      <c r="E25">
        <f t="shared" ca="1" si="19"/>
        <v>5.4706618814076785E-3</v>
      </c>
      <c r="F25">
        <f t="shared" ca="1" si="20"/>
        <v>8.4534993740080361E-3</v>
      </c>
      <c r="G25">
        <f t="shared" ca="1" si="21"/>
        <v>0.98607583874458427</v>
      </c>
      <c r="J25">
        <f t="shared" si="4"/>
        <v>17</v>
      </c>
      <c r="K25">
        <f t="shared" si="9"/>
        <v>50467.754233069456</v>
      </c>
      <c r="L25">
        <f t="shared" si="1"/>
        <v>-740</v>
      </c>
      <c r="M25">
        <f t="shared" ca="1" si="5"/>
        <v>-29993.432875191891</v>
      </c>
      <c r="N25">
        <f t="shared" ca="1" si="12"/>
        <v>0.8063125243123217</v>
      </c>
      <c r="O25">
        <f t="shared" ca="1" si="6"/>
        <v>0.79207608871825974</v>
      </c>
      <c r="P25">
        <f t="shared" ca="1" si="10"/>
        <v>-24184.08057438815</v>
      </c>
      <c r="Q25">
        <f t="shared" ca="1" si="11"/>
        <v>-102438.53194982503</v>
      </c>
      <c r="R25">
        <f ca="1">NPV($C$6,P26:$P$28)</f>
        <v>-81327.60733393165</v>
      </c>
      <c r="S25">
        <f t="shared" ca="1" si="7"/>
        <v>15912.030469660824</v>
      </c>
      <c r="T25">
        <f t="shared" ca="1" si="0"/>
        <v>21110.924615893382</v>
      </c>
      <c r="U25">
        <f t="shared" ca="1" si="2"/>
        <v>4907.7432930944324</v>
      </c>
      <c r="V25">
        <f t="shared" ca="1" si="3"/>
        <v>40777.604173235799</v>
      </c>
      <c r="X25">
        <f t="shared" ca="1" si="8"/>
        <v>-596.67126799111804</v>
      </c>
    </row>
    <row r="26" spans="2:24" x14ac:dyDescent="0.25">
      <c r="B26">
        <f t="shared" ca="1" si="17"/>
        <v>61</v>
      </c>
      <c r="C26">
        <f ca="1">INDEX('Mortality Table'!$A$2:$H$121,MATCH('T20'!B26,'Mortality Table'!$A$2:$A$121),8)</f>
        <v>6.0346206278014515E-3</v>
      </c>
      <c r="D26" s="2">
        <f>$C$14</f>
        <v>5.7999999999999996E-3</v>
      </c>
      <c r="E26">
        <f t="shared" ca="1" si="19"/>
        <v>6.0346206278014515E-3</v>
      </c>
      <c r="F26">
        <f t="shared" ca="1" si="20"/>
        <v>5.7649992003587511E-3</v>
      </c>
      <c r="G26">
        <f t="shared" ca="1" si="21"/>
        <v>0.98820038017183975</v>
      </c>
      <c r="J26">
        <f t="shared" si="4"/>
        <v>18</v>
      </c>
      <c r="K26">
        <f t="shared" si="9"/>
        <v>50467.754233069456</v>
      </c>
      <c r="L26">
        <f t="shared" si="1"/>
        <v>0</v>
      </c>
      <c r="M26">
        <f t="shared" ca="1" si="5"/>
        <v>-33207.231155545611</v>
      </c>
      <c r="N26">
        <f t="shared" ca="1" si="12"/>
        <v>0.79207608871825974</v>
      </c>
      <c r="O26">
        <f t="shared" ca="1" si="6"/>
        <v>0.77682166497588723</v>
      </c>
      <c r="P26">
        <f t="shared" ca="1" si="10"/>
        <v>-26302.653770847704</v>
      </c>
      <c r="Q26">
        <f t="shared" ca="1" si="11"/>
        <v>-81327.60733393165</v>
      </c>
      <c r="R26">
        <f ca="1">NPV($C$6,P27:$P$28)</f>
        <v>-57464.781783101898</v>
      </c>
      <c r="S26">
        <f t="shared" ca="1" si="7"/>
        <v>13671.647608476347</v>
      </c>
      <c r="T26">
        <f t="shared" ca="1" si="0"/>
        <v>23862.825550829752</v>
      </c>
      <c r="U26">
        <f t="shared" ca="1" si="2"/>
        <v>4175.678180047963</v>
      </c>
      <c r="V26">
        <f t="shared" ca="1" si="3"/>
        <v>40563.122177521829</v>
      </c>
      <c r="X26">
        <f t="shared" ca="1" si="8"/>
        <v>0</v>
      </c>
    </row>
    <row r="27" spans="2:24" x14ac:dyDescent="0.25">
      <c r="B27">
        <f t="shared" ca="1" si="17"/>
        <v>62</v>
      </c>
      <c r="C27">
        <f ca="1">INDEX('Mortality Table'!$A$2:$H$121,MATCH('T20'!B27,'Mortality Table'!$A$2:$A$121),8)</f>
        <v>6.5956530425132828E-3</v>
      </c>
      <c r="D27" s="2">
        <f>$C$14</f>
        <v>5.7999999999999996E-3</v>
      </c>
      <c r="E27">
        <f t="shared" ca="1" si="19"/>
        <v>6.5956530425132828E-3</v>
      </c>
      <c r="F27">
        <f t="shared" ca="1" si="20"/>
        <v>5.7617452123534226E-3</v>
      </c>
      <c r="G27">
        <f t="shared" ca="1" si="21"/>
        <v>0.9876426017451333</v>
      </c>
      <c r="J27">
        <f t="shared" si="4"/>
        <v>19</v>
      </c>
      <c r="K27">
        <f t="shared" si="9"/>
        <v>50467.754233069456</v>
      </c>
      <c r="L27">
        <f t="shared" si="1"/>
        <v>-740</v>
      </c>
      <c r="M27">
        <f t="shared" ca="1" si="5"/>
        <v>-36914.504036866441</v>
      </c>
      <c r="N27">
        <f t="shared" ca="1" si="12"/>
        <v>0.77682166497588723</v>
      </c>
      <c r="O27">
        <f t="shared" ca="1" si="6"/>
        <v>0.76042496581837182</v>
      </c>
      <c r="P27">
        <f t="shared" ca="1" si="10"/>
        <v>-28675.986487677699</v>
      </c>
      <c r="Q27">
        <f t="shared" ca="1" si="11"/>
        <v>-57464.781783101898</v>
      </c>
      <c r="R27">
        <f ca="1">NPV($C$6,P28:$P$28)</f>
        <v>-30512.738748917251</v>
      </c>
      <c r="S27">
        <f t="shared" ca="1" si="7"/>
        <v>9953.610351167039</v>
      </c>
      <c r="T27">
        <f t="shared" ca="1" si="0"/>
        <v>26952.043034184648</v>
      </c>
      <c r="U27">
        <f t="shared" ca="1" si="2"/>
        <v>3330.7793720427994</v>
      </c>
      <c r="V27">
        <f t="shared" ca="1" si="3"/>
        <v>39129.930856566141</v>
      </c>
      <c r="X27">
        <f t="shared" ca="1" si="8"/>
        <v>-574.84803208215658</v>
      </c>
    </row>
    <row r="28" spans="2:24" x14ac:dyDescent="0.25">
      <c r="B28">
        <f t="shared" ca="1" si="17"/>
        <v>63</v>
      </c>
      <c r="C28">
        <f ca="1">INDEX('Mortality Table'!$A$2:$H$121,MATCH('T20'!B28,'Mortality Table'!$A$2:$A$121),8)</f>
        <v>7.213444755190067E-3</v>
      </c>
      <c r="D28" s="2">
        <f>$C$14</f>
        <v>5.7999999999999996E-3</v>
      </c>
      <c r="E28">
        <f t="shared" ca="1" si="19"/>
        <v>7.213444755190067E-3</v>
      </c>
      <c r="F28">
        <f t="shared" ca="1" si="20"/>
        <v>5.7581620204198974E-3</v>
      </c>
      <c r="G28">
        <f t="shared" ca="1" si="21"/>
        <v>0.98702839322439007</v>
      </c>
      <c r="J28">
        <f t="shared" si="4"/>
        <v>20</v>
      </c>
      <c r="K28">
        <f t="shared" si="9"/>
        <v>50467.754233069456</v>
      </c>
      <c r="L28">
        <f t="shared" si="1"/>
        <v>0</v>
      </c>
      <c r="M28">
        <f t="shared" ca="1" si="5"/>
        <v>-41329.680539304391</v>
      </c>
      <c r="N28">
        <f t="shared" ca="1" si="12"/>
        <v>0.76042496581837182</v>
      </c>
      <c r="O28">
        <f t="shared" ca="1" si="6"/>
        <v>0.66234587922956711</v>
      </c>
      <c r="P28">
        <f t="shared" ca="1" si="10"/>
        <v>-31428.120911384769</v>
      </c>
      <c r="Q28">
        <f t="shared" ca="1" si="11"/>
        <v>-30512.738748917251</v>
      </c>
      <c r="R28" s="4">
        <f>NPV($C$6,P$29:$P29)</f>
        <v>0</v>
      </c>
      <c r="S28">
        <f t="shared" ca="1" si="7"/>
        <v>6948.819376227063</v>
      </c>
      <c r="T28">
        <f t="shared" ca="1" si="0"/>
        <v>30512.738748917251</v>
      </c>
      <c r="U28">
        <f t="shared" ca="1" si="2"/>
        <v>2463.1835443112855</v>
      </c>
      <c r="V28">
        <f t="shared" ca="1" si="3"/>
        <v>38826.811273545572</v>
      </c>
      <c r="X28">
        <f t="shared" ca="1" si="8"/>
        <v>0</v>
      </c>
    </row>
    <row r="29" spans="2:24" x14ac:dyDescent="0.25">
      <c r="B29">
        <f t="shared" ca="1" si="17"/>
        <v>64</v>
      </c>
      <c r="C29">
        <f ca="1">INDEX('Mortality Table'!$A$2:$H$121,MATCH('T20'!B29,'Mortality Table'!$A$2:$A$121),8)</f>
        <v>7.8707271270427644E-3</v>
      </c>
      <c r="D29" s="2">
        <f>$C$14</f>
        <v>5.7999999999999996E-3</v>
      </c>
      <c r="E29">
        <f t="shared" ca="1" si="19"/>
        <v>7.8707271270427644E-3</v>
      </c>
      <c r="F29">
        <f t="shared" ca="1" si="20"/>
        <v>5.7543497826631519E-3</v>
      </c>
      <c r="G29">
        <f t="shared" ca="1" si="21"/>
        <v>0.98637492309029406</v>
      </c>
    </row>
    <row r="30" spans="2:24" x14ac:dyDescent="0.25">
      <c r="B30">
        <f t="shared" ca="1" si="17"/>
        <v>65</v>
      </c>
      <c r="C30">
        <f ca="1">INDEX('Mortality Table'!$A$2:$H$121,MATCH('T20'!B30,'Mortality Table'!$A$2:$A$121),8)</f>
        <v>8.6022371382909971E-3</v>
      </c>
      <c r="D30" s="2">
        <f>$C$15</f>
        <v>2.7000000000000001E-3</v>
      </c>
      <c r="E30">
        <f t="shared" ca="1" si="19"/>
        <v>8.6022371382909971E-3</v>
      </c>
      <c r="F30">
        <f t="shared" ca="1" si="20"/>
        <v>2.6767739597266145E-3</v>
      </c>
      <c r="G30">
        <f t="shared" ca="1" si="21"/>
        <v>0.98872098890198234</v>
      </c>
      <c r="J30" t="s">
        <v>33</v>
      </c>
      <c r="K30">
        <f t="shared" ref="K30:M30" si="22">SUM(K8:K28)</f>
        <v>1009355.0846613895</v>
      </c>
      <c r="L30">
        <f t="shared" si="22"/>
        <v>-9647.42</v>
      </c>
      <c r="M30">
        <f t="shared" ca="1" si="22"/>
        <v>-380459.590486462</v>
      </c>
      <c r="S30">
        <f t="shared" ref="S30:U30" ca="1" si="23">SUM(S8:S28)</f>
        <v>559724.24339815741</v>
      </c>
      <c r="T30">
        <f t="shared" ca="1" si="23"/>
        <v>0</v>
      </c>
      <c r="U30">
        <f t="shared" ca="1" si="23"/>
        <v>156120.78169111392</v>
      </c>
      <c r="V30">
        <f ca="1">SUM(V8:V28)</f>
        <v>690056.63681717729</v>
      </c>
    </row>
    <row r="31" spans="2:24" x14ac:dyDescent="0.25">
      <c r="B31">
        <f t="shared" ca="1" si="17"/>
        <v>66</v>
      </c>
      <c r="C31">
        <f ca="1">INDEX('Mortality Table'!$A$2:$H$121,MATCH('T20'!B31,'Mortality Table'!$A$2:$A$121),8)</f>
        <v>9.446541305012806E-3</v>
      </c>
      <c r="D31" s="2">
        <f t="shared" ref="D31:D38" si="24">$C$15</f>
        <v>2.7000000000000001E-3</v>
      </c>
      <c r="E31">
        <f t="shared" ca="1" si="19"/>
        <v>9.446541305012806E-3</v>
      </c>
      <c r="F31">
        <f t="shared" ca="1" si="20"/>
        <v>2.6744943384764655E-3</v>
      </c>
      <c r="G31">
        <f t="shared" ca="1" si="21"/>
        <v>0.98787896435651068</v>
      </c>
    </row>
    <row r="32" spans="2:24" x14ac:dyDescent="0.25">
      <c r="B32">
        <f t="shared" ca="1" si="17"/>
        <v>67</v>
      </c>
      <c r="C32">
        <f ca="1">INDEX('Mortality Table'!$A$2:$H$121,MATCH('T20'!B32,'Mortality Table'!$A$2:$A$121),8)</f>
        <v>1.0348103514479186E-2</v>
      </c>
      <c r="D32" s="2">
        <f t="shared" si="24"/>
        <v>2.7000000000000001E-3</v>
      </c>
      <c r="E32">
        <f t="shared" ca="1" si="19"/>
        <v>1.0348103514479186E-2</v>
      </c>
      <c r="F32">
        <f t="shared" ca="1" si="20"/>
        <v>2.6720601205109063E-3</v>
      </c>
      <c r="G32">
        <f t="shared" ca="1" si="21"/>
        <v>0.98697983636500985</v>
      </c>
      <c r="J32" t="s">
        <v>34</v>
      </c>
      <c r="K32" s="4">
        <f>NPV(C6,K10:K28)+150</f>
        <v>723039.97297905234</v>
      </c>
      <c r="L32" s="4">
        <f>NPV($C$6,L9:L28)</f>
        <v>-7767.9766028018357</v>
      </c>
      <c r="P32" s="4">
        <f ca="1">NPV($C$6,P9:P28)</f>
        <v>-221914.54844142179</v>
      </c>
      <c r="U32" t="s">
        <v>49</v>
      </c>
      <c r="V32" s="5">
        <f ca="1">NPV(C6,V9:V28)+V8</f>
        <v>466507.42154754931</v>
      </c>
      <c r="X32" s="4">
        <f ca="1">NPV(C6,X9:X28)</f>
        <v>-7211.3206894592449</v>
      </c>
    </row>
    <row r="33" spans="2:24" x14ac:dyDescent="0.25">
      <c r="B33">
        <f t="shared" ca="1" si="17"/>
        <v>68</v>
      </c>
      <c r="C33">
        <f ca="1">INDEX('Mortality Table'!$A$2:$H$121,MATCH('T20'!B33,'Mortality Table'!$A$2:$A$121),8)</f>
        <v>1.1307072644063514E-2</v>
      </c>
      <c r="D33" s="2">
        <f t="shared" si="24"/>
        <v>2.7000000000000001E-3</v>
      </c>
      <c r="E33">
        <f t="shared" ca="1" si="19"/>
        <v>1.1307072644063514E-2</v>
      </c>
      <c r="F33">
        <f t="shared" ca="1" si="20"/>
        <v>2.6694709038610287E-3</v>
      </c>
      <c r="G33">
        <f t="shared" ca="1" si="21"/>
        <v>0.98602345645207545</v>
      </c>
      <c r="U33" t="s">
        <v>48</v>
      </c>
      <c r="V33" s="1">
        <f ca="1">IRR(V8:V28)</f>
        <v>0.21712834240498613</v>
      </c>
    </row>
    <row r="34" spans="2:24" x14ac:dyDescent="0.25">
      <c r="B34">
        <f t="shared" ca="1" si="17"/>
        <v>69</v>
      </c>
      <c r="C34">
        <f ca="1">INDEX('Mortality Table'!$A$2:$H$121,MATCH('T20'!B34,'Mortality Table'!$A$2:$A$121),8)</f>
        <v>1.2386417895994871E-2</v>
      </c>
      <c r="D34" s="2">
        <f t="shared" si="24"/>
        <v>2.7000000000000001E-3</v>
      </c>
      <c r="E34">
        <f t="shared" ca="1" si="19"/>
        <v>1.2386417895994871E-2</v>
      </c>
      <c r="F34">
        <f t="shared" ca="1" si="20"/>
        <v>2.6665566716808143E-3</v>
      </c>
      <c r="G34">
        <f t="shared" ca="1" si="21"/>
        <v>0.98494702543232426</v>
      </c>
      <c r="J34" t="s">
        <v>35</v>
      </c>
      <c r="K34" s="47">
        <f ca="1">V32/K32</f>
        <v>0.645202808947694</v>
      </c>
      <c r="O34" t="s">
        <v>88</v>
      </c>
      <c r="P34" s="4">
        <f ca="1">X32</f>
        <v>-7211.3206894592449</v>
      </c>
    </row>
    <row r="35" spans="2:24" x14ac:dyDescent="0.25">
      <c r="B35">
        <f t="shared" ca="1" si="17"/>
        <v>70</v>
      </c>
      <c r="C35">
        <f ca="1">INDEX('Mortality Table'!$A$2:$H$121,MATCH('T20'!B35,'Mortality Table'!$A$2:$A$121),8)</f>
        <v>1.3603180967511048E-2</v>
      </c>
      <c r="D35" s="2">
        <f t="shared" si="24"/>
        <v>2.7000000000000001E-3</v>
      </c>
      <c r="E35">
        <f t="shared" ca="1" si="19"/>
        <v>1.3603180967511048E-2</v>
      </c>
      <c r="F35">
        <f t="shared" ca="1" si="20"/>
        <v>2.6632714113877204E-3</v>
      </c>
      <c r="G35">
        <f t="shared" ca="1" si="21"/>
        <v>0.98373354762110121</v>
      </c>
    </row>
    <row r="36" spans="2:24" x14ac:dyDescent="0.25">
      <c r="B36">
        <f t="shared" ca="1" si="17"/>
        <v>71</v>
      </c>
      <c r="C36">
        <f ca="1">INDEX('Mortality Table'!$A$2:$H$121,MATCH('T20'!B36,'Mortality Table'!$A$2:$A$121),8)</f>
        <v>1.4996716437595946E-2</v>
      </c>
      <c r="D36" s="2">
        <f t="shared" si="24"/>
        <v>2.7000000000000001E-3</v>
      </c>
      <c r="E36">
        <f t="shared" ca="1" si="19"/>
        <v>1.4996716437595946E-2</v>
      </c>
      <c r="F36">
        <f t="shared" ca="1" si="20"/>
        <v>2.659508865618491E-3</v>
      </c>
      <c r="G36">
        <f t="shared" ca="1" si="21"/>
        <v>0.98234377469678558</v>
      </c>
    </row>
    <row r="37" spans="2:24" x14ac:dyDescent="0.25">
      <c r="B37">
        <f t="shared" ca="1" si="17"/>
        <v>72</v>
      </c>
      <c r="C37">
        <f ca="1">INDEX('Mortality Table'!$A$2:$H$121,MATCH('T20'!B37,'Mortality Table'!$A$2:$A$121),8)</f>
        <v>1.6603615577772804E-2</v>
      </c>
      <c r="D37" s="2">
        <f t="shared" si="24"/>
        <v>2.7000000000000001E-3</v>
      </c>
      <c r="E37">
        <f t="shared" ca="1" si="19"/>
        <v>1.6603615577772804E-2</v>
      </c>
      <c r="F37">
        <f t="shared" ca="1" si="20"/>
        <v>2.6551702379400137E-3</v>
      </c>
      <c r="G37">
        <f t="shared" ca="1" si="21"/>
        <v>0.98074121418428717</v>
      </c>
    </row>
    <row r="38" spans="2:24" x14ac:dyDescent="0.25">
      <c r="B38">
        <f t="shared" ca="1" si="17"/>
        <v>73</v>
      </c>
      <c r="C38">
        <f ca="1">INDEX('Mortality Table'!$A$2:$H$121,MATCH('T20'!B38,'Mortality Table'!$A$2:$A$121),8)</f>
        <v>1.8457252018433221E-2</v>
      </c>
      <c r="D38" s="2">
        <f t="shared" si="24"/>
        <v>2.7000000000000001E-3</v>
      </c>
      <c r="E38">
        <f t="shared" ca="1" si="19"/>
        <v>1.8457252018433221E-2</v>
      </c>
      <c r="F38">
        <f t="shared" ca="1" si="20"/>
        <v>2.6501654195502304E-3</v>
      </c>
      <c r="G38">
        <f t="shared" ca="1" si="21"/>
        <v>0.9788925825620165</v>
      </c>
    </row>
    <row r="39" spans="2:24" x14ac:dyDescent="0.25">
      <c r="B39">
        <f t="shared" ca="1" si="17"/>
        <v>74</v>
      </c>
      <c r="C39">
        <f ca="1">INDEX('Mortality Table'!$A$2:$H$121,MATCH('T20'!B39,'Mortality Table'!$A$2:$A$121),8)</f>
        <v>2.0664840269652197E-2</v>
      </c>
      <c r="D39" s="2">
        <f>$C$16</f>
        <v>0.1106</v>
      </c>
      <c r="E39">
        <f t="shared" ca="1" si="19"/>
        <v>2.0664840269652197E-2</v>
      </c>
      <c r="F39">
        <f t="shared" ca="1" si="20"/>
        <v>0.10831446866617647</v>
      </c>
      <c r="G39">
        <f t="shared" ca="1" si="21"/>
        <v>0.87102069106417135</v>
      </c>
    </row>
    <row r="40" spans="2:24" x14ac:dyDescent="0.25">
      <c r="X40" s="11"/>
    </row>
    <row r="72" spans="2:24" x14ac:dyDescent="0.25">
      <c r="B72" t="s">
        <v>46</v>
      </c>
      <c r="C72">
        <v>50000</v>
      </c>
      <c r="D72">
        <v>100000</v>
      </c>
      <c r="E72">
        <v>250000</v>
      </c>
      <c r="F72">
        <v>500000</v>
      </c>
      <c r="G72">
        <v>1000000</v>
      </c>
      <c r="H72">
        <v>2000000</v>
      </c>
      <c r="J72" t="s">
        <v>47</v>
      </c>
      <c r="K72">
        <v>50000</v>
      </c>
      <c r="L72">
        <v>100000</v>
      </c>
      <c r="M72">
        <v>250000</v>
      </c>
      <c r="N72">
        <v>500000</v>
      </c>
      <c r="O72">
        <v>1000000</v>
      </c>
      <c r="P72">
        <v>2000000</v>
      </c>
      <c r="R72" t="s">
        <v>48</v>
      </c>
      <c r="S72">
        <v>50000</v>
      </c>
      <c r="T72">
        <v>100000</v>
      </c>
      <c r="U72">
        <v>250000</v>
      </c>
      <c r="V72">
        <v>500000</v>
      </c>
      <c r="W72">
        <v>1000000</v>
      </c>
      <c r="X72">
        <v>2000000</v>
      </c>
    </row>
    <row r="73" spans="2:24" x14ac:dyDescent="0.25">
      <c r="B73">
        <v>26</v>
      </c>
      <c r="C73">
        <v>74.349054392032045</v>
      </c>
      <c r="D73">
        <v>135.11292720124715</v>
      </c>
      <c r="E73">
        <v>317.40460141470226</v>
      </c>
      <c r="F73">
        <v>621.22396393579379</v>
      </c>
      <c r="G73">
        <v>1228.86278975554</v>
      </c>
      <c r="H73">
        <v>2444.1406378630923</v>
      </c>
      <c r="J73">
        <v>26</v>
      </c>
      <c r="K73">
        <v>121.49609188509612</v>
      </c>
      <c r="L73">
        <v>208.5328974531169</v>
      </c>
      <c r="M73">
        <v>469.64397460630516</v>
      </c>
      <c r="N73">
        <v>904.82798439209819</v>
      </c>
      <c r="O73">
        <v>1775.1971970709201</v>
      </c>
      <c r="P73">
        <v>3515.9379484171805</v>
      </c>
      <c r="R73">
        <v>26</v>
      </c>
      <c r="S73">
        <v>4.6608195664773922E-2</v>
      </c>
      <c r="T73">
        <v>4.5369963884897002E-2</v>
      </c>
      <c r="U73">
        <v>4.4530517916294032E-2</v>
      </c>
      <c r="V73">
        <v>4.4232168846704889E-2</v>
      </c>
      <c r="W73">
        <v>4.4079266471093836E-2</v>
      </c>
      <c r="X73">
        <v>4.400186220451241E-2</v>
      </c>
    </row>
    <row r="74" spans="2:24" x14ac:dyDescent="0.25">
      <c r="B74">
        <v>27</v>
      </c>
      <c r="C74">
        <v>79.461119959712505</v>
      </c>
      <c r="D74">
        <v>145.32944381391189</v>
      </c>
      <c r="E74">
        <v>342.93443079328529</v>
      </c>
      <c r="F74">
        <v>672.27607609488871</v>
      </c>
      <c r="G74">
        <v>1330.9593667706545</v>
      </c>
      <c r="H74">
        <v>2648.3259481364103</v>
      </c>
      <c r="J74">
        <v>27</v>
      </c>
      <c r="K74">
        <v>128.81856788038328</v>
      </c>
      <c r="L74">
        <v>223.16700083525552</v>
      </c>
      <c r="M74">
        <v>506.21248212938872</v>
      </c>
      <c r="N74">
        <v>977.95495492866849</v>
      </c>
      <c r="O74">
        <v>1921.4399013858292</v>
      </c>
      <c r="P74">
        <v>3808.4097944684654</v>
      </c>
      <c r="R74">
        <v>27</v>
      </c>
      <c r="S74">
        <v>4.6439884103468332E-2</v>
      </c>
      <c r="T74">
        <v>4.5276754177161926E-2</v>
      </c>
      <c r="U74">
        <v>4.4494972432407298E-2</v>
      </c>
      <c r="V74">
        <v>4.4218441938348896E-2</v>
      </c>
      <c r="W74">
        <v>4.4076977981857057E-2</v>
      </c>
      <c r="X74">
        <v>4.400542429702714E-2</v>
      </c>
    </row>
    <row r="75" spans="2:24" x14ac:dyDescent="0.25">
      <c r="B75">
        <v>28</v>
      </c>
      <c r="C75">
        <v>84.94329979023604</v>
      </c>
      <c r="D75">
        <v>156.28572012082495</v>
      </c>
      <c r="E75">
        <v>370.31299833671073</v>
      </c>
      <c r="F75">
        <v>727.02512905358253</v>
      </c>
      <c r="G75">
        <v>1440.4493905865381</v>
      </c>
      <c r="H75">
        <v>2867.2979136873478</v>
      </c>
      <c r="J75">
        <v>28</v>
      </c>
      <c r="K75">
        <v>136.6711392589674</v>
      </c>
      <c r="L75">
        <v>238.8605531941962</v>
      </c>
      <c r="M75">
        <v>545.42899870957081</v>
      </c>
      <c r="N75">
        <v>1056.3764121248369</v>
      </c>
      <c r="O75">
        <v>2078.2712401287536</v>
      </c>
      <c r="P75">
        <v>4122.0608965493084</v>
      </c>
      <c r="R75">
        <v>28</v>
      </c>
      <c r="S75">
        <v>4.6284033317782081E-2</v>
      </c>
      <c r="T75">
        <v>4.5191931186355117E-2</v>
      </c>
      <c r="U75">
        <v>4.4463721967064274E-2</v>
      </c>
      <c r="V75">
        <v>4.4207257100519426E-2</v>
      </c>
      <c r="W75">
        <v>4.4076282892907992E-2</v>
      </c>
      <c r="X75">
        <v>4.4010092899095854E-2</v>
      </c>
    </row>
    <row r="76" spans="2:24" x14ac:dyDescent="0.25">
      <c r="B76">
        <v>29</v>
      </c>
      <c r="C76">
        <v>91.068961528435253</v>
      </c>
      <c r="D76">
        <v>168.52810524865177</v>
      </c>
      <c r="E76">
        <v>400.90553719263863</v>
      </c>
      <c r="F76">
        <v>788.20125722778323</v>
      </c>
      <c r="G76">
        <v>1562.7926972656489</v>
      </c>
      <c r="H76">
        <v>3111.9755772987442</v>
      </c>
      <c r="J76">
        <v>29</v>
      </c>
      <c r="K76">
        <v>145.44536099895799</v>
      </c>
      <c r="L76">
        <v>256.39630747592469</v>
      </c>
      <c r="M76">
        <v>589.24915616600265</v>
      </c>
      <c r="N76">
        <v>1144.0039055016896</v>
      </c>
      <c r="O76">
        <v>2253.5134037898169</v>
      </c>
      <c r="P76">
        <v>4472.5323998620806</v>
      </c>
      <c r="R76">
        <v>29</v>
      </c>
      <c r="S76">
        <v>4.6134597101318064E-2</v>
      </c>
      <c r="T76">
        <v>4.511222827667738E-2</v>
      </c>
      <c r="U76">
        <v>4.4435724761495932E-2</v>
      </c>
      <c r="V76">
        <v>4.4198457401805502E-2</v>
      </c>
      <c r="W76">
        <v>4.4077485035745934E-2</v>
      </c>
      <c r="X76">
        <v>4.4016400463508187E-2</v>
      </c>
    </row>
    <row r="77" spans="2:24" x14ac:dyDescent="0.25">
      <c r="B77">
        <v>30</v>
      </c>
      <c r="C77">
        <v>96.256810023131607</v>
      </c>
      <c r="D77">
        <v>178.89635601308896</v>
      </c>
      <c r="E77">
        <v>426.81496914990311</v>
      </c>
      <c r="F77">
        <v>840.0126708808217</v>
      </c>
      <c r="G77">
        <v>1666.4080745264607</v>
      </c>
      <c r="H77">
        <v>3319.1988819190487</v>
      </c>
      <c r="J77">
        <v>30</v>
      </c>
      <c r="K77">
        <v>152.87634056689888</v>
      </c>
      <c r="L77">
        <v>271.24763557626352</v>
      </c>
      <c r="M77">
        <v>626.36122721459287</v>
      </c>
      <c r="N77">
        <v>1218.2173688700477</v>
      </c>
      <c r="O77">
        <v>2401.929654352487</v>
      </c>
      <c r="P77">
        <v>4769.3542265142896</v>
      </c>
      <c r="R77">
        <v>30</v>
      </c>
      <c r="S77">
        <v>4.6024039074870071E-2</v>
      </c>
      <c r="T77">
        <v>4.505409009014083E-2</v>
      </c>
      <c r="U77">
        <v>4.4415899025139094E-2</v>
      </c>
      <c r="V77">
        <v>4.4192753552997344E-2</v>
      </c>
      <c r="W77">
        <v>4.4079117619245434E-2</v>
      </c>
      <c r="X77">
        <v>4.402177250421091E-2</v>
      </c>
    </row>
    <row r="78" spans="2:24" x14ac:dyDescent="0.25">
      <c r="B78">
        <v>31</v>
      </c>
      <c r="C78">
        <v>112.69801383355819</v>
      </c>
      <c r="D78">
        <v>211.75391948722773</v>
      </c>
      <c r="E78">
        <v>508.92162599563028</v>
      </c>
      <c r="F78">
        <v>1004.2011316263397</v>
      </c>
      <c r="G78">
        <v>1994.7602014215993</v>
      </c>
      <c r="H78">
        <v>3975.8782475264493</v>
      </c>
      <c r="J78">
        <v>31</v>
      </c>
      <c r="K78">
        <v>176.42637697431724</v>
      </c>
      <c r="L78">
        <v>318.31212498735931</v>
      </c>
      <c r="M78">
        <v>743.96924573197248</v>
      </c>
      <c r="N78">
        <v>1453.3977187731834</v>
      </c>
      <c r="O78">
        <v>2872.2553552960162</v>
      </c>
      <c r="P78">
        <v>5709.969525624314</v>
      </c>
      <c r="R78">
        <v>31</v>
      </c>
      <c r="S78">
        <v>4.5763150669637209E-2</v>
      </c>
      <c r="T78">
        <v>4.4928325752439546E-2</v>
      </c>
      <c r="U78">
        <v>4.4386803152409948E-2</v>
      </c>
      <c r="V78">
        <v>4.4198889640359784E-2</v>
      </c>
      <c r="W78">
        <v>4.410348216832416E-2</v>
      </c>
      <c r="X78">
        <v>4.4055405617497323E-2</v>
      </c>
    </row>
    <row r="79" spans="2:24" x14ac:dyDescent="0.25">
      <c r="B79">
        <v>32</v>
      </c>
      <c r="C79">
        <v>112.98775166024699</v>
      </c>
      <c r="D79">
        <v>212.33376292393274</v>
      </c>
      <c r="E79">
        <v>510.37179679526753</v>
      </c>
      <c r="F79">
        <v>1007.1018532833826</v>
      </c>
      <c r="G79">
        <v>2000.5619662749637</v>
      </c>
      <c r="H79">
        <v>3987.482192266908</v>
      </c>
      <c r="J79">
        <v>32</v>
      </c>
      <c r="K79">
        <v>176.84138854607227</v>
      </c>
      <c r="L79">
        <v>319.14262382126981</v>
      </c>
      <c r="M79">
        <v>746.04633059380558</v>
      </c>
      <c r="N79">
        <v>1457.5525089713865</v>
      </c>
      <c r="O79">
        <v>2880.5648659076251</v>
      </c>
      <c r="P79">
        <v>5726.5895798837009</v>
      </c>
      <c r="R79">
        <v>32</v>
      </c>
      <c r="S79">
        <v>4.5752540952808562E-2</v>
      </c>
      <c r="T79">
        <v>4.4919857825295839E-2</v>
      </c>
      <c r="U79">
        <v>4.4379858896768543E-2</v>
      </c>
      <c r="V79">
        <v>4.4192499035991428E-2</v>
      </c>
      <c r="W79">
        <v>4.4097374187936023E-2</v>
      </c>
      <c r="X79">
        <v>4.4049443908205976E-2</v>
      </c>
    </row>
    <row r="80" spans="2:24" x14ac:dyDescent="0.25">
      <c r="B80">
        <v>33</v>
      </c>
      <c r="C80">
        <v>97.310081826664458</v>
      </c>
      <c r="D80">
        <v>181.00335845928097</v>
      </c>
      <c r="E80">
        <v>432.08317327611428</v>
      </c>
      <c r="F80">
        <v>850.54955865371323</v>
      </c>
      <c r="G80">
        <v>1687.4818918466558</v>
      </c>
      <c r="H80">
        <v>3361.3469586898336</v>
      </c>
      <c r="J80">
        <v>33</v>
      </c>
      <c r="K80">
        <v>154.38487064694505</v>
      </c>
      <c r="L80">
        <v>274.26557441270734</v>
      </c>
      <c r="M80">
        <v>633.90750753053817</v>
      </c>
      <c r="N80">
        <v>1233.3110525234588</v>
      </c>
      <c r="O80">
        <v>2432.1129727910557</v>
      </c>
      <c r="P80">
        <v>4829.7215446561386</v>
      </c>
      <c r="R80">
        <v>33</v>
      </c>
      <c r="S80">
        <v>4.5984141576481674E-2</v>
      </c>
      <c r="T80">
        <v>4.5024478176381333E-2</v>
      </c>
      <c r="U80">
        <v>4.4393802710426256E-2</v>
      </c>
      <c r="V80">
        <v>4.417342678516345E-2</v>
      </c>
      <c r="W80">
        <v>4.4061200063472361E-2</v>
      </c>
      <c r="X80">
        <v>4.4004586550380642E-2</v>
      </c>
    </row>
    <row r="81" spans="2:24" x14ac:dyDescent="0.25">
      <c r="B81">
        <v>34</v>
      </c>
      <c r="C81">
        <v>109.24620520769814</v>
      </c>
      <c r="D81">
        <v>204.85802971132887</v>
      </c>
      <c r="E81">
        <v>491.69350321417505</v>
      </c>
      <c r="F81">
        <v>969.75262470552025</v>
      </c>
      <c r="G81">
        <v>1925.8708698632831</v>
      </c>
      <c r="H81">
        <v>3838.1073606558643</v>
      </c>
      <c r="J81">
        <v>34</v>
      </c>
      <c r="K81">
        <v>171.48208232466209</v>
      </c>
      <c r="L81">
        <v>308.43453897479367</v>
      </c>
      <c r="M81">
        <v>719.29190883023148</v>
      </c>
      <c r="N81">
        <v>1404.0541799630519</v>
      </c>
      <c r="O81">
        <v>2773.5787478977109</v>
      </c>
      <c r="P81">
        <v>5512.6278893969793</v>
      </c>
      <c r="R81">
        <v>34</v>
      </c>
      <c r="S81">
        <v>4.5787944823758142E-2</v>
      </c>
      <c r="T81">
        <v>4.492834984359062E-2</v>
      </c>
      <c r="U81">
        <v>4.4369370017276477E-2</v>
      </c>
      <c r="V81">
        <v>4.417514174232795E-2</v>
      </c>
      <c r="W81">
        <v>4.4076473944270278E-2</v>
      </c>
      <c r="X81">
        <v>4.402674422068209E-2</v>
      </c>
    </row>
    <row r="82" spans="2:24" x14ac:dyDescent="0.25">
      <c r="B82">
        <v>35</v>
      </c>
      <c r="C82">
        <v>159.9377609860129</v>
      </c>
      <c r="D82">
        <v>306.16473487575735</v>
      </c>
      <c r="E82">
        <v>744.84552923348133</v>
      </c>
      <c r="F82">
        <v>1475.9805513719577</v>
      </c>
      <c r="G82">
        <v>2938.2503563984442</v>
      </c>
      <c r="H82">
        <v>5862.7899674669097</v>
      </c>
      <c r="J82">
        <v>35</v>
      </c>
      <c r="K82">
        <v>244.09178729166592</v>
      </c>
      <c r="L82">
        <v>453.54442914121955</v>
      </c>
      <c r="M82">
        <v>1081.9008595846954</v>
      </c>
      <c r="N82">
        <v>2129.1658619715417</v>
      </c>
      <c r="O82">
        <v>4223.6930570651675</v>
      </c>
      <c r="P82">
        <v>8412.7474591779755</v>
      </c>
      <c r="R82">
        <v>35</v>
      </c>
      <c r="S82">
        <v>4.5359226830159249E-2</v>
      </c>
      <c r="T82">
        <v>4.4761466568510988E-2</v>
      </c>
      <c r="U82">
        <v>4.4382841543301854E-2</v>
      </c>
      <c r="V82">
        <v>4.4253122908444853E-2</v>
      </c>
      <c r="W82">
        <v>4.4187569827522477E-2</v>
      </c>
      <c r="X82">
        <v>4.4154619984560384E-2</v>
      </c>
    </row>
    <row r="83" spans="2:24" x14ac:dyDescent="0.25">
      <c r="B83">
        <v>36</v>
      </c>
      <c r="C83">
        <v>134.27349631937969</v>
      </c>
      <c r="D83">
        <v>254.87632472707091</v>
      </c>
      <c r="E83">
        <v>616.68484521121707</v>
      </c>
      <c r="F83">
        <v>1219.6990089626379</v>
      </c>
      <c r="G83">
        <v>2425.7273364655071</v>
      </c>
      <c r="H83">
        <v>4837.7839914712076</v>
      </c>
      <c r="J83">
        <v>36</v>
      </c>
      <c r="K83">
        <v>207.33047363979676</v>
      </c>
      <c r="L83">
        <v>380.07949730637256</v>
      </c>
      <c r="M83">
        <v>898.32698346715279</v>
      </c>
      <c r="N83">
        <v>1762.0723574467429</v>
      </c>
      <c r="O83">
        <v>3489.5631054062469</v>
      </c>
      <c r="P83">
        <v>6944.5446013248147</v>
      </c>
      <c r="R83">
        <v>36</v>
      </c>
      <c r="S83">
        <v>4.5510022832093266E-2</v>
      </c>
      <c r="T83">
        <v>4.4804016906394351E-2</v>
      </c>
      <c r="U83">
        <v>4.4352062696333183E-2</v>
      </c>
      <c r="V83">
        <v>4.4196316852681106E-2</v>
      </c>
      <c r="W83">
        <v>4.4117452284167413E-2</v>
      </c>
      <c r="X83">
        <v>4.4077768335117229E-2</v>
      </c>
    </row>
    <row r="84" spans="2:24" x14ac:dyDescent="0.25">
      <c r="B84">
        <v>37</v>
      </c>
      <c r="C84">
        <v>159.61515320829815</v>
      </c>
      <c r="D84">
        <v>305.52240814203208</v>
      </c>
      <c r="E84">
        <v>743.2442045612886</v>
      </c>
      <c r="F84">
        <v>1472.7804711333088</v>
      </c>
      <c r="G84">
        <v>2931.853064173562</v>
      </c>
      <c r="H84">
        <v>5849.9982517810131</v>
      </c>
      <c r="J84">
        <v>37</v>
      </c>
      <c r="K84">
        <v>243.62957554896934</v>
      </c>
      <c r="L84">
        <v>452.62421209471131</v>
      </c>
      <c r="M84">
        <v>1079.608493112697</v>
      </c>
      <c r="N84">
        <v>2124.5815807394247</v>
      </c>
      <c r="O84">
        <v>4214.5284595244884</v>
      </c>
      <c r="P84">
        <v>8394.4222350298514</v>
      </c>
      <c r="R84">
        <v>37</v>
      </c>
      <c r="S84">
        <v>4.5346066201584767E-2</v>
      </c>
      <c r="T84">
        <v>4.474737569416809E-2</v>
      </c>
      <c r="U84">
        <v>4.4368162177649717E-2</v>
      </c>
      <c r="V84">
        <v>4.4238205208771086E-2</v>
      </c>
      <c r="W84">
        <v>4.4172542346377464E-2</v>
      </c>
      <c r="X84">
        <v>4.413953712595009E-2</v>
      </c>
    </row>
    <row r="85" spans="2:24" x14ac:dyDescent="0.25">
      <c r="B85">
        <v>38</v>
      </c>
      <c r="C85">
        <v>174.84821800566993</v>
      </c>
      <c r="D85">
        <v>335.96686001624198</v>
      </c>
      <c r="E85">
        <v>819.32280447027949</v>
      </c>
      <c r="F85">
        <v>1624.9159975690327</v>
      </c>
      <c r="G85">
        <v>3236.1024258208904</v>
      </c>
      <c r="H85">
        <v>6458.4752825953083</v>
      </c>
      <c r="J85">
        <v>38</v>
      </c>
      <c r="K85">
        <v>265.4491034922919</v>
      </c>
      <c r="L85">
        <v>496.23221978587071</v>
      </c>
      <c r="M85">
        <v>1188.5817847523358</v>
      </c>
      <c r="N85">
        <v>2342.4971673560067</v>
      </c>
      <c r="O85">
        <v>4650.3284258424028</v>
      </c>
      <c r="P85">
        <v>9265.9909459904156</v>
      </c>
      <c r="R85">
        <v>38</v>
      </c>
      <c r="S85">
        <v>4.5277478367553581E-2</v>
      </c>
      <c r="T85">
        <v>4.4728620085572324E-2</v>
      </c>
      <c r="U85">
        <v>4.4382647523148799E-2</v>
      </c>
      <c r="V85">
        <v>4.4264381653793983E-2</v>
      </c>
      <c r="W85">
        <v>4.4204683109345666E-2</v>
      </c>
      <c r="X85">
        <v>4.4174690461721511E-2</v>
      </c>
    </row>
    <row r="86" spans="2:24" x14ac:dyDescent="0.25">
      <c r="B86">
        <v>39</v>
      </c>
      <c r="C86">
        <v>148.1137827686477</v>
      </c>
      <c r="D86">
        <v>282.53916146310053</v>
      </c>
      <c r="E86">
        <v>685.81541872868252</v>
      </c>
      <c r="F86">
        <v>1357.9424609821556</v>
      </c>
      <c r="G86">
        <v>2702.1965427647569</v>
      </c>
      <c r="H86">
        <v>5390.7047048436034</v>
      </c>
      <c r="J86">
        <v>39</v>
      </c>
      <c r="K86">
        <v>227.15526326794111</v>
      </c>
      <c r="L86">
        <v>419.70304647553576</v>
      </c>
      <c r="M86">
        <v>997.34782126988648</v>
      </c>
      <c r="N86">
        <v>1960.0884870591181</v>
      </c>
      <c r="O86">
        <v>3885.5697865977563</v>
      </c>
      <c r="P86">
        <v>7736.5323681946174</v>
      </c>
      <c r="R86">
        <v>39</v>
      </c>
      <c r="S86">
        <v>4.5392756890145769E-2</v>
      </c>
      <c r="T86">
        <v>4.4750068866110215E-2</v>
      </c>
      <c r="U86">
        <v>4.434125803815947E-2</v>
      </c>
      <c r="V86">
        <v>4.4200845393991495E-2</v>
      </c>
      <c r="W86">
        <v>4.4129836009543455E-2</v>
      </c>
      <c r="X86">
        <v>4.4094127819844564E-2</v>
      </c>
    </row>
    <row r="87" spans="2:24" x14ac:dyDescent="0.25">
      <c r="B87">
        <v>40</v>
      </c>
      <c r="C87">
        <v>179.51284033503302</v>
      </c>
      <c r="D87">
        <v>345.29178844819864</v>
      </c>
      <c r="E87">
        <v>842.62868958223589</v>
      </c>
      <c r="F87">
        <v>1671.5233779751527</v>
      </c>
      <c r="G87">
        <v>3329.3128769160048</v>
      </c>
      <c r="H87">
        <v>6644.8918756906578</v>
      </c>
      <c r="J87">
        <v>40</v>
      </c>
      <c r="K87">
        <v>272.13064454481878</v>
      </c>
      <c r="L87">
        <v>509.58908116694465</v>
      </c>
      <c r="M87">
        <v>1221.9650570246686</v>
      </c>
      <c r="N87">
        <v>2409.2566283386768</v>
      </c>
      <c r="O87">
        <v>4783.8412033963905</v>
      </c>
      <c r="P87">
        <v>9533.0103639827867</v>
      </c>
      <c r="R87">
        <v>40</v>
      </c>
      <c r="S87">
        <v>4.5247464671448467E-2</v>
      </c>
      <c r="T87">
        <v>4.4712383211508389E-2</v>
      </c>
      <c r="U87">
        <v>4.4375554941676221E-2</v>
      </c>
      <c r="V87">
        <v>4.4260488935283115E-2</v>
      </c>
      <c r="W87">
        <v>4.4202423948100922E-2</v>
      </c>
      <c r="X87">
        <v>4.4173255967207448E-2</v>
      </c>
    </row>
    <row r="88" spans="2:24" x14ac:dyDescent="0.25">
      <c r="B88">
        <v>41</v>
      </c>
      <c r="C88">
        <v>182.25823007275162</v>
      </c>
      <c r="D88">
        <v>350.77985786178726</v>
      </c>
      <c r="E88">
        <v>856.34474155739326</v>
      </c>
      <c r="F88">
        <v>1698.9528811851073</v>
      </c>
      <c r="G88">
        <v>3384.1691604956577</v>
      </c>
      <c r="H88">
        <v>6754.6017191473929</v>
      </c>
      <c r="J88">
        <v>41</v>
      </c>
      <c r="K88">
        <v>276.06304831367856</v>
      </c>
      <c r="L88">
        <v>517.45007276538718</v>
      </c>
      <c r="M88">
        <v>1241.6111499719354</v>
      </c>
      <c r="N88">
        <v>2448.5462802327347</v>
      </c>
      <c r="O88">
        <v>4862.4165414005765</v>
      </c>
      <c r="P88">
        <v>9690.1570640954887</v>
      </c>
      <c r="R88">
        <v>41</v>
      </c>
      <c r="S88">
        <v>4.5231772739451559E-2</v>
      </c>
      <c r="T88">
        <v>4.4704462809699086E-2</v>
      </c>
      <c r="U88">
        <v>4.4372770361068348E-2</v>
      </c>
      <c r="V88">
        <v>4.4259513087947067E-2</v>
      </c>
      <c r="W88">
        <v>4.4202365376161179E-2</v>
      </c>
      <c r="X88">
        <v>4.4173660338058029E-2</v>
      </c>
    </row>
    <row r="89" spans="2:24" x14ac:dyDescent="0.25">
      <c r="B89">
        <v>42</v>
      </c>
      <c r="C89">
        <v>217.52636825192869</v>
      </c>
      <c r="D89">
        <v>421.26557401324021</v>
      </c>
      <c r="E89">
        <v>1032.4832216051668</v>
      </c>
      <c r="F89">
        <v>2051.179202905927</v>
      </c>
      <c r="G89">
        <v>4088.5712575015359</v>
      </c>
      <c r="H89">
        <v>8163.3553677770742</v>
      </c>
      <c r="J89">
        <v>42</v>
      </c>
      <c r="K89">
        <v>326.58043995214985</v>
      </c>
      <c r="L89">
        <v>618.41246458644855</v>
      </c>
      <c r="M89">
        <v>1493.9088926851109</v>
      </c>
      <c r="N89">
        <v>2953.0684606778887</v>
      </c>
      <c r="O89">
        <v>5871.3886717566493</v>
      </c>
      <c r="P89">
        <v>11708.029106586167</v>
      </c>
      <c r="R89">
        <v>42</v>
      </c>
      <c r="S89">
        <v>4.51557665804736E-2</v>
      </c>
      <c r="T89">
        <v>4.4709976869214518E-2</v>
      </c>
      <c r="U89">
        <v>4.4431730118445589E-2</v>
      </c>
      <c r="V89">
        <v>4.433709658244589E-2</v>
      </c>
      <c r="W89">
        <v>4.4289421790927763E-2</v>
      </c>
      <c r="X89">
        <v>4.4265493458124583E-2</v>
      </c>
    </row>
    <row r="90" spans="2:24" x14ac:dyDescent="0.25">
      <c r="B90">
        <v>43</v>
      </c>
      <c r="C90">
        <v>232.787351963558</v>
      </c>
      <c r="D90">
        <v>451.76679330819809</v>
      </c>
      <c r="E90">
        <v>1108.7051179343362</v>
      </c>
      <c r="F90">
        <v>2203.6023258687128</v>
      </c>
      <c r="G90">
        <v>4393.396741826492</v>
      </c>
      <c r="H90">
        <v>8772.9855737875059</v>
      </c>
      <c r="J90">
        <v>43</v>
      </c>
      <c r="K90">
        <v>348.43995829620326</v>
      </c>
      <c r="L90">
        <v>662.1017616249319</v>
      </c>
      <c r="M90">
        <v>1603.0871785229738</v>
      </c>
      <c r="N90">
        <v>3171.3962093024275</v>
      </c>
      <c r="O90">
        <v>6308.0142719003634</v>
      </c>
      <c r="P90">
        <v>12581.250397626747</v>
      </c>
      <c r="R90">
        <v>43</v>
      </c>
      <c r="S90">
        <v>4.5134774240576991E-2</v>
      </c>
      <c r="T90">
        <v>4.4716744085418592E-2</v>
      </c>
      <c r="U90">
        <v>4.445650149406899E-2</v>
      </c>
      <c r="V90">
        <v>4.4368115370443606E-2</v>
      </c>
      <c r="W90">
        <v>4.4323608416686477E-2</v>
      </c>
      <c r="X90">
        <v>4.4301275804680573E-2</v>
      </c>
    </row>
    <row r="91" spans="2:24" x14ac:dyDescent="0.25">
      <c r="B91">
        <v>44</v>
      </c>
      <c r="C91">
        <v>244.87668511453566</v>
      </c>
      <c r="D91">
        <v>475.92953450461368</v>
      </c>
      <c r="E91">
        <v>1169.088126504688</v>
      </c>
      <c r="F91">
        <v>2324.352447039762</v>
      </c>
      <c r="G91">
        <v>4634.8810883303759</v>
      </c>
      <c r="H91">
        <v>9255.93837102623</v>
      </c>
      <c r="J91">
        <v>44</v>
      </c>
      <c r="K91">
        <v>365.75660397623869</v>
      </c>
      <c r="L91">
        <v>696.711965514658</v>
      </c>
      <c r="M91">
        <v>1689.5785611580213</v>
      </c>
      <c r="N91">
        <v>3344.3562268008027</v>
      </c>
      <c r="O91">
        <v>6653.9115606568666</v>
      </c>
      <c r="P91">
        <v>13273.022229705472</v>
      </c>
      <c r="R91">
        <v>44</v>
      </c>
      <c r="S91">
        <v>4.5121574002590981E-2</v>
      </c>
      <c r="T91">
        <v>4.4723122722547748E-2</v>
      </c>
      <c r="U91">
        <v>4.4475527825061478E-2</v>
      </c>
      <c r="V91">
        <v>4.4391516574644241E-2</v>
      </c>
      <c r="W91">
        <v>4.4349227817801484E-2</v>
      </c>
      <c r="X91">
        <v>4.4328012089749347E-2</v>
      </c>
    </row>
    <row r="92" spans="2:24" x14ac:dyDescent="0.25">
      <c r="B92">
        <v>45</v>
      </c>
      <c r="C92">
        <v>274.80517844813039</v>
      </c>
      <c r="D92">
        <v>535.74485623904332</v>
      </c>
      <c r="E92">
        <v>1318.563900908259</v>
      </c>
      <c r="F92">
        <v>2623.2623089063136</v>
      </c>
      <c r="G92">
        <v>5232.6591249940866</v>
      </c>
      <c r="H92">
        <v>10451.45275721798</v>
      </c>
      <c r="J92">
        <v>45</v>
      </c>
      <c r="K92">
        <v>408.62546271238443</v>
      </c>
      <c r="L92">
        <v>782.3901967181182</v>
      </c>
      <c r="M92">
        <v>1903.6845300977493</v>
      </c>
      <c r="N92">
        <v>3772.5084215759089</v>
      </c>
      <c r="O92">
        <v>7510.1562055981849</v>
      </c>
      <c r="P92">
        <v>14985.451774204921</v>
      </c>
      <c r="R92">
        <v>45</v>
      </c>
      <c r="S92">
        <v>4.5116110685215149E-2</v>
      </c>
      <c r="T92">
        <v>4.475867284787638E-2</v>
      </c>
      <c r="U92">
        <v>4.45374046277216E-2</v>
      </c>
      <c r="V92">
        <v>4.4462472794294827E-2</v>
      </c>
      <c r="W92">
        <v>4.4424782393449824E-2</v>
      </c>
      <c r="X92">
        <v>4.4405880672589548E-2</v>
      </c>
    </row>
    <row r="93" spans="2:24" x14ac:dyDescent="0.25">
      <c r="B93">
        <v>46</v>
      </c>
      <c r="C93">
        <v>309.21945890199817</v>
      </c>
      <c r="D93">
        <v>604.52560289667622</v>
      </c>
      <c r="E93">
        <v>1490.4440354138051</v>
      </c>
      <c r="F93">
        <v>2966.9747564954741</v>
      </c>
      <c r="G93">
        <v>5920.0361987504994</v>
      </c>
      <c r="H93">
        <v>11826.159083308501</v>
      </c>
      <c r="J93">
        <v>46</v>
      </c>
      <c r="K93">
        <v>457.9197544251997</v>
      </c>
      <c r="L93">
        <v>880.91036744333087</v>
      </c>
      <c r="M93">
        <v>2149.882212678207</v>
      </c>
      <c r="N93">
        <v>4264.8352906177752</v>
      </c>
      <c r="O93">
        <v>8494.7414475599362</v>
      </c>
      <c r="P93">
        <v>16954.553762000083</v>
      </c>
      <c r="R93">
        <v>46</v>
      </c>
      <c r="S93">
        <v>4.5131586987352978E-2</v>
      </c>
      <c r="T93">
        <v>4.4811557912975086E-2</v>
      </c>
      <c r="U93">
        <v>4.4614127478635801E-2</v>
      </c>
      <c r="V93">
        <v>4.4547385965600039E-2</v>
      </c>
      <c r="W93">
        <v>4.4513837744508233E-2</v>
      </c>
      <c r="X93">
        <v>4.4497018987590176E-2</v>
      </c>
    </row>
    <row r="94" spans="2:24" x14ac:dyDescent="0.25">
      <c r="B94">
        <v>47</v>
      </c>
      <c r="C94">
        <v>343.36899879119619</v>
      </c>
      <c r="D94">
        <v>672.77763666140788</v>
      </c>
      <c r="E94">
        <v>1661.0035749390786</v>
      </c>
      <c r="F94">
        <v>3308.0468057242033</v>
      </c>
      <c r="G94">
        <v>6602.1332674281266</v>
      </c>
      <c r="H94">
        <v>13190.306190904976</v>
      </c>
      <c r="J94">
        <v>47</v>
      </c>
      <c r="K94">
        <v>506.83495451636327</v>
      </c>
      <c r="L94">
        <v>978.67322534638424</v>
      </c>
      <c r="M94">
        <v>2394.1883229711493</v>
      </c>
      <c r="N94">
        <v>4753.3801560717984</v>
      </c>
      <c r="O94">
        <v>9471.7638238182699</v>
      </c>
      <c r="P94">
        <v>18908.531160108803</v>
      </c>
      <c r="R94">
        <v>47</v>
      </c>
      <c r="S94">
        <v>4.5162271462145798E-2</v>
      </c>
      <c r="T94">
        <v>4.4871999669572116E-2</v>
      </c>
      <c r="U94">
        <v>4.4693415221138233E-2</v>
      </c>
      <c r="V94">
        <v>4.4633128419074408E-2</v>
      </c>
      <c r="W94">
        <v>4.4602840692905099E-2</v>
      </c>
      <c r="X94">
        <v>4.4587660543358609E-2</v>
      </c>
    </row>
    <row r="95" spans="2:24" x14ac:dyDescent="0.25">
      <c r="B95">
        <v>48</v>
      </c>
      <c r="C95">
        <v>352.64897191594304</v>
      </c>
      <c r="D95">
        <v>691.32683383417282</v>
      </c>
      <c r="E95">
        <v>1707.3604203147815</v>
      </c>
      <c r="F95">
        <v>3400.74973137903</v>
      </c>
      <c r="G95">
        <v>6787.5283536129227</v>
      </c>
      <c r="H95">
        <v>13561.085598129226</v>
      </c>
      <c r="J95">
        <v>48</v>
      </c>
      <c r="K95">
        <v>520.12756787573835</v>
      </c>
      <c r="L95">
        <v>1005.2432475917885</v>
      </c>
      <c r="M95">
        <v>2460.5902951254284</v>
      </c>
      <c r="N95">
        <v>4886.1687107222388</v>
      </c>
      <c r="O95">
        <v>9737.3255431333673</v>
      </c>
      <c r="P95">
        <v>19439.639208516048</v>
      </c>
      <c r="R95">
        <v>48</v>
      </c>
      <c r="S95">
        <v>4.5166095672564799E-2</v>
      </c>
      <c r="T95">
        <v>4.4882996269428377E-2</v>
      </c>
      <c r="U95">
        <v>4.470893719659319E-2</v>
      </c>
      <c r="V95">
        <v>4.4650197737213349E-2</v>
      </c>
      <c r="W95">
        <v>4.4620691132025492E-2</v>
      </c>
      <c r="X95">
        <v>4.4605903421100823E-2</v>
      </c>
    </row>
    <row r="96" spans="2:24" x14ac:dyDescent="0.25">
      <c r="B96">
        <v>49</v>
      </c>
      <c r="C96">
        <v>408.77100123313801</v>
      </c>
      <c r="D96">
        <v>803.49295578235547</v>
      </c>
      <c r="E96">
        <v>1987.6588197202743</v>
      </c>
      <c r="F96">
        <v>3961.2685930530733</v>
      </c>
      <c r="G96">
        <v>7908.4881397581421</v>
      </c>
      <c r="H96">
        <v>15802.927233188093</v>
      </c>
      <c r="J96">
        <v>49</v>
      </c>
      <c r="K96">
        <v>600.51539772727483</v>
      </c>
      <c r="L96">
        <v>1165.9072356361412</v>
      </c>
      <c r="M96">
        <v>2862.0827526994581</v>
      </c>
      <c r="N96">
        <v>5689.0419489882843</v>
      </c>
      <c r="O96">
        <v>11342.960342019607</v>
      </c>
      <c r="P96">
        <v>22650.797128310078</v>
      </c>
      <c r="R96">
        <v>49</v>
      </c>
      <c r="S96">
        <v>4.5248737549164364E-2</v>
      </c>
      <c r="T96">
        <v>4.5001673320090418E-2</v>
      </c>
      <c r="U96">
        <v>4.4850265167725167E-2</v>
      </c>
      <c r="V96">
        <v>4.4799254552045475E-2</v>
      </c>
      <c r="W96">
        <v>4.4773646516033105E-2</v>
      </c>
      <c r="X96">
        <v>4.4760816693121486E-2</v>
      </c>
    </row>
    <row r="97" spans="2:24" x14ac:dyDescent="0.25">
      <c r="B97">
        <v>50</v>
      </c>
      <c r="C97">
        <v>442.47278951903587</v>
      </c>
      <c r="D97">
        <v>870.85131183160149</v>
      </c>
      <c r="E97">
        <v>2155.9868787425867</v>
      </c>
      <c r="F97">
        <v>4297.8794902294812</v>
      </c>
      <c r="G97">
        <v>8581.6647131865138</v>
      </c>
      <c r="H97">
        <v>17149.235159091168</v>
      </c>
      <c r="J97">
        <v>50</v>
      </c>
      <c r="K97">
        <v>648.78926237250289</v>
      </c>
      <c r="L97">
        <v>1262.390201123153</v>
      </c>
      <c r="M97">
        <v>3103.1930170689011</v>
      </c>
      <c r="N97">
        <v>6171.1977099517317</v>
      </c>
      <c r="O97">
        <v>12307.207095525315</v>
      </c>
      <c r="P97">
        <v>24579.22586656455</v>
      </c>
      <c r="R97">
        <v>50</v>
      </c>
      <c r="S97">
        <v>4.5303692432312692E-2</v>
      </c>
      <c r="T97">
        <v>4.507393136197102E-2</v>
      </c>
      <c r="U97">
        <v>4.4933346772584981E-2</v>
      </c>
      <c r="V97">
        <v>4.4886020260887172E-2</v>
      </c>
      <c r="W97">
        <v>4.4862268829443774E-2</v>
      </c>
      <c r="X97">
        <v>4.4850370972251641E-2</v>
      </c>
    </row>
    <row r="98" spans="2:24" x14ac:dyDescent="0.25">
      <c r="B98">
        <v>51</v>
      </c>
      <c r="C98">
        <v>479.79343693215947</v>
      </c>
      <c r="D98">
        <v>945.44258072070386</v>
      </c>
      <c r="E98">
        <v>2342.3900119084483</v>
      </c>
      <c r="F98">
        <v>4670.6357304670883</v>
      </c>
      <c r="G98">
        <v>9327.1271675444332</v>
      </c>
      <c r="H98">
        <v>18640.110041679876</v>
      </c>
      <c r="J98">
        <v>51</v>
      </c>
      <c r="K98">
        <v>702.24662533975697</v>
      </c>
      <c r="L98">
        <v>1369.2332679168157</v>
      </c>
      <c r="M98">
        <v>3370.1931936151341</v>
      </c>
      <c r="N98">
        <v>6705.1264021112438</v>
      </c>
      <c r="O98">
        <v>13374.992818647181</v>
      </c>
      <c r="P98">
        <v>26714.725651499029</v>
      </c>
      <c r="R98">
        <v>51</v>
      </c>
      <c r="S98">
        <v>4.5371332866020353E-2</v>
      </c>
      <c r="T98">
        <v>4.5157901832145741E-2</v>
      </c>
      <c r="U98">
        <v>4.5027500813251242E-2</v>
      </c>
      <c r="V98">
        <v>4.4983635213502682E-2</v>
      </c>
      <c r="W98">
        <v>4.4961626891868667E-2</v>
      </c>
      <c r="X98">
        <v>4.4950603773396214E-2</v>
      </c>
    </row>
    <row r="99" spans="2:24" x14ac:dyDescent="0.25">
      <c r="B99">
        <v>52</v>
      </c>
      <c r="C99">
        <v>528.97864247535938</v>
      </c>
      <c r="D99">
        <v>1043.7463787277968</v>
      </c>
      <c r="E99">
        <v>2588.0496301807711</v>
      </c>
      <c r="F99">
        <v>5161.8883830824407</v>
      </c>
      <c r="G99">
        <v>10309.565889077441</v>
      </c>
      <c r="H99">
        <v>20604.920901165617</v>
      </c>
      <c r="J99">
        <v>52</v>
      </c>
      <c r="K99">
        <v>772.69854693746038</v>
      </c>
      <c r="L99">
        <v>1510.041446623467</v>
      </c>
      <c r="M99">
        <v>3722.0706315924654</v>
      </c>
      <c r="N99">
        <v>7408.7859453374695</v>
      </c>
      <c r="O99">
        <v>14782.216575008686</v>
      </c>
      <c r="P99">
        <v>29529.077835468517</v>
      </c>
      <c r="R99">
        <v>52</v>
      </c>
      <c r="S99">
        <v>4.5470981987679071E-2</v>
      </c>
      <c r="T99">
        <v>4.5275537264843013E-2</v>
      </c>
      <c r="U99">
        <v>4.5156319727986949E-2</v>
      </c>
      <c r="V99">
        <v>4.5116248911723389E-2</v>
      </c>
      <c r="W99">
        <v>4.509615072701223E-2</v>
      </c>
      <c r="X99">
        <v>4.5086085882111826E-2</v>
      </c>
    </row>
    <row r="100" spans="2:24" x14ac:dyDescent="0.25">
      <c r="B100">
        <v>53</v>
      </c>
      <c r="C100">
        <v>585.81264583473114</v>
      </c>
      <c r="D100">
        <v>1157.3373441030578</v>
      </c>
      <c r="E100">
        <v>2871.9114405409973</v>
      </c>
      <c r="F100">
        <v>5729.5349352093435</v>
      </c>
      <c r="G100">
        <v>11444.781924784738</v>
      </c>
      <c r="H100">
        <v>22875.275904059541</v>
      </c>
      <c r="J100">
        <v>53</v>
      </c>
      <c r="K100">
        <v>854.10638011401443</v>
      </c>
      <c r="L100">
        <v>1672.7470611814588</v>
      </c>
      <c r="M100">
        <v>4128.6691228805503</v>
      </c>
      <c r="N100">
        <v>8221.8725658999174</v>
      </c>
      <c r="O100">
        <v>16408.279454642528</v>
      </c>
      <c r="P100">
        <v>32781.093233532272</v>
      </c>
      <c r="R100">
        <v>53</v>
      </c>
      <c r="S100">
        <v>4.5595802910964878E-2</v>
      </c>
      <c r="T100">
        <v>4.5417383066886252E-2</v>
      </c>
      <c r="U100">
        <v>4.5308714086676583E-2</v>
      </c>
      <c r="V100">
        <v>4.5272216912076502E-2</v>
      </c>
      <c r="W100">
        <v>4.5253916469958355E-2</v>
      </c>
      <c r="X100">
        <v>4.5244753241456603E-2</v>
      </c>
    </row>
    <row r="101" spans="2:24" x14ac:dyDescent="0.25">
      <c r="B101">
        <v>54</v>
      </c>
      <c r="C101">
        <v>648.4446180383726</v>
      </c>
      <c r="D101">
        <v>1282.5163779401098</v>
      </c>
      <c r="E101">
        <v>3184.7316590688633</v>
      </c>
      <c r="F101">
        <v>6355.0904614724732</v>
      </c>
      <c r="G101">
        <v>12695.808066485177</v>
      </c>
      <c r="H101">
        <v>25377.243276616049</v>
      </c>
      <c r="J101">
        <v>54</v>
      </c>
      <c r="K101">
        <v>943.81916057762828</v>
      </c>
      <c r="L101">
        <v>1852.05099463642</v>
      </c>
      <c r="M101">
        <v>4576.7465128542535</v>
      </c>
      <c r="N101">
        <v>9117.90571577019</v>
      </c>
      <c r="O101">
        <v>18200.224123917666</v>
      </c>
      <c r="P101">
        <v>36364.860941400984</v>
      </c>
      <c r="R101">
        <v>54</v>
      </c>
      <c r="S101">
        <v>4.5742128464884457E-2</v>
      </c>
      <c r="T101">
        <v>4.5579007252292802E-2</v>
      </c>
      <c r="U101">
        <v>4.54797914637739E-2</v>
      </c>
      <c r="V101">
        <v>4.5446492168183861E-2</v>
      </c>
      <c r="W101">
        <v>4.5429799553435846E-2</v>
      </c>
      <c r="X101">
        <v>4.5421442471402784E-2</v>
      </c>
    </row>
    <row r="102" spans="2:24" x14ac:dyDescent="0.25">
      <c r="B102">
        <v>55</v>
      </c>
      <c r="C102">
        <v>710.23528784531504</v>
      </c>
      <c r="D102">
        <v>1406.014427281799</v>
      </c>
      <c r="E102">
        <v>3493.3518441279271</v>
      </c>
      <c r="F102">
        <v>6972.2475383231522</v>
      </c>
      <c r="G102">
        <v>13930.038926495405</v>
      </c>
      <c r="H102">
        <v>27845.621702728433</v>
      </c>
      <c r="J102">
        <v>55</v>
      </c>
      <c r="K102">
        <v>1032.3269032312719</v>
      </c>
      <c r="L102">
        <v>2028.9470713506762</v>
      </c>
      <c r="M102">
        <v>5018.8075593020621</v>
      </c>
      <c r="N102">
        <v>10001.908366406569</v>
      </c>
      <c r="O102">
        <v>19968.109978169145</v>
      </c>
      <c r="P102">
        <v>39900.513200444519</v>
      </c>
      <c r="R102">
        <v>55</v>
      </c>
      <c r="S102">
        <v>4.5892381653154679E-2</v>
      </c>
      <c r="T102">
        <v>4.574171087224399E-2</v>
      </c>
      <c r="U102">
        <v>4.5650169207662961E-2</v>
      </c>
      <c r="V102">
        <v>4.5619462708248015E-2</v>
      </c>
      <c r="W102">
        <v>4.5604073082573526E-2</v>
      </c>
      <c r="X102">
        <v>4.5596369150137539E-2</v>
      </c>
    </row>
  </sheetData>
  <mergeCells count="2">
    <mergeCell ref="E7:F7"/>
    <mergeCell ref="E13:F13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7ACA-3B93-437C-AF54-C3814E939077}">
  <sheetPr codeName="Sheet2">
    <tabColor theme="4" tint="0.79998168889431442"/>
  </sheetPr>
  <dimension ref="B2:Y183"/>
  <sheetViews>
    <sheetView topLeftCell="A4" workbookViewId="0">
      <selection activeCell="H9" sqref="H9"/>
    </sheetView>
  </sheetViews>
  <sheetFormatPr defaultColWidth="8.85546875" defaultRowHeight="15" x14ac:dyDescent="0.25"/>
  <cols>
    <col min="2" max="2" width="23.7109375" bestFit="1" customWidth="1"/>
    <col min="6" max="6" width="12.42578125" bestFit="1" customWidth="1"/>
    <col min="7" max="7" width="13.28515625" bestFit="1" customWidth="1"/>
    <col min="8" max="8" width="12.7109375" bestFit="1" customWidth="1"/>
    <col min="10" max="11" width="13.28515625" bestFit="1" customWidth="1"/>
    <col min="12" max="12" width="14.42578125" customWidth="1"/>
    <col min="13" max="13" width="14.42578125" bestFit="1" customWidth="1"/>
    <col min="14" max="14" width="14" bestFit="1" customWidth="1"/>
    <col min="15" max="15" width="10" bestFit="1" customWidth="1"/>
    <col min="16" max="16" width="14.42578125" customWidth="1"/>
    <col min="18" max="18" width="15" bestFit="1" customWidth="1"/>
    <col min="23" max="23" width="10.85546875" bestFit="1" customWidth="1"/>
  </cols>
  <sheetData>
    <row r="2" spans="2:25" x14ac:dyDescent="0.25">
      <c r="B2" t="s">
        <v>0</v>
      </c>
      <c r="F2" t="s">
        <v>15</v>
      </c>
    </row>
    <row r="4" spans="2:25" x14ac:dyDescent="0.25">
      <c r="B4" t="s">
        <v>11</v>
      </c>
      <c r="C4">
        <f ca="1">OFFSET($B$153, 30, 0)</f>
        <v>65</v>
      </c>
      <c r="F4" t="s">
        <v>17</v>
      </c>
      <c r="G4">
        <v>125344.3386547446</v>
      </c>
    </row>
    <row r="5" spans="2:25" x14ac:dyDescent="0.25">
      <c r="B5" t="s">
        <v>84</v>
      </c>
      <c r="C5" s="46">
        <v>0</v>
      </c>
      <c r="F5" t="s">
        <v>19</v>
      </c>
      <c r="G5">
        <f ca="1">OFFSET($C$152, 0, 4)</f>
        <v>2000000</v>
      </c>
    </row>
    <row r="6" spans="2:25" x14ac:dyDescent="0.25">
      <c r="B6" t="s">
        <v>2</v>
      </c>
      <c r="C6" s="2">
        <f>'Total Mortality Savings'!D6</f>
        <v>0.03</v>
      </c>
    </row>
    <row r="7" spans="2:25" x14ac:dyDescent="0.25">
      <c r="B7" t="s">
        <v>3</v>
      </c>
      <c r="C7" s="1">
        <f>'Total Mortality Savings'!D7</f>
        <v>0.04</v>
      </c>
      <c r="F7" t="s">
        <v>16</v>
      </c>
      <c r="G7" t="s">
        <v>17</v>
      </c>
      <c r="H7" t="s">
        <v>18</v>
      </c>
      <c r="I7" t="s">
        <v>26</v>
      </c>
      <c r="J7" t="s">
        <v>36</v>
      </c>
      <c r="K7" t="s">
        <v>37</v>
      </c>
      <c r="L7" t="s">
        <v>39</v>
      </c>
      <c r="M7" t="s">
        <v>40</v>
      </c>
      <c r="N7" t="s">
        <v>41</v>
      </c>
      <c r="O7" t="s">
        <v>31</v>
      </c>
      <c r="P7" t="s">
        <v>30</v>
      </c>
      <c r="Q7" t="s">
        <v>23</v>
      </c>
      <c r="R7" t="s">
        <v>32</v>
      </c>
      <c r="T7" t="s">
        <v>11</v>
      </c>
      <c r="U7" t="s">
        <v>43</v>
      </c>
      <c r="W7" t="s">
        <v>89</v>
      </c>
    </row>
    <row r="8" spans="2:25" x14ac:dyDescent="0.25">
      <c r="B8" t="s">
        <v>44</v>
      </c>
      <c r="C8" s="2">
        <f>'Total Mortality Savings'!D8</f>
        <v>2.75E-2</v>
      </c>
      <c r="F8">
        <v>0</v>
      </c>
      <c r="K8">
        <v>1</v>
      </c>
      <c r="N8" s="7">
        <f ca="1">NPV($C$6,L9:$L$94)</f>
        <v>-1174494.1484013668</v>
      </c>
      <c r="P8" s="7">
        <f ca="1">N8-M8</f>
        <v>-1174494.1484013668</v>
      </c>
      <c r="R8">
        <f ca="1">SUM(O8:Q8)</f>
        <v>-1174494.1484013668</v>
      </c>
      <c r="U8">
        <f ca="1">R8</f>
        <v>-1174494.1484013668</v>
      </c>
    </row>
    <row r="9" spans="2:25" x14ac:dyDescent="0.25">
      <c r="B9" t="s">
        <v>50</v>
      </c>
      <c r="C9">
        <v>1</v>
      </c>
      <c r="F9" cm="1">
        <f t="array" aca="1" ref="F9:F64" ca="1">_xlfn.SEQUENCE(120-C4+1)</f>
        <v>1</v>
      </c>
      <c r="G9">
        <f>$G$4</f>
        <v>125344.3386547446</v>
      </c>
      <c r="H9">
        <f ca="1">-IF($C$9=0,IF(F9=1,$C$5*G9,0),IF($C$11=0,IF(F9=1,$C$104+G9*$C$5,MOD(F9,2)*$C$105+(MOD(F9,2)+1)*$C$106),IF(F9=1,$C$110+G9*$C$5,MOD(F9,2)*$C$111)))</f>
        <v>-2987.42</v>
      </c>
      <c r="I9">
        <f t="shared" ref="I9:I40" ca="1" si="0">-C15*$G$5</f>
        <v>-23589.615844980941</v>
      </c>
      <c r="J9">
        <v>1</v>
      </c>
      <c r="K9">
        <f ca="1">IF(J9*(1-C15)&lt;0, 0, J9*(1-C15))</f>
        <v>0.98820519207750956</v>
      </c>
      <c r="L9">
        <f ca="1">J9*I9</f>
        <v>-23589.615844980941</v>
      </c>
      <c r="M9" s="7">
        <f ca="1">N8</f>
        <v>-1174494.1484013668</v>
      </c>
      <c r="N9" s="7">
        <f ca="1">NPV($C$6,L10:$L$94)</f>
        <v>-1186139.3570084262</v>
      </c>
      <c r="O9">
        <f ca="1">SUM(G9:I9)*J9</f>
        <v>98767.302809763656</v>
      </c>
      <c r="P9" s="7">
        <f t="shared" ref="P9:P72" ca="1" si="1">N9-M9</f>
        <v>-11645.208607059438</v>
      </c>
      <c r="Q9">
        <f t="shared" ref="Q9:Q40" ca="1" si="2">IF(M9=0,0,$C$7*SUM($G$9:$H$9,-M9)*J9)</f>
        <v>51874.04268224445</v>
      </c>
      <c r="R9">
        <f t="shared" ref="R9:R40" ca="1" si="3">SUM(O9:Q9)*(1-$C$8)</f>
        <v>135173.74312061258</v>
      </c>
      <c r="T9">
        <f t="shared" ref="T9:T40" ca="1" si="4">B15</f>
        <v>65</v>
      </c>
      <c r="U9">
        <f t="shared" ref="U9:U40" ca="1" si="5">R9+U8</f>
        <v>-1039320.4052807542</v>
      </c>
      <c r="W9">
        <f ca="1">H9*J9</f>
        <v>-2987.42</v>
      </c>
      <c r="Y9" s="4"/>
    </row>
    <row r="10" spans="2:25" x14ac:dyDescent="0.25">
      <c r="B10" t="s">
        <v>57</v>
      </c>
      <c r="C10">
        <v>1</v>
      </c>
      <c r="F10">
        <f ca="1"/>
        <v>2</v>
      </c>
      <c r="H10">
        <f ca="1">-IF($C$9=0,IF(F10=1,$C$5*G10,0),IF($C$11=0,IF(F10=1,$C$104+G10*$C$5,MOD(F10,2)*$C$105+(MOD(F10,2)+1)*$C$106),IF(F10=1,$C$110+G10*$C$5,MOD(F10,2)*$C$111)))</f>
        <v>0</v>
      </c>
      <c r="I10">
        <f t="shared" ca="1" si="0"/>
        <v>-25904.921808894538</v>
      </c>
      <c r="J10">
        <f ca="1">K9</f>
        <v>0.98820519207750956</v>
      </c>
      <c r="K10">
        <f t="shared" ref="K10:K73" ca="1" si="6">IF(J10*(1-C16)&lt;0, 0, J10*(1-C16))</f>
        <v>0.97540550296155382</v>
      </c>
      <c r="L10">
        <f ca="1">J10*I10</f>
        <v>-25599.378231911494</v>
      </c>
      <c r="M10" s="8">
        <f ca="1">N9</f>
        <v>-1186139.3570084262</v>
      </c>
      <c r="N10" s="7">
        <f ca="1">NPV($C$6,L11:$L$94)</f>
        <v>-1196124.1594867674</v>
      </c>
      <c r="O10">
        <f t="shared" ref="O10:O73" ca="1" si="7">SUM(G10:I10)*J10</f>
        <v>-25599.378231911494</v>
      </c>
      <c r="P10" s="7">
        <f t="shared" ca="1" si="1"/>
        <v>-9984.8024783411529</v>
      </c>
      <c r="Q10">
        <f t="shared" ca="1" si="2"/>
        <v>51722.512536977178</v>
      </c>
      <c r="R10">
        <f t="shared" ca="1" si="3"/>
        <v>15694.527701489602</v>
      </c>
      <c r="T10">
        <f t="shared" ca="1" si="4"/>
        <v>66</v>
      </c>
      <c r="U10">
        <f t="shared" ca="1" si="5"/>
        <v>-1023625.8775792646</v>
      </c>
      <c r="W10">
        <f t="shared" ref="W10:W73" ca="1" si="8">H10*J10</f>
        <v>0</v>
      </c>
    </row>
    <row r="11" spans="2:25" x14ac:dyDescent="0.25">
      <c r="B11" t="s">
        <v>51</v>
      </c>
      <c r="C11">
        <v>1</v>
      </c>
      <c r="F11">
        <f ca="1"/>
        <v>3</v>
      </c>
      <c r="H11">
        <f t="shared" ref="H11:H74" ca="1" si="9">-IF($C$9=0,IF(F11=1,$C$5*G11,0),IF($C$11=0,IF(F11=1,$C$104+G11*$C$5,MOD(F11,2)*$C$105+(MOD(F11,2)+1)*$C$106),IF(F11=1,$C$110+G11*$C$5,MOD(F11,2)*$C$111)))</f>
        <v>-740</v>
      </c>
      <c r="I11">
        <f t="shared" ca="1" si="0"/>
        <v>-28377.244512833546</v>
      </c>
      <c r="J11">
        <f t="shared" ref="J11:J74" ca="1" si="10">K10</f>
        <v>0.97540550296155382</v>
      </c>
      <c r="K11">
        <f t="shared" ca="1" si="6"/>
        <v>0.96156584273320211</v>
      </c>
      <c r="L11">
        <f t="shared" ref="L11:L74" ca="1" si="11">J11*I11</f>
        <v>-27679.320456703397</v>
      </c>
      <c r="M11" s="7">
        <f t="shared" ref="M11:M74" ca="1" si="12">N10</f>
        <v>-1196124.1594867674</v>
      </c>
      <c r="N11" s="7">
        <f ca="1">NPV($C$6,L12:$L$94)</f>
        <v>-1204328.5638146675</v>
      </c>
      <c r="O11">
        <f t="shared" ca="1" si="7"/>
        <v>-28401.120528894946</v>
      </c>
      <c r="P11" s="7">
        <f t="shared" ca="1" si="1"/>
        <v>-8204.4043279001489</v>
      </c>
      <c r="Q11">
        <f t="shared" ca="1" si="2"/>
        <v>51442.147966796525</v>
      </c>
      <c r="R11">
        <f t="shared" ca="1" si="3"/>
        <v>14428.615974476395</v>
      </c>
      <c r="T11">
        <f t="shared" ca="1" si="4"/>
        <v>67</v>
      </c>
      <c r="U11">
        <f t="shared" ca="1" si="5"/>
        <v>-1009197.2616047881</v>
      </c>
      <c r="W11">
        <f t="shared" ca="1" si="8"/>
        <v>-721.80007219154982</v>
      </c>
    </row>
    <row r="12" spans="2:25" x14ac:dyDescent="0.25">
      <c r="B12" t="s">
        <v>16</v>
      </c>
      <c r="C12">
        <f>2024+D12</f>
        <v>2043</v>
      </c>
      <c r="D12">
        <v>19</v>
      </c>
      <c r="F12">
        <f ca="1"/>
        <v>4</v>
      </c>
      <c r="H12">
        <f t="shared" ca="1" si="9"/>
        <v>0</v>
      </c>
      <c r="I12">
        <f t="shared" ca="1" si="0"/>
        <v>-31006.9922180432</v>
      </c>
      <c r="J12">
        <f t="shared" ca="1" si="10"/>
        <v>0.96156584273320211</v>
      </c>
      <c r="K12">
        <f t="shared" ca="1" si="6"/>
        <v>0.94665821043181986</v>
      </c>
      <c r="L12">
        <f t="shared" ca="1" si="11"/>
        <v>-29815.26460276455</v>
      </c>
      <c r="M12" s="7">
        <f t="shared" ca="1" si="12"/>
        <v>-1204328.5638146675</v>
      </c>
      <c r="N12" s="7">
        <f ca="1">NPV($C$6,L13:$L$94)</f>
        <v>-1210643.1561263425</v>
      </c>
      <c r="O12">
        <f t="shared" ca="1" si="7"/>
        <v>-29815.26460276455</v>
      </c>
      <c r="P12" s="7">
        <f t="shared" ca="1" si="1"/>
        <v>-6314.5923116749618</v>
      </c>
      <c r="Q12">
        <f t="shared" ca="1" si="2"/>
        <v>51027.817759704201</v>
      </c>
      <c r="R12">
        <f t="shared" ca="1" si="3"/>
        <v>14488.266922019908</v>
      </c>
      <c r="T12">
        <f t="shared" ca="1" si="4"/>
        <v>68</v>
      </c>
      <c r="U12">
        <f t="shared" ca="1" si="5"/>
        <v>-994708.99468276824</v>
      </c>
      <c r="W12">
        <f t="shared" ca="1" si="8"/>
        <v>0</v>
      </c>
    </row>
    <row r="13" spans="2:25" x14ac:dyDescent="0.25">
      <c r="F13">
        <f ca="1"/>
        <v>5</v>
      </c>
      <c r="H13">
        <f t="shared" ca="1" si="9"/>
        <v>-740</v>
      </c>
      <c r="I13">
        <f t="shared" ca="1" si="0"/>
        <v>-33966.843178653115</v>
      </c>
      <c r="J13">
        <f t="shared" ca="1" si="10"/>
        <v>0.94665821043181986</v>
      </c>
      <c r="K13">
        <f t="shared" ca="1" si="6"/>
        <v>0.93058071494305883</v>
      </c>
      <c r="L13">
        <f t="shared" ca="1" si="11"/>
        <v>-32154.990977522026</v>
      </c>
      <c r="M13" s="7">
        <f t="shared" ca="1" si="12"/>
        <v>-1210643.1561263425</v>
      </c>
      <c r="N13" s="7">
        <f ca="1">NPV($C$6,L14:$L$94)</f>
        <v>-1214807.4598326106</v>
      </c>
      <c r="O13">
        <f t="shared" ca="1" si="7"/>
        <v>-32855.518053241569</v>
      </c>
      <c r="P13" s="7">
        <f t="shared" ca="1" si="1"/>
        <v>-4164.3037062680814</v>
      </c>
      <c r="Q13">
        <f t="shared" ca="1" si="2"/>
        <v>50475.818611909839</v>
      </c>
      <c r="R13">
        <f t="shared" ca="1" si="3"/>
        <v>13085.956938959183</v>
      </c>
      <c r="T13">
        <f t="shared" ca="1" si="4"/>
        <v>69</v>
      </c>
      <c r="U13">
        <f t="shared" ca="1" si="5"/>
        <v>-981623.03774380905</v>
      </c>
      <c r="W13">
        <f t="shared" ca="1" si="8"/>
        <v>-700.5270757195467</v>
      </c>
    </row>
    <row r="14" spans="2:25" x14ac:dyDescent="0.25">
      <c r="B14" t="s">
        <v>45</v>
      </c>
      <c r="C14" t="s">
        <v>13</v>
      </c>
      <c r="F14">
        <f ca="1"/>
        <v>6</v>
      </c>
      <c r="H14">
        <f t="shared" ca="1" si="9"/>
        <v>0</v>
      </c>
      <c r="I14">
        <f t="shared" ca="1" si="0"/>
        <v>-37303.530248538751</v>
      </c>
      <c r="J14">
        <f t="shared" ca="1" si="10"/>
        <v>0.93058071494305883</v>
      </c>
      <c r="K14">
        <f t="shared" ca="1" si="6"/>
        <v>0.91322374201876622</v>
      </c>
      <c r="L14">
        <f t="shared" ca="1" si="11"/>
        <v>-34713.945848585216</v>
      </c>
      <c r="M14" s="7">
        <f t="shared" ca="1" si="12"/>
        <v>-1214807.4598326106</v>
      </c>
      <c r="N14" s="7">
        <f ca="1">NPV($C$6,L15:$L$94)</f>
        <v>-1216537.7377790043</v>
      </c>
      <c r="O14">
        <f t="shared" ca="1" si="7"/>
        <v>-34713.945848585216</v>
      </c>
      <c r="P14" s="7">
        <f t="shared" ca="1" si="1"/>
        <v>-1730.277946393704</v>
      </c>
      <c r="Q14">
        <f t="shared" ca="1" si="2"/>
        <v>49773.575333166154</v>
      </c>
      <c r="R14">
        <f t="shared" ca="1" si="3"/>
        <v>12962.794370887086</v>
      </c>
      <c r="T14">
        <f t="shared" ca="1" si="4"/>
        <v>70</v>
      </c>
      <c r="U14">
        <f t="shared" ca="1" si="5"/>
        <v>-968660.24337292195</v>
      </c>
      <c r="W14">
        <f t="shared" ca="1" si="8"/>
        <v>0</v>
      </c>
    </row>
    <row r="15" spans="2:25" x14ac:dyDescent="0.25">
      <c r="B15">
        <f ca="1">C4</f>
        <v>65</v>
      </c>
      <c r="C15">
        <f ca="1">_xlfn.IFNA(IF(B15&lt;121,INDEX('Mortality Table'!$A$2:$B$121,MATCH(B15,'Mortality Table'!$A$2:$A$121),2),0),0)</f>
        <v>1.179480792249047E-2</v>
      </c>
      <c r="F15">
        <f ca="1"/>
        <v>7</v>
      </c>
      <c r="H15">
        <f t="shared" ca="1" si="9"/>
        <v>-740</v>
      </c>
      <c r="I15">
        <f t="shared" ca="1" si="0"/>
        <v>-41124.974121473948</v>
      </c>
      <c r="J15">
        <f t="shared" ca="1" si="10"/>
        <v>0.91322374201876622</v>
      </c>
      <c r="K15">
        <f t="shared" ca="1" si="6"/>
        <v>0.89444559063994755</v>
      </c>
      <c r="L15">
        <f t="shared" ca="1" si="11"/>
        <v>-37556.302757637364</v>
      </c>
      <c r="M15" s="7">
        <f t="shared" ca="1" si="12"/>
        <v>-1216537.7377790043</v>
      </c>
      <c r="N15" s="7">
        <f ca="1">NPV($C$6,L16:$L$94)</f>
        <v>-1215477.567154737</v>
      </c>
      <c r="O15">
        <f t="shared" ca="1" si="7"/>
        <v>-38232.088326731246</v>
      </c>
      <c r="P15" s="7">
        <f t="shared" ca="1" si="1"/>
        <v>1060.1706242673099</v>
      </c>
      <c r="Q15">
        <f t="shared" ca="1" si="2"/>
        <v>48908.415532694336</v>
      </c>
      <c r="R15">
        <f t="shared" ca="1" si="3"/>
        <v>11413.744139899065</v>
      </c>
      <c r="T15">
        <f t="shared" ca="1" si="4"/>
        <v>71</v>
      </c>
      <c r="U15">
        <f t="shared" ca="1" si="5"/>
        <v>-957246.49923302291</v>
      </c>
      <c r="W15">
        <f t="shared" ca="1" si="8"/>
        <v>-675.78556909388703</v>
      </c>
    </row>
    <row r="16" spans="2:25" x14ac:dyDescent="0.25">
      <c r="B16">
        <f ca="1">B15+1</f>
        <v>66</v>
      </c>
      <c r="C16">
        <f ca="1">_xlfn.IFNA(IF(B16&lt;121,INDEX('Mortality Table'!$A$2:$B$121,MATCH(B16,'Mortality Table'!$A$2:$A$121),2),0),0)</f>
        <v>1.295246090444727E-2</v>
      </c>
      <c r="F16">
        <f ca="1"/>
        <v>8</v>
      </c>
      <c r="H16">
        <f t="shared" ca="1" si="9"/>
        <v>0</v>
      </c>
      <c r="I16">
        <f t="shared" ca="1" si="0"/>
        <v>-45531.51776925032</v>
      </c>
      <c r="J16">
        <f t="shared" ca="1" si="10"/>
        <v>0.89444559063994755</v>
      </c>
      <c r="K16">
        <f t="shared" ca="1" si="6"/>
        <v>0.87408285798802232</v>
      </c>
      <c r="L16">
        <f t="shared" ca="1" si="11"/>
        <v>-40725.465303850367</v>
      </c>
      <c r="M16" s="7">
        <f t="shared" ca="1" si="12"/>
        <v>-1215477.567154737</v>
      </c>
      <c r="N16" s="7">
        <f ca="1">NPV($C$6,L17:$L$94)</f>
        <v>-1211216.4288655284</v>
      </c>
      <c r="O16">
        <f t="shared" ca="1" si="7"/>
        <v>-40725.465303850367</v>
      </c>
      <c r="P16" s="7">
        <f t="shared" ca="1" si="1"/>
        <v>4261.1382892085239</v>
      </c>
      <c r="Q16">
        <f t="shared" ca="1" si="2"/>
        <v>47864.806273534086</v>
      </c>
      <c r="R16">
        <f t="shared" ca="1" si="3"/>
        <v>11086.966079272706</v>
      </c>
      <c r="T16">
        <f t="shared" ca="1" si="4"/>
        <v>72</v>
      </c>
      <c r="U16">
        <f t="shared" ca="1" si="5"/>
        <v>-946159.53315375024</v>
      </c>
      <c r="W16">
        <f t="shared" ca="1" si="8"/>
        <v>0</v>
      </c>
    </row>
    <row r="17" spans="2:23" x14ac:dyDescent="0.25">
      <c r="B17">
        <f t="shared" ref="B17:B80" ca="1" si="13">B16+1</f>
        <v>67</v>
      </c>
      <c r="C17">
        <f ca="1">_xlfn.IFNA(IF(B17&lt;121,INDEX('Mortality Table'!$A$2:$B$121,MATCH(B17,'Mortality Table'!$A$2:$A$121),2),0),0)</f>
        <v>1.4188622256416773E-2</v>
      </c>
      <c r="F17">
        <f ca="1"/>
        <v>9</v>
      </c>
      <c r="H17">
        <f t="shared" ca="1" si="9"/>
        <v>-740</v>
      </c>
      <c r="I17">
        <f t="shared" ca="1" si="0"/>
        <v>-50614.68053824651</v>
      </c>
      <c r="J17">
        <f t="shared" ca="1" si="10"/>
        <v>0.87408285798802232</v>
      </c>
      <c r="K17">
        <f t="shared" ca="1" si="6"/>
        <v>0.85196214567751172</v>
      </c>
      <c r="L17">
        <f t="shared" ca="1" si="11"/>
        <v>-44241.424621021244</v>
      </c>
      <c r="M17" s="7">
        <f t="shared" ca="1" si="12"/>
        <v>-1211216.4288655284</v>
      </c>
      <c r="N17" s="7">
        <f ca="1">NPV($C$6,L18:$L$94)</f>
        <v>-1203311.4971104737</v>
      </c>
      <c r="O17">
        <f t="shared" ca="1" si="7"/>
        <v>-44888.245935932377</v>
      </c>
      <c r="P17" s="7">
        <f t="shared" ca="1" si="1"/>
        <v>7904.9317550547421</v>
      </c>
      <c r="Q17">
        <f t="shared" ca="1" si="2"/>
        <v>46626.144117486969</v>
      </c>
      <c r="R17">
        <f t="shared" ca="1" si="3"/>
        <v>9377.6521133525785</v>
      </c>
      <c r="T17">
        <f t="shared" ca="1" si="4"/>
        <v>73</v>
      </c>
      <c r="U17">
        <f t="shared" ca="1" si="5"/>
        <v>-936781.88104039768</v>
      </c>
      <c r="W17">
        <f t="shared" ca="1" si="8"/>
        <v>-646.82131491113648</v>
      </c>
    </row>
    <row r="18" spans="2:23" x14ac:dyDescent="0.25">
      <c r="B18">
        <f t="shared" ca="1" si="13"/>
        <v>68</v>
      </c>
      <c r="C18">
        <f ca="1">_xlfn.IFNA(IF(B18&lt;121,INDEX('Mortality Table'!$A$2:$B$121,MATCH(B18,'Mortality Table'!$A$2:$A$121),2),0),0)</f>
        <v>1.5503496109021601E-2</v>
      </c>
      <c r="F18">
        <f ca="1"/>
        <v>10</v>
      </c>
      <c r="H18">
        <f t="shared" ca="1" si="9"/>
        <v>0</v>
      </c>
      <c r="I18">
        <f t="shared" ca="1" si="0"/>
        <v>-56668.473052096568</v>
      </c>
      <c r="J18">
        <f t="shared" ca="1" si="10"/>
        <v>0.85196214567751172</v>
      </c>
      <c r="K18">
        <f t="shared" ca="1" si="6"/>
        <v>0.82782244873064548</v>
      </c>
      <c r="L18">
        <f t="shared" ca="1" si="11"/>
        <v>-48279.393893732442</v>
      </c>
      <c r="M18" s="7">
        <f t="shared" ca="1" si="12"/>
        <v>-1203311.4971104737</v>
      </c>
      <c r="N18" s="7">
        <f ca="1">NPV($C$6,L19:$L$94)</f>
        <v>-1191131.4481300551</v>
      </c>
      <c r="O18">
        <f t="shared" ca="1" si="7"/>
        <v>-48279.393893732442</v>
      </c>
      <c r="P18" s="7">
        <f t="shared" ca="1" si="1"/>
        <v>12180.048980418593</v>
      </c>
      <c r="Q18">
        <f t="shared" ca="1" si="2"/>
        <v>45176.772318089723</v>
      </c>
      <c r="R18">
        <f t="shared" ca="1" si="3"/>
        <v>8827.7981511445378</v>
      </c>
      <c r="T18">
        <f t="shared" ca="1" si="4"/>
        <v>74</v>
      </c>
      <c r="U18">
        <f t="shared" ca="1" si="5"/>
        <v>-927954.08288925316</v>
      </c>
      <c r="W18">
        <f t="shared" ca="1" si="8"/>
        <v>0</v>
      </c>
    </row>
    <row r="19" spans="2:23" x14ac:dyDescent="0.25">
      <c r="B19">
        <f t="shared" ca="1" si="13"/>
        <v>69</v>
      </c>
      <c r="C19">
        <f ca="1">_xlfn.IFNA(IF(B19&lt;121,INDEX('Mortality Table'!$A$2:$B$121,MATCH(B19,'Mortality Table'!$A$2:$A$121),2),0),0)</f>
        <v>1.6983421589326558E-2</v>
      </c>
      <c r="F19">
        <f ca="1"/>
        <v>11</v>
      </c>
      <c r="H19">
        <f t="shared" ca="1" si="9"/>
        <v>-740</v>
      </c>
      <c r="I19">
        <f t="shared" ca="1" si="0"/>
        <v>-63649.672992121989</v>
      </c>
      <c r="J19">
        <f t="shared" ca="1" si="10"/>
        <v>0.82782244873064548</v>
      </c>
      <c r="K19">
        <f t="shared" ca="1" si="6"/>
        <v>0.80147713465202386</v>
      </c>
      <c r="L19">
        <f t="shared" ca="1" si="11"/>
        <v>-52690.628157243256</v>
      </c>
      <c r="M19" s="7">
        <f t="shared" ca="1" si="12"/>
        <v>-1191131.4481300551</v>
      </c>
      <c r="N19" s="7">
        <f ca="1">NPV($C$6,L20:$L$94)</f>
        <v>-1174174.7634167136</v>
      </c>
      <c r="O19">
        <f t="shared" ca="1" si="7"/>
        <v>-53303.21676930393</v>
      </c>
      <c r="P19" s="7">
        <f t="shared" ca="1" si="1"/>
        <v>16956.684713341529</v>
      </c>
      <c r="Q19">
        <f t="shared" ca="1" si="2"/>
        <v>43493.406246840364</v>
      </c>
      <c r="R19">
        <f t="shared" ca="1" si="3"/>
        <v>6950.3351506288191</v>
      </c>
      <c r="T19">
        <f t="shared" ca="1" si="4"/>
        <v>75</v>
      </c>
      <c r="U19">
        <f t="shared" ca="1" si="5"/>
        <v>-921003.74773862434</v>
      </c>
      <c r="W19">
        <f t="shared" ca="1" si="8"/>
        <v>-612.58861206067763</v>
      </c>
    </row>
    <row r="20" spans="2:23" x14ac:dyDescent="0.25">
      <c r="B20">
        <f t="shared" ca="1" si="13"/>
        <v>70</v>
      </c>
      <c r="C20">
        <f ca="1">_xlfn.IFNA(IF(B20&lt;121,INDEX('Mortality Table'!$A$2:$B$121,MATCH(B20,'Mortality Table'!$A$2:$A$121),2),0),0)</f>
        <v>1.8651765124269377E-2</v>
      </c>
      <c r="F20">
        <f ca="1"/>
        <v>12</v>
      </c>
      <c r="H20">
        <f t="shared" ca="1" si="9"/>
        <v>0</v>
      </c>
      <c r="I20">
        <f t="shared" ca="1" si="0"/>
        <v>-71667.813011435836</v>
      </c>
      <c r="J20">
        <f t="shared" ca="1" si="10"/>
        <v>0.80147713465202386</v>
      </c>
      <c r="K20">
        <f t="shared" ca="1" si="6"/>
        <v>0.77275707794243254</v>
      </c>
      <c r="L20">
        <f t="shared" ca="1" si="11"/>
        <v>-57440.113419182628</v>
      </c>
      <c r="M20" s="7">
        <f t="shared" ca="1" si="12"/>
        <v>-1174174.7634167136</v>
      </c>
      <c r="N20" s="7">
        <f ca="1">NPV($C$6,L21:$L$94)</f>
        <v>-1151959.8929000327</v>
      </c>
      <c r="O20">
        <f t="shared" ca="1" si="7"/>
        <v>-57440.113419182628</v>
      </c>
      <c r="P20" s="7">
        <f t="shared" ca="1" si="1"/>
        <v>22214.87051668088</v>
      </c>
      <c r="Q20">
        <f t="shared" ca="1" si="2"/>
        <v>41565.619901288039</v>
      </c>
      <c r="R20">
        <f t="shared" ca="1" si="3"/>
        <v>6166.0166313196678</v>
      </c>
      <c r="T20">
        <f t="shared" ca="1" si="4"/>
        <v>76</v>
      </c>
      <c r="U20">
        <f t="shared" ca="1" si="5"/>
        <v>-914837.73110730469</v>
      </c>
      <c r="W20">
        <f t="shared" ca="1" si="8"/>
        <v>0</v>
      </c>
    </row>
    <row r="21" spans="2:23" x14ac:dyDescent="0.25">
      <c r="B21">
        <f t="shared" ca="1" si="13"/>
        <v>71</v>
      </c>
      <c r="C21">
        <f ca="1">_xlfn.IFNA(IF(B21&lt;121,INDEX('Mortality Table'!$A$2:$B$121,MATCH(B21,'Mortality Table'!$A$2:$A$121),2),0),0)</f>
        <v>2.0562487060736975E-2</v>
      </c>
      <c r="F21">
        <f ca="1"/>
        <v>13</v>
      </c>
      <c r="H21">
        <f t="shared" ca="1" si="9"/>
        <v>-740</v>
      </c>
      <c r="I21">
        <f t="shared" ca="1" si="0"/>
        <v>-80929.975990851337</v>
      </c>
      <c r="J21">
        <f t="shared" ca="1" si="10"/>
        <v>0.77275707794243254</v>
      </c>
      <c r="K21">
        <f t="shared" ca="1" si="6"/>
        <v>0.74148747206011179</v>
      </c>
      <c r="L21">
        <f t="shared" ca="1" si="11"/>
        <v>-62539.211764641499</v>
      </c>
      <c r="M21" s="7">
        <f t="shared" ca="1" si="12"/>
        <v>-1151959.8929000327</v>
      </c>
      <c r="N21" s="7">
        <f ca="1">NPV($C$6,L22:$L$94)</f>
        <v>-1123979.4779223918</v>
      </c>
      <c r="O21">
        <f t="shared" ca="1" si="7"/>
        <v>-63111.052002318902</v>
      </c>
      <c r="P21" s="7">
        <f t="shared" ca="1" si="1"/>
        <v>27980.414977640845</v>
      </c>
      <c r="Q21">
        <f t="shared" ca="1" si="2"/>
        <v>39389.493426799483</v>
      </c>
      <c r="R21">
        <f t="shared" ca="1" si="3"/>
        <v>4141.737851063087</v>
      </c>
      <c r="T21">
        <f t="shared" ca="1" si="4"/>
        <v>77</v>
      </c>
      <c r="U21">
        <f t="shared" ca="1" si="5"/>
        <v>-910695.99325624155</v>
      </c>
      <c r="W21">
        <f t="shared" ca="1" si="8"/>
        <v>-571.84023767740007</v>
      </c>
    </row>
    <row r="22" spans="2:23" x14ac:dyDescent="0.25">
      <c r="B22">
        <f t="shared" ca="1" si="13"/>
        <v>72</v>
      </c>
      <c r="C22">
        <f ca="1">_xlfn.IFNA(IF(B22&lt;121,INDEX('Mortality Table'!$A$2:$B$121,MATCH(B22,'Mortality Table'!$A$2:$A$121),2),0),0)</f>
        <v>2.2765758884625162E-2</v>
      </c>
      <c r="F22">
        <f ca="1"/>
        <v>14</v>
      </c>
      <c r="H22">
        <f t="shared" ca="1" si="9"/>
        <v>0</v>
      </c>
      <c r="I22">
        <f t="shared" ca="1" si="0"/>
        <v>-91286.672666836079</v>
      </c>
      <c r="J22">
        <f t="shared" ca="1" si="10"/>
        <v>0.74148747206011179</v>
      </c>
      <c r="K22">
        <f t="shared" ca="1" si="6"/>
        <v>0.70764350998585623</v>
      </c>
      <c r="L22">
        <f t="shared" ca="1" si="11"/>
        <v>-67687.924148511185</v>
      </c>
      <c r="M22" s="7">
        <f t="shared" ca="1" si="12"/>
        <v>-1123979.4779223918</v>
      </c>
      <c r="N22" s="7">
        <f ca="1">NPV($C$6,L23:$L$94)</f>
        <v>-1090010.938111552</v>
      </c>
      <c r="O22">
        <f t="shared" ca="1" si="7"/>
        <v>-67687.924148511185</v>
      </c>
      <c r="P22" s="7">
        <f t="shared" ca="1" si="1"/>
        <v>33968.539810839808</v>
      </c>
      <c r="Q22">
        <f t="shared" ca="1" si="2"/>
        <v>36965.712961379599</v>
      </c>
      <c r="R22">
        <f t="shared" ca="1" si="3"/>
        <v>3157.0545865562453</v>
      </c>
      <c r="T22">
        <f t="shared" ca="1" si="4"/>
        <v>78</v>
      </c>
      <c r="U22">
        <f t="shared" ca="1" si="5"/>
        <v>-907538.93866968527</v>
      </c>
      <c r="W22">
        <f t="shared" ca="1" si="8"/>
        <v>0</v>
      </c>
    </row>
    <row r="23" spans="2:23" x14ac:dyDescent="0.25">
      <c r="B23">
        <f t="shared" ca="1" si="13"/>
        <v>73</v>
      </c>
      <c r="C23">
        <f ca="1">_xlfn.IFNA(IF(B23&lt;121,INDEX('Mortality Table'!$A$2:$B$121,MATCH(B23,'Mortality Table'!$A$2:$A$121),2),0),0)</f>
        <v>2.5307340269123256E-2</v>
      </c>
      <c r="F23">
        <f ca="1"/>
        <v>15</v>
      </c>
      <c r="H23">
        <f t="shared" ca="1" si="9"/>
        <v>-740</v>
      </c>
      <c r="I23">
        <f t="shared" ca="1" si="0"/>
        <v>-102811.79854383737</v>
      </c>
      <c r="J23">
        <f t="shared" ca="1" si="10"/>
        <v>0.70764350998585623</v>
      </c>
      <c r="K23">
        <f t="shared" ca="1" si="6"/>
        <v>0.67126645899109638</v>
      </c>
      <c r="L23">
        <f t="shared" ca="1" si="11"/>
        <v>-72754.101989519826</v>
      </c>
      <c r="M23" s="7">
        <f t="shared" ca="1" si="12"/>
        <v>-1090010.938111552</v>
      </c>
      <c r="N23" s="7">
        <f ca="1">NPV($C$6,L24:$L$94)</f>
        <v>-1049957.1642653786</v>
      </c>
      <c r="O23">
        <f t="shared" ca="1" si="7"/>
        <v>-73277.758186909356</v>
      </c>
      <c r="P23" s="7">
        <f t="shared" ca="1" si="1"/>
        <v>40053.773846173426</v>
      </c>
      <c r="Q23">
        <f t="shared" ca="1" si="2"/>
        <v>34316.969822245279</v>
      </c>
      <c r="R23">
        <f t="shared" ca="1" si="3"/>
        <v>1062.9283807678423</v>
      </c>
      <c r="T23">
        <f t="shared" ca="1" si="4"/>
        <v>79</v>
      </c>
      <c r="U23">
        <f t="shared" ca="1" si="5"/>
        <v>-906476.01028891746</v>
      </c>
      <c r="W23">
        <f t="shared" ca="1" si="8"/>
        <v>-523.65619738953365</v>
      </c>
    </row>
    <row r="24" spans="2:23" x14ac:dyDescent="0.25">
      <c r="B24">
        <f t="shared" ca="1" si="13"/>
        <v>74</v>
      </c>
      <c r="C24">
        <f ca="1">_xlfn.IFNA(IF(B24&lt;121,INDEX('Mortality Table'!$A$2:$B$121,MATCH(B24,'Mortality Table'!$A$2:$A$121),2),0),0)</f>
        <v>2.8334236526048284E-2</v>
      </c>
      <c r="F24">
        <f ca="1"/>
        <v>16</v>
      </c>
      <c r="H24">
        <f t="shared" ca="1" si="9"/>
        <v>0</v>
      </c>
      <c r="I24">
        <f t="shared" ca="1" si="0"/>
        <v>-115391.35845794155</v>
      </c>
      <c r="J24">
        <f t="shared" ca="1" si="10"/>
        <v>0.67126645899109638</v>
      </c>
      <c r="K24">
        <f t="shared" ca="1" si="6"/>
        <v>0.63253728469597903</v>
      </c>
      <c r="L24">
        <f t="shared" ca="1" si="11"/>
        <v>-77458.348590234717</v>
      </c>
      <c r="M24" s="7">
        <f t="shared" ca="1" si="12"/>
        <v>-1049957.1642653786</v>
      </c>
      <c r="N24" s="7">
        <f ca="1">NPV($C$6,L25:$L$94)</f>
        <v>-1003997.530603106</v>
      </c>
      <c r="O24">
        <f t="shared" ca="1" si="7"/>
        <v>-77458.348590234717</v>
      </c>
      <c r="P24" s="7">
        <f t="shared" ca="1" si="1"/>
        <v>45959.633662272594</v>
      </c>
      <c r="Q24">
        <f t="shared" ca="1" si="2"/>
        <v>31477.404930687422</v>
      </c>
      <c r="R24">
        <f t="shared" ca="1" si="3"/>
        <v>-20.723972349646175</v>
      </c>
      <c r="T24">
        <f t="shared" ca="1" si="4"/>
        <v>80</v>
      </c>
      <c r="U24">
        <f t="shared" ca="1" si="5"/>
        <v>-906496.73426126712</v>
      </c>
      <c r="W24">
        <f t="shared" ca="1" si="8"/>
        <v>0</v>
      </c>
    </row>
    <row r="25" spans="2:23" x14ac:dyDescent="0.25">
      <c r="B25">
        <f t="shared" ca="1" si="13"/>
        <v>75</v>
      </c>
      <c r="C25">
        <f ca="1">_xlfn.IFNA(IF(B25&lt;121,INDEX('Mortality Table'!$A$2:$B$121,MATCH(B25,'Mortality Table'!$A$2:$A$121),2),0),0)</f>
        <v>3.1824836496060993E-2</v>
      </c>
      <c r="F25">
        <f ca="1"/>
        <v>17</v>
      </c>
      <c r="H25">
        <f t="shared" ca="1" si="9"/>
        <v>-740</v>
      </c>
      <c r="I25">
        <f t="shared" ca="1" si="0"/>
        <v>-129219.34194155018</v>
      </c>
      <c r="J25">
        <f t="shared" ca="1" si="10"/>
        <v>0.63253728469597903</v>
      </c>
      <c r="K25">
        <f t="shared" ca="1" si="6"/>
        <v>0.5916692588550243</v>
      </c>
      <c r="L25">
        <f t="shared" ca="1" si="11"/>
        <v>-81736.05168190939</v>
      </c>
      <c r="M25" s="7">
        <f t="shared" ca="1" si="12"/>
        <v>-1003997.530603106</v>
      </c>
      <c r="N25" s="7">
        <f ca="1">NPV($C$6,L26:$L$94)</f>
        <v>-952381.40483928972</v>
      </c>
      <c r="O25">
        <f t="shared" ca="1" si="7"/>
        <v>-82204.129272584411</v>
      </c>
      <c r="P25" s="7">
        <f t="shared" ca="1" si="1"/>
        <v>51616.125763816293</v>
      </c>
      <c r="Q25">
        <f t="shared" ca="1" si="2"/>
        <v>28498.44739755183</v>
      </c>
      <c r="R25">
        <f t="shared" ca="1" si="3"/>
        <v>-2032.0933181578389</v>
      </c>
      <c r="T25">
        <f t="shared" ca="1" si="4"/>
        <v>81</v>
      </c>
      <c r="U25">
        <f t="shared" ca="1" si="5"/>
        <v>-908528.82757942495</v>
      </c>
      <c r="W25">
        <f t="shared" ca="1" si="8"/>
        <v>-468.07759067502451</v>
      </c>
    </row>
    <row r="26" spans="2:23" x14ac:dyDescent="0.25">
      <c r="B26">
        <f t="shared" ca="1" si="13"/>
        <v>76</v>
      </c>
      <c r="C26">
        <f ca="1">_xlfn.IFNA(IF(B26&lt;121,INDEX('Mortality Table'!$A$2:$B$121,MATCH(B26,'Mortality Table'!$A$2:$A$121),2),0),0)</f>
        <v>3.5833906505717918E-2</v>
      </c>
      <c r="F26">
        <f ca="1"/>
        <v>18</v>
      </c>
      <c r="H26">
        <f t="shared" ca="1" si="9"/>
        <v>0</v>
      </c>
      <c r="I26">
        <f t="shared" ca="1" si="0"/>
        <v>-144776.59759237609</v>
      </c>
      <c r="J26">
        <f t="shared" ca="1" si="10"/>
        <v>0.5916692588550243</v>
      </c>
      <c r="K26">
        <f t="shared" ca="1" si="6"/>
        <v>0.54883932775650768</v>
      </c>
      <c r="L26">
        <f t="shared" ca="1" si="11"/>
        <v>-85659.862197033261</v>
      </c>
      <c r="M26" s="7">
        <f t="shared" ca="1" si="12"/>
        <v>-952381.40483928972</v>
      </c>
      <c r="N26" s="7">
        <f ca="1">NPV($C$6,L27:$L$94)</f>
        <v>-895292.98478743527</v>
      </c>
      <c r="O26">
        <f t="shared" ca="1" si="7"/>
        <v>-85659.862197033261</v>
      </c>
      <c r="P26" s="7">
        <f t="shared" ca="1" si="1"/>
        <v>57088.420051854453</v>
      </c>
      <c r="Q26">
        <f t="shared" ca="1" si="2"/>
        <v>25435.585092992267</v>
      </c>
      <c r="R26">
        <f t="shared" ca="1" si="3"/>
        <v>-3049.6209832514105</v>
      </c>
      <c r="T26">
        <f t="shared" ca="1" si="4"/>
        <v>82</v>
      </c>
      <c r="U26">
        <f t="shared" ca="1" si="5"/>
        <v>-911578.44856267632</v>
      </c>
      <c r="W26">
        <f t="shared" ca="1" si="8"/>
        <v>0</v>
      </c>
    </row>
    <row r="27" spans="2:23" x14ac:dyDescent="0.25">
      <c r="B27">
        <f t="shared" ca="1" si="13"/>
        <v>77</v>
      </c>
      <c r="C27">
        <f ca="1">_xlfn.IFNA(IF(B27&lt;121,INDEX('Mortality Table'!$A$2:$B$121,MATCH(B27,'Mortality Table'!$A$2:$A$121),2),0),0)</f>
        <v>4.0464987995425666E-2</v>
      </c>
      <c r="F27">
        <f ca="1"/>
        <v>19</v>
      </c>
      <c r="H27">
        <f t="shared" ca="1" si="9"/>
        <v>-740</v>
      </c>
      <c r="I27">
        <f t="shared" ca="1" si="0"/>
        <v>-162257.76434104194</v>
      </c>
      <c r="J27">
        <f t="shared" ca="1" si="10"/>
        <v>0.54883932775650768</v>
      </c>
      <c r="K27">
        <f t="shared" ca="1" si="6"/>
        <v>0.50431260660440203</v>
      </c>
      <c r="L27">
        <f t="shared" ca="1" si="11"/>
        <v>-89053.442304211305</v>
      </c>
      <c r="M27" s="7">
        <f t="shared" ca="1" si="12"/>
        <v>-895292.98478743527</v>
      </c>
      <c r="N27" s="7">
        <f ca="1">NPV($C$6,L28:$L$94)</f>
        <v>-833098.33202684647</v>
      </c>
      <c r="O27">
        <f t="shared" ca="1" si="7"/>
        <v>-89459.583406751117</v>
      </c>
      <c r="P27" s="7">
        <f t="shared" ca="1" si="1"/>
        <v>62194.652760588797</v>
      </c>
      <c r="Q27">
        <f t="shared" ca="1" si="2"/>
        <v>22341.051555867238</v>
      </c>
      <c r="R27">
        <f t="shared" ca="1" si="3"/>
        <v>-4788.4724153119678</v>
      </c>
      <c r="T27">
        <f t="shared" ca="1" si="4"/>
        <v>83</v>
      </c>
      <c r="U27">
        <f t="shared" ca="1" si="5"/>
        <v>-916366.92097798828</v>
      </c>
      <c r="W27">
        <f t="shared" ca="1" si="8"/>
        <v>-406.14110253981568</v>
      </c>
    </row>
    <row r="28" spans="2:23" x14ac:dyDescent="0.25">
      <c r="B28">
        <f t="shared" ca="1" si="13"/>
        <v>78</v>
      </c>
      <c r="C28">
        <f ca="1">_xlfn.IFNA(IF(B28&lt;121,INDEX('Mortality Table'!$A$2:$B$121,MATCH(B28,'Mortality Table'!$A$2:$A$121),2),0),0)</f>
        <v>4.5643336333418043E-2</v>
      </c>
      <c r="F28">
        <f ca="1"/>
        <v>20</v>
      </c>
      <c r="H28">
        <f t="shared" ca="1" si="9"/>
        <v>0</v>
      </c>
      <c r="I28">
        <f t="shared" ca="1" si="0"/>
        <v>-181973.03215400252</v>
      </c>
      <c r="J28">
        <f t="shared" ca="1" si="10"/>
        <v>0.50431260660440203</v>
      </c>
      <c r="K28">
        <f t="shared" ca="1" si="6"/>
        <v>0.45842695951575618</v>
      </c>
      <c r="L28">
        <f t="shared" ca="1" si="11"/>
        <v>-91771.294177291667</v>
      </c>
      <c r="M28" s="7">
        <f t="shared" ca="1" si="12"/>
        <v>-833098.33202684647</v>
      </c>
      <c r="N28" s="7">
        <f ca="1">NPV($C$6,L29:$L$94)</f>
        <v>-766319.9878103605</v>
      </c>
      <c r="O28">
        <f t="shared" ca="1" si="7"/>
        <v>-91771.294177291667</v>
      </c>
      <c r="P28" s="7">
        <f t="shared" ca="1" si="1"/>
        <v>66778.344216485973</v>
      </c>
      <c r="Q28">
        <f t="shared" ca="1" si="2"/>
        <v>19273.925118603824</v>
      </c>
      <c r="R28">
        <f t="shared" ca="1" si="3"/>
        <v>-5561.7516590413188</v>
      </c>
      <c r="T28">
        <f t="shared" ca="1" si="4"/>
        <v>84</v>
      </c>
      <c r="U28">
        <f t="shared" ca="1" si="5"/>
        <v>-921928.67263702955</v>
      </c>
      <c r="W28">
        <f t="shared" ca="1" si="8"/>
        <v>0</v>
      </c>
    </row>
    <row r="29" spans="2:23" x14ac:dyDescent="0.25">
      <c r="B29">
        <f t="shared" ca="1" si="13"/>
        <v>79</v>
      </c>
      <c r="C29">
        <f ca="1">_xlfn.IFNA(IF(B29&lt;121,INDEX('Mortality Table'!$A$2:$B$121,MATCH(B29,'Mortality Table'!$A$2:$A$121),2),0),0)</f>
        <v>5.1405899271918687E-2</v>
      </c>
      <c r="F29">
        <f ca="1"/>
        <v>21</v>
      </c>
      <c r="H29">
        <f t="shared" ca="1" si="9"/>
        <v>-740</v>
      </c>
      <c r="I29">
        <f t="shared" ca="1" si="0"/>
        <v>-203271.32154307497</v>
      </c>
      <c r="J29">
        <f t="shared" ca="1" si="10"/>
        <v>0.45842695951575618</v>
      </c>
      <c r="K29">
        <f t="shared" ca="1" si="6"/>
        <v>0.41183443256988544</v>
      </c>
      <c r="L29">
        <f t="shared" ca="1" si="11"/>
        <v>-93185.053891741481</v>
      </c>
      <c r="M29" s="7">
        <f t="shared" ca="1" si="12"/>
        <v>-766319.9878103605</v>
      </c>
      <c r="N29" s="7">
        <f ca="1">NPV($C$6,L30:$L$94)</f>
        <v>-696124.53355292999</v>
      </c>
      <c r="O29">
        <f t="shared" ca="1" si="7"/>
        <v>-93524.289841783146</v>
      </c>
      <c r="P29" s="7">
        <f t="shared" ca="1" si="1"/>
        <v>70195.454257430509</v>
      </c>
      <c r="Q29">
        <f t="shared" ca="1" si="2"/>
        <v>16295.738088906646</v>
      </c>
      <c r="R29">
        <f t="shared" ca="1" si="3"/>
        <v>-6839.687314321226</v>
      </c>
      <c r="T29">
        <f t="shared" ca="1" si="4"/>
        <v>85</v>
      </c>
      <c r="U29">
        <f t="shared" ca="1" si="5"/>
        <v>-928768.35995135072</v>
      </c>
      <c r="W29">
        <f t="shared" ca="1" si="8"/>
        <v>-339.23595004165958</v>
      </c>
    </row>
    <row r="30" spans="2:23" x14ac:dyDescent="0.25">
      <c r="B30">
        <f t="shared" ca="1" si="13"/>
        <v>80</v>
      </c>
      <c r="C30">
        <f ca="1">_xlfn.IFNA(IF(B30&lt;121,INDEX('Mortality Table'!$A$2:$B$121,MATCH(B30,'Mortality Table'!$A$2:$A$121),2),0),0)</f>
        <v>5.7695679228970773E-2</v>
      </c>
      <c r="F30">
        <f ca="1"/>
        <v>22</v>
      </c>
      <c r="H30">
        <f t="shared" ca="1" si="9"/>
        <v>0</v>
      </c>
      <c r="I30">
        <f t="shared" ca="1" si="0"/>
        <v>-225526.85182363409</v>
      </c>
      <c r="J30">
        <f t="shared" ca="1" si="10"/>
        <v>0.41183443256988544</v>
      </c>
      <c r="K30">
        <f t="shared" ca="1" si="6"/>
        <v>0.36539457104485595</v>
      </c>
      <c r="L30">
        <f t="shared" ca="1" si="11"/>
        <v>-92879.723050058979</v>
      </c>
      <c r="M30" s="7">
        <f t="shared" ca="1" si="12"/>
        <v>-696124.53355292999</v>
      </c>
      <c r="N30" s="7">
        <f ca="1">NPV($C$6,L31:$L$94)</f>
        <v>-624128.5465094588</v>
      </c>
      <c r="O30">
        <f t="shared" ca="1" si="7"/>
        <v>-92879.723050058979</v>
      </c>
      <c r="P30" s="7">
        <f t="shared" ca="1" si="1"/>
        <v>71995.987043471192</v>
      </c>
      <c r="Q30">
        <f t="shared" ca="1" si="2"/>
        <v>13483.15377755694</v>
      </c>
      <c r="R30">
        <f t="shared" ca="1" si="3"/>
        <v>-7197.0662177324994</v>
      </c>
      <c r="T30">
        <f t="shared" ca="1" si="4"/>
        <v>86</v>
      </c>
      <c r="U30">
        <f t="shared" ca="1" si="5"/>
        <v>-935965.42616908322</v>
      </c>
      <c r="W30">
        <f t="shared" ca="1" si="8"/>
        <v>0</v>
      </c>
    </row>
    <row r="31" spans="2:23" x14ac:dyDescent="0.25">
      <c r="B31">
        <f t="shared" ca="1" si="13"/>
        <v>81</v>
      </c>
      <c r="C31">
        <f ca="1">_xlfn.IFNA(IF(B31&lt;121,INDEX('Mortality Table'!$A$2:$B$121,MATCH(B31,'Mortality Table'!$A$2:$A$121),2),0),0)</f>
        <v>6.4609670970775093E-2</v>
      </c>
      <c r="F31">
        <f ca="1"/>
        <v>23</v>
      </c>
      <c r="H31">
        <f t="shared" ca="1" si="9"/>
        <v>-740</v>
      </c>
      <c r="I31">
        <f t="shared" ca="1" si="0"/>
        <v>-249819.30581855148</v>
      </c>
      <c r="J31">
        <f t="shared" ca="1" si="10"/>
        <v>0.36539457104485595</v>
      </c>
      <c r="K31">
        <f t="shared" ca="1" si="6"/>
        <v>0.3197532620007093</v>
      </c>
      <c r="L31">
        <f t="shared" ca="1" si="11"/>
        <v>-91282.618088293311</v>
      </c>
      <c r="M31" s="7">
        <f t="shared" ca="1" si="12"/>
        <v>-624128.5465094588</v>
      </c>
      <c r="N31" s="7">
        <f ca="1">NPV($C$6,L32:$L$94)</f>
        <v>-551569.78481644928</v>
      </c>
      <c r="O31">
        <f t="shared" ca="1" si="7"/>
        <v>-91553.010070866498</v>
      </c>
      <c r="P31" s="7">
        <f t="shared" ca="1" si="1"/>
        <v>72558.761693009525</v>
      </c>
      <c r="Q31">
        <f t="shared" ca="1" si="2"/>
        <v>10910.469453395755</v>
      </c>
      <c r="R31">
        <f t="shared" ca="1" si="3"/>
        <v>-7861.4750040385343</v>
      </c>
      <c r="T31">
        <f t="shared" ca="1" si="4"/>
        <v>87</v>
      </c>
      <c r="U31">
        <f t="shared" ca="1" si="5"/>
        <v>-943826.90117312176</v>
      </c>
      <c r="W31">
        <f t="shared" ca="1" si="8"/>
        <v>-270.39198257319339</v>
      </c>
    </row>
    <row r="32" spans="2:23" x14ac:dyDescent="0.25">
      <c r="B32">
        <f t="shared" ca="1" si="13"/>
        <v>82</v>
      </c>
      <c r="C32">
        <f ca="1">_xlfn.IFNA(IF(B32&lt;121,INDEX('Mortality Table'!$A$2:$B$121,MATCH(B32,'Mortality Table'!$A$2:$A$121),2),0),0)</f>
        <v>7.238829879618805E-2</v>
      </c>
      <c r="F32">
        <f ca="1"/>
        <v>24</v>
      </c>
      <c r="H32">
        <f t="shared" ca="1" si="9"/>
        <v>0</v>
      </c>
      <c r="I32">
        <f t="shared" ca="1" si="0"/>
        <v>-276062.54685997462</v>
      </c>
      <c r="J32">
        <f t="shared" ca="1" si="10"/>
        <v>0.3197532620007093</v>
      </c>
      <c r="K32">
        <f t="shared" ca="1" si="6"/>
        <v>0.27561731206335904</v>
      </c>
      <c r="L32">
        <f t="shared" ca="1" si="11"/>
        <v>-88271.899874700553</v>
      </c>
      <c r="M32" s="7">
        <f t="shared" ca="1" si="12"/>
        <v>-551569.78481644928</v>
      </c>
      <c r="N32" s="7">
        <f ca="1">NPV($C$6,L33:$L$94)</f>
        <v>-479844.97848624247</v>
      </c>
      <c r="O32">
        <f t="shared" ca="1" si="7"/>
        <v>-88271.899874700553</v>
      </c>
      <c r="P32" s="7">
        <f t="shared" ca="1" si="1"/>
        <v>71724.806330206804</v>
      </c>
      <c r="Q32">
        <f t="shared" ca="1" si="2"/>
        <v>8619.6104713719596</v>
      </c>
      <c r="R32">
        <f t="shared" ca="1" si="3"/>
        <v>-7709.4772886109413</v>
      </c>
      <c r="T32">
        <f t="shared" ca="1" si="4"/>
        <v>88</v>
      </c>
      <c r="U32">
        <f t="shared" ca="1" si="5"/>
        <v>-951536.37846173265</v>
      </c>
      <c r="W32">
        <f t="shared" ca="1" si="8"/>
        <v>0</v>
      </c>
    </row>
    <row r="33" spans="2:23" x14ac:dyDescent="0.25">
      <c r="B33">
        <f t="shared" ca="1" si="13"/>
        <v>83</v>
      </c>
      <c r="C33">
        <f ca="1">_xlfn.IFNA(IF(B33&lt;121,INDEX('Mortality Table'!$A$2:$B$121,MATCH(B33,'Mortality Table'!$A$2:$A$121),2),0),0)</f>
        <v>8.1128882170520972E-2</v>
      </c>
      <c r="F33">
        <f ca="1"/>
        <v>25</v>
      </c>
      <c r="H33">
        <f t="shared" ca="1" si="9"/>
        <v>-740</v>
      </c>
      <c r="I33">
        <f t="shared" ca="1" si="0"/>
        <v>-304978.97696315125</v>
      </c>
      <c r="J33">
        <f t="shared" ca="1" si="10"/>
        <v>0.27561731206335904</v>
      </c>
      <c r="K33">
        <f t="shared" ca="1" si="6"/>
        <v>0.23358856913015061</v>
      </c>
      <c r="L33">
        <f t="shared" ca="1" si="11"/>
        <v>-84057.485866416842</v>
      </c>
      <c r="M33" s="7">
        <f t="shared" ca="1" si="12"/>
        <v>-479844.97848624247</v>
      </c>
      <c r="N33" s="7">
        <f ca="1">NPV($C$6,L34:$L$94)</f>
        <v>-410182.84197441267</v>
      </c>
      <c r="O33">
        <f t="shared" ca="1" si="7"/>
        <v>-84261.44267734373</v>
      </c>
      <c r="P33" s="7">
        <f t="shared" ca="1" si="1"/>
        <v>69662.136511829798</v>
      </c>
      <c r="Q33">
        <f t="shared" ca="1" si="2"/>
        <v>6639.0907283781717</v>
      </c>
      <c r="R33">
        <f t="shared" ca="1" si="3"/>
        <v>-7741.3095126145272</v>
      </c>
      <c r="T33">
        <f t="shared" ca="1" si="4"/>
        <v>89</v>
      </c>
      <c r="U33">
        <f t="shared" ca="1" si="5"/>
        <v>-959277.68797434715</v>
      </c>
      <c r="W33">
        <f t="shared" ca="1" si="8"/>
        <v>-203.95681092688568</v>
      </c>
    </row>
    <row r="34" spans="2:23" x14ac:dyDescent="0.25">
      <c r="B34">
        <f t="shared" ca="1" si="13"/>
        <v>84</v>
      </c>
      <c r="C34">
        <f ca="1">_xlfn.IFNA(IF(B34&lt;121,INDEX('Mortality Table'!$A$2:$B$121,MATCH(B34,'Mortality Table'!$A$2:$A$121),2),0),0)</f>
        <v>9.0986516077001256E-2</v>
      </c>
      <c r="F34">
        <f ca="1"/>
        <v>26</v>
      </c>
      <c r="H34">
        <f t="shared" ca="1" si="9"/>
        <v>0</v>
      </c>
      <c r="I34">
        <f t="shared" ca="1" si="0"/>
        <v>-336955.50706175348</v>
      </c>
      <c r="J34">
        <f t="shared" ca="1" si="10"/>
        <v>0.23358856913015061</v>
      </c>
      <c r="K34">
        <f t="shared" ca="1" si="6"/>
        <v>0.19423409175261092</v>
      </c>
      <c r="L34">
        <f t="shared" ca="1" si="11"/>
        <v>-78708.95475507935</v>
      </c>
      <c r="M34" s="7">
        <f t="shared" ca="1" si="12"/>
        <v>-410182.84197441267</v>
      </c>
      <c r="N34" s="7">
        <f ca="1">NPV($C$6,L35:$L$94)</f>
        <v>-343779.37247856584</v>
      </c>
      <c r="O34">
        <f t="shared" ca="1" si="7"/>
        <v>-78708.95475507935</v>
      </c>
      <c r="P34" s="7">
        <f t="shared" ca="1" si="1"/>
        <v>66403.469495846832</v>
      </c>
      <c r="Q34">
        <f t="shared" ca="1" si="2"/>
        <v>4975.8080276111114</v>
      </c>
      <c r="R34">
        <f t="shared" ca="1" si="3"/>
        <v>-7128.111107751819</v>
      </c>
      <c r="T34">
        <f t="shared" ca="1" si="4"/>
        <v>90</v>
      </c>
      <c r="U34">
        <f t="shared" ca="1" si="5"/>
        <v>-966405.79908209899</v>
      </c>
      <c r="W34">
        <f t="shared" ca="1" si="8"/>
        <v>0</v>
      </c>
    </row>
    <row r="35" spans="2:23" x14ac:dyDescent="0.25">
      <c r="B35">
        <f t="shared" ca="1" si="13"/>
        <v>85</v>
      </c>
      <c r="C35">
        <f ca="1">_xlfn.IFNA(IF(B35&lt;121,INDEX('Mortality Table'!$A$2:$B$121,MATCH(B35,'Mortality Table'!$A$2:$A$121),2),0),0)</f>
        <v>0.10163566077153749</v>
      </c>
      <c r="F35">
        <f ca="1"/>
        <v>27</v>
      </c>
      <c r="H35">
        <f t="shared" ca="1" si="9"/>
        <v>-740</v>
      </c>
      <c r="I35">
        <f t="shared" ca="1" si="0"/>
        <v>-368715.59561778908</v>
      </c>
      <c r="J35">
        <f t="shared" ca="1" si="10"/>
        <v>0.19423409175261092</v>
      </c>
      <c r="K35">
        <f t="shared" ca="1" si="6"/>
        <v>0.15842552233768878</v>
      </c>
      <c r="L35">
        <f t="shared" ca="1" si="11"/>
        <v>-71617.138829844233</v>
      </c>
      <c r="M35" s="7">
        <f t="shared" ca="1" si="12"/>
        <v>-343779.37247856584</v>
      </c>
      <c r="N35" s="7">
        <f ca="1">NPV($C$6,L36:$L$94)</f>
        <v>-282475.61482307856</v>
      </c>
      <c r="O35">
        <f t="shared" ca="1" si="7"/>
        <v>-71760.872057741159</v>
      </c>
      <c r="P35" s="7">
        <f t="shared" ca="1" si="1"/>
        <v>61303.757655487279</v>
      </c>
      <c r="Q35">
        <f t="shared" ca="1" si="2"/>
        <v>3621.5823656483672</v>
      </c>
      <c r="R35">
        <f t="shared" ca="1" si="3"/>
        <v>-6647.5549055988604</v>
      </c>
      <c r="T35">
        <f t="shared" ca="1" si="4"/>
        <v>91</v>
      </c>
      <c r="U35">
        <f t="shared" ca="1" si="5"/>
        <v>-973053.35398769786</v>
      </c>
      <c r="W35">
        <f t="shared" ca="1" si="8"/>
        <v>-143.73322789693208</v>
      </c>
    </row>
    <row r="36" spans="2:23" x14ac:dyDescent="0.25">
      <c r="B36">
        <f t="shared" ca="1" si="13"/>
        <v>86</v>
      </c>
      <c r="C36">
        <f ca="1">_xlfn.IFNA(IF(B36&lt;121,INDEX('Mortality Table'!$A$2:$B$121,MATCH(B36,'Mortality Table'!$A$2:$A$121),2),0),0)</f>
        <v>0.11276342591181704</v>
      </c>
      <c r="F36">
        <f ca="1"/>
        <v>28</v>
      </c>
      <c r="H36">
        <f t="shared" ca="1" si="9"/>
        <v>0</v>
      </c>
      <c r="I36">
        <f t="shared" ca="1" si="0"/>
        <v>-403015.34052452346</v>
      </c>
      <c r="J36">
        <f t="shared" ca="1" si="10"/>
        <v>0.15842552233768878</v>
      </c>
      <c r="K36">
        <f t="shared" ca="1" si="6"/>
        <v>0.1265015644213392</v>
      </c>
      <c r="L36">
        <f t="shared" ca="1" si="11"/>
        <v>-63847.915832699138</v>
      </c>
      <c r="M36" s="7">
        <f t="shared" ca="1" si="12"/>
        <v>-282475.61482307856</v>
      </c>
      <c r="N36" s="7">
        <f ca="1">NPV($C$6,L37:$L$94)</f>
        <v>-227101.96743507186</v>
      </c>
      <c r="O36">
        <f t="shared" ca="1" si="7"/>
        <v>-63847.915832699138</v>
      </c>
      <c r="P36" s="7">
        <f t="shared" ca="1" si="1"/>
        <v>55373.647388006706</v>
      </c>
      <c r="Q36">
        <f t="shared" ca="1" si="2"/>
        <v>2565.4322230205603</v>
      </c>
      <c r="R36">
        <f t="shared" ca="1" si="3"/>
        <v>-5746.3432255758962</v>
      </c>
      <c r="T36">
        <f t="shared" ca="1" si="4"/>
        <v>92</v>
      </c>
      <c r="U36">
        <f t="shared" ca="1" si="5"/>
        <v>-978799.69721327373</v>
      </c>
      <c r="W36">
        <f t="shared" ca="1" si="8"/>
        <v>0</v>
      </c>
    </row>
    <row r="37" spans="2:23" x14ac:dyDescent="0.25">
      <c r="B37">
        <f t="shared" ca="1" si="13"/>
        <v>87</v>
      </c>
      <c r="C37">
        <f ca="1">_xlfn.IFNA(IF(B37&lt;121,INDEX('Mortality Table'!$A$2:$B$121,MATCH(B37,'Mortality Table'!$A$2:$A$121),2),0),0)</f>
        <v>0.12490965290927573</v>
      </c>
      <c r="F37">
        <f ca="1"/>
        <v>29</v>
      </c>
      <c r="H37">
        <f t="shared" ca="1" si="9"/>
        <v>-740</v>
      </c>
      <c r="I37">
        <f t="shared" ca="1" si="0"/>
        <v>-438956.36825565435</v>
      </c>
      <c r="J37">
        <f t="shared" ca="1" si="10"/>
        <v>0.1265015644213392</v>
      </c>
      <c r="K37">
        <f t="shared" ca="1" si="6"/>
        <v>9.8737230772814322E-2</v>
      </c>
      <c r="L37">
        <f t="shared" ca="1" si="11"/>
        <v>-55528.667297049753</v>
      </c>
      <c r="M37" s="7">
        <f t="shared" ca="1" si="12"/>
        <v>-227101.96743507186</v>
      </c>
      <c r="N37" s="7">
        <f ca="1">NPV($C$6,L38:$L$94)</f>
        <v>-178386.35916107427</v>
      </c>
      <c r="O37">
        <f t="shared" ca="1" si="7"/>
        <v>-55622.278454721541</v>
      </c>
      <c r="P37" s="7">
        <f t="shared" ca="1" si="1"/>
        <v>48715.608273997583</v>
      </c>
      <c r="Q37">
        <f t="shared" ca="1" si="2"/>
        <v>1768.283831652014</v>
      </c>
      <c r="R37">
        <f t="shared" ca="1" si="3"/>
        <v>-4997.0807244724665</v>
      </c>
      <c r="T37">
        <f t="shared" ca="1" si="4"/>
        <v>93</v>
      </c>
      <c r="U37">
        <f t="shared" ca="1" si="5"/>
        <v>-983796.77793774614</v>
      </c>
      <c r="W37">
        <f t="shared" ca="1" si="8"/>
        <v>-93.611157671791005</v>
      </c>
    </row>
    <row r="38" spans="2:23" x14ac:dyDescent="0.25">
      <c r="B38">
        <f t="shared" ca="1" si="13"/>
        <v>88</v>
      </c>
      <c r="C38">
        <f ca="1">_xlfn.IFNA(IF(B38&lt;121,INDEX('Mortality Table'!$A$2:$B$121,MATCH(B38,'Mortality Table'!$A$2:$A$121),2),0),0)</f>
        <v>0.13803127342998731</v>
      </c>
      <c r="F38">
        <f ca="1"/>
        <v>30</v>
      </c>
      <c r="H38">
        <f t="shared" ca="1" si="9"/>
        <v>0</v>
      </c>
      <c r="I38">
        <f t="shared" ca="1" si="0"/>
        <v>-476090.74898958066</v>
      </c>
      <c r="J38">
        <f t="shared" ca="1" si="10"/>
        <v>9.8737230772814322E-2</v>
      </c>
      <c r="K38">
        <f t="shared" ca="1" si="6"/>
        <v>7.5233289696921196E-2</v>
      </c>
      <c r="L38">
        <f t="shared" ca="1" si="11"/>
        <v>-47007.882151786245</v>
      </c>
      <c r="M38" s="7">
        <f t="shared" ca="1" si="12"/>
        <v>-178386.35916107427</v>
      </c>
      <c r="N38" s="7">
        <f ca="1">NPV($C$6,L39:$L$94)</f>
        <v>-136730.06778412015</v>
      </c>
      <c r="O38">
        <f t="shared" ca="1" si="7"/>
        <v>-47007.882151786245</v>
      </c>
      <c r="P38" s="7">
        <f t="shared" ca="1" si="1"/>
        <v>41656.291376954119</v>
      </c>
      <c r="Q38">
        <f t="shared" ca="1" si="2"/>
        <v>1187.7823370029248</v>
      </c>
      <c r="R38">
        <f t="shared" ca="1" si="3"/>
        <v>-4049.3037057888987</v>
      </c>
      <c r="T38">
        <f t="shared" ca="1" si="4"/>
        <v>94</v>
      </c>
      <c r="U38">
        <f t="shared" ca="1" si="5"/>
        <v>-987846.08164353506</v>
      </c>
      <c r="W38">
        <f t="shared" ca="1" si="8"/>
        <v>0</v>
      </c>
    </row>
    <row r="39" spans="2:23" x14ac:dyDescent="0.25">
      <c r="B39">
        <f t="shared" ca="1" si="13"/>
        <v>89</v>
      </c>
      <c r="C39">
        <f ca="1">_xlfn.IFNA(IF(B39&lt;121,INDEX('Mortality Table'!$A$2:$B$121,MATCH(B39,'Mortality Table'!$A$2:$A$121),2),0),0)</f>
        <v>0.15248948848157562</v>
      </c>
      <c r="F39">
        <f ca="1"/>
        <v>31</v>
      </c>
      <c r="H39">
        <f t="shared" ca="1" si="9"/>
        <v>-740</v>
      </c>
      <c r="I39">
        <f t="shared" ca="1" si="0"/>
        <v>-515933.03397255408</v>
      </c>
      <c r="J39">
        <f t="shared" ca="1" si="10"/>
        <v>7.5233289696921196E-2</v>
      </c>
      <c r="K39">
        <f t="shared" ca="1" si="6"/>
        <v>5.5825619992386874E-2</v>
      </c>
      <c r="L39">
        <f t="shared" ca="1" si="11"/>
        <v>-38815.339409068649</v>
      </c>
      <c r="M39" s="7">
        <f t="shared" ca="1" si="12"/>
        <v>-136730.06778412015</v>
      </c>
      <c r="N39" s="7">
        <f ca="1">NPV($C$6,L40:$L$94)</f>
        <v>-102016.63040857516</v>
      </c>
      <c r="O39">
        <f t="shared" ca="1" si="7"/>
        <v>-38871.012043444367</v>
      </c>
      <c r="P39" s="7">
        <f t="shared" ca="1" si="1"/>
        <v>34713.437375544992</v>
      </c>
      <c r="Q39">
        <f t="shared" ca="1" si="2"/>
        <v>779.67865229829624</v>
      </c>
      <c r="R39">
        <f t="shared" ca="1" si="3"/>
        <v>-3285.003875172049</v>
      </c>
      <c r="T39">
        <f t="shared" ca="1" si="4"/>
        <v>95</v>
      </c>
      <c r="U39">
        <f t="shared" ca="1" si="5"/>
        <v>-991131.08551870706</v>
      </c>
      <c r="W39">
        <f t="shared" ca="1" si="8"/>
        <v>-55.672634375721685</v>
      </c>
    </row>
    <row r="40" spans="2:23" x14ac:dyDescent="0.25">
      <c r="B40">
        <f t="shared" ca="1" si="13"/>
        <v>90</v>
      </c>
      <c r="C40">
        <f ca="1">_xlfn.IFNA(IF(B40&lt;121,INDEX('Mortality Table'!$A$2:$B$121,MATCH(B40,'Mortality Table'!$A$2:$A$121),2),0),0)</f>
        <v>0.16847775353087674</v>
      </c>
      <c r="F40">
        <f ca="1"/>
        <v>32</v>
      </c>
      <c r="H40">
        <f t="shared" ca="1" si="9"/>
        <v>0</v>
      </c>
      <c r="I40">
        <f t="shared" ca="1" si="0"/>
        <v>-556910.80791308766</v>
      </c>
      <c r="J40">
        <f t="shared" ca="1" si="10"/>
        <v>5.5825619992386874E-2</v>
      </c>
      <c r="K40">
        <f t="shared" ca="1" si="6"/>
        <v>4.0280674426282276E-2</v>
      </c>
      <c r="L40">
        <f t="shared" ca="1" si="11"/>
        <v>-31089.891132209192</v>
      </c>
      <c r="M40" s="7">
        <f t="shared" ca="1" si="12"/>
        <v>-102016.63040857516</v>
      </c>
      <c r="N40" s="7">
        <f ca="1">NPV($C$6,L41:$L$94)</f>
        <v>-73987.238188623232</v>
      </c>
      <c r="O40">
        <f t="shared" ca="1" si="7"/>
        <v>-31089.891132209192</v>
      </c>
      <c r="P40" s="7">
        <f t="shared" ca="1" si="1"/>
        <v>28029.392219951929</v>
      </c>
      <c r="Q40">
        <f t="shared" ca="1" si="2"/>
        <v>501.0316994540824</v>
      </c>
      <c r="R40">
        <f t="shared" ca="1" si="3"/>
        <v>-2489.0818644510923</v>
      </c>
      <c r="T40">
        <f t="shared" ca="1" si="4"/>
        <v>96</v>
      </c>
      <c r="U40">
        <f t="shared" ca="1" si="5"/>
        <v>-993620.16738315811</v>
      </c>
      <c r="W40">
        <f t="shared" ca="1" si="8"/>
        <v>0</v>
      </c>
    </row>
    <row r="41" spans="2:23" x14ac:dyDescent="0.25">
      <c r="B41">
        <f t="shared" ca="1" si="13"/>
        <v>91</v>
      </c>
      <c r="C41">
        <f ca="1">_xlfn.IFNA(IF(B41&lt;121,INDEX('Mortality Table'!$A$2:$B$121,MATCH(B41,'Mortality Table'!$A$2:$A$121),2),0),0)</f>
        <v>0.18435779780889455</v>
      </c>
      <c r="F41">
        <f ca="1"/>
        <v>33</v>
      </c>
      <c r="H41">
        <f t="shared" ca="1" si="9"/>
        <v>-740</v>
      </c>
      <c r="I41">
        <f t="shared" ref="I41:I72" ca="1" si="14">-C47*$G$5</f>
        <v>-600310.17773265555</v>
      </c>
      <c r="J41">
        <f t="shared" ca="1" si="10"/>
        <v>4.0280674426282276E-2</v>
      </c>
      <c r="K41">
        <f t="shared" ca="1" si="6"/>
        <v>2.81902250142659E-2</v>
      </c>
      <c r="L41">
        <f t="shared" ca="1" si="11"/>
        <v>-24180.898824032745</v>
      </c>
      <c r="M41" s="7">
        <f t="shared" ca="1" si="12"/>
        <v>-73987.238188623232</v>
      </c>
      <c r="N41" s="7">
        <f ca="1">NPV($C$6,L42:$L$94)</f>
        <v>-52025.956510249198</v>
      </c>
      <c r="O41">
        <f t="shared" ca="1" si="7"/>
        <v>-24210.706523108194</v>
      </c>
      <c r="P41" s="7">
        <f t="shared" ca="1" si="1"/>
        <v>21961.281678374035</v>
      </c>
      <c r="Q41">
        <f t="shared" ref="Q41:Q72" ca="1" si="15">IF(M41=0,0,$C$7*SUM($G$9:$H$9,-M41)*J41)</f>
        <v>316.3550022924241</v>
      </c>
      <c r="R41">
        <f t="shared" ref="R41:R72" ca="1" si="16">SUM(O41:Q41)*(1-$C$8)</f>
        <v>-1879.9104217745878</v>
      </c>
      <c r="T41">
        <f t="shared" ref="T41:T72" ca="1" si="17">B47</f>
        <v>97</v>
      </c>
      <c r="U41">
        <f t="shared" ref="U41:U72" ca="1" si="18">R41+U40</f>
        <v>-995500.07780493272</v>
      </c>
      <c r="W41">
        <f t="shared" ca="1" si="8"/>
        <v>-29.807699075448884</v>
      </c>
    </row>
    <row r="42" spans="2:23" x14ac:dyDescent="0.25">
      <c r="B42">
        <f t="shared" ca="1" si="13"/>
        <v>92</v>
      </c>
      <c r="C42">
        <f ca="1">_xlfn.IFNA(IF(B42&lt;121,INDEX('Mortality Table'!$A$2:$B$121,MATCH(B42,'Mortality Table'!$A$2:$A$121),2),0),0)</f>
        <v>0.20150767026226174</v>
      </c>
      <c r="F42">
        <f ca="1"/>
        <v>34</v>
      </c>
      <c r="H42">
        <f t="shared" ca="1" si="9"/>
        <v>0</v>
      </c>
      <c r="I42">
        <f t="shared" ca="1" si="14"/>
        <v>-646253.51071207121</v>
      </c>
      <c r="J42">
        <f t="shared" ca="1" si="10"/>
        <v>2.81902250142659E-2</v>
      </c>
      <c r="K42">
        <f t="shared" ca="1" si="6"/>
        <v>1.908120907264961E-2</v>
      </c>
      <c r="L42">
        <f t="shared" ca="1" si="11"/>
        <v>-18218.031883232587</v>
      </c>
      <c r="M42" s="7">
        <f t="shared" ca="1" si="12"/>
        <v>-52025.956510249198</v>
      </c>
      <c r="N42" s="7">
        <f ca="1">NPV($C$6,L43:$L$94)</f>
        <v>-35368.703322324116</v>
      </c>
      <c r="O42">
        <f t="shared" ca="1" si="7"/>
        <v>-18218.031883232587</v>
      </c>
      <c r="P42" s="7">
        <f t="shared" ca="1" si="1"/>
        <v>16657.253187925082</v>
      </c>
      <c r="Q42">
        <f t="shared" ca="1" si="15"/>
        <v>196.63569958143265</v>
      </c>
      <c r="R42">
        <f t="shared" ca="1" si="16"/>
        <v>-1326.6290633436051</v>
      </c>
      <c r="T42">
        <f t="shared" ca="1" si="17"/>
        <v>98</v>
      </c>
      <c r="U42">
        <f t="shared" ca="1" si="18"/>
        <v>-996826.70686827635</v>
      </c>
      <c r="W42">
        <f t="shared" ca="1" si="8"/>
        <v>0</v>
      </c>
    </row>
    <row r="43" spans="2:23" x14ac:dyDescent="0.25">
      <c r="B43">
        <f t="shared" ca="1" si="13"/>
        <v>93</v>
      </c>
      <c r="C43">
        <f ca="1">_xlfn.IFNA(IF(B43&lt;121,INDEX('Mortality Table'!$A$2:$B$121,MATCH(B43,'Mortality Table'!$A$2:$A$121),2),0),0)</f>
        <v>0.21947818412782719</v>
      </c>
      <c r="F43">
        <f ca="1"/>
        <v>35</v>
      </c>
      <c r="H43">
        <f t="shared" ca="1" si="9"/>
        <v>-740</v>
      </c>
      <c r="I43">
        <f t="shared" ca="1" si="14"/>
        <v>-693045.83045489213</v>
      </c>
      <c r="J43">
        <f t="shared" ca="1" si="10"/>
        <v>1.908120907264961E-2</v>
      </c>
      <c r="K43">
        <f t="shared" ca="1" si="6"/>
        <v>1.2469132878730674E-2</v>
      </c>
      <c r="L43">
        <f t="shared" ca="1" si="11"/>
        <v>-13224.152387837872</v>
      </c>
      <c r="M43" s="7">
        <f t="shared" ca="1" si="12"/>
        <v>-35368.703322324116</v>
      </c>
      <c r="N43" s="7">
        <f ca="1">NPV($C$6,L44:$L$94)</f>
        <v>-23205.612034155944</v>
      </c>
      <c r="O43">
        <f t="shared" ca="1" si="7"/>
        <v>-13238.272482551632</v>
      </c>
      <c r="P43" s="7">
        <f t="shared" ca="1" si="1"/>
        <v>12163.091288168172</v>
      </c>
      <c r="Q43">
        <f t="shared" ca="1" si="15"/>
        <v>120.38382276232586</v>
      </c>
      <c r="R43">
        <f t="shared" ca="1" si="16"/>
        <v>-928.54044390155298</v>
      </c>
      <c r="T43">
        <f t="shared" ca="1" si="17"/>
        <v>99</v>
      </c>
      <c r="U43">
        <f t="shared" ca="1" si="18"/>
        <v>-997755.2473121779</v>
      </c>
      <c r="W43">
        <f t="shared" ca="1" si="8"/>
        <v>-14.120094713760711</v>
      </c>
    </row>
    <row r="44" spans="2:23" x14ac:dyDescent="0.25">
      <c r="B44">
        <f t="shared" ca="1" si="13"/>
        <v>94</v>
      </c>
      <c r="C44">
        <f ca="1">_xlfn.IFNA(IF(B44&lt;121,INDEX('Mortality Table'!$A$2:$B$121,MATCH(B44,'Mortality Table'!$A$2:$A$121),2),0),0)</f>
        <v>0.23804537449479032</v>
      </c>
      <c r="F44">
        <f ca="1"/>
        <v>36</v>
      </c>
      <c r="H44">
        <f t="shared" ca="1" si="9"/>
        <v>0</v>
      </c>
      <c r="I44">
        <f t="shared" ca="1" si="14"/>
        <v>-741946.83475984749</v>
      </c>
      <c r="J44">
        <f t="shared" ca="1" si="10"/>
        <v>1.2469132878730674E-2</v>
      </c>
      <c r="K44">
        <f t="shared" ca="1" si="6"/>
        <v>7.8434160429435903E-3</v>
      </c>
      <c r="L44">
        <f t="shared" ca="1" si="11"/>
        <v>-9251.4336715741683</v>
      </c>
      <c r="M44" s="7">
        <f t="shared" ca="1" si="12"/>
        <v>-23205.612034155944</v>
      </c>
      <c r="N44" s="7">
        <f ca="1">NPV($C$6,L45:$L$94)</f>
        <v>-14650.34672360645</v>
      </c>
      <c r="O44">
        <f t="shared" ca="1" si="7"/>
        <v>-9251.4336715741683</v>
      </c>
      <c r="P44" s="7">
        <f t="shared" ca="1" si="1"/>
        <v>8555.2653105494937</v>
      </c>
      <c r="Q44">
        <f t="shared" ca="1" si="15"/>
        <v>72.601541492968508</v>
      </c>
      <c r="R44">
        <f t="shared" ca="1" si="16"/>
        <v>-606.41873199458416</v>
      </c>
      <c r="T44">
        <f t="shared" ca="1" si="17"/>
        <v>100</v>
      </c>
      <c r="U44">
        <f t="shared" ca="1" si="18"/>
        <v>-998361.66604417248</v>
      </c>
      <c r="W44">
        <f t="shared" ca="1" si="8"/>
        <v>0</v>
      </c>
    </row>
    <row r="45" spans="2:23" x14ac:dyDescent="0.25">
      <c r="B45">
        <f t="shared" ca="1" si="13"/>
        <v>95</v>
      </c>
      <c r="C45">
        <f ca="1">_xlfn.IFNA(IF(B45&lt;121,INDEX('Mortality Table'!$A$2:$B$121,MATCH(B45,'Mortality Table'!$A$2:$A$121),2),0),0)</f>
        <v>0.25796651698627704</v>
      </c>
      <c r="F45">
        <f ca="1"/>
        <v>37</v>
      </c>
      <c r="H45">
        <f t="shared" ca="1" si="9"/>
        <v>-740</v>
      </c>
      <c r="I45">
        <f t="shared" ca="1" si="14"/>
        <v>-791175.99889900896</v>
      </c>
      <c r="J45">
        <f t="shared" ca="1" si="10"/>
        <v>7.8434160429435903E-3</v>
      </c>
      <c r="K45">
        <f t="shared" ca="1" si="6"/>
        <v>4.7406547816653873E-3</v>
      </c>
      <c r="L45">
        <f t="shared" ca="1" si="11"/>
        <v>-6205.5225225564072</v>
      </c>
      <c r="M45" s="7">
        <f t="shared" ca="1" si="12"/>
        <v>-14650.34672360645</v>
      </c>
      <c r="N45" s="7">
        <f ca="1">NPV($C$6,L46:$L$94)</f>
        <v>-8884.3346027582338</v>
      </c>
      <c r="O45">
        <f t="shared" ca="1" si="7"/>
        <v>-6211.3266504281855</v>
      </c>
      <c r="P45" s="7">
        <f t="shared" ca="1" si="1"/>
        <v>5766.012120848216</v>
      </c>
      <c r="Q45">
        <f t="shared" ca="1" si="15"/>
        <v>42.984199330735542</v>
      </c>
      <c r="R45">
        <f t="shared" ca="1" si="16"/>
        <v>-391.26624616738007</v>
      </c>
      <c r="T45">
        <f t="shared" ca="1" si="17"/>
        <v>101</v>
      </c>
      <c r="U45">
        <f t="shared" ca="1" si="18"/>
        <v>-998752.93229033984</v>
      </c>
      <c r="W45">
        <f t="shared" ca="1" si="8"/>
        <v>-5.804127871778257</v>
      </c>
    </row>
    <row r="46" spans="2:23" x14ac:dyDescent="0.25">
      <c r="B46">
        <f t="shared" ca="1" si="13"/>
        <v>96</v>
      </c>
      <c r="C46">
        <f ca="1">_xlfn.IFNA(IF(B46&lt;121,INDEX('Mortality Table'!$A$2:$B$121,MATCH(B46,'Mortality Table'!$A$2:$A$121),2),0),0)</f>
        <v>0.27845540395654383</v>
      </c>
      <c r="F46">
        <f ca="1"/>
        <v>38</v>
      </c>
      <c r="H46">
        <f t="shared" ca="1" si="9"/>
        <v>0</v>
      </c>
      <c r="I46">
        <f t="shared" ca="1" si="14"/>
        <v>-839600.99414160103</v>
      </c>
      <c r="J46">
        <f t="shared" ca="1" si="10"/>
        <v>4.7406547816653873E-3</v>
      </c>
      <c r="K46">
        <f t="shared" ca="1" si="6"/>
        <v>2.7505255478811907E-3</v>
      </c>
      <c r="L46">
        <f t="shared" ca="1" si="11"/>
        <v>-3980.2584675683938</v>
      </c>
      <c r="M46" s="7">
        <f t="shared" ca="1" si="12"/>
        <v>-8884.3346027582338</v>
      </c>
      <c r="N46" s="7">
        <f ca="1">NPV($C$6,L47:$L$94)</f>
        <v>-5170.6061732725884</v>
      </c>
      <c r="O46">
        <f t="shared" ca="1" si="7"/>
        <v>-3980.2584675683938</v>
      </c>
      <c r="P46" s="7">
        <f t="shared" ca="1" si="1"/>
        <v>3713.7284294856454</v>
      </c>
      <c r="Q46">
        <f t="shared" ca="1" si="15"/>
        <v>24.886778992277556</v>
      </c>
      <c r="R46">
        <f t="shared" ca="1" si="16"/>
        <v>-234.99806946548293</v>
      </c>
      <c r="T46">
        <f t="shared" ca="1" si="17"/>
        <v>102</v>
      </c>
      <c r="U46">
        <f t="shared" ca="1" si="18"/>
        <v>-998987.93035980535</v>
      </c>
      <c r="W46">
        <f t="shared" ca="1" si="8"/>
        <v>0</v>
      </c>
    </row>
    <row r="47" spans="2:23" x14ac:dyDescent="0.25">
      <c r="B47">
        <f t="shared" ca="1" si="13"/>
        <v>97</v>
      </c>
      <c r="C47">
        <f ca="1">_xlfn.IFNA(IF(B47&lt;121,INDEX('Mortality Table'!$A$2:$B$121,MATCH(B47,'Mortality Table'!$A$2:$A$121),2),0),0)</f>
        <v>0.3001550888663278</v>
      </c>
      <c r="F47">
        <f ca="1"/>
        <v>39</v>
      </c>
      <c r="H47">
        <f t="shared" ca="1" si="9"/>
        <v>-740</v>
      </c>
      <c r="I47">
        <f t="shared" ca="1" si="14"/>
        <v>-889182.43681443459</v>
      </c>
      <c r="J47">
        <f t="shared" ca="1" si="10"/>
        <v>2.7505255478811907E-3</v>
      </c>
      <c r="K47">
        <f t="shared" ca="1" si="6"/>
        <v>1.527666043288513E-3</v>
      </c>
      <c r="L47">
        <f t="shared" ca="1" si="11"/>
        <v>-2445.7190091853549</v>
      </c>
      <c r="M47" s="7">
        <f t="shared" ca="1" si="12"/>
        <v>-5170.6061732725884</v>
      </c>
      <c r="N47" s="7">
        <f ca="1">NPV($C$6,L48:$L$94)</f>
        <v>-2880.0053492854113</v>
      </c>
      <c r="O47">
        <f t="shared" ca="1" si="7"/>
        <v>-2447.7543980907872</v>
      </c>
      <c r="P47" s="7">
        <f t="shared" ca="1" si="1"/>
        <v>2290.6008239871771</v>
      </c>
      <c r="Q47">
        <f t="shared" ca="1" si="15"/>
        <v>14.030708603900568</v>
      </c>
      <c r="R47">
        <f t="shared" ca="1" si="16"/>
        <v>-139.18698669846745</v>
      </c>
      <c r="T47">
        <f t="shared" ca="1" si="17"/>
        <v>103</v>
      </c>
      <c r="U47">
        <f t="shared" ca="1" si="18"/>
        <v>-999127.11734650377</v>
      </c>
      <c r="W47">
        <f t="shared" ca="1" si="8"/>
        <v>-2.0353889054320811</v>
      </c>
    </row>
    <row r="48" spans="2:23" x14ac:dyDescent="0.25">
      <c r="B48">
        <f t="shared" ca="1" si="13"/>
        <v>98</v>
      </c>
      <c r="C48">
        <f ca="1">_xlfn.IFNA(IF(B48&lt;121,INDEX('Mortality Table'!$A$2:$B$121,MATCH(B48,'Mortality Table'!$A$2:$A$121),2),0),0)</f>
        <v>0.32312675535603558</v>
      </c>
      <c r="F48">
        <f ca="1"/>
        <v>40</v>
      </c>
      <c r="H48">
        <f t="shared" ca="1" si="9"/>
        <v>0</v>
      </c>
      <c r="I48">
        <f t="shared" ca="1" si="14"/>
        <v>-939631.64658612455</v>
      </c>
      <c r="J48">
        <f t="shared" ca="1" si="10"/>
        <v>1.527666043288513E-3</v>
      </c>
      <c r="K48">
        <f t="shared" ca="1" si="6"/>
        <v>8.0994436344406537E-4</v>
      </c>
      <c r="L48">
        <f t="shared" ca="1" si="11"/>
        <v>-1435.4433596888953</v>
      </c>
      <c r="M48" s="7">
        <f t="shared" ca="1" si="12"/>
        <v>-2880.0053492854113</v>
      </c>
      <c r="N48" s="7">
        <f ca="1">NPV($C$6,L49:$L$94)</f>
        <v>-1530.9621500750782</v>
      </c>
      <c r="O48">
        <f t="shared" ca="1" si="7"/>
        <v>-1435.4433596888953</v>
      </c>
      <c r="P48" s="7">
        <f t="shared" ca="1" si="1"/>
        <v>1349.0431992103331</v>
      </c>
      <c r="Q48">
        <f t="shared" ca="1" si="15"/>
        <v>7.6528078466744294</v>
      </c>
      <c r="R48">
        <f t="shared" ca="1" si="16"/>
        <v>-76.581800434510811</v>
      </c>
      <c r="T48">
        <f t="shared" ca="1" si="17"/>
        <v>104</v>
      </c>
      <c r="U48">
        <f t="shared" ca="1" si="18"/>
        <v>-999203.69914693828</v>
      </c>
      <c r="W48">
        <f t="shared" ca="1" si="8"/>
        <v>0</v>
      </c>
    </row>
    <row r="49" spans="2:23" x14ac:dyDescent="0.25">
      <c r="B49">
        <f t="shared" ca="1" si="13"/>
        <v>99</v>
      </c>
      <c r="C49">
        <f ca="1">_xlfn.IFNA(IF(B49&lt;121,INDEX('Mortality Table'!$A$2:$B$121,MATCH(B49,'Mortality Table'!$A$2:$A$121),2),0),0)</f>
        <v>0.34652291522744605</v>
      </c>
      <c r="F49">
        <f ca="1"/>
        <v>41</v>
      </c>
      <c r="H49">
        <f t="shared" ca="1" si="9"/>
        <v>-740</v>
      </c>
      <c r="I49">
        <f t="shared" ca="1" si="14"/>
        <v>-990624.41112528602</v>
      </c>
      <c r="J49">
        <f t="shared" ca="1" si="10"/>
        <v>8.0994436344406537E-4</v>
      </c>
      <c r="K49">
        <f t="shared" ca="1" si="6"/>
        <v>4.0876903440355446E-4</v>
      </c>
      <c r="L49">
        <f t="shared" ca="1" si="11"/>
        <v>-802.35065808102183</v>
      </c>
      <c r="M49" s="7">
        <f t="shared" ca="1" si="12"/>
        <v>-1530.9621500750782</v>
      </c>
      <c r="N49" s="7">
        <f ca="1">NPV($C$6,L50:$L$94)</f>
        <v>-774.54035649630873</v>
      </c>
      <c r="O49">
        <f t="shared" ca="1" si="7"/>
        <v>-802.95001690997049</v>
      </c>
      <c r="P49" s="7">
        <f t="shared" ca="1" si="1"/>
        <v>756.42179357876944</v>
      </c>
      <c r="Q49">
        <f t="shared" ca="1" si="15"/>
        <v>4.0136916302757566</v>
      </c>
      <c r="R49">
        <f t="shared" ca="1" si="16"/>
        <v>-41.345382079149843</v>
      </c>
      <c r="T49">
        <f t="shared" ca="1" si="17"/>
        <v>105</v>
      </c>
      <c r="U49">
        <f t="shared" ca="1" si="18"/>
        <v>-999245.04452901741</v>
      </c>
      <c r="W49">
        <f t="shared" ca="1" si="8"/>
        <v>-0.59935882894860837</v>
      </c>
    </row>
    <row r="50" spans="2:23" x14ac:dyDescent="0.25">
      <c r="B50">
        <f t="shared" ca="1" si="13"/>
        <v>100</v>
      </c>
      <c r="C50">
        <f ca="1">_xlfn.IFNA(IF(B50&lt;121,INDEX('Mortality Table'!$A$2:$B$121,MATCH(B50,'Mortality Table'!$A$2:$A$121),2),0),0)</f>
        <v>0.37097341737992373</v>
      </c>
      <c r="F50">
        <f ca="1"/>
        <v>42</v>
      </c>
      <c r="H50">
        <f t="shared" ca="1" si="9"/>
        <v>0</v>
      </c>
      <c r="I50">
        <f t="shared" ca="1" si="14"/>
        <v>-1041836.5181005338</v>
      </c>
      <c r="J50">
        <f t="shared" ca="1" si="10"/>
        <v>4.0876903440355446E-4</v>
      </c>
      <c r="K50">
        <f t="shared" ca="1" si="6"/>
        <v>1.9583378064839621E-4</v>
      </c>
      <c r="L50">
        <f t="shared" ca="1" si="11"/>
        <v>-425.87050751031649</v>
      </c>
      <c r="M50" s="7">
        <f t="shared" ca="1" si="12"/>
        <v>-774.54035649630873</v>
      </c>
      <c r="N50" s="7">
        <f ca="1">NPV($C$6,L51:$L$94)</f>
        <v>-371.90605968088136</v>
      </c>
      <c r="O50">
        <f t="shared" ca="1" si="7"/>
        <v>-425.87050751031649</v>
      </c>
      <c r="P50" s="7">
        <f t="shared" ca="1" si="1"/>
        <v>402.63429681542738</v>
      </c>
      <c r="Q50">
        <f t="shared" ca="1" si="15"/>
        <v>2.0132931041890316</v>
      </c>
      <c r="R50">
        <f t="shared" ca="1" si="16"/>
        <v>-20.639287356955826</v>
      </c>
      <c r="T50">
        <f t="shared" ca="1" si="17"/>
        <v>106</v>
      </c>
      <c r="U50">
        <f t="shared" ca="1" si="18"/>
        <v>-999265.6838163744</v>
      </c>
      <c r="W50">
        <f t="shared" ca="1" si="8"/>
        <v>0</v>
      </c>
    </row>
    <row r="51" spans="2:23" x14ac:dyDescent="0.25">
      <c r="B51">
        <f t="shared" ca="1" si="13"/>
        <v>101</v>
      </c>
      <c r="C51">
        <f ca="1">_xlfn.IFNA(IF(B51&lt;121,INDEX('Mortality Table'!$A$2:$B$121,MATCH(B51,'Mortality Table'!$A$2:$A$121),2),0),0)</f>
        <v>0.39558799944950446</v>
      </c>
      <c r="F51">
        <f ca="1"/>
        <v>43</v>
      </c>
      <c r="H51">
        <f t="shared" ca="1" si="9"/>
        <v>-740</v>
      </c>
      <c r="I51">
        <f t="shared" ca="1" si="14"/>
        <v>-1093319.6182457942</v>
      </c>
      <c r="J51">
        <f t="shared" ca="1" si="10"/>
        <v>1.9583378064839621E-4</v>
      </c>
      <c r="K51">
        <f t="shared" ca="1" si="6"/>
        <v>8.8779323499328628E-5</v>
      </c>
      <c r="L51">
        <f t="shared" ca="1" si="11"/>
        <v>-214.10891429813515</v>
      </c>
      <c r="M51" s="7">
        <f t="shared" ca="1" si="12"/>
        <v>-371.90605968088136</v>
      </c>
      <c r="N51" s="7">
        <f ca="1">NPV($C$6,L52:$L$94)</f>
        <v>-168.95432717317283</v>
      </c>
      <c r="O51">
        <f t="shared" ca="1" si="7"/>
        <v>-214.25383129581496</v>
      </c>
      <c r="P51" s="7">
        <f t="shared" ca="1" si="1"/>
        <v>202.95173250770853</v>
      </c>
      <c r="Q51">
        <f t="shared" ca="1" si="15"/>
        <v>0.96137798953441078</v>
      </c>
      <c r="R51">
        <f t="shared" ca="1" si="16"/>
        <v>-10.056350976611293</v>
      </c>
      <c r="T51">
        <f t="shared" ca="1" si="17"/>
        <v>107</v>
      </c>
      <c r="U51">
        <f t="shared" ca="1" si="18"/>
        <v>-999275.74016735097</v>
      </c>
      <c r="W51">
        <f t="shared" ca="1" si="8"/>
        <v>-0.1449169976798132</v>
      </c>
    </row>
    <row r="52" spans="2:23" x14ac:dyDescent="0.25">
      <c r="B52">
        <f t="shared" ca="1" si="13"/>
        <v>102</v>
      </c>
      <c r="C52">
        <f ca="1">_xlfn.IFNA(IF(B52&lt;121,INDEX('Mortality Table'!$A$2:$B$121,MATCH(B52,'Mortality Table'!$A$2:$A$121),2),0),0)</f>
        <v>0.41980049707080053</v>
      </c>
      <c r="F52">
        <f ca="1"/>
        <v>44</v>
      </c>
      <c r="H52">
        <f t="shared" ca="1" si="9"/>
        <v>0</v>
      </c>
      <c r="I52">
        <f t="shared" ca="1" si="14"/>
        <v>-1145170.6337664041</v>
      </c>
      <c r="J52">
        <f t="shared" ca="1" si="10"/>
        <v>8.8779323499328628E-5</v>
      </c>
      <c r="K52">
        <f t="shared" ca="1" si="6"/>
        <v>3.7945586420789244E-5</v>
      </c>
      <c r="L52">
        <f t="shared" ca="1" si="11"/>
        <v>-101.66747415707879</v>
      </c>
      <c r="M52" s="7">
        <f t="shared" ca="1" si="12"/>
        <v>-168.95432717317283</v>
      </c>
      <c r="N52" s="7">
        <f ca="1">NPV($C$6,L53:$L$94)</f>
        <v>-72.35548283128918</v>
      </c>
      <c r="O52">
        <f t="shared" ca="1" si="7"/>
        <v>-101.66747415707879</v>
      </c>
      <c r="P52" s="7">
        <f t="shared" ca="1" si="1"/>
        <v>96.598844341883648</v>
      </c>
      <c r="Q52">
        <f t="shared" ca="1" si="15"/>
        <v>0.43511056457997305</v>
      </c>
      <c r="R52">
        <f t="shared" ca="1" si="16"/>
        <v>-4.5060974712232476</v>
      </c>
      <c r="T52">
        <f t="shared" ca="1" si="17"/>
        <v>108</v>
      </c>
      <c r="U52">
        <f t="shared" ca="1" si="18"/>
        <v>-999280.2462648222</v>
      </c>
      <c r="W52">
        <f t="shared" ca="1" si="8"/>
        <v>0</v>
      </c>
    </row>
    <row r="53" spans="2:23" x14ac:dyDescent="0.25">
      <c r="B53">
        <f t="shared" ca="1" si="13"/>
        <v>103</v>
      </c>
      <c r="C53">
        <f ca="1">_xlfn.IFNA(IF(B53&lt;121,INDEX('Mortality Table'!$A$2:$B$121,MATCH(B53,'Mortality Table'!$A$2:$A$121),2),0),0)</f>
        <v>0.44459121840721733</v>
      </c>
      <c r="F53">
        <f ca="1"/>
        <v>45</v>
      </c>
      <c r="H53">
        <f t="shared" ca="1" si="9"/>
        <v>-740</v>
      </c>
      <c r="I53">
        <f t="shared" ca="1" si="14"/>
        <v>-1197091.4542186533</v>
      </c>
      <c r="J53">
        <f t="shared" ca="1" si="10"/>
        <v>3.7945586420789244E-5</v>
      </c>
      <c r="K53">
        <f t="shared" ca="1" si="6"/>
        <v>1.5233417805968155E-5</v>
      </c>
      <c r="L53">
        <f t="shared" ca="1" si="11"/>
        <v>-45.424337229642177</v>
      </c>
      <c r="M53" s="7">
        <f t="shared" ca="1" si="12"/>
        <v>-72.35548283128918</v>
      </c>
      <c r="N53" s="7">
        <f ca="1">NPV($C$6,L54:$L$94)</f>
        <v>-29.101810086585687</v>
      </c>
      <c r="O53">
        <f t="shared" ca="1" si="7"/>
        <v>-45.452416963593564</v>
      </c>
      <c r="P53" s="7">
        <f t="shared" ca="1" si="1"/>
        <v>43.253672744703493</v>
      </c>
      <c r="Q53">
        <f t="shared" ca="1" si="15"/>
        <v>0.18582602408887533</v>
      </c>
      <c r="R53">
        <f t="shared" ca="1" si="16"/>
        <v>-1.957562944444162</v>
      </c>
      <c r="T53">
        <f t="shared" ca="1" si="17"/>
        <v>109</v>
      </c>
      <c r="U53">
        <f t="shared" ca="1" si="18"/>
        <v>-999282.20382776659</v>
      </c>
      <c r="W53">
        <f t="shared" ca="1" si="8"/>
        <v>-2.807973395138404E-2</v>
      </c>
    </row>
    <row r="54" spans="2:23" x14ac:dyDescent="0.25">
      <c r="B54">
        <f t="shared" ca="1" si="13"/>
        <v>104</v>
      </c>
      <c r="C54">
        <f ca="1">_xlfn.IFNA(IF(B54&lt;121,INDEX('Mortality Table'!$A$2:$B$121,MATCH(B54,'Mortality Table'!$A$2:$A$121),2),0),0)</f>
        <v>0.46981582329306226</v>
      </c>
      <c r="F54">
        <f ca="1"/>
        <v>46</v>
      </c>
      <c r="H54">
        <f t="shared" ca="1" si="9"/>
        <v>0</v>
      </c>
      <c r="I54">
        <f t="shared" ca="1" si="14"/>
        <v>-1248784.3204782719</v>
      </c>
      <c r="J54">
        <f t="shared" ca="1" si="10"/>
        <v>1.5233417805968155E-5</v>
      </c>
      <c r="K54">
        <f t="shared" ca="1" si="6"/>
        <v>5.7217911542743793E-6</v>
      </c>
      <c r="L54">
        <f t="shared" ca="1" si="11"/>
        <v>-19.023253303387552</v>
      </c>
      <c r="M54" s="7">
        <f t="shared" ca="1" si="12"/>
        <v>-29.101810086585687</v>
      </c>
      <c r="N54" s="7">
        <f ca="1">NPV($C$6,L55:$L$94)</f>
        <v>-10.95161108579571</v>
      </c>
      <c r="O54">
        <f t="shared" ca="1" si="7"/>
        <v>-19.023253303387552</v>
      </c>
      <c r="P54" s="7">
        <f t="shared" ca="1" si="1"/>
        <v>18.150199000789975</v>
      </c>
      <c r="Q54">
        <f t="shared" ca="1" si="15"/>
        <v>7.4574295334021698E-2</v>
      </c>
      <c r="R54">
        <f t="shared" ca="1" si="16"/>
        <v>-0.77652180706380758</v>
      </c>
      <c r="T54">
        <f t="shared" ca="1" si="17"/>
        <v>110</v>
      </c>
      <c r="U54">
        <f t="shared" ca="1" si="18"/>
        <v>-999282.98034957366</v>
      </c>
      <c r="W54">
        <f t="shared" ca="1" si="8"/>
        <v>0</v>
      </c>
    </row>
    <row r="55" spans="2:23" x14ac:dyDescent="0.25">
      <c r="B55">
        <f t="shared" ca="1" si="13"/>
        <v>105</v>
      </c>
      <c r="C55">
        <f ca="1">_xlfn.IFNA(IF(B55&lt;121,INDEX('Mortality Table'!$A$2:$B$121,MATCH(B55,'Mortality Table'!$A$2:$A$121),2),0),0)</f>
        <v>0.49531220556264299</v>
      </c>
      <c r="F55">
        <f ca="1"/>
        <v>47</v>
      </c>
      <c r="H55">
        <f t="shared" ca="1" si="9"/>
        <v>-740</v>
      </c>
      <c r="I55">
        <f t="shared" ca="1" si="14"/>
        <v>-1308798.2387821092</v>
      </c>
      <c r="J55">
        <f t="shared" ca="1" si="10"/>
        <v>5.7217911542743793E-6</v>
      </c>
      <c r="K55">
        <f t="shared" ca="1" si="6"/>
        <v>1.9774560615776992E-6</v>
      </c>
      <c r="L55">
        <f t="shared" ca="1" si="11"/>
        <v>-7.4886701853933593</v>
      </c>
      <c r="M55" s="7">
        <f t="shared" ca="1" si="12"/>
        <v>-10.95161108579571</v>
      </c>
      <c r="N55" s="7">
        <f ca="1">NPV($C$6,L56:$L$94)</f>
        <v>-3.7914892329762213</v>
      </c>
      <c r="O55">
        <f t="shared" ca="1" si="7"/>
        <v>-7.4929043108475222</v>
      </c>
      <c r="P55" s="7">
        <f t="shared" ca="1" si="1"/>
        <v>7.1601218528194881</v>
      </c>
      <c r="Q55">
        <f t="shared" ca="1" si="15"/>
        <v>2.8006535906176928E-2</v>
      </c>
      <c r="R55">
        <f t="shared" ca="1" si="16"/>
        <v>-0.29639458426350612</v>
      </c>
      <c r="T55">
        <f t="shared" ca="1" si="17"/>
        <v>111</v>
      </c>
      <c r="U55">
        <f t="shared" ca="1" si="18"/>
        <v>-999283.27674415789</v>
      </c>
      <c r="W55">
        <f t="shared" ca="1" si="8"/>
        <v>-4.2341254541630406E-3</v>
      </c>
    </row>
    <row r="56" spans="2:23" x14ac:dyDescent="0.25">
      <c r="B56">
        <f t="shared" ca="1" si="13"/>
        <v>106</v>
      </c>
      <c r="C56">
        <f ca="1">_xlfn.IFNA(IF(B56&lt;121,INDEX('Mortality Table'!$A$2:$B$121,MATCH(B56,'Mortality Table'!$A$2:$A$121),2),0),0)</f>
        <v>0.5209182590502669</v>
      </c>
      <c r="F56">
        <f ca="1"/>
        <v>48</v>
      </c>
      <c r="H56">
        <f t="shared" ca="1" si="9"/>
        <v>0</v>
      </c>
      <c r="I56">
        <f t="shared" ca="1" si="14"/>
        <v>-1368485.7813253368</v>
      </c>
      <c r="J56">
        <f t="shared" ca="1" si="10"/>
        <v>1.9774560615776992E-6</v>
      </c>
      <c r="K56">
        <f t="shared" ca="1" si="6"/>
        <v>6.2439580984535862E-7</v>
      </c>
      <c r="L56">
        <f t="shared" ca="1" si="11"/>
        <v>-2.7061205034646809</v>
      </c>
      <c r="M56" s="7">
        <f t="shared" ca="1" si="12"/>
        <v>-3.7914892329762213</v>
      </c>
      <c r="N56" s="7">
        <f ca="1">NPV($C$6,L57:$L$94)</f>
        <v>-1.1991134065008282</v>
      </c>
      <c r="O56">
        <f t="shared" ca="1" si="7"/>
        <v>-2.7061205034646809</v>
      </c>
      <c r="P56" s="7">
        <f t="shared" ca="1" si="1"/>
        <v>2.5923758264753931</v>
      </c>
      <c r="Q56">
        <f t="shared" ca="1" si="15"/>
        <v>9.6785171189264132E-3</v>
      </c>
      <c r="R56">
        <f t="shared" ca="1" si="16"/>
        <v>-0.10120434047392646</v>
      </c>
      <c r="T56">
        <f t="shared" ca="1" si="17"/>
        <v>112</v>
      </c>
      <c r="U56">
        <f t="shared" ca="1" si="18"/>
        <v>-999283.37794849835</v>
      </c>
      <c r="W56">
        <f t="shared" ca="1" si="8"/>
        <v>0</v>
      </c>
    </row>
    <row r="57" spans="2:23" x14ac:dyDescent="0.25">
      <c r="B57">
        <f t="shared" ca="1" si="13"/>
        <v>107</v>
      </c>
      <c r="C57">
        <f ca="1">_xlfn.IFNA(IF(B57&lt;121,INDEX('Mortality Table'!$A$2:$B$121,MATCH(B57,'Mortality Table'!$A$2:$A$121),2),0),0)</f>
        <v>0.54665980912289713</v>
      </c>
      <c r="F57">
        <f ca="1"/>
        <v>49</v>
      </c>
      <c r="H57">
        <f t="shared" ca="1" si="9"/>
        <v>-740</v>
      </c>
      <c r="I57">
        <f t="shared" ca="1" si="14"/>
        <v>-1427773.1710253623</v>
      </c>
      <c r="J57">
        <f t="shared" ca="1" si="10"/>
        <v>6.2439580984535862E-7</v>
      </c>
      <c r="K57">
        <f t="shared" ca="1" si="6"/>
        <v>1.7864801714643022E-7</v>
      </c>
      <c r="L57">
        <f t="shared" ca="1" si="11"/>
        <v>-0.89149558539785678</v>
      </c>
      <c r="M57" s="7">
        <f t="shared" ca="1" si="12"/>
        <v>-1.1991134065008282</v>
      </c>
      <c r="N57" s="7">
        <f ca="1">NPV($C$6,L58:$L$94)</f>
        <v>-0.34359122329799613</v>
      </c>
      <c r="O57">
        <f t="shared" ca="1" si="7"/>
        <v>-0.89195763829714236</v>
      </c>
      <c r="P57" s="7">
        <f t="shared" ca="1" si="1"/>
        <v>0.85552218320283213</v>
      </c>
      <c r="Q57">
        <f t="shared" ca="1" si="15"/>
        <v>3.055995841399939E-3</v>
      </c>
      <c r="R57">
        <f t="shared" ca="1" si="16"/>
        <v>-3.2461524123455258E-2</v>
      </c>
      <c r="T57">
        <f t="shared" ca="1" si="17"/>
        <v>113</v>
      </c>
      <c r="U57">
        <f t="shared" ca="1" si="18"/>
        <v>-999283.41041002248</v>
      </c>
      <c r="W57">
        <f t="shared" ca="1" si="8"/>
        <v>-4.6205289928556541E-4</v>
      </c>
    </row>
    <row r="58" spans="2:23" x14ac:dyDescent="0.25">
      <c r="B58">
        <f t="shared" ca="1" si="13"/>
        <v>108</v>
      </c>
      <c r="C58">
        <f ca="1">_xlfn.IFNA(IF(B58&lt;121,INDEX('Mortality Table'!$A$2:$B$121,MATCH(B58,'Mortality Table'!$A$2:$A$121),2),0),0)</f>
        <v>0.57258531688320202</v>
      </c>
      <c r="F58">
        <f ca="1"/>
        <v>50</v>
      </c>
      <c r="H58">
        <f t="shared" ca="1" si="9"/>
        <v>0</v>
      </c>
      <c r="I58">
        <f t="shared" ca="1" si="14"/>
        <v>-1486587.6847579163</v>
      </c>
      <c r="J58">
        <f t="shared" ca="1" si="10"/>
        <v>1.7864801714643022E-7</v>
      </c>
      <c r="K58">
        <f t="shared" ca="1" si="6"/>
        <v>4.5860046048278108E-8</v>
      </c>
      <c r="L58">
        <f t="shared" ca="1" si="11"/>
        <v>-0.2655759421963042</v>
      </c>
      <c r="M58" s="7">
        <f t="shared" ca="1" si="12"/>
        <v>-0.34359122329799613</v>
      </c>
      <c r="N58" s="7">
        <f ca="1">NPV($C$6,L59:$L$94)</f>
        <v>-8.8323017800631745E-2</v>
      </c>
      <c r="O58">
        <f t="shared" ca="1" si="7"/>
        <v>-0.2655759421963042</v>
      </c>
      <c r="P58" s="7">
        <f t="shared" ca="1" si="1"/>
        <v>0.2552682054973644</v>
      </c>
      <c r="Q58">
        <f t="shared" ca="1" si="15"/>
        <v>8.7435529134831727E-4</v>
      </c>
      <c r="R58">
        <f t="shared" ca="1" si="16"/>
        <v>-9.1739634188827239E-3</v>
      </c>
      <c r="T58">
        <f t="shared" ca="1" si="17"/>
        <v>114</v>
      </c>
      <c r="U58">
        <f t="shared" ca="1" si="18"/>
        <v>-999283.41958398593</v>
      </c>
      <c r="W58">
        <f t="shared" ca="1" si="8"/>
        <v>0</v>
      </c>
    </row>
    <row r="59" spans="2:23" x14ac:dyDescent="0.25">
      <c r="B59">
        <f t="shared" ca="1" si="13"/>
        <v>109</v>
      </c>
      <c r="C59">
        <f ca="1">_xlfn.IFNA(IF(B59&lt;121,INDEX('Mortality Table'!$A$2:$B$121,MATCH(B59,'Mortality Table'!$A$2:$A$121),2),0),0)</f>
        <v>0.59854572710932663</v>
      </c>
      <c r="F59">
        <f ca="1"/>
        <v>51</v>
      </c>
      <c r="H59">
        <f t="shared" ca="1" si="9"/>
        <v>-740</v>
      </c>
      <c r="I59">
        <f t="shared" ca="1" si="14"/>
        <v>-1544856.2480792885</v>
      </c>
      <c r="J59">
        <f t="shared" ca="1" si="10"/>
        <v>4.5860046048278108E-8</v>
      </c>
      <c r="K59">
        <f t="shared" ca="1" si="6"/>
        <v>1.0436456710834949E-8</v>
      </c>
      <c r="L59">
        <f t="shared" ca="1" si="11"/>
        <v>-7.0847178674886324E-2</v>
      </c>
      <c r="M59" s="7">
        <f t="shared" ca="1" si="12"/>
        <v>-8.8323017800631745E-2</v>
      </c>
      <c r="N59" s="7">
        <f ca="1">NPV($C$6,L60:$L$94)</f>
        <v>-2.0125529659764364E-2</v>
      </c>
      <c r="O59">
        <f t="shared" ca="1" si="7"/>
        <v>-7.0881115108962042E-2</v>
      </c>
      <c r="P59" s="7">
        <f t="shared" ca="1" si="1"/>
        <v>6.8197488140867374E-2</v>
      </c>
      <c r="Q59">
        <f t="shared" ca="1" si="15"/>
        <v>2.2445191897318677E-4</v>
      </c>
      <c r="R59">
        <f t="shared" ca="1" si="16"/>
        <v>-2.3915477352706412E-3</v>
      </c>
      <c r="T59">
        <f t="shared" ca="1" si="17"/>
        <v>115</v>
      </c>
      <c r="U59">
        <f t="shared" ca="1" si="18"/>
        <v>-999283.42197553371</v>
      </c>
      <c r="W59">
        <f t="shared" ca="1" si="8"/>
        <v>-3.3936434075725798E-5</v>
      </c>
    </row>
    <row r="60" spans="2:23" x14ac:dyDescent="0.25">
      <c r="B60">
        <f t="shared" ca="1" si="13"/>
        <v>110</v>
      </c>
      <c r="C60">
        <f ca="1">_xlfn.IFNA(IF(B60&lt;121,INDEX('Mortality Table'!$A$2:$B$121,MATCH(B60,'Mortality Table'!$A$2:$A$121),2),0),0)</f>
        <v>0.62439216023913602</v>
      </c>
      <c r="F60">
        <f ca="1"/>
        <v>52</v>
      </c>
      <c r="H60">
        <f t="shared" ca="1" si="9"/>
        <v>0</v>
      </c>
      <c r="I60">
        <f t="shared" ca="1" si="14"/>
        <v>-1602827.595153647</v>
      </c>
      <c r="J60">
        <f t="shared" ca="1" si="10"/>
        <v>1.0436456710834949E-8</v>
      </c>
      <c r="K60">
        <f t="shared" ca="1" si="6"/>
        <v>2.072536304958588E-9</v>
      </c>
      <c r="L60">
        <f t="shared" ca="1" si="11"/>
        <v>-1.6727840811752721E-2</v>
      </c>
      <c r="M60" s="7">
        <f t="shared" ca="1" si="12"/>
        <v>-2.0125529659764364E-2</v>
      </c>
      <c r="N60" s="7">
        <f ca="1">NPV($C$6,L61:$L$94)</f>
        <v>-4.0014547378045768E-3</v>
      </c>
      <c r="O60">
        <f t="shared" ca="1" si="7"/>
        <v>-1.6727840811752721E-2</v>
      </c>
      <c r="P60" s="7">
        <f t="shared" ca="1" si="1"/>
        <v>1.6124074921959788E-2</v>
      </c>
      <c r="Q60">
        <f t="shared" ca="1" si="15"/>
        <v>5.1078915794024573E-5</v>
      </c>
      <c r="R60">
        <f t="shared" ca="1" si="16"/>
        <v>-5.3748808221393838E-4</v>
      </c>
      <c r="T60">
        <f t="shared" ca="1" si="17"/>
        <v>116</v>
      </c>
      <c r="U60">
        <f t="shared" ca="1" si="18"/>
        <v>-999283.42251302174</v>
      </c>
      <c r="W60">
        <f t="shared" ca="1" si="8"/>
        <v>0</v>
      </c>
    </row>
    <row r="61" spans="2:23" x14ac:dyDescent="0.25">
      <c r="B61">
        <f ca="1">B60+1</f>
        <v>111</v>
      </c>
      <c r="C61">
        <f ca="1">_xlfn.IFNA(IF(B61&lt;121,INDEX('Mortality Table'!$A$2:$B$121,MATCH(B61,'Mortality Table'!$A$2:$A$121),2),0),0)</f>
        <v>0.65439911939105466</v>
      </c>
      <c r="F61">
        <f ca="1"/>
        <v>53</v>
      </c>
      <c r="H61">
        <f t="shared" ca="1" si="9"/>
        <v>-740</v>
      </c>
      <c r="I61">
        <f t="shared" ca="1" si="14"/>
        <v>-1660798.9422280053</v>
      </c>
      <c r="J61">
        <f t="shared" ca="1" si="10"/>
        <v>2.072536304958588E-9</v>
      </c>
      <c r="K61">
        <f t="shared" ca="1" si="6"/>
        <v>3.5150325345640736E-10</v>
      </c>
      <c r="L61">
        <f t="shared" ca="1" si="11"/>
        <v>-3.4420661030043613E-3</v>
      </c>
      <c r="M61" s="7">
        <f t="shared" ca="1" si="12"/>
        <v>-4.0014547378045768E-3</v>
      </c>
      <c r="N61" s="7">
        <f ca="1">NPV($C$6,L62:$L$94)</f>
        <v>-6.7943227693435294E-4</v>
      </c>
      <c r="O61">
        <f t="shared" ca="1" si="7"/>
        <v>-3.4435997798700308E-3</v>
      </c>
      <c r="P61" s="7">
        <f t="shared" ca="1" si="1"/>
        <v>3.3220224608702239E-3</v>
      </c>
      <c r="Q61">
        <f t="shared" ca="1" si="15"/>
        <v>1.0143566574719325E-5</v>
      </c>
      <c r="R61">
        <f t="shared" ca="1" si="16"/>
        <v>-1.0836932423339769E-4</v>
      </c>
      <c r="T61">
        <f t="shared" ca="1" si="17"/>
        <v>117</v>
      </c>
      <c r="U61">
        <f t="shared" ca="1" si="18"/>
        <v>-999283.42262139102</v>
      </c>
      <c r="W61">
        <f t="shared" ca="1" si="8"/>
        <v>-1.5336768656693551E-6</v>
      </c>
    </row>
    <row r="62" spans="2:23" x14ac:dyDescent="0.25">
      <c r="B62">
        <f t="shared" ca="1" si="13"/>
        <v>112</v>
      </c>
      <c r="C62">
        <f ca="1">_xlfn.IFNA(IF(B62&lt;121,INDEX('Mortality Table'!$A$2:$B$121,MATCH(B62,'Mortality Table'!$A$2:$A$121),2),0),0)</f>
        <v>0.68424289066266841</v>
      </c>
      <c r="F62">
        <f ca="1"/>
        <v>54</v>
      </c>
      <c r="H62">
        <f t="shared" ca="1" si="9"/>
        <v>0</v>
      </c>
      <c r="I62">
        <f t="shared" ca="1" si="14"/>
        <v>-1718770.2893023635</v>
      </c>
      <c r="J62">
        <f t="shared" ca="1" si="10"/>
        <v>3.5150325345640736E-10</v>
      </c>
      <c r="K62">
        <f t="shared" ca="1" si="6"/>
        <v>4.9426579139411715E-11</v>
      </c>
      <c r="L62">
        <f t="shared" ca="1" si="11"/>
        <v>-6.0415334863399132E-4</v>
      </c>
      <c r="M62" s="7">
        <f t="shared" ca="1" si="12"/>
        <v>-6.7943227693435294E-4</v>
      </c>
      <c r="N62" s="7">
        <f ca="1">NPV($C$6,L63:$L$94)</f>
        <v>-9.5661896608392204E-5</v>
      </c>
      <c r="O62">
        <f t="shared" ca="1" si="7"/>
        <v>-6.0415334863399132E-4</v>
      </c>
      <c r="P62" s="7">
        <f t="shared" ca="1" si="1"/>
        <v>5.8377038032596078E-4</v>
      </c>
      <c r="Q62">
        <f t="shared" ca="1" si="15"/>
        <v>1.7203542091546548E-6</v>
      </c>
      <c r="R62">
        <f t="shared" ca="1" si="16"/>
        <v>-1.81493922111568E-5</v>
      </c>
      <c r="T62">
        <f t="shared" ca="1" si="17"/>
        <v>118</v>
      </c>
      <c r="U62">
        <f t="shared" ca="1" si="18"/>
        <v>-999283.4226395404</v>
      </c>
      <c r="W62">
        <f t="shared" ca="1" si="8"/>
        <v>0</v>
      </c>
    </row>
    <row r="63" spans="2:23" x14ac:dyDescent="0.25">
      <c r="B63">
        <f t="shared" ca="1" si="13"/>
        <v>113</v>
      </c>
      <c r="C63">
        <f ca="1">_xlfn.IFNA(IF(B63&lt;121,INDEX('Mortality Table'!$A$2:$B$121,MATCH(B63,'Mortality Table'!$A$2:$A$121),2),0),0)</f>
        <v>0.71388658551268114</v>
      </c>
      <c r="F63">
        <f ca="1"/>
        <v>55</v>
      </c>
      <c r="H63">
        <f t="shared" ca="1" si="9"/>
        <v>-740</v>
      </c>
      <c r="I63">
        <f t="shared" ca="1" si="14"/>
        <v>-1776741.6363767218</v>
      </c>
      <c r="J63">
        <f t="shared" ca="1" si="10"/>
        <v>4.9426579139411715E-11</v>
      </c>
      <c r="K63">
        <f t="shared" ca="1" si="6"/>
        <v>5.5174485890807568E-12</v>
      </c>
      <c r="L63">
        <f t="shared" ca="1" si="11"/>
        <v>-8.7818261100661916E-5</v>
      </c>
      <c r="M63" s="7">
        <f t="shared" ca="1" si="12"/>
        <v>-9.5661896608392204E-5</v>
      </c>
      <c r="N63" s="7">
        <f ca="1">NPV($C$6,L64:$L$94)</f>
        <v>-1.0713492405982051E-5</v>
      </c>
      <c r="O63">
        <f t="shared" ca="1" si="7"/>
        <v>-8.785483676922508E-5</v>
      </c>
      <c r="P63" s="7">
        <f t="shared" ca="1" si="1"/>
        <v>8.494840420241015E-5</v>
      </c>
      <c r="Q63">
        <f t="shared" ca="1" si="15"/>
        <v>2.4190735711486145E-7</v>
      </c>
      <c r="R63">
        <f t="shared" ca="1" si="16"/>
        <v>-2.5912507664333166E-6</v>
      </c>
      <c r="T63">
        <f t="shared" ca="1" si="17"/>
        <v>119</v>
      </c>
      <c r="U63">
        <f t="shared" ca="1" si="18"/>
        <v>-999283.42264213169</v>
      </c>
      <c r="W63">
        <f t="shared" ca="1" si="8"/>
        <v>-3.6575668563164668E-8</v>
      </c>
    </row>
    <row r="64" spans="2:23" x14ac:dyDescent="0.25">
      <c r="B64">
        <f t="shared" ca="1" si="13"/>
        <v>114</v>
      </c>
      <c r="C64">
        <f ca="1">_xlfn.IFNA(IF(B64&lt;121,INDEX('Mortality Table'!$A$2:$B$121,MATCH(B64,'Mortality Table'!$A$2:$A$121),2),0),0)</f>
        <v>0.74329384237895813</v>
      </c>
      <c r="F64">
        <f ca="1"/>
        <v>56</v>
      </c>
      <c r="H64">
        <f t="shared" ca="1" si="9"/>
        <v>0</v>
      </c>
      <c r="I64">
        <f t="shared" ca="1" si="14"/>
        <v>-2000000</v>
      </c>
      <c r="J64">
        <f t="shared" ca="1" si="10"/>
        <v>5.5174485890807568E-12</v>
      </c>
      <c r="K64">
        <f t="shared" ca="1" si="6"/>
        <v>0</v>
      </c>
      <c r="L64">
        <f t="shared" ca="1" si="11"/>
        <v>-1.1034897178161514E-5</v>
      </c>
      <c r="M64" s="7">
        <f t="shared" ca="1" si="12"/>
        <v>-1.0713492405982051E-5</v>
      </c>
      <c r="N64" s="7">
        <f ca="1">NPV($C$6,L65:$L$94)</f>
        <v>0</v>
      </c>
      <c r="O64">
        <f t="shared" ca="1" si="7"/>
        <v>-1.1034897178161514E-5</v>
      </c>
      <c r="P64" s="7">
        <f t="shared" ca="1" si="1"/>
        <v>1.0713492405982051E-5</v>
      </c>
      <c r="Q64">
        <f t="shared" ca="1" si="15"/>
        <v>2.7003920330200028E-8</v>
      </c>
      <c r="R64">
        <f t="shared" ca="1" si="16"/>
        <v>-2.863048284234078E-7</v>
      </c>
      <c r="T64">
        <f t="shared" ca="1" si="17"/>
        <v>120</v>
      </c>
      <c r="U64">
        <f t="shared" ca="1" si="18"/>
        <v>-999283.42264241795</v>
      </c>
      <c r="W64">
        <f t="shared" ca="1" si="8"/>
        <v>0</v>
      </c>
    </row>
    <row r="65" spans="2:23" x14ac:dyDescent="0.25">
      <c r="B65">
        <f t="shared" ca="1" si="13"/>
        <v>115</v>
      </c>
      <c r="C65">
        <f ca="1">_xlfn.IFNA(IF(B65&lt;121,INDEX('Mortality Table'!$A$2:$B$121,MATCH(B65,'Mortality Table'!$A$2:$A$121),2),0),0)</f>
        <v>0.77242812403964423</v>
      </c>
      <c r="H65">
        <f t="shared" si="9"/>
        <v>0</v>
      </c>
      <c r="I65">
        <f t="shared" ca="1" si="14"/>
        <v>0</v>
      </c>
      <c r="J65">
        <f t="shared" ca="1" si="10"/>
        <v>0</v>
      </c>
      <c r="K65">
        <f t="shared" ca="1" si="6"/>
        <v>0</v>
      </c>
      <c r="L65">
        <f t="shared" ca="1" si="11"/>
        <v>0</v>
      </c>
      <c r="M65" s="7">
        <f t="shared" ca="1" si="12"/>
        <v>0</v>
      </c>
      <c r="N65" s="7">
        <f ca="1">NPV($C$6,L66:$L$94)</f>
        <v>0</v>
      </c>
      <c r="O65">
        <f t="shared" ca="1" si="7"/>
        <v>0</v>
      </c>
      <c r="P65" s="7">
        <f t="shared" ca="1" si="1"/>
        <v>0</v>
      </c>
      <c r="Q65">
        <f t="shared" ca="1" si="15"/>
        <v>0</v>
      </c>
      <c r="R65">
        <f t="shared" ca="1" si="16"/>
        <v>0</v>
      </c>
      <c r="T65">
        <f t="shared" ca="1" si="17"/>
        <v>121</v>
      </c>
      <c r="U65">
        <f t="shared" ca="1" si="18"/>
        <v>-999283.42264241795</v>
      </c>
      <c r="W65">
        <f t="shared" ca="1" si="8"/>
        <v>0</v>
      </c>
    </row>
    <row r="66" spans="2:23" x14ac:dyDescent="0.25">
      <c r="B66">
        <f t="shared" ca="1" si="13"/>
        <v>116</v>
      </c>
      <c r="C66">
        <f ca="1">_xlfn.IFNA(IF(B66&lt;121,INDEX('Mortality Table'!$A$2:$B$121,MATCH(B66,'Mortality Table'!$A$2:$A$121),2),0),0)</f>
        <v>0.80141379757682352</v>
      </c>
      <c r="H66">
        <f t="shared" si="9"/>
        <v>0</v>
      </c>
      <c r="I66">
        <f t="shared" ca="1" si="14"/>
        <v>0</v>
      </c>
      <c r="J66">
        <f t="shared" ca="1" si="10"/>
        <v>0</v>
      </c>
      <c r="K66">
        <f t="shared" ca="1" si="6"/>
        <v>0</v>
      </c>
      <c r="L66">
        <f t="shared" ca="1" si="11"/>
        <v>0</v>
      </c>
      <c r="M66" s="7">
        <f t="shared" ca="1" si="12"/>
        <v>0</v>
      </c>
      <c r="N66" s="7">
        <f ca="1">NPV($C$6,L67:$L$94)</f>
        <v>0</v>
      </c>
      <c r="O66">
        <f t="shared" ca="1" si="7"/>
        <v>0</v>
      </c>
      <c r="P66" s="7">
        <f t="shared" ca="1" si="1"/>
        <v>0</v>
      </c>
      <c r="Q66">
        <f t="shared" ca="1" si="15"/>
        <v>0</v>
      </c>
      <c r="R66">
        <f t="shared" ca="1" si="16"/>
        <v>0</v>
      </c>
      <c r="T66">
        <f t="shared" ca="1" si="17"/>
        <v>122</v>
      </c>
      <c r="U66">
        <f t="shared" ca="1" si="18"/>
        <v>-999283.42264241795</v>
      </c>
      <c r="W66">
        <f t="shared" ca="1" si="8"/>
        <v>0</v>
      </c>
    </row>
    <row r="67" spans="2:23" x14ac:dyDescent="0.25">
      <c r="B67">
        <f t="shared" ca="1" si="13"/>
        <v>117</v>
      </c>
      <c r="C67">
        <f ca="1">_xlfn.IFNA(IF(B67&lt;121,INDEX('Mortality Table'!$A$2:$B$121,MATCH(B67,'Mortality Table'!$A$2:$A$121),2),0),0)</f>
        <v>0.83039947111400259</v>
      </c>
      <c r="H67">
        <f t="shared" si="9"/>
        <v>0</v>
      </c>
      <c r="I67">
        <f t="shared" ca="1" si="14"/>
        <v>0</v>
      </c>
      <c r="J67">
        <f t="shared" ca="1" si="10"/>
        <v>0</v>
      </c>
      <c r="K67">
        <f t="shared" ca="1" si="6"/>
        <v>0</v>
      </c>
      <c r="L67">
        <f t="shared" ca="1" si="11"/>
        <v>0</v>
      </c>
      <c r="M67" s="7">
        <f t="shared" ca="1" si="12"/>
        <v>0</v>
      </c>
      <c r="N67" s="7">
        <f ca="1">NPV($C$6,L68:$L$94)</f>
        <v>0</v>
      </c>
      <c r="O67">
        <f t="shared" ca="1" si="7"/>
        <v>0</v>
      </c>
      <c r="P67" s="7">
        <f t="shared" ca="1" si="1"/>
        <v>0</v>
      </c>
      <c r="Q67">
        <f t="shared" ca="1" si="15"/>
        <v>0</v>
      </c>
      <c r="R67">
        <f t="shared" ca="1" si="16"/>
        <v>0</v>
      </c>
      <c r="T67">
        <f t="shared" ca="1" si="17"/>
        <v>123</v>
      </c>
      <c r="U67">
        <f t="shared" ca="1" si="18"/>
        <v>-999283.42264241795</v>
      </c>
      <c r="W67">
        <f t="shared" ca="1" si="8"/>
        <v>0</v>
      </c>
    </row>
    <row r="68" spans="2:23" x14ac:dyDescent="0.25">
      <c r="B68">
        <f t="shared" ca="1" si="13"/>
        <v>118</v>
      </c>
      <c r="C68">
        <f ca="1">_xlfn.IFNA(IF(B68&lt;121,INDEX('Mortality Table'!$A$2:$B$121,MATCH(B68,'Mortality Table'!$A$2:$A$121),2),0),0)</f>
        <v>0.85938514465118176</v>
      </c>
      <c r="H68">
        <f t="shared" si="9"/>
        <v>0</v>
      </c>
      <c r="I68">
        <f t="shared" ca="1" si="14"/>
        <v>0</v>
      </c>
      <c r="J68">
        <f t="shared" ca="1" si="10"/>
        <v>0</v>
      </c>
      <c r="K68">
        <f t="shared" ca="1" si="6"/>
        <v>0</v>
      </c>
      <c r="L68">
        <f t="shared" ca="1" si="11"/>
        <v>0</v>
      </c>
      <c r="M68" s="7">
        <f t="shared" ca="1" si="12"/>
        <v>0</v>
      </c>
      <c r="N68" s="7">
        <f ca="1">NPV($C$6,L69:$L$94)</f>
        <v>0</v>
      </c>
      <c r="O68">
        <f t="shared" ca="1" si="7"/>
        <v>0</v>
      </c>
      <c r="P68" s="7">
        <f t="shared" ca="1" si="1"/>
        <v>0</v>
      </c>
      <c r="Q68">
        <f t="shared" ca="1" si="15"/>
        <v>0</v>
      </c>
      <c r="R68">
        <f t="shared" ca="1" si="16"/>
        <v>0</v>
      </c>
      <c r="T68">
        <f t="shared" ca="1" si="17"/>
        <v>124</v>
      </c>
      <c r="U68">
        <f t="shared" ca="1" si="18"/>
        <v>-999283.42264241795</v>
      </c>
      <c r="W68">
        <f t="shared" ca="1" si="8"/>
        <v>0</v>
      </c>
    </row>
    <row r="69" spans="2:23" x14ac:dyDescent="0.25">
      <c r="B69">
        <f t="shared" ca="1" si="13"/>
        <v>119</v>
      </c>
      <c r="C69">
        <f ca="1">_xlfn.IFNA(IF(B69&lt;121,INDEX('Mortality Table'!$A$2:$B$121,MATCH(B69,'Mortality Table'!$A$2:$A$121),2),0),0)</f>
        <v>0.88837081818836094</v>
      </c>
      <c r="H69">
        <f t="shared" si="9"/>
        <v>0</v>
      </c>
      <c r="I69">
        <f t="shared" ca="1" si="14"/>
        <v>0</v>
      </c>
      <c r="J69">
        <f t="shared" ca="1" si="10"/>
        <v>0</v>
      </c>
      <c r="K69">
        <f t="shared" ca="1" si="6"/>
        <v>0</v>
      </c>
      <c r="L69">
        <f t="shared" ca="1" si="11"/>
        <v>0</v>
      </c>
      <c r="M69" s="7">
        <f t="shared" ca="1" si="12"/>
        <v>0</v>
      </c>
      <c r="N69" s="7">
        <f ca="1">NPV($C$6,L70:$L$94)</f>
        <v>0</v>
      </c>
      <c r="O69">
        <f t="shared" ca="1" si="7"/>
        <v>0</v>
      </c>
      <c r="P69" s="7">
        <f t="shared" ca="1" si="1"/>
        <v>0</v>
      </c>
      <c r="Q69">
        <f t="shared" ca="1" si="15"/>
        <v>0</v>
      </c>
      <c r="R69">
        <f t="shared" ca="1" si="16"/>
        <v>0</v>
      </c>
      <c r="T69">
        <f t="shared" ca="1" si="17"/>
        <v>125</v>
      </c>
      <c r="U69">
        <f t="shared" ca="1" si="18"/>
        <v>-999283.42264241795</v>
      </c>
      <c r="W69">
        <f t="shared" ca="1" si="8"/>
        <v>0</v>
      </c>
    </row>
    <row r="70" spans="2:23" x14ac:dyDescent="0.25">
      <c r="B70">
        <f t="shared" ca="1" si="13"/>
        <v>120</v>
      </c>
      <c r="C70">
        <f ca="1">_xlfn.IFNA(IF(B70&lt;121,INDEX('Mortality Table'!$A$2:$B$121,MATCH(B70,'Mortality Table'!$A$2:$A$121),2),0),0)</f>
        <v>1</v>
      </c>
      <c r="H70">
        <f t="shared" si="9"/>
        <v>0</v>
      </c>
      <c r="I70">
        <f t="shared" ca="1" si="14"/>
        <v>0</v>
      </c>
      <c r="J70">
        <f t="shared" ca="1" si="10"/>
        <v>0</v>
      </c>
      <c r="K70">
        <f t="shared" ca="1" si="6"/>
        <v>0</v>
      </c>
      <c r="L70">
        <f t="shared" ca="1" si="11"/>
        <v>0</v>
      </c>
      <c r="M70" s="7">
        <f t="shared" ca="1" si="12"/>
        <v>0</v>
      </c>
      <c r="N70" s="7">
        <f ca="1">NPV($C$6,L71:$L$94)</f>
        <v>0</v>
      </c>
      <c r="O70">
        <f t="shared" ca="1" si="7"/>
        <v>0</v>
      </c>
      <c r="P70" s="7">
        <f t="shared" ca="1" si="1"/>
        <v>0</v>
      </c>
      <c r="Q70">
        <f t="shared" ca="1" si="15"/>
        <v>0</v>
      </c>
      <c r="R70">
        <f t="shared" ca="1" si="16"/>
        <v>0</v>
      </c>
      <c r="T70">
        <f t="shared" ca="1" si="17"/>
        <v>126</v>
      </c>
      <c r="U70">
        <f t="shared" ca="1" si="18"/>
        <v>-999283.42264241795</v>
      </c>
      <c r="W70">
        <f t="shared" ca="1" si="8"/>
        <v>0</v>
      </c>
    </row>
    <row r="71" spans="2:23" x14ac:dyDescent="0.25">
      <c r="B71">
        <f t="shared" ca="1" si="13"/>
        <v>121</v>
      </c>
      <c r="C71">
        <f ca="1">_xlfn.IFNA(IF(B71&lt;121,INDEX('Mortality Table'!$A$2:$B$121,MATCH(B71,'Mortality Table'!$A$2:$A$121),2),0),0)</f>
        <v>0</v>
      </c>
      <c r="H71">
        <f t="shared" si="9"/>
        <v>0</v>
      </c>
      <c r="I71">
        <f t="shared" ca="1" si="14"/>
        <v>0</v>
      </c>
      <c r="J71">
        <f t="shared" ca="1" si="10"/>
        <v>0</v>
      </c>
      <c r="K71">
        <f t="shared" ca="1" si="6"/>
        <v>0</v>
      </c>
      <c r="L71">
        <f t="shared" ca="1" si="11"/>
        <v>0</v>
      </c>
      <c r="M71" s="7">
        <f t="shared" ca="1" si="12"/>
        <v>0</v>
      </c>
      <c r="N71" s="7">
        <f ca="1">NPV($C$6,L72:$L$94)</f>
        <v>0</v>
      </c>
      <c r="O71">
        <f t="shared" ca="1" si="7"/>
        <v>0</v>
      </c>
      <c r="P71" s="7">
        <f t="shared" ca="1" si="1"/>
        <v>0</v>
      </c>
      <c r="Q71">
        <f t="shared" ca="1" si="15"/>
        <v>0</v>
      </c>
      <c r="R71">
        <f t="shared" ca="1" si="16"/>
        <v>0</v>
      </c>
      <c r="T71">
        <f t="shared" ca="1" si="17"/>
        <v>127</v>
      </c>
      <c r="U71">
        <f t="shared" ca="1" si="18"/>
        <v>-999283.42264241795</v>
      </c>
      <c r="W71">
        <f t="shared" ca="1" si="8"/>
        <v>0</v>
      </c>
    </row>
    <row r="72" spans="2:23" x14ac:dyDescent="0.25">
      <c r="B72">
        <f t="shared" ca="1" si="13"/>
        <v>122</v>
      </c>
      <c r="C72">
        <f ca="1">_xlfn.IFNA(IF(B72&lt;121,INDEX('Mortality Table'!$A$2:$B$121,MATCH(B72,'Mortality Table'!$A$2:$A$121),2),0),0)</f>
        <v>0</v>
      </c>
      <c r="H72">
        <f t="shared" si="9"/>
        <v>0</v>
      </c>
      <c r="I72">
        <f t="shared" ca="1" si="14"/>
        <v>0</v>
      </c>
      <c r="J72">
        <f t="shared" ca="1" si="10"/>
        <v>0</v>
      </c>
      <c r="K72">
        <f t="shared" ca="1" si="6"/>
        <v>0</v>
      </c>
      <c r="L72">
        <f t="shared" ca="1" si="11"/>
        <v>0</v>
      </c>
      <c r="M72" s="7">
        <f t="shared" ca="1" si="12"/>
        <v>0</v>
      </c>
      <c r="N72" s="7">
        <f ca="1">NPV($C$6,L73:$L$94)</f>
        <v>0</v>
      </c>
      <c r="O72">
        <f t="shared" ca="1" si="7"/>
        <v>0</v>
      </c>
      <c r="P72" s="7">
        <f t="shared" ca="1" si="1"/>
        <v>0</v>
      </c>
      <c r="Q72">
        <f t="shared" ca="1" si="15"/>
        <v>0</v>
      </c>
      <c r="R72">
        <f t="shared" ca="1" si="16"/>
        <v>0</v>
      </c>
      <c r="T72">
        <f t="shared" ca="1" si="17"/>
        <v>128</v>
      </c>
      <c r="U72">
        <f t="shared" ca="1" si="18"/>
        <v>-999283.42264241795</v>
      </c>
      <c r="W72">
        <f t="shared" ca="1" si="8"/>
        <v>0</v>
      </c>
    </row>
    <row r="73" spans="2:23" x14ac:dyDescent="0.25">
      <c r="B73">
        <f t="shared" ca="1" si="13"/>
        <v>123</v>
      </c>
      <c r="C73">
        <f ca="1">_xlfn.IFNA(IF(B73&lt;121,INDEX('Mortality Table'!$A$2:$B$121,MATCH(B73,'Mortality Table'!$A$2:$A$121),2),0),0)</f>
        <v>0</v>
      </c>
      <c r="H73">
        <f t="shared" si="9"/>
        <v>0</v>
      </c>
      <c r="I73">
        <f t="shared" ref="I73:I94" ca="1" si="19">-C79*$G$5</f>
        <v>0</v>
      </c>
      <c r="J73">
        <f t="shared" ca="1" si="10"/>
        <v>0</v>
      </c>
      <c r="K73">
        <f t="shared" ca="1" si="6"/>
        <v>0</v>
      </c>
      <c r="L73">
        <f t="shared" ca="1" si="11"/>
        <v>0</v>
      </c>
      <c r="M73" s="7">
        <f t="shared" ca="1" si="12"/>
        <v>0</v>
      </c>
      <c r="N73" s="7">
        <f ca="1">NPV($C$6,L74:$L$94)</f>
        <v>0</v>
      </c>
      <c r="O73">
        <f t="shared" ca="1" si="7"/>
        <v>0</v>
      </c>
      <c r="P73" s="7">
        <f t="shared" ref="P73:P94" ca="1" si="20">N73-M73</f>
        <v>0</v>
      </c>
      <c r="Q73">
        <f t="shared" ref="Q73:Q94" ca="1" si="21">IF(M73=0,0,$C$7*SUM($G$9:$H$9,-M73)*J73)</f>
        <v>0</v>
      </c>
      <c r="R73">
        <f t="shared" ref="R73:R94" ca="1" si="22">SUM(O73:Q73)*(1-$C$8)</f>
        <v>0</v>
      </c>
      <c r="T73">
        <f t="shared" ref="T73:T94" ca="1" si="23">B79</f>
        <v>129</v>
      </c>
      <c r="U73">
        <f t="shared" ref="U73:U94" ca="1" si="24">R73+U72</f>
        <v>-999283.42264241795</v>
      </c>
      <c r="W73">
        <f t="shared" ca="1" si="8"/>
        <v>0</v>
      </c>
    </row>
    <row r="74" spans="2:23" x14ac:dyDescent="0.25">
      <c r="B74">
        <f t="shared" ca="1" si="13"/>
        <v>124</v>
      </c>
      <c r="C74">
        <f ca="1">_xlfn.IFNA(IF(B74&lt;121,INDEX('Mortality Table'!$A$2:$B$121,MATCH(B74,'Mortality Table'!$A$2:$A$121),2),0),0)</f>
        <v>0</v>
      </c>
      <c r="H74">
        <f t="shared" si="9"/>
        <v>0</v>
      </c>
      <c r="I74">
        <f t="shared" ca="1" si="19"/>
        <v>0</v>
      </c>
      <c r="J74">
        <f t="shared" ca="1" si="10"/>
        <v>0</v>
      </c>
      <c r="K74">
        <f t="shared" ref="K74:K94" ca="1" si="25">IF(J74*(1-C80)&lt;0, 0, J74*(1-C80))</f>
        <v>0</v>
      </c>
      <c r="L74">
        <f t="shared" ca="1" si="11"/>
        <v>0</v>
      </c>
      <c r="M74" s="7">
        <f t="shared" ca="1" si="12"/>
        <v>0</v>
      </c>
      <c r="N74" s="7">
        <f ca="1">NPV($C$6,L75:$L$94)</f>
        <v>0</v>
      </c>
      <c r="O74">
        <f t="shared" ref="O74:O94" ca="1" si="26">SUM(G74:I74)*J74</f>
        <v>0</v>
      </c>
      <c r="P74" s="7">
        <f t="shared" ca="1" si="20"/>
        <v>0</v>
      </c>
      <c r="Q74">
        <f t="shared" ca="1" si="21"/>
        <v>0</v>
      </c>
      <c r="R74">
        <f t="shared" ca="1" si="22"/>
        <v>0</v>
      </c>
      <c r="T74">
        <f t="shared" ca="1" si="23"/>
        <v>130</v>
      </c>
      <c r="U74">
        <f t="shared" ca="1" si="24"/>
        <v>-999283.42264241795</v>
      </c>
      <c r="W74">
        <f t="shared" ref="W74:W94" ca="1" si="27">H74*J74</f>
        <v>0</v>
      </c>
    </row>
    <row r="75" spans="2:23" x14ac:dyDescent="0.25">
      <c r="B75">
        <f t="shared" ca="1" si="13"/>
        <v>125</v>
      </c>
      <c r="C75">
        <f ca="1">_xlfn.IFNA(IF(B75&lt;121,INDEX('Mortality Table'!$A$2:$B$121,MATCH(B75,'Mortality Table'!$A$2:$A$121),2),0),0)</f>
        <v>0</v>
      </c>
      <c r="H75">
        <f t="shared" ref="H75:H94" si="28">-IF($C$9=0,IF(F75=1,$C$5*G75,0),IF($C$11=0,IF(F75=1,$C$104+G75*$C$5,MOD(F75,2)*$C$105+(MOD(F75,2)+1)*$C$106),IF(F75=1,$C$110+G75*$C$5,MOD(F75,2)*$C$111)))</f>
        <v>0</v>
      </c>
      <c r="I75">
        <f t="shared" ca="1" si="19"/>
        <v>0</v>
      </c>
      <c r="J75">
        <f t="shared" ref="J75:J94" ca="1" si="29">K74</f>
        <v>0</v>
      </c>
      <c r="K75">
        <f t="shared" ca="1" si="25"/>
        <v>0</v>
      </c>
      <c r="L75">
        <f t="shared" ref="L75:L94" ca="1" si="30">J75*I75</f>
        <v>0</v>
      </c>
      <c r="M75" s="7">
        <f t="shared" ref="M75:M94" ca="1" si="31">N74</f>
        <v>0</v>
      </c>
      <c r="N75" s="7">
        <f ca="1">NPV($C$6,L76:$L$94)</f>
        <v>0</v>
      </c>
      <c r="O75">
        <f t="shared" ca="1" si="26"/>
        <v>0</v>
      </c>
      <c r="P75" s="7">
        <f t="shared" ca="1" si="20"/>
        <v>0</v>
      </c>
      <c r="Q75">
        <f t="shared" ca="1" si="21"/>
        <v>0</v>
      </c>
      <c r="R75">
        <f t="shared" ca="1" si="22"/>
        <v>0</v>
      </c>
      <c r="T75">
        <f t="shared" ca="1" si="23"/>
        <v>131</v>
      </c>
      <c r="U75">
        <f t="shared" ca="1" si="24"/>
        <v>-999283.42264241795</v>
      </c>
      <c r="W75">
        <f t="shared" ca="1" si="27"/>
        <v>0</v>
      </c>
    </row>
    <row r="76" spans="2:23" x14ac:dyDescent="0.25">
      <c r="B76">
        <f t="shared" ca="1" si="13"/>
        <v>126</v>
      </c>
      <c r="C76">
        <f ca="1">_xlfn.IFNA(IF(B76&lt;121,INDEX('Mortality Table'!$A$2:$B$121,MATCH(B76,'Mortality Table'!$A$2:$A$121),2),0),0)</f>
        <v>0</v>
      </c>
      <c r="H76">
        <f t="shared" si="28"/>
        <v>0</v>
      </c>
      <c r="I76">
        <f t="shared" ca="1" si="19"/>
        <v>0</v>
      </c>
      <c r="J76">
        <f t="shared" ca="1" si="29"/>
        <v>0</v>
      </c>
      <c r="K76">
        <f t="shared" ca="1" si="25"/>
        <v>0</v>
      </c>
      <c r="L76">
        <f t="shared" ca="1" si="30"/>
        <v>0</v>
      </c>
      <c r="M76" s="7">
        <f t="shared" ca="1" si="31"/>
        <v>0</v>
      </c>
      <c r="N76" s="7">
        <f ca="1">NPV($C$6,L77:$L$94)</f>
        <v>0</v>
      </c>
      <c r="O76">
        <f t="shared" ca="1" si="26"/>
        <v>0</v>
      </c>
      <c r="P76" s="7">
        <f t="shared" ca="1" si="20"/>
        <v>0</v>
      </c>
      <c r="Q76">
        <f t="shared" ca="1" si="21"/>
        <v>0</v>
      </c>
      <c r="R76">
        <f t="shared" ca="1" si="22"/>
        <v>0</v>
      </c>
      <c r="T76">
        <f t="shared" ca="1" si="23"/>
        <v>132</v>
      </c>
      <c r="U76">
        <f t="shared" ca="1" si="24"/>
        <v>-999283.42264241795</v>
      </c>
      <c r="W76">
        <f t="shared" ca="1" si="27"/>
        <v>0</v>
      </c>
    </row>
    <row r="77" spans="2:23" x14ac:dyDescent="0.25">
      <c r="B77">
        <f t="shared" ca="1" si="13"/>
        <v>127</v>
      </c>
      <c r="C77">
        <f ca="1">_xlfn.IFNA(IF(B77&lt;121,INDEX('Mortality Table'!$A$2:$B$121,MATCH(B77,'Mortality Table'!$A$2:$A$121),2),0),0)</f>
        <v>0</v>
      </c>
      <c r="H77">
        <f t="shared" si="28"/>
        <v>0</v>
      </c>
      <c r="I77">
        <f t="shared" ca="1" si="19"/>
        <v>0</v>
      </c>
      <c r="J77">
        <f t="shared" ca="1" si="29"/>
        <v>0</v>
      </c>
      <c r="K77">
        <f t="shared" ca="1" si="25"/>
        <v>0</v>
      </c>
      <c r="L77">
        <f t="shared" ca="1" si="30"/>
        <v>0</v>
      </c>
      <c r="M77" s="7">
        <f t="shared" ca="1" si="31"/>
        <v>0</v>
      </c>
      <c r="N77" s="7">
        <f ca="1">NPV($C$6,L78:$L$94)</f>
        <v>0</v>
      </c>
      <c r="O77">
        <f t="shared" ca="1" si="26"/>
        <v>0</v>
      </c>
      <c r="P77" s="7">
        <f t="shared" ca="1" si="20"/>
        <v>0</v>
      </c>
      <c r="Q77">
        <f t="shared" ca="1" si="21"/>
        <v>0</v>
      </c>
      <c r="R77">
        <f t="shared" ca="1" si="22"/>
        <v>0</v>
      </c>
      <c r="T77">
        <f t="shared" ca="1" si="23"/>
        <v>133</v>
      </c>
      <c r="U77">
        <f t="shared" ca="1" si="24"/>
        <v>-999283.42264241795</v>
      </c>
      <c r="W77">
        <f t="shared" ca="1" si="27"/>
        <v>0</v>
      </c>
    </row>
    <row r="78" spans="2:23" x14ac:dyDescent="0.25">
      <c r="B78">
        <f t="shared" ca="1" si="13"/>
        <v>128</v>
      </c>
      <c r="C78">
        <f ca="1">_xlfn.IFNA(IF(B78&lt;121,INDEX('Mortality Table'!$A$2:$B$121,MATCH(B78,'Mortality Table'!$A$2:$A$121),2),0),0)</f>
        <v>0</v>
      </c>
      <c r="H78">
        <f t="shared" si="28"/>
        <v>0</v>
      </c>
      <c r="I78">
        <f t="shared" ca="1" si="19"/>
        <v>0</v>
      </c>
      <c r="J78">
        <f t="shared" ca="1" si="29"/>
        <v>0</v>
      </c>
      <c r="K78">
        <f t="shared" ca="1" si="25"/>
        <v>0</v>
      </c>
      <c r="L78">
        <f t="shared" ca="1" si="30"/>
        <v>0</v>
      </c>
      <c r="M78" s="7">
        <f t="shared" ca="1" si="31"/>
        <v>0</v>
      </c>
      <c r="N78" s="7">
        <f ca="1">NPV($C$6,L79:$L$94)</f>
        <v>0</v>
      </c>
      <c r="O78">
        <f t="shared" ca="1" si="26"/>
        <v>0</v>
      </c>
      <c r="P78" s="7">
        <f t="shared" ca="1" si="20"/>
        <v>0</v>
      </c>
      <c r="Q78">
        <f t="shared" ca="1" si="21"/>
        <v>0</v>
      </c>
      <c r="R78">
        <f t="shared" ca="1" si="22"/>
        <v>0</v>
      </c>
      <c r="T78">
        <f t="shared" ca="1" si="23"/>
        <v>134</v>
      </c>
      <c r="U78">
        <f t="shared" ca="1" si="24"/>
        <v>-999283.42264241795</v>
      </c>
      <c r="W78">
        <f t="shared" ca="1" si="27"/>
        <v>0</v>
      </c>
    </row>
    <row r="79" spans="2:23" x14ac:dyDescent="0.25">
      <c r="B79">
        <f t="shared" ca="1" si="13"/>
        <v>129</v>
      </c>
      <c r="C79">
        <f ca="1">_xlfn.IFNA(IF(B79&lt;121,INDEX('Mortality Table'!$A$2:$B$121,MATCH(B79,'Mortality Table'!$A$2:$A$121),2),0),0)</f>
        <v>0</v>
      </c>
      <c r="H79">
        <f t="shared" si="28"/>
        <v>0</v>
      </c>
      <c r="I79">
        <f t="shared" ca="1" si="19"/>
        <v>0</v>
      </c>
      <c r="J79">
        <f t="shared" ca="1" si="29"/>
        <v>0</v>
      </c>
      <c r="K79">
        <f t="shared" ca="1" si="25"/>
        <v>0</v>
      </c>
      <c r="L79">
        <f t="shared" ca="1" si="30"/>
        <v>0</v>
      </c>
      <c r="M79" s="7">
        <f t="shared" ca="1" si="31"/>
        <v>0</v>
      </c>
      <c r="N79" s="7">
        <f ca="1">NPV($C$6,L80:$L$94)</f>
        <v>0</v>
      </c>
      <c r="O79">
        <f t="shared" ca="1" si="26"/>
        <v>0</v>
      </c>
      <c r="P79" s="7">
        <f t="shared" ca="1" si="20"/>
        <v>0</v>
      </c>
      <c r="Q79">
        <f t="shared" ca="1" si="21"/>
        <v>0</v>
      </c>
      <c r="R79">
        <f t="shared" ca="1" si="22"/>
        <v>0</v>
      </c>
      <c r="T79">
        <f t="shared" ca="1" si="23"/>
        <v>135</v>
      </c>
      <c r="U79">
        <f t="shared" ca="1" si="24"/>
        <v>-999283.42264241795</v>
      </c>
      <c r="W79">
        <f t="shared" ca="1" si="27"/>
        <v>0</v>
      </c>
    </row>
    <row r="80" spans="2:23" x14ac:dyDescent="0.25">
      <c r="B80">
        <f t="shared" ca="1" si="13"/>
        <v>130</v>
      </c>
      <c r="C80">
        <f ca="1">_xlfn.IFNA(IF(B80&lt;121,INDEX('Mortality Table'!$A$2:$B$121,MATCH(B80,'Mortality Table'!$A$2:$A$121),2),0),0)</f>
        <v>0</v>
      </c>
      <c r="H80">
        <f t="shared" si="28"/>
        <v>0</v>
      </c>
      <c r="I80">
        <f t="shared" ca="1" si="19"/>
        <v>0</v>
      </c>
      <c r="J80">
        <f t="shared" ca="1" si="29"/>
        <v>0</v>
      </c>
      <c r="K80">
        <f t="shared" ca="1" si="25"/>
        <v>0</v>
      </c>
      <c r="L80">
        <f t="shared" ca="1" si="30"/>
        <v>0</v>
      </c>
      <c r="M80" s="7">
        <f t="shared" ca="1" si="31"/>
        <v>0</v>
      </c>
      <c r="N80" s="7">
        <f ca="1">NPV($C$6,L81:$L$94)</f>
        <v>0</v>
      </c>
      <c r="O80">
        <f t="shared" ca="1" si="26"/>
        <v>0</v>
      </c>
      <c r="P80" s="7">
        <f t="shared" ca="1" si="20"/>
        <v>0</v>
      </c>
      <c r="Q80">
        <f t="shared" ca="1" si="21"/>
        <v>0</v>
      </c>
      <c r="R80">
        <f t="shared" ca="1" si="22"/>
        <v>0</v>
      </c>
      <c r="T80">
        <f t="shared" ca="1" si="23"/>
        <v>136</v>
      </c>
      <c r="U80">
        <f t="shared" ca="1" si="24"/>
        <v>-999283.42264241795</v>
      </c>
      <c r="W80">
        <f t="shared" ca="1" si="27"/>
        <v>0</v>
      </c>
    </row>
    <row r="81" spans="2:23" x14ac:dyDescent="0.25">
      <c r="B81">
        <f t="shared" ref="B81:B100" ca="1" si="32">B80+1</f>
        <v>131</v>
      </c>
      <c r="C81">
        <f ca="1">_xlfn.IFNA(IF(B81&lt;121,INDEX('Mortality Table'!$A$2:$B$121,MATCH(B81,'Mortality Table'!$A$2:$A$121),2),0),0)</f>
        <v>0</v>
      </c>
      <c r="H81">
        <f t="shared" si="28"/>
        <v>0</v>
      </c>
      <c r="I81">
        <f t="shared" ca="1" si="19"/>
        <v>0</v>
      </c>
      <c r="J81">
        <f t="shared" ca="1" si="29"/>
        <v>0</v>
      </c>
      <c r="K81">
        <f t="shared" ca="1" si="25"/>
        <v>0</v>
      </c>
      <c r="L81">
        <f t="shared" ca="1" si="30"/>
        <v>0</v>
      </c>
      <c r="M81" s="7">
        <f t="shared" ca="1" si="31"/>
        <v>0</v>
      </c>
      <c r="N81" s="7">
        <f ca="1">NPV($C$6,L82:$L$94)</f>
        <v>0</v>
      </c>
      <c r="O81">
        <f t="shared" ca="1" si="26"/>
        <v>0</v>
      </c>
      <c r="P81" s="7">
        <f t="shared" ca="1" si="20"/>
        <v>0</v>
      </c>
      <c r="Q81">
        <f t="shared" ca="1" si="21"/>
        <v>0</v>
      </c>
      <c r="R81">
        <f t="shared" ca="1" si="22"/>
        <v>0</v>
      </c>
      <c r="T81">
        <f t="shared" ca="1" si="23"/>
        <v>137</v>
      </c>
      <c r="U81">
        <f t="shared" ca="1" si="24"/>
        <v>-999283.42264241795</v>
      </c>
      <c r="W81">
        <f t="shared" ca="1" si="27"/>
        <v>0</v>
      </c>
    </row>
    <row r="82" spans="2:23" x14ac:dyDescent="0.25">
      <c r="B82">
        <f t="shared" ca="1" si="32"/>
        <v>132</v>
      </c>
      <c r="C82">
        <f ca="1">_xlfn.IFNA(IF(B82&lt;121,INDEX('Mortality Table'!$A$2:$B$121,MATCH(B82,'Mortality Table'!$A$2:$A$121),2),0),0)</f>
        <v>0</v>
      </c>
      <c r="H82">
        <f t="shared" si="28"/>
        <v>0</v>
      </c>
      <c r="I82">
        <f t="shared" ca="1" si="19"/>
        <v>0</v>
      </c>
      <c r="J82">
        <f t="shared" ca="1" si="29"/>
        <v>0</v>
      </c>
      <c r="K82">
        <f t="shared" ca="1" si="25"/>
        <v>0</v>
      </c>
      <c r="L82">
        <f t="shared" ca="1" si="30"/>
        <v>0</v>
      </c>
      <c r="M82" s="7">
        <f t="shared" ca="1" si="31"/>
        <v>0</v>
      </c>
      <c r="N82" s="7">
        <f ca="1">NPV($C$6,L83:$L$94)</f>
        <v>0</v>
      </c>
      <c r="O82">
        <f t="shared" ca="1" si="26"/>
        <v>0</v>
      </c>
      <c r="P82" s="7">
        <f t="shared" ca="1" si="20"/>
        <v>0</v>
      </c>
      <c r="Q82">
        <f t="shared" ca="1" si="21"/>
        <v>0</v>
      </c>
      <c r="R82">
        <f t="shared" ca="1" si="22"/>
        <v>0</v>
      </c>
      <c r="T82">
        <f t="shared" ca="1" si="23"/>
        <v>138</v>
      </c>
      <c r="U82">
        <f t="shared" ca="1" si="24"/>
        <v>-999283.42264241795</v>
      </c>
      <c r="W82">
        <f t="shared" ca="1" si="27"/>
        <v>0</v>
      </c>
    </row>
    <row r="83" spans="2:23" x14ac:dyDescent="0.25">
      <c r="B83">
        <f t="shared" ca="1" si="32"/>
        <v>133</v>
      </c>
      <c r="C83">
        <f ca="1">_xlfn.IFNA(IF(B83&lt;121,INDEX('Mortality Table'!$A$2:$B$121,MATCH(B83,'Mortality Table'!$A$2:$A$121),2),0),0)</f>
        <v>0</v>
      </c>
      <c r="H83">
        <f t="shared" si="28"/>
        <v>0</v>
      </c>
      <c r="I83">
        <f t="shared" ca="1" si="19"/>
        <v>0</v>
      </c>
      <c r="J83">
        <f t="shared" ca="1" si="29"/>
        <v>0</v>
      </c>
      <c r="K83">
        <f t="shared" ca="1" si="25"/>
        <v>0</v>
      </c>
      <c r="L83">
        <f t="shared" ca="1" si="30"/>
        <v>0</v>
      </c>
      <c r="M83" s="7">
        <f t="shared" ca="1" si="31"/>
        <v>0</v>
      </c>
      <c r="N83" s="7">
        <f ca="1">NPV($C$6,L84:$L$94)</f>
        <v>0</v>
      </c>
      <c r="O83">
        <f t="shared" ca="1" si="26"/>
        <v>0</v>
      </c>
      <c r="P83" s="7">
        <f t="shared" ca="1" si="20"/>
        <v>0</v>
      </c>
      <c r="Q83">
        <f t="shared" ca="1" si="21"/>
        <v>0</v>
      </c>
      <c r="R83">
        <f t="shared" ca="1" si="22"/>
        <v>0</v>
      </c>
      <c r="T83">
        <f t="shared" ca="1" si="23"/>
        <v>139</v>
      </c>
      <c r="U83">
        <f t="shared" ca="1" si="24"/>
        <v>-999283.42264241795</v>
      </c>
      <c r="W83">
        <f t="shared" ca="1" si="27"/>
        <v>0</v>
      </c>
    </row>
    <row r="84" spans="2:23" x14ac:dyDescent="0.25">
      <c r="B84">
        <f t="shared" ca="1" si="32"/>
        <v>134</v>
      </c>
      <c r="C84">
        <f ca="1">_xlfn.IFNA(IF(B84&lt;121,INDEX('Mortality Table'!$A$2:$B$121,MATCH(B84,'Mortality Table'!$A$2:$A$121),2),0),0)</f>
        <v>0</v>
      </c>
      <c r="H84">
        <f t="shared" si="28"/>
        <v>0</v>
      </c>
      <c r="I84">
        <f t="shared" ca="1" si="19"/>
        <v>0</v>
      </c>
      <c r="J84">
        <f t="shared" ca="1" si="29"/>
        <v>0</v>
      </c>
      <c r="K84">
        <f t="shared" ca="1" si="25"/>
        <v>0</v>
      </c>
      <c r="L84">
        <f t="shared" ca="1" si="30"/>
        <v>0</v>
      </c>
      <c r="M84" s="7">
        <f t="shared" ca="1" si="31"/>
        <v>0</v>
      </c>
      <c r="N84" s="7">
        <f ca="1">NPV($C$6,L85:$L$94)</f>
        <v>0</v>
      </c>
      <c r="O84">
        <f t="shared" ca="1" si="26"/>
        <v>0</v>
      </c>
      <c r="P84" s="7">
        <f t="shared" ca="1" si="20"/>
        <v>0</v>
      </c>
      <c r="Q84">
        <f t="shared" ca="1" si="21"/>
        <v>0</v>
      </c>
      <c r="R84">
        <f t="shared" ca="1" si="22"/>
        <v>0</v>
      </c>
      <c r="T84">
        <f t="shared" ca="1" si="23"/>
        <v>140</v>
      </c>
      <c r="U84">
        <f t="shared" ca="1" si="24"/>
        <v>-999283.42264241795</v>
      </c>
      <c r="W84">
        <f t="shared" ca="1" si="27"/>
        <v>0</v>
      </c>
    </row>
    <row r="85" spans="2:23" x14ac:dyDescent="0.25">
      <c r="B85">
        <f t="shared" ca="1" si="32"/>
        <v>135</v>
      </c>
      <c r="C85">
        <f ca="1">_xlfn.IFNA(IF(B85&lt;121,INDEX('Mortality Table'!$A$2:$B$121,MATCH(B85,'Mortality Table'!$A$2:$A$121),2),0),0)</f>
        <v>0</v>
      </c>
      <c r="H85">
        <f t="shared" si="28"/>
        <v>0</v>
      </c>
      <c r="I85">
        <f t="shared" ca="1" si="19"/>
        <v>0</v>
      </c>
      <c r="J85">
        <f t="shared" ca="1" si="29"/>
        <v>0</v>
      </c>
      <c r="K85">
        <f t="shared" ca="1" si="25"/>
        <v>0</v>
      </c>
      <c r="L85">
        <f t="shared" ca="1" si="30"/>
        <v>0</v>
      </c>
      <c r="M85" s="7">
        <f t="shared" ca="1" si="31"/>
        <v>0</v>
      </c>
      <c r="N85" s="7">
        <f ca="1">NPV($C$6,L86:$L$94)</f>
        <v>0</v>
      </c>
      <c r="O85">
        <f t="shared" ca="1" si="26"/>
        <v>0</v>
      </c>
      <c r="P85" s="7">
        <f t="shared" ca="1" si="20"/>
        <v>0</v>
      </c>
      <c r="Q85">
        <f t="shared" ca="1" si="21"/>
        <v>0</v>
      </c>
      <c r="R85">
        <f t="shared" ca="1" si="22"/>
        <v>0</v>
      </c>
      <c r="T85">
        <f t="shared" ca="1" si="23"/>
        <v>141</v>
      </c>
      <c r="U85">
        <f t="shared" ca="1" si="24"/>
        <v>-999283.42264241795</v>
      </c>
      <c r="W85">
        <f t="shared" ca="1" si="27"/>
        <v>0</v>
      </c>
    </row>
    <row r="86" spans="2:23" x14ac:dyDescent="0.25">
      <c r="B86">
        <f t="shared" ca="1" si="32"/>
        <v>136</v>
      </c>
      <c r="C86">
        <f ca="1">_xlfn.IFNA(IF(B86&lt;121,INDEX('Mortality Table'!$A$2:$B$121,MATCH(B86,'Mortality Table'!$A$2:$A$121),2),0),0)</f>
        <v>0</v>
      </c>
      <c r="H86">
        <f t="shared" si="28"/>
        <v>0</v>
      </c>
      <c r="I86">
        <f t="shared" ca="1" si="19"/>
        <v>0</v>
      </c>
      <c r="J86">
        <f t="shared" ca="1" si="29"/>
        <v>0</v>
      </c>
      <c r="K86">
        <f t="shared" ca="1" si="25"/>
        <v>0</v>
      </c>
      <c r="L86">
        <f t="shared" ca="1" si="30"/>
        <v>0</v>
      </c>
      <c r="M86" s="7">
        <f t="shared" ca="1" si="31"/>
        <v>0</v>
      </c>
      <c r="N86" s="7">
        <f ca="1">NPV($C$6,L87:$L$94)</f>
        <v>0</v>
      </c>
      <c r="O86">
        <f t="shared" ca="1" si="26"/>
        <v>0</v>
      </c>
      <c r="P86" s="7">
        <f t="shared" ca="1" si="20"/>
        <v>0</v>
      </c>
      <c r="Q86">
        <f t="shared" ca="1" si="21"/>
        <v>0</v>
      </c>
      <c r="R86">
        <f t="shared" ca="1" si="22"/>
        <v>0</v>
      </c>
      <c r="T86">
        <f t="shared" ca="1" si="23"/>
        <v>142</v>
      </c>
      <c r="U86">
        <f t="shared" ca="1" si="24"/>
        <v>-999283.42264241795</v>
      </c>
      <c r="W86">
        <f t="shared" ca="1" si="27"/>
        <v>0</v>
      </c>
    </row>
    <row r="87" spans="2:23" x14ac:dyDescent="0.25">
      <c r="B87">
        <f t="shared" ca="1" si="32"/>
        <v>137</v>
      </c>
      <c r="C87">
        <f ca="1">_xlfn.IFNA(IF(B87&lt;121,INDEX('Mortality Table'!$A$2:$B$121,MATCH(B87,'Mortality Table'!$A$2:$A$121),2),0),0)</f>
        <v>0</v>
      </c>
      <c r="H87">
        <f t="shared" si="28"/>
        <v>0</v>
      </c>
      <c r="I87">
        <f t="shared" ca="1" si="19"/>
        <v>0</v>
      </c>
      <c r="J87">
        <f t="shared" ca="1" si="29"/>
        <v>0</v>
      </c>
      <c r="K87">
        <f t="shared" ca="1" si="25"/>
        <v>0</v>
      </c>
      <c r="L87">
        <f t="shared" ca="1" si="30"/>
        <v>0</v>
      </c>
      <c r="M87" s="7">
        <f t="shared" ca="1" si="31"/>
        <v>0</v>
      </c>
      <c r="N87" s="7">
        <f ca="1">NPV($C$6,L88:$L$94)</f>
        <v>0</v>
      </c>
      <c r="O87">
        <f t="shared" ca="1" si="26"/>
        <v>0</v>
      </c>
      <c r="P87" s="7">
        <f t="shared" ca="1" si="20"/>
        <v>0</v>
      </c>
      <c r="Q87">
        <f t="shared" ca="1" si="21"/>
        <v>0</v>
      </c>
      <c r="R87">
        <f t="shared" ca="1" si="22"/>
        <v>0</v>
      </c>
      <c r="T87">
        <f t="shared" ca="1" si="23"/>
        <v>143</v>
      </c>
      <c r="U87">
        <f t="shared" ca="1" si="24"/>
        <v>-999283.42264241795</v>
      </c>
      <c r="W87">
        <f t="shared" ca="1" si="27"/>
        <v>0</v>
      </c>
    </row>
    <row r="88" spans="2:23" x14ac:dyDescent="0.25">
      <c r="B88">
        <f t="shared" ca="1" si="32"/>
        <v>138</v>
      </c>
      <c r="C88">
        <f ca="1">_xlfn.IFNA(IF(B88&lt;121,INDEX('Mortality Table'!$A$2:$B$121,MATCH(B88,'Mortality Table'!$A$2:$A$121),2),0),0)</f>
        <v>0</v>
      </c>
      <c r="H88">
        <f t="shared" si="28"/>
        <v>0</v>
      </c>
      <c r="I88">
        <f t="shared" ca="1" si="19"/>
        <v>0</v>
      </c>
      <c r="J88">
        <f t="shared" ca="1" si="29"/>
        <v>0</v>
      </c>
      <c r="K88">
        <f t="shared" ca="1" si="25"/>
        <v>0</v>
      </c>
      <c r="L88">
        <f t="shared" ca="1" si="30"/>
        <v>0</v>
      </c>
      <c r="M88" s="7">
        <f t="shared" ca="1" si="31"/>
        <v>0</v>
      </c>
      <c r="N88" s="7">
        <f ca="1">NPV($C$6,L89:$L$94)</f>
        <v>0</v>
      </c>
      <c r="O88">
        <f t="shared" ca="1" si="26"/>
        <v>0</v>
      </c>
      <c r="P88" s="7">
        <f t="shared" ca="1" si="20"/>
        <v>0</v>
      </c>
      <c r="Q88">
        <f t="shared" ca="1" si="21"/>
        <v>0</v>
      </c>
      <c r="R88">
        <f t="shared" ca="1" si="22"/>
        <v>0</v>
      </c>
      <c r="T88">
        <f t="shared" ca="1" si="23"/>
        <v>144</v>
      </c>
      <c r="U88">
        <f t="shared" ca="1" si="24"/>
        <v>-999283.42264241795</v>
      </c>
      <c r="W88">
        <f t="shared" ca="1" si="27"/>
        <v>0</v>
      </c>
    </row>
    <row r="89" spans="2:23" x14ac:dyDescent="0.25">
      <c r="B89">
        <f t="shared" ca="1" si="32"/>
        <v>139</v>
      </c>
      <c r="C89">
        <f ca="1">_xlfn.IFNA(IF(B89&lt;121,INDEX('Mortality Table'!$A$2:$B$121,MATCH(B89,'Mortality Table'!$A$2:$A$121),2),0),0)</f>
        <v>0</v>
      </c>
      <c r="H89">
        <f t="shared" si="28"/>
        <v>0</v>
      </c>
      <c r="I89">
        <f t="shared" ca="1" si="19"/>
        <v>0</v>
      </c>
      <c r="J89">
        <f t="shared" ca="1" si="29"/>
        <v>0</v>
      </c>
      <c r="K89">
        <f t="shared" ca="1" si="25"/>
        <v>0</v>
      </c>
      <c r="L89">
        <f t="shared" ca="1" si="30"/>
        <v>0</v>
      </c>
      <c r="M89" s="7">
        <f t="shared" ca="1" si="31"/>
        <v>0</v>
      </c>
      <c r="N89" s="7">
        <f ca="1">NPV($C$6,L90:$L$94)</f>
        <v>0</v>
      </c>
      <c r="O89">
        <f t="shared" ca="1" si="26"/>
        <v>0</v>
      </c>
      <c r="P89" s="7">
        <f t="shared" ca="1" si="20"/>
        <v>0</v>
      </c>
      <c r="Q89">
        <f t="shared" ca="1" si="21"/>
        <v>0</v>
      </c>
      <c r="R89">
        <f t="shared" ca="1" si="22"/>
        <v>0</v>
      </c>
      <c r="T89">
        <f t="shared" ca="1" si="23"/>
        <v>145</v>
      </c>
      <c r="U89">
        <f t="shared" ca="1" si="24"/>
        <v>-999283.42264241795</v>
      </c>
      <c r="W89">
        <f t="shared" ca="1" si="27"/>
        <v>0</v>
      </c>
    </row>
    <row r="90" spans="2:23" x14ac:dyDescent="0.25">
      <c r="B90">
        <f t="shared" ca="1" si="32"/>
        <v>140</v>
      </c>
      <c r="C90">
        <f ca="1">_xlfn.IFNA(IF(B90&lt;121,INDEX('Mortality Table'!$A$2:$B$121,MATCH(B90,'Mortality Table'!$A$2:$A$121),2),0),0)</f>
        <v>0</v>
      </c>
      <c r="H90">
        <f t="shared" si="28"/>
        <v>0</v>
      </c>
      <c r="I90">
        <f t="shared" ca="1" si="19"/>
        <v>0</v>
      </c>
      <c r="J90">
        <f t="shared" ca="1" si="29"/>
        <v>0</v>
      </c>
      <c r="K90">
        <f t="shared" ca="1" si="25"/>
        <v>0</v>
      </c>
      <c r="L90">
        <f t="shared" ca="1" si="30"/>
        <v>0</v>
      </c>
      <c r="M90" s="7">
        <f t="shared" ca="1" si="31"/>
        <v>0</v>
      </c>
      <c r="N90" s="7">
        <f ca="1">NPV($C$6,L91:$L$94)</f>
        <v>0</v>
      </c>
      <c r="O90">
        <f t="shared" ca="1" si="26"/>
        <v>0</v>
      </c>
      <c r="P90" s="7">
        <f t="shared" ca="1" si="20"/>
        <v>0</v>
      </c>
      <c r="Q90">
        <f t="shared" ca="1" si="21"/>
        <v>0</v>
      </c>
      <c r="R90">
        <f t="shared" ca="1" si="22"/>
        <v>0</v>
      </c>
      <c r="T90">
        <f t="shared" ca="1" si="23"/>
        <v>146</v>
      </c>
      <c r="U90">
        <f t="shared" ca="1" si="24"/>
        <v>-999283.42264241795</v>
      </c>
      <c r="W90">
        <f t="shared" ca="1" si="27"/>
        <v>0</v>
      </c>
    </row>
    <row r="91" spans="2:23" x14ac:dyDescent="0.25">
      <c r="B91">
        <f t="shared" ca="1" si="32"/>
        <v>141</v>
      </c>
      <c r="C91">
        <f ca="1">_xlfn.IFNA(IF(B91&lt;121,INDEX('Mortality Table'!$A$2:$B$121,MATCH(B91,'Mortality Table'!$A$2:$A$121),2),0),0)</f>
        <v>0</v>
      </c>
      <c r="H91">
        <f t="shared" si="28"/>
        <v>0</v>
      </c>
      <c r="I91">
        <f t="shared" ca="1" si="19"/>
        <v>0</v>
      </c>
      <c r="J91">
        <f t="shared" ca="1" si="29"/>
        <v>0</v>
      </c>
      <c r="K91">
        <f t="shared" ca="1" si="25"/>
        <v>0</v>
      </c>
      <c r="L91">
        <f t="shared" ca="1" si="30"/>
        <v>0</v>
      </c>
      <c r="M91" s="7">
        <f t="shared" ca="1" si="31"/>
        <v>0</v>
      </c>
      <c r="N91" s="7">
        <f ca="1">NPV($C$6,L92:$L$94)</f>
        <v>0</v>
      </c>
      <c r="O91">
        <f t="shared" ca="1" si="26"/>
        <v>0</v>
      </c>
      <c r="P91" s="7">
        <f t="shared" ca="1" si="20"/>
        <v>0</v>
      </c>
      <c r="Q91">
        <f t="shared" ca="1" si="21"/>
        <v>0</v>
      </c>
      <c r="R91">
        <f t="shared" ca="1" si="22"/>
        <v>0</v>
      </c>
      <c r="T91">
        <f t="shared" ca="1" si="23"/>
        <v>147</v>
      </c>
      <c r="U91">
        <f t="shared" ca="1" si="24"/>
        <v>-999283.42264241795</v>
      </c>
      <c r="W91">
        <f t="shared" ca="1" si="27"/>
        <v>0</v>
      </c>
    </row>
    <row r="92" spans="2:23" x14ac:dyDescent="0.25">
      <c r="B92">
        <f t="shared" ca="1" si="32"/>
        <v>142</v>
      </c>
      <c r="C92">
        <f ca="1">_xlfn.IFNA(IF(B92&lt;121,INDEX('Mortality Table'!$A$2:$B$121,MATCH(B92,'Mortality Table'!$A$2:$A$121),2),0),0)</f>
        <v>0</v>
      </c>
      <c r="H92">
        <f t="shared" si="28"/>
        <v>0</v>
      </c>
      <c r="I92">
        <f t="shared" ca="1" si="19"/>
        <v>0</v>
      </c>
      <c r="J92">
        <f t="shared" ca="1" si="29"/>
        <v>0</v>
      </c>
      <c r="K92">
        <f t="shared" ca="1" si="25"/>
        <v>0</v>
      </c>
      <c r="L92">
        <f t="shared" ca="1" si="30"/>
        <v>0</v>
      </c>
      <c r="M92" s="7">
        <f t="shared" ca="1" si="31"/>
        <v>0</v>
      </c>
      <c r="N92" s="7">
        <f ca="1">NPV($C$6,L93:$L$94)</f>
        <v>0</v>
      </c>
      <c r="O92">
        <f t="shared" ca="1" si="26"/>
        <v>0</v>
      </c>
      <c r="P92" s="7">
        <f t="shared" ca="1" si="20"/>
        <v>0</v>
      </c>
      <c r="Q92">
        <f t="shared" ca="1" si="21"/>
        <v>0</v>
      </c>
      <c r="R92">
        <f t="shared" ca="1" si="22"/>
        <v>0</v>
      </c>
      <c r="T92">
        <f t="shared" ca="1" si="23"/>
        <v>148</v>
      </c>
      <c r="U92">
        <f t="shared" ca="1" si="24"/>
        <v>-999283.42264241795</v>
      </c>
      <c r="W92">
        <f t="shared" ca="1" si="27"/>
        <v>0</v>
      </c>
    </row>
    <row r="93" spans="2:23" x14ac:dyDescent="0.25">
      <c r="B93">
        <f t="shared" ca="1" si="32"/>
        <v>143</v>
      </c>
      <c r="C93">
        <f ca="1">_xlfn.IFNA(IF(B93&lt;121,INDEX('Mortality Table'!$A$2:$B$121,MATCH(B93,'Mortality Table'!$A$2:$A$121),2),0),0)</f>
        <v>0</v>
      </c>
      <c r="H93">
        <f t="shared" si="28"/>
        <v>0</v>
      </c>
      <c r="I93">
        <f t="shared" ca="1" si="19"/>
        <v>0</v>
      </c>
      <c r="J93">
        <f t="shared" ca="1" si="29"/>
        <v>0</v>
      </c>
      <c r="K93">
        <f t="shared" ca="1" si="25"/>
        <v>0</v>
      </c>
      <c r="L93">
        <f t="shared" ca="1" si="30"/>
        <v>0</v>
      </c>
      <c r="M93" s="7">
        <f t="shared" ca="1" si="31"/>
        <v>0</v>
      </c>
      <c r="N93" s="7">
        <f ca="1">NPV($C$6,L94:$L$94)</f>
        <v>0</v>
      </c>
      <c r="O93">
        <f t="shared" ca="1" si="26"/>
        <v>0</v>
      </c>
      <c r="P93" s="7">
        <f t="shared" ca="1" si="20"/>
        <v>0</v>
      </c>
      <c r="Q93">
        <f t="shared" ca="1" si="21"/>
        <v>0</v>
      </c>
      <c r="R93">
        <f t="shared" ca="1" si="22"/>
        <v>0</v>
      </c>
      <c r="T93">
        <f t="shared" ca="1" si="23"/>
        <v>149</v>
      </c>
      <c r="U93">
        <f t="shared" ca="1" si="24"/>
        <v>-999283.42264241795</v>
      </c>
      <c r="W93">
        <f t="shared" ca="1" si="27"/>
        <v>0</v>
      </c>
    </row>
    <row r="94" spans="2:23" x14ac:dyDescent="0.25">
      <c r="B94">
        <f t="shared" ca="1" si="32"/>
        <v>144</v>
      </c>
      <c r="C94">
        <f ca="1">_xlfn.IFNA(IF(B94&lt;121,INDEX('Mortality Table'!$A$2:$B$121,MATCH(B94,'Mortality Table'!$A$2:$A$121),2),0),0)</f>
        <v>0</v>
      </c>
      <c r="H94">
        <f t="shared" si="28"/>
        <v>0</v>
      </c>
      <c r="I94">
        <f t="shared" ca="1" si="19"/>
        <v>0</v>
      </c>
      <c r="J94">
        <f t="shared" ca="1" si="29"/>
        <v>0</v>
      </c>
      <c r="K94">
        <f t="shared" ca="1" si="25"/>
        <v>0</v>
      </c>
      <c r="L94">
        <f t="shared" ca="1" si="30"/>
        <v>0</v>
      </c>
      <c r="M94" s="7">
        <f t="shared" ca="1" si="31"/>
        <v>0</v>
      </c>
      <c r="N94" s="7">
        <f ca="1">NPV($C$6,L$94:$L95)</f>
        <v>0</v>
      </c>
      <c r="O94">
        <f t="shared" ca="1" si="26"/>
        <v>0</v>
      </c>
      <c r="P94" s="7">
        <f t="shared" ca="1" si="20"/>
        <v>0</v>
      </c>
      <c r="Q94">
        <f t="shared" ca="1" si="21"/>
        <v>0</v>
      </c>
      <c r="R94">
        <f t="shared" ca="1" si="22"/>
        <v>0</v>
      </c>
      <c r="T94">
        <f t="shared" ca="1" si="23"/>
        <v>150</v>
      </c>
      <c r="U94">
        <f t="shared" ca="1" si="24"/>
        <v>-999283.42264241795</v>
      </c>
      <c r="W94">
        <f t="shared" ca="1" si="27"/>
        <v>0</v>
      </c>
    </row>
    <row r="95" spans="2:23" x14ac:dyDescent="0.25">
      <c r="B95">
        <f t="shared" ca="1" si="32"/>
        <v>145</v>
      </c>
      <c r="C95">
        <f ca="1">_xlfn.IFNA(IF(B95&lt;121,INDEX('Mortality Table'!$A$2:$B$121,MATCH(B95,'Mortality Table'!$A$2:$A$121),2),0),0)</f>
        <v>0</v>
      </c>
    </row>
    <row r="96" spans="2:23" x14ac:dyDescent="0.25">
      <c r="B96">
        <f t="shared" ca="1" si="32"/>
        <v>146</v>
      </c>
      <c r="C96">
        <f ca="1">_xlfn.IFNA(IF(B96&lt;121,INDEX('Mortality Table'!$A$2:$B$121,MATCH(B96,'Mortality Table'!$A$2:$A$121),2),0),0)</f>
        <v>0</v>
      </c>
    </row>
    <row r="97" spans="2:23" x14ac:dyDescent="0.25">
      <c r="B97">
        <f t="shared" ca="1" si="32"/>
        <v>147</v>
      </c>
      <c r="C97">
        <f ca="1">_xlfn.IFNA(IF(B97&lt;121,INDEX('Mortality Table'!$A$2:$B$121,MATCH(B97,'Mortality Table'!$A$2:$A$121),2),0),0)</f>
        <v>0</v>
      </c>
      <c r="F97" t="s">
        <v>33</v>
      </c>
      <c r="G97">
        <f>SUM(G9:G94)</f>
        <v>125344.3386547446</v>
      </c>
      <c r="H97">
        <f ca="1">SUM(H9:H94)</f>
        <v>-22967.42</v>
      </c>
      <c r="I97">
        <f ca="1">SUM(I9:I94)</f>
        <v>-34627903.199394666</v>
      </c>
      <c r="L97">
        <f ca="1">SUM(L9:L94)</f>
        <v>-2000000.0000000002</v>
      </c>
      <c r="M97">
        <f ca="1">SUM(M9:M94)</f>
        <v>-27516861.719954446</v>
      </c>
      <c r="N97" s="7">
        <f ca="1">SUM(N9:N94)</f>
        <v>-26342367.571553078</v>
      </c>
      <c r="O97">
        <f ca="1">SUM(O9:O94)</f>
        <v>-1884129.4652788118</v>
      </c>
      <c r="P97" s="7">
        <f ca="1">SUM(P8:P94)</f>
        <v>-2.1569829527102319E-15</v>
      </c>
      <c r="Q97">
        <f ca="1">SUM(Q9:Q94)</f>
        <v>889800.58758073428</v>
      </c>
      <c r="R97">
        <f ca="1">SUM(R8:R94)</f>
        <v>-999283.42264241795</v>
      </c>
    </row>
    <row r="98" spans="2:23" x14ac:dyDescent="0.25">
      <c r="B98">
        <f t="shared" ca="1" si="32"/>
        <v>148</v>
      </c>
      <c r="C98">
        <f ca="1">_xlfn.IFNA(IF(B98&lt;121,INDEX('Mortality Table'!$A$2:$B$121,MATCH(B98,'Mortality Table'!$A$2:$A$121),2),0),0)</f>
        <v>0</v>
      </c>
      <c r="F98" t="s">
        <v>42</v>
      </c>
      <c r="G98" s="10">
        <f>G9</f>
        <v>125344.3386547446</v>
      </c>
      <c r="H98" s="4">
        <f ca="1">NPV($C$6,H9:H94)</f>
        <v>-12306.629368709007</v>
      </c>
      <c r="L98" s="4">
        <f ca="1">NPV($C$6,L9:$L$94)</f>
        <v>-1174494.1484013668</v>
      </c>
      <c r="R98" s="7">
        <f ca="1">R8+NPV($C$6,R9:R94)</f>
        <v>-978179.17517321103</v>
      </c>
      <c r="W98" s="4">
        <f ca="1">NPV($C$6,W9:W94)</f>
        <v>-7455.859014914111</v>
      </c>
    </row>
    <row r="99" spans="2:23" x14ac:dyDescent="0.25">
      <c r="B99">
        <f t="shared" ca="1" si="32"/>
        <v>149</v>
      </c>
      <c r="C99">
        <f ca="1">_xlfn.IFNA(IF(B99&lt;121,INDEX('Mortality Table'!$A$2:$B$121,MATCH(B99,'Mortality Table'!$A$2:$A$121),2),0),0)</f>
        <v>0</v>
      </c>
    </row>
    <row r="100" spans="2:23" x14ac:dyDescent="0.25">
      <c r="B100">
        <f t="shared" ca="1" si="32"/>
        <v>150</v>
      </c>
      <c r="C100">
        <f ca="1">_xlfn.IFNA(IF(B100&lt;121,INDEX('Mortality Table'!$A$2:$B$121,MATCH(B100,'Mortality Table'!$A$2:$A$121),2),0),0)</f>
        <v>0</v>
      </c>
      <c r="F100" t="s">
        <v>35</v>
      </c>
      <c r="G100" s="9">
        <f ca="1">R98/G98</f>
        <v>-7.8039358272698856</v>
      </c>
      <c r="K100" t="s">
        <v>90</v>
      </c>
      <c r="L100" s="4">
        <f ca="1">W98</f>
        <v>-7455.859014914111</v>
      </c>
      <c r="Q100" t="s">
        <v>48</v>
      </c>
      <c r="R100" s="6" t="e">
        <f ca="1">IRR(R8:R94)</f>
        <v>#NUM!</v>
      </c>
    </row>
    <row r="102" spans="2:23" x14ac:dyDescent="0.25">
      <c r="B102" s="81" t="s">
        <v>53</v>
      </c>
      <c r="C102" s="81"/>
    </row>
    <row r="103" spans="2:23" x14ac:dyDescent="0.25">
      <c r="B103" t="s">
        <v>16</v>
      </c>
      <c r="C103" t="s">
        <v>83</v>
      </c>
    </row>
    <row r="104" spans="2:23" x14ac:dyDescent="0.25">
      <c r="B104" s="29">
        <v>1</v>
      </c>
      <c r="C104" s="45">
        <f>'Total Mortality Savings'!G6</f>
        <v>667.42</v>
      </c>
      <c r="L104" s="7"/>
    </row>
    <row r="105" spans="2:23" x14ac:dyDescent="0.25">
      <c r="B105" s="29" t="s">
        <v>54</v>
      </c>
      <c r="C105" s="45">
        <f>'Total Mortality Savings'!G7</f>
        <v>575</v>
      </c>
    </row>
    <row r="106" spans="2:23" x14ac:dyDescent="0.25">
      <c r="B106" s="29" t="s">
        <v>55</v>
      </c>
      <c r="C106" s="45">
        <f>'Total Mortality Savings'!G8</f>
        <v>52.5</v>
      </c>
    </row>
    <row r="108" spans="2:23" x14ac:dyDescent="0.25">
      <c r="B108" s="81" t="s">
        <v>56</v>
      </c>
      <c r="C108" s="81"/>
    </row>
    <row r="109" spans="2:23" x14ac:dyDescent="0.25">
      <c r="B109" s="29" t="s">
        <v>16</v>
      </c>
      <c r="C109" t="s">
        <v>83</v>
      </c>
    </row>
    <row r="110" spans="2:23" x14ac:dyDescent="0.25">
      <c r="B110" s="29">
        <v>1</v>
      </c>
      <c r="C110" s="45">
        <f>'Total Mortality Savings'!J6</f>
        <v>2987.42</v>
      </c>
    </row>
    <row r="111" spans="2:23" x14ac:dyDescent="0.25">
      <c r="B111" s="29" t="s">
        <v>54</v>
      </c>
      <c r="C111" s="45">
        <f>'Total Mortality Savings'!J7</f>
        <v>740</v>
      </c>
    </row>
    <row r="112" spans="2:23" x14ac:dyDescent="0.25">
      <c r="B112" s="29"/>
    </row>
    <row r="152" spans="2:23" x14ac:dyDescent="0.25">
      <c r="B152" t="s">
        <v>46</v>
      </c>
      <c r="C152">
        <v>100000</v>
      </c>
      <c r="D152">
        <v>250000</v>
      </c>
      <c r="E152">
        <v>500000</v>
      </c>
      <c r="F152">
        <v>1000000</v>
      </c>
      <c r="G152">
        <v>2000000</v>
      </c>
      <c r="J152" t="s">
        <v>32</v>
      </c>
      <c r="K152">
        <v>100000</v>
      </c>
      <c r="L152">
        <v>250000</v>
      </c>
      <c r="M152">
        <v>500000</v>
      </c>
      <c r="N152">
        <v>1000000</v>
      </c>
      <c r="O152">
        <v>2000000</v>
      </c>
      <c r="R152" t="s">
        <v>48</v>
      </c>
      <c r="S152">
        <v>100000</v>
      </c>
      <c r="T152">
        <v>250000</v>
      </c>
      <c r="U152">
        <v>500000</v>
      </c>
      <c r="V152">
        <v>1000000</v>
      </c>
      <c r="W152">
        <v>2000000</v>
      </c>
    </row>
    <row r="153" spans="2:23" x14ac:dyDescent="0.25">
      <c r="B153">
        <v>35</v>
      </c>
      <c r="C153">
        <v>12079.644935572058</v>
      </c>
      <c r="D153">
        <v>30000.800815213755</v>
      </c>
      <c r="E153">
        <v>59869.392873210418</v>
      </c>
      <c r="F153">
        <v>119606.57777339064</v>
      </c>
      <c r="G153">
        <v>239080.94755286103</v>
      </c>
      <c r="J153">
        <v>35</v>
      </c>
      <c r="K153">
        <v>603.98224677744292</v>
      </c>
      <c r="L153">
        <v>1500.0400407573179</v>
      </c>
      <c r="M153">
        <v>2993.4676719959243</v>
      </c>
      <c r="N153">
        <v>5980.3244123083423</v>
      </c>
      <c r="O153">
        <v>11954.037853565533</v>
      </c>
      <c r="R153">
        <v>35</v>
      </c>
      <c r="S153">
        <v>3.2466279046646784E-2</v>
      </c>
      <c r="T153">
        <v>3.2450090686605204E-2</v>
      </c>
      <c r="U153">
        <v>3.2444692912634743E-2</v>
      </c>
      <c r="V153">
        <v>3.2441994628684023E-2</v>
      </c>
      <c r="W153">
        <v>3.2440645478633234E-2</v>
      </c>
    </row>
    <row r="154" spans="2:23" x14ac:dyDescent="0.25">
      <c r="B154">
        <f t="shared" ref="B154:B183" si="33">B153+1</f>
        <v>36</v>
      </c>
      <c r="C154">
        <v>12600.051736713494</v>
      </c>
      <c r="D154">
        <v>31301.789181104061</v>
      </c>
      <c r="E154">
        <v>62471.351588116959</v>
      </c>
      <c r="F154">
        <v>124810.47640202168</v>
      </c>
      <c r="G154">
        <v>249488.72602976501</v>
      </c>
      <c r="J154">
        <f t="shared" ref="J154:J183" si="34">J153+1</f>
        <v>36</v>
      </c>
      <c r="K154">
        <v>630.00285749773684</v>
      </c>
      <c r="L154">
        <v>1565.0901238554216</v>
      </c>
      <c r="M154">
        <v>3123.5689005469903</v>
      </c>
      <c r="N154">
        <v>6240.5264537032926</v>
      </c>
      <c r="O154">
        <v>12474.441559891333</v>
      </c>
      <c r="R154">
        <f t="shared" ref="R154:R183" si="35">R153+1</f>
        <v>36</v>
      </c>
      <c r="S154">
        <v>3.2570192837754863E-2</v>
      </c>
      <c r="T154">
        <v>3.2554016657747153E-2</v>
      </c>
      <c r="U154">
        <v>3.2548624598073506E-2</v>
      </c>
      <c r="V154">
        <v>3.2545928568257887E-2</v>
      </c>
      <c r="W154">
        <v>3.25445805533493E-2</v>
      </c>
    </row>
    <row r="155" spans="2:23" x14ac:dyDescent="0.25">
      <c r="B155">
        <f t="shared" si="33"/>
        <v>37</v>
      </c>
      <c r="C155">
        <v>13142.622667953245</v>
      </c>
      <c r="D155">
        <v>32658.186819679209</v>
      </c>
      <c r="E155">
        <v>65184.127072263902</v>
      </c>
      <c r="F155">
        <v>130236.00757732763</v>
      </c>
      <c r="G155">
        <v>260339.76858738274</v>
      </c>
      <c r="J155">
        <f t="shared" si="34"/>
        <v>37</v>
      </c>
      <c r="K155">
        <v>657.13141434612044</v>
      </c>
      <c r="L155">
        <v>1632.9100316788099</v>
      </c>
      <c r="M155">
        <v>3259.2077266890265</v>
      </c>
      <c r="N155">
        <v>6511.8031165125431</v>
      </c>
      <c r="O155">
        <v>13016.993896024534</v>
      </c>
      <c r="R155">
        <f t="shared" si="35"/>
        <v>37</v>
      </c>
      <c r="S155">
        <v>3.2679508590016448E-2</v>
      </c>
      <c r="T155">
        <v>3.2663337845467932E-2</v>
      </c>
      <c r="U155">
        <v>3.26579475994071E-2</v>
      </c>
      <c r="V155">
        <v>3.2655252476742946E-2</v>
      </c>
      <c r="W155">
        <v>3.2653904915492138E-2</v>
      </c>
    </row>
    <row r="156" spans="2:23" x14ac:dyDescent="0.25">
      <c r="B156">
        <f t="shared" si="33"/>
        <v>38</v>
      </c>
      <c r="C156">
        <v>13707.23934534806</v>
      </c>
      <c r="D156">
        <v>34069.697762168405</v>
      </c>
      <c r="E156">
        <v>68007.128456593768</v>
      </c>
      <c r="F156">
        <v>135881.98984533679</v>
      </c>
      <c r="G156">
        <v>271631.71262277814</v>
      </c>
      <c r="J156">
        <f t="shared" si="34"/>
        <v>38</v>
      </c>
      <c r="K156">
        <v>685.36225962351818</v>
      </c>
      <c r="L156">
        <v>1703.4856078443117</v>
      </c>
      <c r="M156">
        <v>3400.3578543688636</v>
      </c>
      <c r="N156">
        <v>6794.1023472180823</v>
      </c>
      <c r="O156">
        <v>13581.591332833515</v>
      </c>
      <c r="R156">
        <f t="shared" si="35"/>
        <v>38</v>
      </c>
      <c r="S156">
        <v>3.2794403925889171E-2</v>
      </c>
      <c r="T156">
        <v>3.2778231414263503E-2</v>
      </c>
      <c r="U156">
        <v>3.2772840581309914E-2</v>
      </c>
      <c r="V156">
        <v>3.2770145165595066E-2</v>
      </c>
      <c r="W156">
        <v>3.2768797457928045E-2</v>
      </c>
    </row>
    <row r="157" spans="2:23" x14ac:dyDescent="0.25">
      <c r="B157">
        <f t="shared" si="33"/>
        <v>39</v>
      </c>
      <c r="C157">
        <v>14294.340026033586</v>
      </c>
      <c r="D157">
        <v>35537.417626352726</v>
      </c>
      <c r="E157">
        <v>70942.546959959305</v>
      </c>
      <c r="F157">
        <v>141752.80562708314</v>
      </c>
      <c r="G157">
        <v>283373.3229612679</v>
      </c>
      <c r="J157">
        <f t="shared" si="34"/>
        <v>39</v>
      </c>
      <c r="K157">
        <v>714.71730564500831</v>
      </c>
      <c r="L157">
        <v>1776.8716316461796</v>
      </c>
      <c r="M157">
        <v>3547.1288411714195</v>
      </c>
      <c r="N157">
        <v>7087.6432600572007</v>
      </c>
      <c r="O157">
        <v>14168.672097712406</v>
      </c>
      <c r="R157">
        <f t="shared" si="35"/>
        <v>39</v>
      </c>
      <c r="S157">
        <v>3.2915180340800321E-2</v>
      </c>
      <c r="T157">
        <v>3.2898998482414177E-2</v>
      </c>
      <c r="U157">
        <v>3.2893604536318843E-2</v>
      </c>
      <c r="V157">
        <v>3.2890907564501637E-2</v>
      </c>
      <c r="W157">
        <v>3.2889559078891129E-2</v>
      </c>
    </row>
    <row r="158" spans="2:23" x14ac:dyDescent="0.25">
      <c r="B158">
        <f t="shared" si="33"/>
        <v>40</v>
      </c>
      <c r="C158">
        <v>14905.118666496115</v>
      </c>
      <c r="D158">
        <v>37064.331248583687</v>
      </c>
      <c r="E158">
        <v>73996.352218492131</v>
      </c>
      <c r="F158">
        <v>147860.39415821328</v>
      </c>
      <c r="G158">
        <v>295588.47803760879</v>
      </c>
      <c r="J158">
        <f t="shared" si="34"/>
        <v>40</v>
      </c>
      <c r="K158">
        <v>745.25624970458375</v>
      </c>
      <c r="L158">
        <v>1853.2173433453281</v>
      </c>
      <c r="M158">
        <v>3699.8191656446143</v>
      </c>
      <c r="N158">
        <v>7393.0228100683889</v>
      </c>
      <c r="O158">
        <v>14779.430098829209</v>
      </c>
      <c r="R158">
        <f t="shared" si="35"/>
        <v>40</v>
      </c>
      <c r="S158">
        <v>3.304230056513191E-2</v>
      </c>
      <c r="T158">
        <v>3.3026101479931791E-2</v>
      </c>
      <c r="U158">
        <v>3.3020701794320928E-2</v>
      </c>
      <c r="V158">
        <v>3.3018001953253329E-2</v>
      </c>
      <c r="W158">
        <v>3.3016652033151406E-2</v>
      </c>
    </row>
    <row r="159" spans="2:23" x14ac:dyDescent="0.25">
      <c r="B159">
        <f t="shared" si="33"/>
        <v>41</v>
      </c>
      <c r="C159">
        <v>15540.755415760303</v>
      </c>
      <c r="D159">
        <v>38653.388946830957</v>
      </c>
      <c r="E159">
        <v>77174.444831722751</v>
      </c>
      <c r="F159">
        <v>154216.55660142557</v>
      </c>
      <c r="G159">
        <v>308300.78014077374</v>
      </c>
      <c r="J159">
        <f t="shared" si="34"/>
        <v>41</v>
      </c>
      <c r="K159">
        <v>777.03809934763194</v>
      </c>
      <c r="L159">
        <v>1932.6702591173962</v>
      </c>
      <c r="M159">
        <v>3858.7238583222206</v>
      </c>
      <c r="N159">
        <v>7710.8310565848369</v>
      </c>
      <c r="O159">
        <v>15415.045453005587</v>
      </c>
      <c r="R159">
        <f t="shared" si="35"/>
        <v>41</v>
      </c>
      <c r="S159">
        <v>3.3176253053642135E-2</v>
      </c>
      <c r="T159">
        <v>3.3160028529276575E-2</v>
      </c>
      <c r="U159">
        <v>3.3154620366980359E-2</v>
      </c>
      <c r="V159">
        <v>3.3151916288148398E-2</v>
      </c>
      <c r="W159">
        <v>3.3150564249302183E-2</v>
      </c>
    </row>
    <row r="160" spans="2:23" x14ac:dyDescent="0.25">
      <c r="B160">
        <f t="shared" si="33"/>
        <v>42</v>
      </c>
      <c r="C160">
        <v>16201.694392322705</v>
      </c>
      <c r="D160">
        <v>40305.700990650854</v>
      </c>
      <c r="E160">
        <v>80479.045320986261</v>
      </c>
      <c r="F160">
        <v>160825.73398157264</v>
      </c>
      <c r="G160">
        <v>321519.11130271765</v>
      </c>
      <c r="J160">
        <f t="shared" si="34"/>
        <v>42</v>
      </c>
      <c r="K160">
        <v>810.08506095221674</v>
      </c>
      <c r="L160">
        <v>2015.2858937772544</v>
      </c>
      <c r="M160">
        <v>4023.9539481028041</v>
      </c>
      <c r="N160">
        <v>8041.2900566008175</v>
      </c>
      <c r="O160">
        <v>16075.962273547193</v>
      </c>
      <c r="R160">
        <f t="shared" si="35"/>
        <v>42</v>
      </c>
      <c r="S160">
        <v>3.3317426098323999E-2</v>
      </c>
      <c r="T160">
        <v>3.330116747307188E-2</v>
      </c>
      <c r="U160">
        <v>3.3295747947227561E-2</v>
      </c>
      <c r="V160">
        <v>3.3293038187238055E-2</v>
      </c>
      <c r="W160">
        <v>3.329168330797927E-2</v>
      </c>
    </row>
    <row r="161" spans="2:23" x14ac:dyDescent="0.25">
      <c r="B161">
        <f t="shared" si="33"/>
        <v>43</v>
      </c>
      <c r="C161">
        <v>16889.608939764534</v>
      </c>
      <c r="D161">
        <v>42025.450664074167</v>
      </c>
      <c r="E161">
        <v>83918.520204389381</v>
      </c>
      <c r="F161">
        <v>167704.65928494514</v>
      </c>
      <c r="G161">
        <v>335276.93744603416</v>
      </c>
      <c r="J161">
        <f t="shared" si="34"/>
        <v>43</v>
      </c>
      <c r="K161">
        <v>844.48080103937536</v>
      </c>
      <c r="L161">
        <v>2101.2734095721244</v>
      </c>
      <c r="M161">
        <v>4195.9277567656536</v>
      </c>
      <c r="N161">
        <v>8385.2364510182524</v>
      </c>
      <c r="O161">
        <v>16763.853839483112</v>
      </c>
      <c r="R161">
        <f t="shared" si="35"/>
        <v>43</v>
      </c>
      <c r="S161">
        <v>3.3466466557937169E-2</v>
      </c>
      <c r="T161">
        <v>3.3450164821021255E-2</v>
      </c>
      <c r="U161">
        <v>3.344473092817779E-2</v>
      </c>
      <c r="V161">
        <v>3.3442013985366836E-2</v>
      </c>
      <c r="W161">
        <v>3.3440655514866968E-2</v>
      </c>
    </row>
    <row r="162" spans="2:23" x14ac:dyDescent="0.25">
      <c r="B162">
        <f t="shared" si="33"/>
        <v>44</v>
      </c>
      <c r="C162">
        <v>17605.153827415765</v>
      </c>
      <c r="D162">
        <v>43814.274854450981</v>
      </c>
      <c r="E162">
        <v>87496.143232654751</v>
      </c>
      <c r="F162">
        <v>174859.87998899395</v>
      </c>
      <c r="G162">
        <v>349587.35350162169</v>
      </c>
      <c r="J162">
        <f t="shared" si="34"/>
        <v>44</v>
      </c>
      <c r="K162">
        <v>880.25805865190341</v>
      </c>
      <c r="L162">
        <v>2190.7146525846765</v>
      </c>
      <c r="M162">
        <v>4374.8089754696994</v>
      </c>
      <c r="N162">
        <v>8742.9976211173926</v>
      </c>
      <c r="O162">
        <v>17479.374912322965</v>
      </c>
      <c r="R162">
        <f t="shared" si="35"/>
        <v>44</v>
      </c>
      <c r="S162">
        <v>3.3623874199417259E-2</v>
      </c>
      <c r="T162">
        <v>3.3607519857749901E-2</v>
      </c>
      <c r="U162">
        <v>3.360206843364022E-2</v>
      </c>
      <c r="V162">
        <v>3.3599342725987302E-2</v>
      </c>
      <c r="W162">
        <v>3.3597979873236428E-2</v>
      </c>
    </row>
    <row r="163" spans="2:23" x14ac:dyDescent="0.25">
      <c r="B163">
        <f t="shared" si="33"/>
        <v>45</v>
      </c>
      <c r="C163">
        <v>18349.479189944057</v>
      </c>
      <c r="D163">
        <v>45675.048842499331</v>
      </c>
      <c r="E163">
        <v>91217.664929917635</v>
      </c>
      <c r="F163">
        <v>182302.89710468944</v>
      </c>
      <c r="G163">
        <v>364473.36145419098</v>
      </c>
      <c r="J163">
        <f t="shared" si="34"/>
        <v>45</v>
      </c>
      <c r="K163">
        <v>917.47434028189309</v>
      </c>
      <c r="L163">
        <v>2283.7533861272677</v>
      </c>
      <c r="M163">
        <v>4560.885128894326</v>
      </c>
      <c r="N163">
        <v>9115.1486143139191</v>
      </c>
      <c r="O163">
        <v>18223.675585077843</v>
      </c>
      <c r="R163">
        <f t="shared" si="35"/>
        <v>45</v>
      </c>
      <c r="S163">
        <v>3.3790283952453759E-2</v>
      </c>
      <c r="T163">
        <v>3.3773867039194272E-2</v>
      </c>
      <c r="U163">
        <v>3.3768394762042186E-2</v>
      </c>
      <c r="V163">
        <v>3.3765658628615691E-2</v>
      </c>
      <c r="W163">
        <v>3.3764290563172761E-2</v>
      </c>
    </row>
    <row r="164" spans="2:23" x14ac:dyDescent="0.25">
      <c r="B164">
        <f t="shared" si="33"/>
        <v>46</v>
      </c>
      <c r="C164">
        <v>19123.666344472858</v>
      </c>
      <c r="D164">
        <v>47610.475867110246</v>
      </c>
      <c r="E164">
        <v>95088.491738002645</v>
      </c>
      <c r="F164">
        <v>190044.5234797266</v>
      </c>
      <c r="G164">
        <v>379956.58696314949</v>
      </c>
      <c r="J164">
        <f t="shared" si="34"/>
        <v>46</v>
      </c>
      <c r="K164">
        <v>956.18371183788986</v>
      </c>
      <c r="L164">
        <v>2380.5247723119683</v>
      </c>
      <c r="M164">
        <v>4754.426539469423</v>
      </c>
      <c r="N164">
        <v>9502.2300736772013</v>
      </c>
      <c r="O164">
        <v>18997.837142048171</v>
      </c>
      <c r="R164">
        <f t="shared" si="35"/>
        <v>46</v>
      </c>
      <c r="S164">
        <v>3.3966366122074376E-2</v>
      </c>
      <c r="T164">
        <v>3.3949876155803915E-2</v>
      </c>
      <c r="U164">
        <v>3.3944379532077962E-2</v>
      </c>
      <c r="V164">
        <v>3.3941631226079183E-2</v>
      </c>
      <c r="W164">
        <v>3.3940257074589031E-2</v>
      </c>
    </row>
    <row r="165" spans="2:23" x14ac:dyDescent="0.25">
      <c r="B165">
        <f t="shared" si="33"/>
        <v>47</v>
      </c>
      <c r="C165">
        <v>19929.097418203237</v>
      </c>
      <c r="D165">
        <v>49624.011180066707</v>
      </c>
      <c r="E165">
        <v>99115.534116354291</v>
      </c>
      <c r="F165">
        <v>198098.57998886032</v>
      </c>
      <c r="G165">
        <v>396064.67173386383</v>
      </c>
      <c r="J165">
        <f t="shared" si="34"/>
        <v>47</v>
      </c>
      <c r="K165">
        <v>996.45527959345054</v>
      </c>
      <c r="L165">
        <v>2481.2015734469751</v>
      </c>
      <c r="M165">
        <v>4955.7787296045863</v>
      </c>
      <c r="N165">
        <v>9904.9330417988822</v>
      </c>
      <c r="O165">
        <v>19803.241666172049</v>
      </c>
      <c r="R165">
        <f t="shared" si="35"/>
        <v>47</v>
      </c>
      <c r="S165">
        <v>3.415290067063359E-2</v>
      </c>
      <c r="T165">
        <v>3.4136326639086612E-2</v>
      </c>
      <c r="U165">
        <v>3.4130801998208504E-2</v>
      </c>
      <c r="V165">
        <v>3.4128039684545364E-2</v>
      </c>
      <c r="W165">
        <v>3.4126658529377796E-2</v>
      </c>
    </row>
    <row r="166" spans="2:23" x14ac:dyDescent="0.25">
      <c r="B166">
        <f t="shared" si="33"/>
        <v>48</v>
      </c>
      <c r="C166">
        <v>20766.072688079876</v>
      </c>
      <c r="D166">
        <v>51716.405448241625</v>
      </c>
      <c r="E166">
        <v>103300.2933816985</v>
      </c>
      <c r="F166">
        <v>206468.0692485504</v>
      </c>
      <c r="G166">
        <v>412803.62098224467</v>
      </c>
      <c r="J166">
        <f t="shared" si="34"/>
        <v>48</v>
      </c>
      <c r="K166">
        <v>1038.3040577483189</v>
      </c>
      <c r="L166">
        <v>2585.8213239758043</v>
      </c>
      <c r="M166">
        <v>5165.0167674347467</v>
      </c>
      <c r="N166">
        <v>10323.407654245151</v>
      </c>
      <c r="O166">
        <v>20640.189427849487</v>
      </c>
      <c r="R166">
        <f t="shared" si="35"/>
        <v>48</v>
      </c>
      <c r="S166">
        <v>3.4350520336185131E-2</v>
      </c>
      <c r="T166">
        <v>3.4333850591419024E-2</v>
      </c>
      <c r="U166">
        <v>3.4328294050949948E-2</v>
      </c>
      <c r="V166">
        <v>3.4325515788398597E-2</v>
      </c>
      <c r="W166">
        <v>3.4324126659026399E-2</v>
      </c>
    </row>
    <row r="167" spans="2:23" x14ac:dyDescent="0.25">
      <c r="B167">
        <f t="shared" si="33"/>
        <v>49</v>
      </c>
      <c r="C167">
        <v>21634.942241464956</v>
      </c>
      <c r="D167">
        <v>53888.534465302037</v>
      </c>
      <c r="E167">
        <v>107644.52110233429</v>
      </c>
      <c r="F167">
        <v>215156.49437635517</v>
      </c>
      <c r="G167">
        <v>430180.44092435669</v>
      </c>
      <c r="J167">
        <f t="shared" si="34"/>
        <v>49</v>
      </c>
      <c r="K167">
        <v>1081.7471465819181</v>
      </c>
      <c r="L167">
        <v>2694.4278131515021</v>
      </c>
      <c r="M167">
        <v>5382.2282305075205</v>
      </c>
      <c r="N167">
        <v>10757.829065144702</v>
      </c>
      <c r="O167">
        <v>21509.030734349391</v>
      </c>
      <c r="R167">
        <f t="shared" si="35"/>
        <v>49</v>
      </c>
      <c r="S167">
        <v>3.4559930215553258E-2</v>
      </c>
      <c r="T167">
        <v>3.4543154187091529E-2</v>
      </c>
      <c r="U167">
        <v>3.4537561638656289E-2</v>
      </c>
      <c r="V167">
        <v>3.4534765373077203E-2</v>
      </c>
      <c r="W167">
        <v>3.453336724243905E-2</v>
      </c>
    </row>
    <row r="168" spans="2:23" x14ac:dyDescent="0.25">
      <c r="B168">
        <f t="shared" si="33"/>
        <v>50</v>
      </c>
      <c r="C168">
        <v>22537.209499571258</v>
      </c>
      <c r="D168">
        <v>56144.15490251044</v>
      </c>
      <c r="E168">
        <v>112155.73057406544</v>
      </c>
      <c r="F168">
        <v>224178.88191717243</v>
      </c>
      <c r="G168">
        <v>448225.18460338382</v>
      </c>
      <c r="J168">
        <f t="shared" si="34"/>
        <v>50</v>
      </c>
      <c r="K168">
        <v>1126.8605105742245</v>
      </c>
      <c r="L168">
        <v>2807.207833968685</v>
      </c>
      <c r="M168">
        <v>5607.7867062752193</v>
      </c>
      <c r="N168">
        <v>11208.944450883078</v>
      </c>
      <c r="O168">
        <v>22411.259940094664</v>
      </c>
      <c r="R168">
        <f t="shared" si="35"/>
        <v>50</v>
      </c>
      <c r="S168">
        <v>3.478213735367075E-2</v>
      </c>
      <c r="T168">
        <v>3.4765238541034194E-2</v>
      </c>
      <c r="U168">
        <v>3.475960565505587E-2</v>
      </c>
      <c r="V168">
        <v>3.4756789221716433E-2</v>
      </c>
      <c r="W168">
        <v>3.4755381007457009E-2</v>
      </c>
    </row>
    <row r="169" spans="2:23" x14ac:dyDescent="0.25">
      <c r="B169">
        <f t="shared" si="33"/>
        <v>51</v>
      </c>
      <c r="C169">
        <v>23473.926579718569</v>
      </c>
      <c r="D169">
        <v>58485.898800583265</v>
      </c>
      <c r="E169">
        <v>116839.18583534847</v>
      </c>
      <c r="F169">
        <v>233545.75990487469</v>
      </c>
      <c r="G169">
        <v>466958.90804392583</v>
      </c>
      <c r="J169">
        <f t="shared" si="34"/>
        <v>51</v>
      </c>
      <c r="K169">
        <v>1173.6963656747539</v>
      </c>
      <c r="L169">
        <v>2924.2950316410861</v>
      </c>
      <c r="M169">
        <v>5841.9594749024836</v>
      </c>
      <c r="N169">
        <v>11677.288361418701</v>
      </c>
      <c r="O169">
        <v>23347.946134447819</v>
      </c>
      <c r="R169">
        <f t="shared" si="35"/>
        <v>51</v>
      </c>
      <c r="S169">
        <v>3.5018133679769692E-2</v>
      </c>
      <c r="T169">
        <v>3.5001100092243664E-2</v>
      </c>
      <c r="U169">
        <v>3.4995422286740796E-2</v>
      </c>
      <c r="V169">
        <v>3.4992583394658938E-2</v>
      </c>
      <c r="W169">
        <v>3.4991163951283655E-2</v>
      </c>
    </row>
    <row r="170" spans="2:23" x14ac:dyDescent="0.25">
      <c r="B170">
        <f t="shared" si="33"/>
        <v>52</v>
      </c>
      <c r="C170">
        <v>24446.575693943083</v>
      </c>
      <c r="D170">
        <v>60917.47101491478</v>
      </c>
      <c r="E170">
        <v>121702.29654985931</v>
      </c>
      <c r="F170">
        <v>243271.94761974469</v>
      </c>
      <c r="G170">
        <v>486411.24975951377</v>
      </c>
      <c r="J170">
        <f t="shared" si="34"/>
        <v>52</v>
      </c>
      <c r="K170">
        <v>1222.328822495605</v>
      </c>
      <c r="L170">
        <v>3045.8736451623263</v>
      </c>
      <c r="M170">
        <v>6085.1150162594568</v>
      </c>
      <c r="N170">
        <v>12163.59775844781</v>
      </c>
      <c r="O170">
        <v>24320.563242821372</v>
      </c>
      <c r="R170">
        <f t="shared" si="35"/>
        <v>52</v>
      </c>
      <c r="S170">
        <v>3.5269086261186633E-2</v>
      </c>
      <c r="T170">
        <v>3.5251903391839479E-2</v>
      </c>
      <c r="U170">
        <v>3.5246175831373572E-2</v>
      </c>
      <c r="V170">
        <v>3.5243312062868792E-2</v>
      </c>
      <c r="W170">
        <v>3.5241880181546836E-2</v>
      </c>
    </row>
    <row r="171" spans="2:23" x14ac:dyDescent="0.25">
      <c r="B171">
        <f t="shared" si="33"/>
        <v>53</v>
      </c>
      <c r="C171">
        <v>25455.276812549953</v>
      </c>
      <c r="D171">
        <v>63439.171447865541</v>
      </c>
      <c r="E171">
        <v>126745.6625067173</v>
      </c>
      <c r="F171">
        <v>253358.64462441704</v>
      </c>
      <c r="G171">
        <v>506584.60885981558</v>
      </c>
      <c r="J171">
        <f t="shared" si="34"/>
        <v>53</v>
      </c>
      <c r="K171">
        <v>1272.7638795051462</v>
      </c>
      <c r="L171">
        <v>3171.9586695471517</v>
      </c>
      <c r="M171">
        <v>6337.2833196045249</v>
      </c>
      <c r="N171">
        <v>12667.932619713014</v>
      </c>
      <c r="O171">
        <v>25329.231219928944</v>
      </c>
      <c r="R171">
        <f t="shared" si="35"/>
        <v>53</v>
      </c>
      <c r="S171">
        <v>3.5535976650455936E-2</v>
      </c>
      <c r="T171">
        <v>3.5518629145098179E-2</v>
      </c>
      <c r="U171">
        <v>3.5512846711792223E-2</v>
      </c>
      <c r="V171">
        <v>3.5509955507961433E-2</v>
      </c>
      <c r="W171">
        <v>3.5508509909249808E-2</v>
      </c>
    </row>
    <row r="172" spans="2:23" x14ac:dyDescent="0.25">
      <c r="B172">
        <f t="shared" si="33"/>
        <v>54</v>
      </c>
      <c r="C172">
        <v>26500.07687131895</v>
      </c>
      <c r="D172">
        <v>66051.117417172252</v>
      </c>
      <c r="E172">
        <v>131969.51832692046</v>
      </c>
      <c r="F172">
        <v>263806.32014641474</v>
      </c>
      <c r="G172">
        <v>527479.92378540162</v>
      </c>
      <c r="J172">
        <f t="shared" si="34"/>
        <v>54</v>
      </c>
      <c r="K172">
        <v>1325.0038834739171</v>
      </c>
      <c r="L172">
        <v>3302.555970633839</v>
      </c>
      <c r="M172">
        <v>6598.4761158882175</v>
      </c>
      <c r="N172">
        <v>13190.31640639354</v>
      </c>
      <c r="O172">
        <v>26373.996987401275</v>
      </c>
      <c r="R172">
        <f t="shared" si="35"/>
        <v>54</v>
      </c>
      <c r="S172">
        <v>3.5819871180388319E-2</v>
      </c>
      <c r="T172">
        <v>3.5802342777592422E-2</v>
      </c>
      <c r="U172">
        <v>3.5796500051139324E-2</v>
      </c>
      <c r="V172">
        <v>3.5793578701861284E-2</v>
      </c>
      <c r="W172">
        <v>3.5792118030707476E-2</v>
      </c>
    </row>
    <row r="173" spans="2:23" x14ac:dyDescent="0.25">
      <c r="B173">
        <f t="shared" si="33"/>
        <v>55</v>
      </c>
      <c r="C173">
        <v>27581.689916616378</v>
      </c>
      <c r="D173">
        <v>68755.09399049505</v>
      </c>
      <c r="E173">
        <v>137377.43411361985</v>
      </c>
      <c r="F173">
        <v>274622.11435986689</v>
      </c>
      <c r="G173">
        <v>549111.47485235822</v>
      </c>
      <c r="J173">
        <f t="shared" si="34"/>
        <v>55</v>
      </c>
      <c r="K173">
        <v>1379.0845367332513</v>
      </c>
      <c r="L173">
        <v>3437.7548018302332</v>
      </c>
      <c r="M173">
        <v>6868.871910314745</v>
      </c>
      <c r="N173">
        <v>13731.106127279752</v>
      </c>
      <c r="O173">
        <v>27455.574561204528</v>
      </c>
      <c r="R173">
        <f t="shared" si="35"/>
        <v>55</v>
      </c>
      <c r="S173">
        <v>3.6122089499229348E-2</v>
      </c>
      <c r="T173">
        <v>3.6104362968787829E-2</v>
      </c>
      <c r="U173">
        <v>3.6098454205943709E-2</v>
      </c>
      <c r="V173">
        <v>3.6095499839624789E-2</v>
      </c>
      <c r="W173">
        <v>3.6094022660239089E-2</v>
      </c>
    </row>
    <row r="174" spans="2:23" x14ac:dyDescent="0.25">
      <c r="B174">
        <f t="shared" si="33"/>
        <v>56</v>
      </c>
      <c r="C174">
        <v>28699.81909292081</v>
      </c>
      <c r="D174">
        <v>71550.359018406642</v>
      </c>
      <c r="E174">
        <v>142967.92556087757</v>
      </c>
      <c r="F174">
        <v>285803.0586458171</v>
      </c>
      <c r="G174">
        <v>571473.32481569471</v>
      </c>
      <c r="J174">
        <f t="shared" si="34"/>
        <v>56</v>
      </c>
      <c r="K174">
        <v>1434.9909964488616</v>
      </c>
      <c r="L174">
        <v>3577.5180555252591</v>
      </c>
      <c r="M174">
        <v>7148.3964873103832</v>
      </c>
      <c r="N174">
        <v>14290.153350876819</v>
      </c>
      <c r="O174">
        <v>28573.667078007944</v>
      </c>
      <c r="R174">
        <f t="shared" si="35"/>
        <v>56</v>
      </c>
      <c r="S174">
        <v>3.6443852701292023E-2</v>
      </c>
      <c r="T174">
        <v>3.6425909780831045E-2</v>
      </c>
      <c r="U174">
        <v>3.6419928894273479E-2</v>
      </c>
      <c r="V174">
        <v>3.6416938467278559E-2</v>
      </c>
      <c r="W174">
        <v>3.6415443257850288E-2</v>
      </c>
    </row>
    <row r="175" spans="2:23" x14ac:dyDescent="0.25">
      <c r="B175">
        <f t="shared" si="33"/>
        <v>57</v>
      </c>
      <c r="C175">
        <v>29854.060734802191</v>
      </c>
      <c r="D175">
        <v>74435.903329715438</v>
      </c>
      <c r="E175">
        <v>148738.97432123285</v>
      </c>
      <c r="F175">
        <v>297345.11630426557</v>
      </c>
      <c r="G175">
        <v>594557.40027032944</v>
      </c>
      <c r="J175">
        <f t="shared" si="34"/>
        <v>57</v>
      </c>
      <c r="K175">
        <v>1492.7030793222948</v>
      </c>
      <c r="L175">
        <v>3721.7952730896359</v>
      </c>
      <c r="M175">
        <v>7436.9489293610968</v>
      </c>
      <c r="N175">
        <v>14867.256241900672</v>
      </c>
      <c r="O175">
        <v>29727.870866977144</v>
      </c>
      <c r="R175">
        <f t="shared" si="35"/>
        <v>57</v>
      </c>
      <c r="S175">
        <v>3.6786488589177102E-2</v>
      </c>
      <c r="T175">
        <v>3.6768309902941665E-2</v>
      </c>
      <c r="U175">
        <v>3.6762250434196897E-2</v>
      </c>
      <c r="V175">
        <v>3.6759220717309748E-2</v>
      </c>
      <c r="W175">
        <v>3.675770586323579E-2</v>
      </c>
    </row>
    <row r="176" spans="2:23" x14ac:dyDescent="0.25">
      <c r="B176">
        <f t="shared" si="33"/>
        <v>58</v>
      </c>
      <c r="C176">
        <v>31046.634011287395</v>
      </c>
      <c r="D176">
        <v>77417.274737908738</v>
      </c>
      <c r="E176">
        <v>154701.6759489399</v>
      </c>
      <c r="F176">
        <v>309270.4783710005</v>
      </c>
      <c r="G176">
        <v>618408.08321512153</v>
      </c>
      <c r="J176">
        <f t="shared" si="34"/>
        <v>58</v>
      </c>
      <c r="K176">
        <v>1552.3317439461243</v>
      </c>
      <c r="L176">
        <v>3870.8638455365144</v>
      </c>
      <c r="M176">
        <v>7735.0840148467105</v>
      </c>
      <c r="N176">
        <v>15463.524353464483</v>
      </c>
      <c r="O176">
        <v>30920.405030699912</v>
      </c>
      <c r="R176">
        <f t="shared" si="35"/>
        <v>58</v>
      </c>
      <c r="S176">
        <v>3.7152075803864149E-2</v>
      </c>
      <c r="T176">
        <v>3.7133640724082539E-2</v>
      </c>
      <c r="U176">
        <v>3.7127495797340648E-2</v>
      </c>
      <c r="V176">
        <v>3.7124423352677516E-2</v>
      </c>
      <c r="W176">
        <v>3.7122887135021987E-2</v>
      </c>
    </row>
    <row r="177" spans="2:23" x14ac:dyDescent="0.25">
      <c r="B177">
        <f t="shared" si="33"/>
        <v>59</v>
      </c>
      <c r="C177">
        <v>32279.130960871727</v>
      </c>
      <c r="D177">
        <v>80498.453253353495</v>
      </c>
      <c r="E177">
        <v>160863.99040748528</v>
      </c>
      <c r="F177">
        <v>321595.06471574889</v>
      </c>
      <c r="G177">
        <v>643057.21333227342</v>
      </c>
      <c r="J177">
        <f t="shared" si="34"/>
        <v>59</v>
      </c>
      <c r="K177">
        <v>1613.9565922192705</v>
      </c>
      <c r="L177">
        <v>4024.9227733247244</v>
      </c>
      <c r="M177">
        <v>8043.1997418267711</v>
      </c>
      <c r="N177">
        <v>16079.753678830748</v>
      </c>
      <c r="O177">
        <v>32152.86155283486</v>
      </c>
      <c r="R177">
        <f t="shared" si="35"/>
        <v>59</v>
      </c>
      <c r="S177">
        <v>3.7542721439503435E-2</v>
      </c>
      <c r="T177">
        <v>3.7524008036518675E-2</v>
      </c>
      <c r="U177">
        <v>3.75177703420011E-2</v>
      </c>
      <c r="V177">
        <v>3.7514651514694242E-2</v>
      </c>
      <c r="W177">
        <v>3.7513092106026713E-2</v>
      </c>
    </row>
    <row r="178" spans="2:23" x14ac:dyDescent="0.25">
      <c r="B178">
        <f t="shared" si="33"/>
        <v>60</v>
      </c>
      <c r="C178">
        <v>33552.168817185739</v>
      </c>
      <c r="D178">
        <v>83680.981910857474</v>
      </c>
      <c r="E178">
        <v>167229.00373364045</v>
      </c>
      <c r="F178">
        <v>334325.04737920506</v>
      </c>
      <c r="G178">
        <v>668517.13467033277</v>
      </c>
      <c r="J178">
        <f t="shared" si="34"/>
        <v>60</v>
      </c>
      <c r="K178">
        <v>1677.6084857608294</v>
      </c>
      <c r="L178">
        <v>4184.049208043376</v>
      </c>
      <c r="M178">
        <v>8361.4504118427285</v>
      </c>
      <c r="N178">
        <v>16716.252819439746</v>
      </c>
      <c r="O178">
        <v>33425.857634629821</v>
      </c>
      <c r="R178">
        <f t="shared" si="35"/>
        <v>60</v>
      </c>
      <c r="S178">
        <v>3.7960480151617348E-2</v>
      </c>
      <c r="T178">
        <v>3.7941465158978005E-2</v>
      </c>
      <c r="U178">
        <v>3.7935126941289754E-2</v>
      </c>
      <c r="V178">
        <v>3.7931957853655884E-2</v>
      </c>
      <c r="W178">
        <v>3.7930373315139931E-2</v>
      </c>
    </row>
    <row r="179" spans="2:23" x14ac:dyDescent="0.25">
      <c r="B179">
        <f t="shared" si="33"/>
        <v>61</v>
      </c>
      <c r="C179">
        <v>34862.29265983103</v>
      </c>
      <c r="D179">
        <v>86956.22351598597</v>
      </c>
      <c r="E179">
        <v>173779.44160957451</v>
      </c>
      <c r="F179">
        <v>347425.87779675139</v>
      </c>
      <c r="G179">
        <v>694718.75017110386</v>
      </c>
      <c r="J179">
        <f t="shared" si="34"/>
        <v>61</v>
      </c>
      <c r="K179">
        <v>1743.1146782551878</v>
      </c>
      <c r="L179">
        <v>4347.8112892443023</v>
      </c>
      <c r="M179">
        <v>8688.9723075550282</v>
      </c>
      <c r="N179">
        <v>17371.294344176073</v>
      </c>
      <c r="O179">
        <v>34735.938417416764</v>
      </c>
      <c r="R179">
        <f t="shared" si="35"/>
        <v>61</v>
      </c>
      <c r="S179">
        <v>3.8406573219549323E-2</v>
      </c>
      <c r="T179">
        <v>3.8387232119531101E-2</v>
      </c>
      <c r="U179">
        <v>3.8380785206119539E-2</v>
      </c>
      <c r="V179">
        <v>3.8377561771888891E-2</v>
      </c>
      <c r="W179">
        <v>3.8375950060390407E-2</v>
      </c>
    </row>
    <row r="180" spans="2:23" x14ac:dyDescent="0.25">
      <c r="B180">
        <f t="shared" si="33"/>
        <v>62</v>
      </c>
      <c r="C180">
        <v>36211.065555594025</v>
      </c>
      <c r="D180">
        <v>90328.085647975662</v>
      </c>
      <c r="E180">
        <v>180523.11913527609</v>
      </c>
      <c r="F180">
        <v>360913.18610987591</v>
      </c>
      <c r="G180">
        <v>721693.32005907467</v>
      </c>
      <c r="J180">
        <f t="shared" si="34"/>
        <v>62</v>
      </c>
      <c r="K180">
        <v>1810.5533233816532</v>
      </c>
      <c r="L180">
        <v>4516.404396719794</v>
      </c>
      <c r="M180">
        <v>9026.156185613072</v>
      </c>
      <c r="N180">
        <v>18045.659763398347</v>
      </c>
      <c r="O180">
        <v>36084.666918966686</v>
      </c>
      <c r="R180">
        <f t="shared" si="35"/>
        <v>62</v>
      </c>
      <c r="S180">
        <v>3.8883696525972455E-2</v>
      </c>
      <c r="T180">
        <v>3.8864003149226223E-2</v>
      </c>
      <c r="U180">
        <v>3.8857438816985335E-2</v>
      </c>
      <c r="V180">
        <v>3.8854156674603901E-2</v>
      </c>
      <c r="W180">
        <v>3.8852515609346883E-2</v>
      </c>
    </row>
    <row r="181" spans="2:23" x14ac:dyDescent="0.25">
      <c r="B181">
        <f t="shared" si="33"/>
        <v>63</v>
      </c>
      <c r="C181">
        <v>37603.966213568856</v>
      </c>
      <c r="D181">
        <v>93810.264839907555</v>
      </c>
      <c r="E181">
        <v>187487.42921713588</v>
      </c>
      <c r="F181">
        <v>374841.75797159242</v>
      </c>
      <c r="G181">
        <v>749550.41548050556</v>
      </c>
      <c r="J181">
        <f t="shared" si="34"/>
        <v>63</v>
      </c>
      <c r="K181">
        <v>1880.1983569101576</v>
      </c>
      <c r="L181">
        <v>4690.5133579059329</v>
      </c>
      <c r="M181">
        <v>9374.3716928946669</v>
      </c>
      <c r="N181">
        <v>18742.088362872018</v>
      </c>
      <c r="O181">
        <v>37477.52170282579</v>
      </c>
      <c r="R181">
        <f t="shared" si="35"/>
        <v>63</v>
      </c>
      <c r="S181">
        <v>3.9395846148140512E-2</v>
      </c>
      <c r="T181">
        <v>3.9375772358100303E-2</v>
      </c>
      <c r="U181">
        <v>3.9369081228198821E-2</v>
      </c>
      <c r="V181">
        <v>3.9365735688258185E-2</v>
      </c>
      <c r="W181">
        <v>3.9364062924539311E-2</v>
      </c>
    </row>
    <row r="182" spans="2:23" x14ac:dyDescent="0.25">
      <c r="B182">
        <f t="shared" si="33"/>
        <v>64</v>
      </c>
      <c r="C182">
        <v>39041.698902385309</v>
      </c>
      <c r="D182">
        <v>97404.521708125743</v>
      </c>
      <c r="E182">
        <v>194675.89305102482</v>
      </c>
      <c r="F182">
        <v>389218.63573682192</v>
      </c>
      <c r="G182">
        <v>778304.12110841554</v>
      </c>
      <c r="J182">
        <f t="shared" si="34"/>
        <v>64</v>
      </c>
      <c r="K182">
        <v>1952.0849919112516</v>
      </c>
      <c r="L182">
        <v>4870.2262027308461</v>
      </c>
      <c r="M182">
        <v>9733.7948874276481</v>
      </c>
      <c r="N182">
        <v>19460.93225682003</v>
      </c>
      <c r="O182">
        <v>38915.206995603163</v>
      </c>
      <c r="R182">
        <f t="shared" si="35"/>
        <v>64</v>
      </c>
      <c r="S182">
        <v>3.9946002530952374E-2</v>
      </c>
      <c r="T182">
        <v>3.9925518530266269E-2</v>
      </c>
      <c r="U182">
        <v>3.9918690670244894E-2</v>
      </c>
      <c r="V182">
        <v>3.9915276766511854E-2</v>
      </c>
      <c r="W182">
        <v>3.9913569821213413E-2</v>
      </c>
    </row>
    <row r="183" spans="2:23" x14ac:dyDescent="0.25">
      <c r="B183">
        <f t="shared" si="33"/>
        <v>65</v>
      </c>
      <c r="C183">
        <v>40527.042038041582</v>
      </c>
      <c r="D183">
        <v>101117.80215672578</v>
      </c>
      <c r="E183">
        <v>202102.40235453143</v>
      </c>
      <c r="F183">
        <v>404071.60275014263</v>
      </c>
      <c r="G183">
        <v>808010.00354136247</v>
      </c>
      <c r="J183">
        <f t="shared" si="34"/>
        <v>65</v>
      </c>
      <c r="K183">
        <v>2026.3521493470762</v>
      </c>
      <c r="L183">
        <v>5055.8902268016245</v>
      </c>
      <c r="M183">
        <v>10105.120355890715</v>
      </c>
      <c r="N183">
        <v>20203.580614069127</v>
      </c>
      <c r="O183">
        <v>40400.501130421646</v>
      </c>
      <c r="R183">
        <f t="shared" si="35"/>
        <v>65</v>
      </c>
      <c r="S183">
        <v>4.0537993135566497E-2</v>
      </c>
      <c r="T183">
        <v>4.0517067271202523E-2</v>
      </c>
      <c r="U183">
        <v>4.0510092130012332E-2</v>
      </c>
      <c r="V183">
        <v>4.0506604586956652E-2</v>
      </c>
      <c r="W183">
        <v>4.0504860822311306E-2</v>
      </c>
    </row>
  </sheetData>
  <mergeCells count="2">
    <mergeCell ref="B102:C102"/>
    <mergeCell ref="B108:C10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74ACC-9330-40F4-9479-D747E57C3232}">
  <sheetPr codeName="Sheet32">
    <tabColor theme="5" tint="0.79998168889431442"/>
  </sheetPr>
  <dimension ref="A1:AF1406"/>
  <sheetViews>
    <sheetView topLeftCell="C1" workbookViewId="0">
      <selection activeCell="Z2" sqref="Z2"/>
    </sheetView>
  </sheetViews>
  <sheetFormatPr defaultColWidth="8.85546875" defaultRowHeight="15" x14ac:dyDescent="0.25"/>
  <sheetData>
    <row r="1" spans="1:32" x14ac:dyDescent="0.25">
      <c r="A1" t="s">
        <v>62</v>
      </c>
      <c r="B1" t="s">
        <v>66</v>
      </c>
    </row>
    <row r="2" spans="1:32" x14ac:dyDescent="0.25">
      <c r="B2" t="s">
        <v>46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47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48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32" x14ac:dyDescent="0.25">
      <c r="B3">
        <v>26</v>
      </c>
      <c r="C3">
        <v>131.75375279855973</v>
      </c>
      <c r="D3">
        <v>181.46597884069081</v>
      </c>
      <c r="E3">
        <v>330.60268249560863</v>
      </c>
      <c r="F3">
        <v>579.16381987129603</v>
      </c>
      <c r="G3">
        <v>1076.2860343076209</v>
      </c>
      <c r="H3">
        <v>2070.5306441253319</v>
      </c>
      <c r="J3">
        <v>26</v>
      </c>
      <c r="K3">
        <v>245.09848565683421</v>
      </c>
      <c r="L3">
        <v>280.70186669852637</v>
      </c>
      <c r="M3">
        <v>387.51231146548116</v>
      </c>
      <c r="N3">
        <v>565.5293013350738</v>
      </c>
      <c r="O3">
        <v>921.56256839911657</v>
      </c>
      <c r="P3">
        <v>1633.6312405515819</v>
      </c>
      <c r="R3">
        <v>26</v>
      </c>
      <c r="S3">
        <v>6.2606600703789761E-2</v>
      </c>
      <c r="T3">
        <v>5.1685847557138453E-2</v>
      </c>
      <c r="U3">
        <v>4.3314117157178922E-2</v>
      </c>
      <c r="V3">
        <v>4.0101524754594386E-2</v>
      </c>
      <c r="W3">
        <v>3.8399440493836812E-2</v>
      </c>
      <c r="X3">
        <v>3.7522420149121771E-2</v>
      </c>
      <c r="AA3">
        <v>-5174.8482999999997</v>
      </c>
      <c r="AB3">
        <v>-5174.8482999999997</v>
      </c>
      <c r="AC3">
        <v>-5174.8482999999997</v>
      </c>
      <c r="AD3">
        <v>-5174.8482999999997</v>
      </c>
      <c r="AE3">
        <v>-5174.8482999999997</v>
      </c>
      <c r="AF3">
        <v>-5174.8482999999997</v>
      </c>
    </row>
    <row r="4" spans="1:32" x14ac:dyDescent="0.25">
      <c r="B4">
        <v>27</v>
      </c>
      <c r="C4">
        <v>136.41364507350062</v>
      </c>
      <c r="D4">
        <v>190.76443771012066</v>
      </c>
      <c r="E4">
        <v>353.81678020138833</v>
      </c>
      <c r="F4">
        <v>625.57069216143805</v>
      </c>
      <c r="G4">
        <v>1169.0785173879638</v>
      </c>
      <c r="H4">
        <v>2256.0941754147989</v>
      </c>
      <c r="J4">
        <v>27</v>
      </c>
      <c r="K4">
        <v>248.4360789108606</v>
      </c>
      <c r="L4">
        <v>287.36168120096386</v>
      </c>
      <c r="M4">
        <v>404.13806977070317</v>
      </c>
      <c r="N4">
        <v>598.76547626687534</v>
      </c>
      <c r="O4">
        <v>988.0203046883762</v>
      </c>
      <c r="P4">
        <v>1766.5300509792651</v>
      </c>
      <c r="R4">
        <v>27</v>
      </c>
      <c r="S4">
        <v>6.0972079738000673E-2</v>
      </c>
      <c r="T4">
        <v>5.0608762975757671E-2</v>
      </c>
      <c r="U4">
        <v>4.279113319189598E-2</v>
      </c>
      <c r="V4">
        <v>3.9822062940866321E-2</v>
      </c>
      <c r="W4">
        <v>3.8256235794586591E-2</v>
      </c>
      <c r="X4">
        <v>3.7451408893602434E-2</v>
      </c>
      <c r="AA4">
        <v>-5173.6036999999997</v>
      </c>
      <c r="AB4">
        <v>-5173.6036999999997</v>
      </c>
      <c r="AC4">
        <v>-5173.6036999999997</v>
      </c>
      <c r="AD4">
        <v>-5173.6036999999997</v>
      </c>
      <c r="AE4">
        <v>-5173.6036999999997</v>
      </c>
      <c r="AF4">
        <v>-5173.6036999999997</v>
      </c>
    </row>
    <row r="5" spans="1:32" x14ac:dyDescent="0.25">
      <c r="B5">
        <v>28</v>
      </c>
      <c r="C5">
        <v>141.46907096368696</v>
      </c>
      <c r="D5">
        <v>200.85235851192041</v>
      </c>
      <c r="E5">
        <v>379.00222380883656</v>
      </c>
      <c r="F5">
        <v>675.91865177686805</v>
      </c>
      <c r="G5">
        <v>1269.7515213864181</v>
      </c>
      <c r="H5">
        <v>2457.417261967405</v>
      </c>
      <c r="J5">
        <v>28</v>
      </c>
      <c r="K5">
        <v>252.05672521878432</v>
      </c>
      <c r="L5">
        <v>294.5864479067518</v>
      </c>
      <c r="M5">
        <v>422.17564727773788</v>
      </c>
      <c r="N5">
        <v>634.82414535425141</v>
      </c>
      <c r="O5">
        <v>1060.1213029108312</v>
      </c>
      <c r="P5">
        <v>1910.7156340998772</v>
      </c>
      <c r="R5">
        <v>28</v>
      </c>
      <c r="S5">
        <v>5.9421831069753628E-2</v>
      </c>
      <c r="T5">
        <v>4.9604762398080871E-2</v>
      </c>
      <c r="U5">
        <v>4.2310777535591759E-2</v>
      </c>
      <c r="V5">
        <v>3.9567113863507641E-2</v>
      </c>
      <c r="W5">
        <v>3.812627638145849E-2</v>
      </c>
      <c r="X5">
        <v>3.7387366456114846E-2</v>
      </c>
      <c r="AA5">
        <v>-5172.1755999999996</v>
      </c>
      <c r="AB5">
        <v>-5172.1755999999996</v>
      </c>
      <c r="AC5">
        <v>-5172.1755999999996</v>
      </c>
      <c r="AD5">
        <v>-5172.1755999999996</v>
      </c>
      <c r="AE5">
        <v>-5172.1755999999996</v>
      </c>
      <c r="AF5">
        <v>-5172.1755999999996</v>
      </c>
    </row>
    <row r="6" spans="1:32" x14ac:dyDescent="0.25">
      <c r="B6">
        <v>29</v>
      </c>
      <c r="C6">
        <v>146.9647531876505</v>
      </c>
      <c r="D6">
        <v>211.81896829850868</v>
      </c>
      <c r="E6">
        <v>406.38161311797467</v>
      </c>
      <c r="F6">
        <v>730.65267107734951</v>
      </c>
      <c r="G6">
        <v>1379.1948043837069</v>
      </c>
      <c r="H6">
        <v>2676.2790724025285</v>
      </c>
      <c r="J6">
        <v>29</v>
      </c>
      <c r="K6">
        <v>255.99267874042494</v>
      </c>
      <c r="L6">
        <v>302.44063833997052</v>
      </c>
      <c r="M6">
        <v>441.78451108515173</v>
      </c>
      <c r="N6">
        <v>674.02410150505511</v>
      </c>
      <c r="O6">
        <v>1138.5034874769353</v>
      </c>
      <c r="P6">
        <v>2067.4622760093807</v>
      </c>
      <c r="R6">
        <v>29</v>
      </c>
      <c r="S6">
        <v>5.7951663333034809E-2</v>
      </c>
      <c r="T6">
        <v>4.8668312064207297E-2</v>
      </c>
      <c r="U6">
        <v>4.1869017138470355E-2</v>
      </c>
      <c r="V6">
        <v>3.9334253848855028E-2</v>
      </c>
      <c r="W6">
        <v>3.8008301664455901E-2</v>
      </c>
      <c r="X6">
        <v>3.7329716638634602E-2</v>
      </c>
      <c r="AA6">
        <v>-5170.5482000000002</v>
      </c>
      <c r="AB6">
        <v>-5170.5482000000002</v>
      </c>
      <c r="AC6">
        <v>-5170.5482000000002</v>
      </c>
      <c r="AD6">
        <v>-5170.5482000000002</v>
      </c>
      <c r="AE6">
        <v>-5170.5482000000002</v>
      </c>
      <c r="AF6">
        <v>-5170.5482000000002</v>
      </c>
    </row>
    <row r="7" spans="1:32" x14ac:dyDescent="0.25">
      <c r="B7">
        <v>30</v>
      </c>
      <c r="C7">
        <v>153.0750163648656</v>
      </c>
      <c r="D7">
        <v>224.01213300408909</v>
      </c>
      <c r="E7">
        <v>436.8234637732258</v>
      </c>
      <c r="F7">
        <v>791.508978664766</v>
      </c>
      <c r="G7">
        <v>1500.8801428237869</v>
      </c>
      <c r="H7">
        <v>2919.6223846492321</v>
      </c>
      <c r="J7">
        <v>30</v>
      </c>
      <c r="K7">
        <v>260.36878874698709</v>
      </c>
      <c r="L7">
        <v>311.17329291129181</v>
      </c>
      <c r="M7">
        <v>463.58657963505175</v>
      </c>
      <c r="N7">
        <v>717.60829511728116</v>
      </c>
      <c r="O7">
        <v>1225.6533104298142</v>
      </c>
      <c r="P7">
        <v>2241.742321271282</v>
      </c>
      <c r="R7">
        <v>30</v>
      </c>
      <c r="S7">
        <v>5.6531073766248774E-2</v>
      </c>
      <c r="T7">
        <v>4.7777886524239754E-2</v>
      </c>
      <c r="U7">
        <v>4.145472514384374E-2</v>
      </c>
      <c r="V7">
        <v>3.911744440705256E-2</v>
      </c>
      <c r="W7">
        <v>3.7899278671353231E-2</v>
      </c>
      <c r="X7">
        <v>3.7277059927864231E-2</v>
      </c>
      <c r="AA7">
        <v>-5168.6908999999996</v>
      </c>
      <c r="AB7">
        <v>-5168.6908999999996</v>
      </c>
      <c r="AC7">
        <v>-5168.6908999999996</v>
      </c>
      <c r="AD7">
        <v>-5168.6908999999996</v>
      </c>
      <c r="AE7">
        <v>-5168.6908999999996</v>
      </c>
      <c r="AF7">
        <v>-5168.6908999999996</v>
      </c>
    </row>
    <row r="8" spans="1:32" x14ac:dyDescent="0.25">
      <c r="B8">
        <v>31</v>
      </c>
      <c r="C8">
        <v>156.89390966068694</v>
      </c>
      <c r="D8">
        <v>231.63340646469609</v>
      </c>
      <c r="E8">
        <v>455.85195279415746</v>
      </c>
      <c r="F8">
        <v>829.54951664039174</v>
      </c>
      <c r="G8">
        <v>1576.9446350657199</v>
      </c>
      <c r="H8">
        <v>3071.7348577641342</v>
      </c>
      <c r="J8">
        <v>31</v>
      </c>
      <c r="K8">
        <v>263.10402305648461</v>
      </c>
      <c r="L8">
        <v>316.63153748115133</v>
      </c>
      <c r="M8">
        <v>477.21473980892551</v>
      </c>
      <c r="N8">
        <v>744.85325277927586</v>
      </c>
      <c r="O8">
        <v>1280.1301694956564</v>
      </c>
      <c r="P8">
        <v>2350.6838361273403</v>
      </c>
      <c r="R8">
        <v>31</v>
      </c>
      <c r="S8">
        <v>5.5733737279277662E-2</v>
      </c>
      <c r="T8">
        <v>4.7283709611414038E-2</v>
      </c>
      <c r="U8">
        <v>4.1226444621646596E-2</v>
      </c>
      <c r="V8">
        <v>3.8997970246124058E-2</v>
      </c>
      <c r="W8">
        <v>3.7838836305742252E-2</v>
      </c>
      <c r="X8">
        <v>3.7247399770411027E-2</v>
      </c>
      <c r="AA8">
        <v>-5166.5891000000001</v>
      </c>
      <c r="AB8">
        <v>-5166.5891000000001</v>
      </c>
      <c r="AC8">
        <v>-5166.5891000000001</v>
      </c>
      <c r="AD8">
        <v>-5166.5891000000001</v>
      </c>
      <c r="AE8">
        <v>-5166.5891000000001</v>
      </c>
      <c r="AF8">
        <v>-5166.5891000000001</v>
      </c>
    </row>
    <row r="9" spans="1:32" x14ac:dyDescent="0.25">
      <c r="B9">
        <v>32</v>
      </c>
      <c r="C9">
        <v>153.17249127236454</v>
      </c>
      <c r="D9">
        <v>224.20919104484122</v>
      </c>
      <c r="E9">
        <v>437.31933142264967</v>
      </c>
      <c r="F9">
        <v>792.50295720149961</v>
      </c>
      <c r="G9">
        <v>1502.8701612867183</v>
      </c>
      <c r="H9">
        <v>2923.6045694571635</v>
      </c>
      <c r="J9">
        <v>32</v>
      </c>
      <c r="K9">
        <v>260.43878730032532</v>
      </c>
      <c r="L9">
        <v>311.31432958709297</v>
      </c>
      <c r="M9">
        <v>463.94144060726558</v>
      </c>
      <c r="N9">
        <v>718.32064856554825</v>
      </c>
      <c r="O9">
        <v>1227.0785047144891</v>
      </c>
      <c r="P9">
        <v>2244.5942170124763</v>
      </c>
      <c r="R9">
        <v>32</v>
      </c>
      <c r="S9">
        <v>5.6486485085348148E-2</v>
      </c>
      <c r="T9">
        <v>4.7747350230991525E-2</v>
      </c>
      <c r="U9">
        <v>4.1436677986381287E-2</v>
      </c>
      <c r="V9">
        <v>3.91045528514542E-2</v>
      </c>
      <c r="W9">
        <v>3.7889177802134855E-2</v>
      </c>
      <c r="X9">
        <v>3.7268419295962696E-2</v>
      </c>
      <c r="AA9">
        <v>-5164.2407000000003</v>
      </c>
      <c r="AB9">
        <v>-5164.2407000000003</v>
      </c>
      <c r="AC9">
        <v>-5164.2407000000003</v>
      </c>
      <c r="AD9">
        <v>-5164.2407000000003</v>
      </c>
      <c r="AE9">
        <v>-5164.2407000000003</v>
      </c>
      <c r="AF9">
        <v>-5164.2407000000003</v>
      </c>
    </row>
    <row r="10" spans="1:32" x14ac:dyDescent="0.25">
      <c r="B10">
        <v>33</v>
      </c>
      <c r="C10">
        <v>140.40650058815973</v>
      </c>
      <c r="D10">
        <v>198.73751960919483</v>
      </c>
      <c r="E10">
        <v>373.73060371709579</v>
      </c>
      <c r="F10">
        <v>665.38572603155035</v>
      </c>
      <c r="G10">
        <v>1248.6959991359636</v>
      </c>
      <c r="H10">
        <v>2415.316638284407</v>
      </c>
      <c r="J10">
        <v>33</v>
      </c>
      <c r="K10">
        <v>251.29554931937446</v>
      </c>
      <c r="L10">
        <v>293.0715309236648</v>
      </c>
      <c r="M10">
        <v>418.39979507540647</v>
      </c>
      <c r="N10">
        <v>627.28002437791201</v>
      </c>
      <c r="O10">
        <v>1045.0408192152772</v>
      </c>
      <c r="P10">
        <v>1880.5635063001209</v>
      </c>
      <c r="R10">
        <v>33</v>
      </c>
      <c r="S10">
        <v>5.9665777515010454E-2</v>
      </c>
      <c r="T10">
        <v>4.975484529176355E-2</v>
      </c>
      <c r="U10">
        <v>4.237236705331493E-2</v>
      </c>
      <c r="V10">
        <v>3.9590955638552083E-2</v>
      </c>
      <c r="W10">
        <v>3.8129269260291032E-2</v>
      </c>
      <c r="X10">
        <v>3.7379390588004435E-2</v>
      </c>
      <c r="AA10">
        <v>-5161.6318000000001</v>
      </c>
      <c r="AB10">
        <v>-5161.6318000000001</v>
      </c>
      <c r="AC10">
        <v>-5161.6318000000001</v>
      </c>
      <c r="AD10">
        <v>-5161.6318000000001</v>
      </c>
      <c r="AE10">
        <v>-5161.6318000000001</v>
      </c>
      <c r="AF10">
        <v>-5161.6318000000001</v>
      </c>
    </row>
    <row r="11" spans="1:32" x14ac:dyDescent="0.25">
      <c r="B11">
        <v>34</v>
      </c>
      <c r="C11">
        <v>148.28122315783759</v>
      </c>
      <c r="D11">
        <v>214.45179441992678</v>
      </c>
      <c r="E11">
        <v>412.96350587193348</v>
      </c>
      <c r="F11">
        <v>743.8163704766157</v>
      </c>
      <c r="G11">
        <v>1405.5220824551739</v>
      </c>
      <c r="H11">
        <v>2728.9335441983358</v>
      </c>
      <c r="J11">
        <v>34</v>
      </c>
      <c r="K11">
        <v>256.93552699629095</v>
      </c>
      <c r="L11">
        <v>304.32622956664159</v>
      </c>
      <c r="M11">
        <v>446.49830973681583</v>
      </c>
      <c r="N11">
        <v>683.45192044847136</v>
      </c>
      <c r="O11">
        <v>1157.3589385733758</v>
      </c>
      <c r="P11">
        <v>2105.1734206434558</v>
      </c>
      <c r="R11">
        <v>34</v>
      </c>
      <c r="S11">
        <v>5.757031219683828E-2</v>
      </c>
      <c r="T11">
        <v>4.8421326002961118E-2</v>
      </c>
      <c r="U11">
        <v>4.1744224030466404E-2</v>
      </c>
      <c r="V11">
        <v>3.9260499505263002E-2</v>
      </c>
      <c r="W11">
        <v>3.7962480222561101E-2</v>
      </c>
      <c r="X11">
        <v>3.7298527072127774E-2</v>
      </c>
      <c r="AA11">
        <v>-5158.7194</v>
      </c>
      <c r="AB11">
        <v>-5158.7194</v>
      </c>
      <c r="AC11">
        <v>-5158.7194</v>
      </c>
      <c r="AD11">
        <v>-5158.7194</v>
      </c>
      <c r="AE11">
        <v>-5158.7194</v>
      </c>
      <c r="AF11">
        <v>-5158.7194</v>
      </c>
    </row>
    <row r="12" spans="1:32" x14ac:dyDescent="0.25">
      <c r="B12">
        <v>35</v>
      </c>
      <c r="C12">
        <v>178.73083071034418</v>
      </c>
      <c r="D12">
        <v>275.21260305497987</v>
      </c>
      <c r="E12">
        <v>564.65800727953911</v>
      </c>
      <c r="F12">
        <v>1047.0670974880584</v>
      </c>
      <c r="G12">
        <v>2011.8851818360365</v>
      </c>
      <c r="H12">
        <v>3941.5210689334062</v>
      </c>
      <c r="J12">
        <v>35</v>
      </c>
      <c r="K12">
        <v>278.74326670782307</v>
      </c>
      <c r="L12">
        <v>347.8421663029676</v>
      </c>
      <c r="M12">
        <v>555.13989061883058</v>
      </c>
      <c r="N12">
        <v>900.63707602334944</v>
      </c>
      <c r="O12">
        <v>1591.630316874729</v>
      </c>
      <c r="P12">
        <v>2973.613486434384</v>
      </c>
      <c r="R12">
        <v>35</v>
      </c>
      <c r="S12">
        <v>5.2207665850584117E-2</v>
      </c>
      <c r="T12">
        <v>4.5152690189273814E-2</v>
      </c>
      <c r="U12">
        <v>4.0264381749737232E-2</v>
      </c>
      <c r="V12">
        <v>3.8502166352454292E-2</v>
      </c>
      <c r="W12">
        <v>3.7593353677568109E-2</v>
      </c>
      <c r="X12">
        <v>3.7131704438516655E-2</v>
      </c>
      <c r="AA12">
        <v>-5155.4901</v>
      </c>
      <c r="AB12">
        <v>-5155.4901</v>
      </c>
      <c r="AC12">
        <v>-5155.4901</v>
      </c>
      <c r="AD12">
        <v>-5155.4901</v>
      </c>
      <c r="AE12">
        <v>-5155.4901</v>
      </c>
      <c r="AF12">
        <v>-5155.4901</v>
      </c>
    </row>
    <row r="13" spans="1:32" x14ac:dyDescent="0.25">
      <c r="B13">
        <v>36</v>
      </c>
      <c r="C13">
        <v>160.72191328598771</v>
      </c>
      <c r="D13">
        <v>239.27880243429695</v>
      </c>
      <c r="E13">
        <v>474.94949186000196</v>
      </c>
      <c r="F13">
        <v>867.73386496317278</v>
      </c>
      <c r="G13">
        <v>1653.3026931242478</v>
      </c>
      <c r="H13">
        <v>3224.4403494464336</v>
      </c>
      <c r="J13">
        <v>36</v>
      </c>
      <c r="K13">
        <v>265.84534087005716</v>
      </c>
      <c r="L13">
        <v>322.10706588529069</v>
      </c>
      <c r="M13">
        <v>490.89249996306262</v>
      </c>
      <c r="N13">
        <v>772.2002690336285</v>
      </c>
      <c r="O13">
        <v>1334.8167729688175</v>
      </c>
      <c r="P13">
        <v>2460.0497808396321</v>
      </c>
      <c r="R13">
        <v>36</v>
      </c>
      <c r="S13">
        <v>5.4951629441012617E-2</v>
      </c>
      <c r="T13">
        <v>4.6797439114066197E-2</v>
      </c>
      <c r="U13">
        <v>4.0995412319420055E-2</v>
      </c>
      <c r="V13">
        <v>3.8870400913605607E-2</v>
      </c>
      <c r="W13">
        <v>3.7767196913624179E-2</v>
      </c>
      <c r="X13">
        <v>3.72048631645987E-2</v>
      </c>
      <c r="AA13">
        <v>-5151.8950999999997</v>
      </c>
      <c r="AB13">
        <v>-5151.8950999999997</v>
      </c>
      <c r="AC13">
        <v>-5151.8950999999997</v>
      </c>
      <c r="AD13">
        <v>-5151.8950999999997</v>
      </c>
      <c r="AE13">
        <v>-5151.8950999999997</v>
      </c>
      <c r="AF13">
        <v>-5151.8950999999997</v>
      </c>
    </row>
    <row r="14" spans="1:32" x14ac:dyDescent="0.25">
      <c r="B14">
        <v>37</v>
      </c>
      <c r="C14">
        <v>179.00643968987018</v>
      </c>
      <c r="D14">
        <v>275.76609607093735</v>
      </c>
      <c r="E14">
        <v>566.04509664801117</v>
      </c>
      <c r="F14">
        <v>1049.8432939832039</v>
      </c>
      <c r="G14">
        <v>2017.4400493574944</v>
      </c>
      <c r="H14">
        <v>3952.6329074268365</v>
      </c>
      <c r="J14">
        <v>37</v>
      </c>
      <c r="K14">
        <v>278.94066670762686</v>
      </c>
      <c r="L14">
        <v>348.23892867551785</v>
      </c>
      <c r="M14">
        <v>556.13408433879431</v>
      </c>
      <c r="N14">
        <v>902.62439937167619</v>
      </c>
      <c r="O14">
        <v>1595.6092724314985</v>
      </c>
      <c r="P14">
        <v>2981.5713410236713</v>
      </c>
      <c r="R14">
        <v>37</v>
      </c>
      <c r="S14">
        <v>5.2150807167990587E-2</v>
      </c>
      <c r="T14">
        <v>4.511601806677823E-2</v>
      </c>
      <c r="U14">
        <v>4.024401577416703E-2</v>
      </c>
      <c r="V14">
        <v>3.8488148455891213E-2</v>
      </c>
      <c r="W14">
        <v>3.758274035071163E-2</v>
      </c>
      <c r="X14">
        <v>3.7122838223281329E-2</v>
      </c>
      <c r="AA14">
        <v>-5147.9106000000002</v>
      </c>
      <c r="AB14">
        <v>-5147.9106000000002</v>
      </c>
      <c r="AC14">
        <v>-5147.9106000000002</v>
      </c>
      <c r="AD14">
        <v>-5147.9106000000002</v>
      </c>
      <c r="AE14">
        <v>-5147.9106000000002</v>
      </c>
      <c r="AF14">
        <v>-5147.9106000000002</v>
      </c>
    </row>
    <row r="15" spans="1:32" x14ac:dyDescent="0.25">
      <c r="B15">
        <v>38</v>
      </c>
      <c r="C15">
        <v>190.72632529138636</v>
      </c>
      <c r="D15">
        <v>299.15450608929166</v>
      </c>
      <c r="E15">
        <v>624.43905778198985</v>
      </c>
      <c r="F15">
        <v>1166.5799863595878</v>
      </c>
      <c r="G15">
        <v>2250.8618866942747</v>
      </c>
      <c r="H15">
        <v>4419.4255345321117</v>
      </c>
      <c r="J15">
        <v>38</v>
      </c>
      <c r="K15">
        <v>287.33435947247176</v>
      </c>
      <c r="L15">
        <v>364.98949981787791</v>
      </c>
      <c r="M15">
        <v>597.9550301158406</v>
      </c>
      <c r="N15">
        <v>986.23102074927556</v>
      </c>
      <c r="O15">
        <v>1762.7835093691319</v>
      </c>
      <c r="P15">
        <v>3315.8866908596392</v>
      </c>
      <c r="R15">
        <v>38</v>
      </c>
      <c r="S15">
        <v>5.0778008557550436E-2</v>
      </c>
      <c r="T15">
        <v>4.4311707295773495E-2</v>
      </c>
      <c r="U15">
        <v>3.989216557706099E-2</v>
      </c>
      <c r="V15">
        <v>3.8311613535822131E-2</v>
      </c>
      <c r="W15">
        <v>3.7499182897426708E-2</v>
      </c>
      <c r="X15">
        <v>3.7087203505963284E-2</v>
      </c>
      <c r="AA15">
        <v>-5143.5393999999997</v>
      </c>
      <c r="AB15">
        <v>-5143.5393999999997</v>
      </c>
      <c r="AC15">
        <v>-5143.5393999999997</v>
      </c>
      <c r="AD15">
        <v>-5143.5393999999997</v>
      </c>
      <c r="AE15">
        <v>-5143.5393999999997</v>
      </c>
      <c r="AF15">
        <v>-5143.5393999999997</v>
      </c>
    </row>
    <row r="16" spans="1:32" x14ac:dyDescent="0.25">
      <c r="B16">
        <v>39</v>
      </c>
      <c r="C16">
        <v>176.92302670792262</v>
      </c>
      <c r="D16">
        <v>271.61222875084997</v>
      </c>
      <c r="E16">
        <v>555.67972143463408</v>
      </c>
      <c r="F16">
        <v>1029.1255006726528</v>
      </c>
      <c r="G16">
        <v>1976.0172438334857</v>
      </c>
      <c r="H16">
        <v>3869.8003745413876</v>
      </c>
      <c r="J16">
        <v>39</v>
      </c>
      <c r="K16">
        <v>277.44824157370658</v>
      </c>
      <c r="L16">
        <v>345.26407138995546</v>
      </c>
      <c r="M16">
        <v>548.71022592491045</v>
      </c>
      <c r="N16">
        <v>887.78665709105371</v>
      </c>
      <c r="O16">
        <v>1565.9416926199156</v>
      </c>
      <c r="P16">
        <v>2922.2475791500838</v>
      </c>
      <c r="R16">
        <v>39</v>
      </c>
      <c r="S16">
        <v>5.2401317037329198E-2</v>
      </c>
      <c r="T16">
        <v>4.5260889144501881E-2</v>
      </c>
      <c r="U16">
        <v>4.0303377380575434E-2</v>
      </c>
      <c r="V16">
        <v>3.8514084713647367E-2</v>
      </c>
      <c r="W16">
        <v>3.7590869469415811E-2</v>
      </c>
      <c r="X16">
        <v>3.7121781935449238E-2</v>
      </c>
      <c r="AA16">
        <v>-5138.76</v>
      </c>
      <c r="AB16">
        <v>-5138.76</v>
      </c>
      <c r="AC16">
        <v>-5138.76</v>
      </c>
      <c r="AD16">
        <v>-5138.76</v>
      </c>
      <c r="AE16">
        <v>-5138.76</v>
      </c>
      <c r="AF16">
        <v>-5138.76</v>
      </c>
    </row>
    <row r="17" spans="2:32" x14ac:dyDescent="0.25">
      <c r="B17">
        <v>40</v>
      </c>
      <c r="C17">
        <v>198.14584305207637</v>
      </c>
      <c r="D17">
        <v>313.96409369166611</v>
      </c>
      <c r="E17">
        <v>661.41887372606811</v>
      </c>
      <c r="F17">
        <v>1240.5101465103257</v>
      </c>
      <c r="G17">
        <v>2398.6923862791764</v>
      </c>
      <c r="H17">
        <v>4715.0577809542774</v>
      </c>
      <c r="J17">
        <v>40</v>
      </c>
      <c r="K17">
        <v>292.64806789208365</v>
      </c>
      <c r="L17">
        <v>375.59597452274147</v>
      </c>
      <c r="M17">
        <v>624.44002457075385</v>
      </c>
      <c r="N17">
        <v>1039.1797877220015</v>
      </c>
      <c r="O17">
        <v>1868.6557230825201</v>
      </c>
      <c r="P17">
        <v>3527.6183400720474</v>
      </c>
      <c r="R17">
        <v>40</v>
      </c>
      <c r="S17">
        <v>5.0019335480286475E-2</v>
      </c>
      <c r="T17">
        <v>4.3870748135730553E-2</v>
      </c>
      <c r="U17">
        <v>3.9698685676360368E-2</v>
      </c>
      <c r="V17">
        <v>3.8212865456570544E-2</v>
      </c>
      <c r="W17">
        <v>3.745042173998514E-2</v>
      </c>
      <c r="X17">
        <v>3.7064158561209259E-2</v>
      </c>
      <c r="AA17">
        <v>-5133.5084999999999</v>
      </c>
      <c r="AB17">
        <v>-5133.5084999999999</v>
      </c>
      <c r="AC17">
        <v>-5133.5084999999999</v>
      </c>
      <c r="AD17">
        <v>-5133.5084999999999</v>
      </c>
      <c r="AE17">
        <v>-5133.5084999999999</v>
      </c>
      <c r="AF17">
        <v>-5133.5084999999999</v>
      </c>
    </row>
    <row r="18" spans="2:32" x14ac:dyDescent="0.25">
      <c r="B18">
        <v>41</v>
      </c>
      <c r="C18">
        <v>199.91097794346484</v>
      </c>
      <c r="D18">
        <v>317.48853794940652</v>
      </c>
      <c r="E18">
        <v>670.22116948837231</v>
      </c>
      <c r="F18">
        <v>1258.1089151328968</v>
      </c>
      <c r="G18">
        <v>2433.8844095478344</v>
      </c>
      <c r="H18">
        <v>4785.4354013089405</v>
      </c>
      <c r="J18">
        <v>41</v>
      </c>
      <c r="K18">
        <v>293.91225417057444</v>
      </c>
      <c r="L18">
        <v>378.1202533883943</v>
      </c>
      <c r="M18">
        <v>630.74368182192484</v>
      </c>
      <c r="N18">
        <v>1051.7830393413224</v>
      </c>
      <c r="O18">
        <v>1893.8617910830944</v>
      </c>
      <c r="P18">
        <v>3578.0193289840099</v>
      </c>
      <c r="R18">
        <v>41</v>
      </c>
      <c r="S18">
        <v>4.9845676161148544E-2</v>
      </c>
      <c r="T18">
        <v>4.3769501435283686E-2</v>
      </c>
      <c r="U18">
        <v>3.9653307082100353E-2</v>
      </c>
      <c r="V18">
        <v>3.8188768006903295E-2</v>
      </c>
      <c r="W18">
        <v>3.7437547866575827E-2</v>
      </c>
      <c r="X18">
        <v>3.7057025647735609E-2</v>
      </c>
      <c r="AA18">
        <v>-5127.7236000000003</v>
      </c>
      <c r="AB18">
        <v>-5127.7236000000003</v>
      </c>
      <c r="AC18">
        <v>-5127.7236000000003</v>
      </c>
      <c r="AD18">
        <v>-5127.7236000000003</v>
      </c>
      <c r="AE18">
        <v>-5127.7236000000003</v>
      </c>
      <c r="AF18">
        <v>-5127.7236000000003</v>
      </c>
    </row>
    <row r="19" spans="2:32" x14ac:dyDescent="0.25">
      <c r="B19">
        <v>42</v>
      </c>
      <c r="C19">
        <v>226.28396025543722</v>
      </c>
      <c r="D19">
        <v>370.11891218090494</v>
      </c>
      <c r="E19">
        <v>801.62376041463676</v>
      </c>
      <c r="F19">
        <v>1520.798492154393</v>
      </c>
      <c r="G19">
        <v>2959.1476693069626</v>
      </c>
      <c r="H19">
        <v>5835.8463225179103</v>
      </c>
      <c r="J19">
        <v>42</v>
      </c>
      <c r="K19">
        <v>312.80029110975397</v>
      </c>
      <c r="L19">
        <v>415.8135542345417</v>
      </c>
      <c r="M19">
        <v>724.85325526955421</v>
      </c>
      <c r="N19">
        <v>1239.9192442756685</v>
      </c>
      <c r="O19">
        <v>2270.0478688425792</v>
      </c>
      <c r="P19">
        <v>4330.3086187446752</v>
      </c>
      <c r="R19">
        <v>42</v>
      </c>
      <c r="S19">
        <v>4.7820027268961063E-2</v>
      </c>
      <c r="T19">
        <v>4.2623581600981453E-2</v>
      </c>
      <c r="U19">
        <v>3.9171381256545956E-2</v>
      </c>
      <c r="V19">
        <v>3.7956640767284222E-2</v>
      </c>
      <c r="W19">
        <v>3.7336339484404624E-2</v>
      </c>
      <c r="X19">
        <v>3.7022866514828445E-2</v>
      </c>
      <c r="AA19">
        <v>-5121.3726999999999</v>
      </c>
      <c r="AB19">
        <v>-5121.3726999999999</v>
      </c>
      <c r="AC19">
        <v>-5121.3726999999999</v>
      </c>
      <c r="AD19">
        <v>-5121.3726999999999</v>
      </c>
      <c r="AE19">
        <v>-5121.3726999999999</v>
      </c>
      <c r="AF19">
        <v>-5121.3726999999999</v>
      </c>
    </row>
    <row r="20" spans="2:32" x14ac:dyDescent="0.25">
      <c r="B20">
        <v>43</v>
      </c>
      <c r="C20">
        <v>235.54326890881089</v>
      </c>
      <c r="D20">
        <v>388.59890084043792</v>
      </c>
      <c r="E20">
        <v>847.76580377256937</v>
      </c>
      <c r="F20">
        <v>1613.0439577698482</v>
      </c>
      <c r="G20">
        <v>3143.6002885611001</v>
      </c>
      <c r="H20">
        <v>6204.7129140051384</v>
      </c>
      <c r="J20">
        <v>43</v>
      </c>
      <c r="K20">
        <v>319.43174689714715</v>
      </c>
      <c r="L20">
        <v>429.04865373743996</v>
      </c>
      <c r="M20">
        <v>757.89945778119545</v>
      </c>
      <c r="N20">
        <v>1305.9839257371168</v>
      </c>
      <c r="O20">
        <v>2402.153128424754</v>
      </c>
      <c r="P20">
        <v>4594.4911108936067</v>
      </c>
      <c r="R20">
        <v>43</v>
      </c>
      <c r="S20">
        <v>4.7251889447723183E-2</v>
      </c>
      <c r="T20">
        <v>4.2306882682546787E-2</v>
      </c>
      <c r="U20">
        <v>3.9039606790511439E-2</v>
      </c>
      <c r="V20">
        <v>3.7893450904108672E-2</v>
      </c>
      <c r="W20">
        <v>3.7308902760476936E-2</v>
      </c>
      <c r="X20">
        <v>3.701367865073335E-2</v>
      </c>
      <c r="AA20">
        <v>-5114.3449000000001</v>
      </c>
      <c r="AB20">
        <v>-5114.3449000000001</v>
      </c>
      <c r="AC20">
        <v>-5114.3449000000001</v>
      </c>
      <c r="AD20">
        <v>-5114.3449000000001</v>
      </c>
      <c r="AE20">
        <v>-5114.3449000000001</v>
      </c>
      <c r="AF20">
        <v>-5114.3449000000001</v>
      </c>
    </row>
    <row r="21" spans="2:32" x14ac:dyDescent="0.25">
      <c r="B21">
        <v>44</v>
      </c>
      <c r="C21">
        <v>239.5497770431295</v>
      </c>
      <c r="D21">
        <v>396.59684164990051</v>
      </c>
      <c r="E21">
        <v>867.73811110717224</v>
      </c>
      <c r="F21">
        <v>1652.9735766523352</v>
      </c>
      <c r="G21">
        <v>3223.4443556626866</v>
      </c>
      <c r="H21">
        <v>6364.3860433980062</v>
      </c>
      <c r="J21">
        <v>44</v>
      </c>
      <c r="K21">
        <v>322.30137606028507</v>
      </c>
      <c r="L21">
        <v>434.77669531169022</v>
      </c>
      <c r="M21">
        <v>772.20353793979848</v>
      </c>
      <c r="N21">
        <v>1334.5818014311808</v>
      </c>
      <c r="O21">
        <v>2459.3365492361045</v>
      </c>
      <c r="P21">
        <v>4708.8475623723498</v>
      </c>
      <c r="R21">
        <v>44</v>
      </c>
      <c r="S21">
        <v>4.7019480255155122E-2</v>
      </c>
      <c r="T21">
        <v>4.2177018088787266E-2</v>
      </c>
      <c r="U21">
        <v>3.8984572782928995E-2</v>
      </c>
      <c r="V21">
        <v>3.7866052348286106E-2</v>
      </c>
      <c r="W21">
        <v>3.7295874965175502E-2</v>
      </c>
      <c r="X21">
        <v>3.7007984760994095E-2</v>
      </c>
      <c r="AA21">
        <v>-5106.5976000000001</v>
      </c>
      <c r="AB21">
        <v>-5106.5976000000001</v>
      </c>
      <c r="AC21">
        <v>-5106.5976000000001</v>
      </c>
      <c r="AD21">
        <v>-5106.5976000000001</v>
      </c>
      <c r="AE21">
        <v>-5106.5976000000001</v>
      </c>
      <c r="AF21">
        <v>-5106.5976000000001</v>
      </c>
    </row>
    <row r="22" spans="2:32" x14ac:dyDescent="0.25">
      <c r="B22">
        <v>45</v>
      </c>
      <c r="C22">
        <v>259.39861105072447</v>
      </c>
      <c r="D22">
        <v>436.20971747436391</v>
      </c>
      <c r="E22">
        <v>966.64305972660827</v>
      </c>
      <c r="F22">
        <v>1850.698672407917</v>
      </c>
      <c r="G22">
        <v>3618.8097433407202</v>
      </c>
      <c r="H22">
        <v>7155.0320279826001</v>
      </c>
      <c r="J22">
        <v>45</v>
      </c>
      <c r="K22">
        <v>336.51670605772779</v>
      </c>
      <c r="L22">
        <v>463.14700949874441</v>
      </c>
      <c r="M22">
        <v>843.03818819008302</v>
      </c>
      <c r="N22">
        <v>1476.1906461844228</v>
      </c>
      <c r="O22">
        <v>2742.4937587930035</v>
      </c>
      <c r="P22">
        <v>5275.1016513040959</v>
      </c>
      <c r="R22">
        <v>45</v>
      </c>
      <c r="S22">
        <v>4.6042821112086907E-2</v>
      </c>
      <c r="T22">
        <v>4.164259703696227E-2</v>
      </c>
      <c r="U22">
        <v>3.8768963009751189E-2</v>
      </c>
      <c r="V22">
        <v>3.776740827650138E-2</v>
      </c>
      <c r="W22">
        <v>3.7257922593507908E-2</v>
      </c>
      <c r="X22">
        <v>3.7000952217516536E-2</v>
      </c>
      <c r="AA22">
        <v>-5098.0524999999998</v>
      </c>
      <c r="AB22">
        <v>-5098.0524999999998</v>
      </c>
      <c r="AC22">
        <v>-5098.0524999999998</v>
      </c>
      <c r="AD22">
        <v>-5098.0524999999998</v>
      </c>
      <c r="AE22">
        <v>-5098.0524999999998</v>
      </c>
      <c r="AF22">
        <v>-5098.0524999999998</v>
      </c>
    </row>
    <row r="23" spans="2:32" x14ac:dyDescent="0.25">
      <c r="B23">
        <v>46</v>
      </c>
      <c r="C23">
        <v>284.79053860461664</v>
      </c>
      <c r="D23">
        <v>486.88500879821572</v>
      </c>
      <c r="E23">
        <v>1093.1684235689131</v>
      </c>
      <c r="F23">
        <v>2103.6408118264198</v>
      </c>
      <c r="G23">
        <v>4124.5856240045641</v>
      </c>
      <c r="H23">
        <v>8166.4752815189904</v>
      </c>
      <c r="J23">
        <v>46</v>
      </c>
      <c r="K23">
        <v>354.70212916274477</v>
      </c>
      <c r="L23">
        <v>499.44017439701838</v>
      </c>
      <c r="M23">
        <v>933.65435891426205</v>
      </c>
      <c r="N23">
        <v>1657.3450195270198</v>
      </c>
      <c r="O23">
        <v>3104.7267562458001</v>
      </c>
      <c r="P23">
        <v>5999.4906159921666</v>
      </c>
      <c r="R23">
        <v>46</v>
      </c>
      <c r="S23">
        <v>4.505611332492232E-2</v>
      </c>
      <c r="T23">
        <v>4.1112370448198821E-2</v>
      </c>
      <c r="U23">
        <v>3.8561446731930182E-2</v>
      </c>
      <c r="V23">
        <v>3.7677040544911167E-2</v>
      </c>
      <c r="W23">
        <v>3.722809211205691E-2</v>
      </c>
      <c r="X23">
        <v>3.7001895181460132E-2</v>
      </c>
      <c r="AA23">
        <v>-5088.6378000000004</v>
      </c>
      <c r="AB23">
        <v>-5088.6378000000004</v>
      </c>
      <c r="AC23">
        <v>-5088.6378000000004</v>
      </c>
      <c r="AD23">
        <v>-5088.6378000000004</v>
      </c>
      <c r="AE23">
        <v>-5088.6378000000004</v>
      </c>
      <c r="AF23">
        <v>-5088.6378000000004</v>
      </c>
    </row>
    <row r="24" spans="2:32" x14ac:dyDescent="0.25">
      <c r="B24">
        <v>47</v>
      </c>
      <c r="C24">
        <v>307.82693234797028</v>
      </c>
      <c r="D24">
        <v>532.86034217821975</v>
      </c>
      <c r="E24">
        <v>1207.9605930414805</v>
      </c>
      <c r="F24">
        <v>2333.1277005775237</v>
      </c>
      <c r="G24">
        <v>4583.461944207922</v>
      </c>
      <c r="H24">
        <v>9084.1304571374985</v>
      </c>
      <c r="J24">
        <v>47</v>
      </c>
      <c r="K24">
        <v>371.20060562496019</v>
      </c>
      <c r="L24">
        <v>532.36721602228772</v>
      </c>
      <c r="M24">
        <v>1015.8672956992123</v>
      </c>
      <c r="N24">
        <v>1821.7010264896453</v>
      </c>
      <c r="O24">
        <v>3433.3688201002951</v>
      </c>
      <c r="P24">
        <v>6656.704705756536</v>
      </c>
      <c r="R24">
        <v>47</v>
      </c>
      <c r="S24">
        <v>4.4342301410851714E-2</v>
      </c>
      <c r="T24">
        <v>4.073521867867802E-2</v>
      </c>
      <c r="U24">
        <v>3.8418298023492392E-2</v>
      </c>
      <c r="V24">
        <v>3.7618067753865336E-2</v>
      </c>
      <c r="W24">
        <v>3.7212457239203856E-2</v>
      </c>
      <c r="X24">
        <v>3.7008251439714757E-2</v>
      </c>
      <c r="AA24">
        <v>-5078.2593999999999</v>
      </c>
      <c r="AB24">
        <v>-5078.2593999999999</v>
      </c>
      <c r="AC24">
        <v>-5078.2593999999999</v>
      </c>
      <c r="AD24">
        <v>-5078.2593999999999</v>
      </c>
      <c r="AE24">
        <v>-5078.2593999999999</v>
      </c>
      <c r="AF24">
        <v>-5078.2593999999999</v>
      </c>
    </row>
    <row r="25" spans="2:32" x14ac:dyDescent="0.25">
      <c r="B25">
        <v>48</v>
      </c>
      <c r="C25">
        <v>315.01659976247925</v>
      </c>
      <c r="D25">
        <v>547.21220664540476</v>
      </c>
      <c r="E25">
        <v>1243.7989879211289</v>
      </c>
      <c r="F25">
        <v>2404.7769788542596</v>
      </c>
      <c r="G25">
        <v>4726.7329626581022</v>
      </c>
      <c r="H25">
        <v>9370.644931698409</v>
      </c>
      <c r="J25">
        <v>48</v>
      </c>
      <c r="K25">
        <v>376.34974032458194</v>
      </c>
      <c r="L25">
        <v>542.646012127002</v>
      </c>
      <c r="M25">
        <v>1041.5343700161466</v>
      </c>
      <c r="N25">
        <v>1873.0152237696711</v>
      </c>
      <c r="O25">
        <v>3535.9769537915854</v>
      </c>
      <c r="P25">
        <v>6861.9004304825939</v>
      </c>
      <c r="R25">
        <v>48</v>
      </c>
      <c r="S25">
        <v>4.4141262120120039E-2</v>
      </c>
      <c r="T25">
        <v>4.0628621781518381E-2</v>
      </c>
      <c r="U25">
        <v>3.8376741915222556E-2</v>
      </c>
      <c r="V25">
        <v>3.7599794231851336E-2</v>
      </c>
      <c r="W25">
        <v>3.7206147165247838E-2</v>
      </c>
      <c r="X25">
        <v>3.7008005841105973E-2</v>
      </c>
      <c r="AA25">
        <v>-5066.8732</v>
      </c>
      <c r="AB25">
        <v>-5066.8732</v>
      </c>
      <c r="AC25">
        <v>-5066.8732</v>
      </c>
      <c r="AD25">
        <v>-5066.8732</v>
      </c>
      <c r="AE25">
        <v>-5066.8732</v>
      </c>
      <c r="AF25">
        <v>-5066.8732</v>
      </c>
    </row>
    <row r="26" spans="2:32" x14ac:dyDescent="0.25">
      <c r="B26">
        <v>49</v>
      </c>
      <c r="C26">
        <v>355.41848509661838</v>
      </c>
      <c r="D26">
        <v>627.84413318264149</v>
      </c>
      <c r="E26">
        <v>1445.121021612892</v>
      </c>
      <c r="F26">
        <v>2807.2488553938961</v>
      </c>
      <c r="G26">
        <v>5531.505375233166</v>
      </c>
      <c r="H26">
        <v>10980.017948445513</v>
      </c>
      <c r="J26">
        <v>49</v>
      </c>
      <c r="K26">
        <v>405.28516645376249</v>
      </c>
      <c r="L26">
        <v>600.39401949877447</v>
      </c>
      <c r="M26">
        <v>1185.7199322804718</v>
      </c>
      <c r="N26">
        <v>2161.2594894761241</v>
      </c>
      <c r="O26">
        <v>4112.348471210782</v>
      </c>
      <c r="P26">
        <v>8014.5210341112252</v>
      </c>
      <c r="R26">
        <v>49</v>
      </c>
      <c r="S26">
        <v>4.3236938492485777E-2</v>
      </c>
      <c r="T26">
        <v>4.0164636131249321E-2</v>
      </c>
      <c r="U26">
        <v>3.8212686704420129E-2</v>
      </c>
      <c r="V26">
        <v>3.7542460370959763E-2</v>
      </c>
      <c r="W26">
        <v>3.7203544316251724E-2</v>
      </c>
      <c r="X26">
        <v>3.7033111222330106E-2</v>
      </c>
      <c r="AA26">
        <v>-5054.4124000000002</v>
      </c>
      <c r="AB26">
        <v>-5054.4124000000002</v>
      </c>
      <c r="AC26">
        <v>-5054.4124000000002</v>
      </c>
      <c r="AD26">
        <v>-5054.4124000000002</v>
      </c>
      <c r="AE26">
        <v>-5054.4124000000002</v>
      </c>
      <c r="AF26">
        <v>-5054.4124000000002</v>
      </c>
    </row>
    <row r="27" spans="2:32" x14ac:dyDescent="0.25">
      <c r="B27">
        <v>50</v>
      </c>
      <c r="C27">
        <v>386.16917150899553</v>
      </c>
      <c r="D27">
        <v>689.21668764724188</v>
      </c>
      <c r="E27">
        <v>1598.3592437596785</v>
      </c>
      <c r="F27">
        <v>3113.5968667491475</v>
      </c>
      <c r="G27">
        <v>6144.0721387636486</v>
      </c>
      <c r="H27">
        <v>12205.022703296287</v>
      </c>
      <c r="J27">
        <v>50</v>
      </c>
      <c r="K27">
        <v>427.30848429835078</v>
      </c>
      <c r="L27">
        <v>644.34808004731349</v>
      </c>
      <c r="M27">
        <v>1295.4669561741757</v>
      </c>
      <c r="N27">
        <v>2380.6654233074078</v>
      </c>
      <c r="O27">
        <v>4551.0626581884426</v>
      </c>
      <c r="P27">
        <v>8891.857364691823</v>
      </c>
      <c r="R27">
        <v>50</v>
      </c>
      <c r="S27">
        <v>4.2706603474703453E-2</v>
      </c>
      <c r="T27">
        <v>3.9898886606483108E-2</v>
      </c>
      <c r="U27">
        <v>3.8124556736317761E-2</v>
      </c>
      <c r="V27">
        <v>3.7517066814752864E-2</v>
      </c>
      <c r="W27">
        <v>3.7210201216575811E-2</v>
      </c>
      <c r="X27">
        <v>3.7055976925368883E-2</v>
      </c>
      <c r="AA27">
        <v>-5040.7671</v>
      </c>
      <c r="AB27">
        <v>-5040.7671</v>
      </c>
      <c r="AC27">
        <v>-5040.7671</v>
      </c>
      <c r="AD27">
        <v>-5040.7671</v>
      </c>
      <c r="AE27">
        <v>-5040.7671</v>
      </c>
      <c r="AF27">
        <v>-5040.7671</v>
      </c>
    </row>
    <row r="28" spans="2:32" x14ac:dyDescent="0.25">
      <c r="B28">
        <v>51</v>
      </c>
      <c r="C28">
        <v>419.17845067608704</v>
      </c>
      <c r="D28">
        <v>755.0975752420585</v>
      </c>
      <c r="E28">
        <v>1762.8549754484102</v>
      </c>
      <c r="F28">
        <v>3442.4505836208896</v>
      </c>
      <c r="G28">
        <v>6801.6418820561048</v>
      </c>
      <c r="H28">
        <v>13520.024492678756</v>
      </c>
      <c r="J28">
        <v>51</v>
      </c>
      <c r="K28">
        <v>450.94940156621578</v>
      </c>
      <c r="L28">
        <v>691.53133226387581</v>
      </c>
      <c r="M28">
        <v>1413.2774295507588</v>
      </c>
      <c r="N28">
        <v>2616.1869142874057</v>
      </c>
      <c r="O28">
        <v>5022.0068288728799</v>
      </c>
      <c r="P28">
        <v>9833.6468163742684</v>
      </c>
      <c r="R28">
        <v>51</v>
      </c>
      <c r="S28">
        <v>4.2246888458022491E-2</v>
      </c>
      <c r="T28">
        <v>3.9674027311407345E-2</v>
      </c>
      <c r="U28">
        <v>3.8055758310612475E-2</v>
      </c>
      <c r="V28">
        <v>3.7503080578002335E-2</v>
      </c>
      <c r="W28">
        <v>3.7224174261145659E-2</v>
      </c>
      <c r="X28">
        <v>3.708407053079843E-2</v>
      </c>
      <c r="AA28">
        <v>-5025.8329000000003</v>
      </c>
      <c r="AB28">
        <v>-5025.8329000000003</v>
      </c>
      <c r="AC28">
        <v>-5025.8329000000003</v>
      </c>
      <c r="AD28">
        <v>-5025.8329000000003</v>
      </c>
      <c r="AE28">
        <v>-5025.8329000000003</v>
      </c>
      <c r="AF28">
        <v>-5025.8329000000003</v>
      </c>
    </row>
    <row r="29" spans="2:32" x14ac:dyDescent="0.25">
      <c r="B29">
        <v>52</v>
      </c>
      <c r="C29">
        <v>452.35119148632884</v>
      </c>
      <c r="D29">
        <v>821.30561187656303</v>
      </c>
      <c r="E29">
        <v>1928.1689023050706</v>
      </c>
      <c r="F29">
        <v>3772.9410336524156</v>
      </c>
      <c r="G29">
        <v>7462.4852850679017</v>
      </c>
      <c r="H29">
        <v>14841.573778567796</v>
      </c>
      <c r="J29">
        <v>52</v>
      </c>
      <c r="K29">
        <v>474.70738607182648</v>
      </c>
      <c r="L29">
        <v>738.94883069560092</v>
      </c>
      <c r="M29">
        <v>1531.6735004532857</v>
      </c>
      <c r="N29">
        <v>2852.8810610470391</v>
      </c>
      <c r="O29">
        <v>5495.2960527466785</v>
      </c>
      <c r="P29">
        <v>10780.125929022965</v>
      </c>
      <c r="R29">
        <v>52</v>
      </c>
      <c r="S29">
        <v>4.1870324717453444E-2</v>
      </c>
      <c r="T29">
        <v>3.9494643679606201E-2</v>
      </c>
      <c r="U29">
        <v>3.800625989831885E-2</v>
      </c>
      <c r="V29">
        <v>3.749899622589381E-2</v>
      </c>
      <c r="W29">
        <v>3.7243211995134917E-2</v>
      </c>
      <c r="X29">
        <v>3.7114775258334065E-2</v>
      </c>
      <c r="AA29">
        <v>-5009.4771000000001</v>
      </c>
      <c r="AB29">
        <v>-5009.4771000000001</v>
      </c>
      <c r="AC29">
        <v>-5009.4771000000001</v>
      </c>
      <c r="AD29">
        <v>-5009.4771000000001</v>
      </c>
      <c r="AE29">
        <v>-5009.4771000000001</v>
      </c>
      <c r="AF29">
        <v>-5009.4771000000001</v>
      </c>
    </row>
    <row r="30" spans="2:32" x14ac:dyDescent="0.25">
      <c r="B30">
        <v>53</v>
      </c>
      <c r="C30">
        <v>488.43461912366109</v>
      </c>
      <c r="D30">
        <v>893.32341231884891</v>
      </c>
      <c r="E30">
        <v>2107.9898272739943</v>
      </c>
      <c r="F30">
        <v>4132.4338326749576</v>
      </c>
      <c r="G30">
        <v>8181.3218347841621</v>
      </c>
      <c r="H30">
        <v>16279.097831907431</v>
      </c>
      <c r="J30">
        <v>53</v>
      </c>
      <c r="K30">
        <v>500.54997863840345</v>
      </c>
      <c r="L30">
        <v>790.52725814695077</v>
      </c>
      <c r="M30">
        <v>1660.4595014723018</v>
      </c>
      <c r="N30">
        <v>3110.3463502286977</v>
      </c>
      <c r="O30">
        <v>6010.1199482544907</v>
      </c>
      <c r="P30">
        <v>11809.667063103348</v>
      </c>
      <c r="R30">
        <v>53</v>
      </c>
      <c r="S30">
        <v>4.1535314365902076E-2</v>
      </c>
      <c r="T30">
        <v>3.9340095631035688E-2</v>
      </c>
      <c r="U30">
        <v>3.7969687966791899E-2</v>
      </c>
      <c r="V30">
        <v>3.7503510304065069E-2</v>
      </c>
      <c r="W30">
        <v>3.726861405736126E-2</v>
      </c>
      <c r="X30">
        <v>3.7150709076770427E-2</v>
      </c>
      <c r="AA30">
        <v>-4991.6184000000003</v>
      </c>
      <c r="AB30">
        <v>-4991.6184000000003</v>
      </c>
      <c r="AC30">
        <v>-4991.6184000000003</v>
      </c>
      <c r="AD30">
        <v>-4991.6184000000003</v>
      </c>
      <c r="AE30">
        <v>-4991.6184000000003</v>
      </c>
      <c r="AF30">
        <v>-4991.6184000000003</v>
      </c>
    </row>
    <row r="31" spans="2:32" x14ac:dyDescent="0.25">
      <c r="B31">
        <v>54</v>
      </c>
      <c r="C31">
        <v>531.77387172214389</v>
      </c>
      <c r="D31">
        <v>979.82266372942456</v>
      </c>
      <c r="E31">
        <v>2323.9690748358307</v>
      </c>
      <c r="F31">
        <v>4564.2130132162747</v>
      </c>
      <c r="G31">
        <v>9044.7009851289567</v>
      </c>
      <c r="H31">
        <v>18005.676938539571</v>
      </c>
      <c r="J31">
        <v>54</v>
      </c>
      <c r="K31">
        <v>531.58912460918327</v>
      </c>
      <c r="L31">
        <v>852.47719820188104</v>
      </c>
      <c r="M31">
        <v>1815.1418190323202</v>
      </c>
      <c r="N31">
        <v>3419.5819400633554</v>
      </c>
      <c r="O31">
        <v>6628.463267095387</v>
      </c>
      <c r="P31">
        <v>13046.226030455524</v>
      </c>
      <c r="R31">
        <v>54</v>
      </c>
      <c r="S31">
        <v>4.1211980905820234E-2</v>
      </c>
      <c r="T31">
        <v>3.9197470918012289E-2</v>
      </c>
      <c r="U31">
        <v>3.7944353522264551E-2</v>
      </c>
      <c r="V31">
        <v>3.7518868889436341E-2</v>
      </c>
      <c r="W31">
        <v>3.7304632277829208E-2</v>
      </c>
      <c r="X31">
        <v>3.7197136425692445E-2</v>
      </c>
      <c r="AA31">
        <v>-4972.1588000000002</v>
      </c>
      <c r="AB31">
        <v>-4972.1588000000002</v>
      </c>
      <c r="AC31">
        <v>-4972.1588000000002</v>
      </c>
      <c r="AD31">
        <v>-4972.1588000000002</v>
      </c>
      <c r="AE31">
        <v>-4972.1588000000002</v>
      </c>
      <c r="AF31">
        <v>-4972.1588000000002</v>
      </c>
    </row>
    <row r="32" spans="2:32" x14ac:dyDescent="0.25">
      <c r="B32">
        <v>55</v>
      </c>
      <c r="C32">
        <v>575.19313879553113</v>
      </c>
      <c r="D32">
        <v>1066.482686234888</v>
      </c>
      <c r="E32">
        <v>2540.3513768203156</v>
      </c>
      <c r="F32">
        <v>4996.799170398227</v>
      </c>
      <c r="G32">
        <v>9909.6947510391547</v>
      </c>
      <c r="H32">
        <v>19735.485907291659</v>
      </c>
      <c r="J32">
        <v>55</v>
      </c>
      <c r="K32">
        <v>562.6855714183539</v>
      </c>
      <c r="L32">
        <v>914.5421965649075</v>
      </c>
      <c r="M32">
        <v>1970.1126203603053</v>
      </c>
      <c r="N32">
        <v>3729.3963866277045</v>
      </c>
      <c r="O32">
        <v>7247.963845148086</v>
      </c>
      <c r="P32">
        <v>14285.098705051409</v>
      </c>
      <c r="R32">
        <v>55</v>
      </c>
      <c r="S32">
        <v>4.0952460718696404E-2</v>
      </c>
      <c r="T32">
        <v>3.9089039423571226E-2</v>
      </c>
      <c r="U32">
        <v>3.7933345432018761E-2</v>
      </c>
      <c r="V32">
        <v>3.7541548702298755E-2</v>
      </c>
      <c r="W32">
        <v>3.7344390523724513E-2</v>
      </c>
      <c r="X32">
        <v>3.7245493587973799E-2</v>
      </c>
      <c r="AA32">
        <v>-4950.9426000000003</v>
      </c>
      <c r="AB32">
        <v>-4950.9426000000003</v>
      </c>
      <c r="AC32">
        <v>-4950.9426000000003</v>
      </c>
      <c r="AD32">
        <v>-4950.9426000000003</v>
      </c>
      <c r="AE32">
        <v>-4950.9426000000003</v>
      </c>
      <c r="AF32">
        <v>-4950.9426000000003</v>
      </c>
    </row>
    <row r="35" spans="2:31" x14ac:dyDescent="0.25">
      <c r="B35" t="s">
        <v>46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32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48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2:31" x14ac:dyDescent="0.25">
      <c r="B36">
        <v>35</v>
      </c>
      <c r="C36">
        <v>13440.124980641931</v>
      </c>
      <c r="D36">
        <v>37781.359956683234</v>
      </c>
      <c r="E36">
        <v>78350.086401770648</v>
      </c>
      <c r="F36">
        <v>159487.53637519386</v>
      </c>
      <c r="G36">
        <v>321762.44325163582</v>
      </c>
      <c r="J36">
        <v>35</v>
      </c>
      <c r="K36">
        <v>672.00624903212156</v>
      </c>
      <c r="L36">
        <v>1889.0668191520235</v>
      </c>
      <c r="M36">
        <v>3917.5037626636913</v>
      </c>
      <c r="N36">
        <v>7974.372425175563</v>
      </c>
      <c r="O36">
        <v>16088.122162552667</v>
      </c>
      <c r="R36">
        <v>35</v>
      </c>
      <c r="S36">
        <v>3.2185659736804872E-2</v>
      </c>
      <c r="T36">
        <v>3.2643217847110995E-2</v>
      </c>
      <c r="U36">
        <v>3.2811340228331876E-2</v>
      </c>
      <c r="V36">
        <v>3.2898657727283842E-2</v>
      </c>
      <c r="W36">
        <v>3.2943169482853474E-2</v>
      </c>
      <c r="AA36">
        <v>-8996.1419000000005</v>
      </c>
      <c r="AB36">
        <v>-8996.1419000000005</v>
      </c>
      <c r="AC36">
        <v>-8996.1419000000005</v>
      </c>
      <c r="AD36">
        <v>-8996.1419000000005</v>
      </c>
      <c r="AE36">
        <v>-8996.1419000000005</v>
      </c>
    </row>
    <row r="37" spans="2:31" x14ac:dyDescent="0.25">
      <c r="B37">
        <f t="shared" ref="B37:B66" si="0">B36+1</f>
        <v>36</v>
      </c>
      <c r="C37">
        <v>14198.886919880031</v>
      </c>
      <c r="D37">
        <v>39647.02666784633</v>
      </c>
      <c r="E37">
        <v>82060.593349634437</v>
      </c>
      <c r="F37">
        <v>166887.72659667692</v>
      </c>
      <c r="G37">
        <v>336541.99304325611</v>
      </c>
      <c r="J37">
        <f t="shared" ref="J37:J66" si="1">J36+1</f>
        <v>36</v>
      </c>
      <c r="K37">
        <v>709.94442145706125</v>
      </c>
      <c r="L37">
        <v>1982.3514692887547</v>
      </c>
      <c r="M37">
        <v>4103.0306563396589</v>
      </c>
      <c r="N37">
        <v>8344.3888231768506</v>
      </c>
      <c r="O37">
        <v>16827.10507235874</v>
      </c>
      <c r="R37">
        <f t="shared" ref="R37:R66" si="2">R36+1</f>
        <v>36</v>
      </c>
      <c r="S37">
        <v>3.232729066518214E-2</v>
      </c>
      <c r="T37">
        <v>3.2791328223660043E-2</v>
      </c>
      <c r="U37">
        <v>3.2961465658401412E-2</v>
      </c>
      <c r="V37">
        <v>3.3049754633907025E-2</v>
      </c>
      <c r="W37">
        <v>3.309473909745031E-2</v>
      </c>
      <c r="AA37">
        <v>-8902.6679999999997</v>
      </c>
      <c r="AB37">
        <v>-8902.6679999999997</v>
      </c>
      <c r="AC37">
        <v>-8902.6679999999997</v>
      </c>
      <c r="AD37">
        <v>-8902.6679999999997</v>
      </c>
      <c r="AE37">
        <v>-8902.6679999999997</v>
      </c>
    </row>
    <row r="38" spans="2:31" x14ac:dyDescent="0.25">
      <c r="B38">
        <f t="shared" si="0"/>
        <v>37</v>
      </c>
      <c r="C38">
        <v>14993.16477328811</v>
      </c>
      <c r="D38">
        <v>41600.223967449005</v>
      </c>
      <c r="E38">
        <v>85945.323633660169</v>
      </c>
      <c r="F38">
        <v>174635.52285571126</v>
      </c>
      <c r="G38">
        <v>352015.92125436559</v>
      </c>
      <c r="J38">
        <f t="shared" si="1"/>
        <v>37</v>
      </c>
      <c r="K38">
        <v>749.65892358351266</v>
      </c>
      <c r="L38">
        <v>2080.0113645602687</v>
      </c>
      <c r="M38">
        <v>4297.2672148499405</v>
      </c>
      <c r="N38">
        <v>8731.7787205560599</v>
      </c>
      <c r="O38">
        <v>17600.801651724498</v>
      </c>
      <c r="R38">
        <f t="shared" si="2"/>
        <v>37</v>
      </c>
      <c r="S38">
        <v>3.2478690113776354E-2</v>
      </c>
      <c r="T38">
        <v>3.2949595189939673E-2</v>
      </c>
      <c r="U38">
        <v>3.3121886047609461E-2</v>
      </c>
      <c r="V38">
        <v>3.3211215578954789E-2</v>
      </c>
      <c r="W38">
        <v>3.3256710046679183E-2</v>
      </c>
      <c r="AA38">
        <v>-8806.7960000000003</v>
      </c>
      <c r="AB38">
        <v>-8806.7960000000003</v>
      </c>
      <c r="AC38">
        <v>-8806.7960000000003</v>
      </c>
      <c r="AD38">
        <v>-8806.7960000000003</v>
      </c>
      <c r="AE38">
        <v>-8806.7960000000003</v>
      </c>
    </row>
    <row r="39" spans="2:31" x14ac:dyDescent="0.25">
      <c r="B39">
        <f t="shared" si="0"/>
        <v>38</v>
      </c>
      <c r="C39">
        <v>15824.73212748795</v>
      </c>
      <c r="D39">
        <v>43645.236277380245</v>
      </c>
      <c r="E39">
        <v>90012.744153227424</v>
      </c>
      <c r="F39">
        <v>182747.75980021374</v>
      </c>
      <c r="G39">
        <v>368217.79105065914</v>
      </c>
      <c r="J39">
        <f t="shared" si="1"/>
        <v>38</v>
      </c>
      <c r="K39">
        <v>791.23725308026769</v>
      </c>
      <c r="L39">
        <v>2182.2620098396437</v>
      </c>
      <c r="M39">
        <v>4500.6382855397242</v>
      </c>
      <c r="N39">
        <v>9137.3906534585403</v>
      </c>
      <c r="O39">
        <v>18410.895313023124</v>
      </c>
      <c r="R39">
        <f t="shared" si="2"/>
        <v>38</v>
      </c>
      <c r="S39">
        <v>3.2640796685885931E-2</v>
      </c>
      <c r="T39">
        <v>3.3118966516965331E-2</v>
      </c>
      <c r="U39">
        <v>3.3293547058004913E-2</v>
      </c>
      <c r="V39">
        <v>3.3383986422090617E-2</v>
      </c>
      <c r="W39">
        <v>3.3430025856917567E-2</v>
      </c>
      <c r="AA39">
        <v>-8708.6234000000004</v>
      </c>
      <c r="AB39">
        <v>-8708.6234000000004</v>
      </c>
      <c r="AC39">
        <v>-8708.6234000000004</v>
      </c>
      <c r="AD39">
        <v>-8708.6234000000004</v>
      </c>
      <c r="AE39">
        <v>-8708.6234000000004</v>
      </c>
    </row>
    <row r="40" spans="2:31" x14ac:dyDescent="0.25">
      <c r="B40">
        <f t="shared" si="0"/>
        <v>39</v>
      </c>
      <c r="C40">
        <v>16695.3197388103</v>
      </c>
      <c r="D40">
        <v>45786.41677212403</v>
      </c>
      <c r="E40">
        <v>94271.579404178032</v>
      </c>
      <c r="F40">
        <v>191241.90456898324</v>
      </c>
      <c r="G40">
        <v>385182.55485693994</v>
      </c>
      <c r="J40">
        <f t="shared" si="1"/>
        <v>39</v>
      </c>
      <c r="K40">
        <v>834.76659633472445</v>
      </c>
      <c r="L40">
        <v>2289.3210646273656</v>
      </c>
      <c r="M40">
        <v>4713.5800937357126</v>
      </c>
      <c r="N40">
        <v>9562.0979792979197</v>
      </c>
      <c r="O40">
        <v>19259.13367800042</v>
      </c>
      <c r="R40">
        <f t="shared" si="2"/>
        <v>39</v>
      </c>
      <c r="S40">
        <v>3.2814571134095916E-2</v>
      </c>
      <c r="T40">
        <v>3.3300449272527288E-2</v>
      </c>
      <c r="U40">
        <v>3.3477474207202151E-2</v>
      </c>
      <c r="V40">
        <v>3.356910239609201E-2</v>
      </c>
      <c r="W40">
        <v>3.3615726747721286E-2</v>
      </c>
      <c r="AA40">
        <v>-8608.1594000000005</v>
      </c>
      <c r="AB40">
        <v>-8608.1594000000005</v>
      </c>
      <c r="AC40">
        <v>-8608.1594000000005</v>
      </c>
      <c r="AD40">
        <v>-8608.1594000000005</v>
      </c>
      <c r="AE40">
        <v>-8608.1594000000005</v>
      </c>
    </row>
    <row r="41" spans="2:31" x14ac:dyDescent="0.25">
      <c r="B41">
        <f t="shared" si="0"/>
        <v>40</v>
      </c>
      <c r="C41">
        <v>17606.862847166463</v>
      </c>
      <c r="D41">
        <v>48028.437856032877</v>
      </c>
      <c r="E41">
        <v>98731.063733238654</v>
      </c>
      <c r="F41">
        <v>200136.31539332791</v>
      </c>
      <c r="G41">
        <v>402946.81867360364</v>
      </c>
      <c r="J41">
        <f t="shared" si="1"/>
        <v>40</v>
      </c>
      <c r="K41">
        <v>880.34371636562719</v>
      </c>
      <c r="L41">
        <v>2401.4221486284805</v>
      </c>
      <c r="M41">
        <v>4936.5543564768159</v>
      </c>
      <c r="N41">
        <v>10006.818609497976</v>
      </c>
      <c r="O41">
        <v>20147.347046720563</v>
      </c>
      <c r="R41">
        <f t="shared" si="2"/>
        <v>40</v>
      </c>
      <c r="S41">
        <v>3.3001177930750414E-2</v>
      </c>
      <c r="T41">
        <v>3.3495210556014232E-2</v>
      </c>
      <c r="U41">
        <v>3.367483273990568E-2</v>
      </c>
      <c r="V41">
        <v>3.3767727206555964E-2</v>
      </c>
      <c r="W41">
        <v>3.3814975490819021E-2</v>
      </c>
      <c r="AA41">
        <v>-8505.3439999999991</v>
      </c>
      <c r="AB41">
        <v>-8505.3439999999991</v>
      </c>
      <c r="AC41">
        <v>-8505.3439999999991</v>
      </c>
      <c r="AD41">
        <v>-8505.3439999999991</v>
      </c>
      <c r="AE41">
        <v>-8505.3439999999991</v>
      </c>
    </row>
    <row r="42" spans="2:31" x14ac:dyDescent="0.25">
      <c r="B42">
        <f t="shared" si="0"/>
        <v>41</v>
      </c>
      <c r="C42">
        <v>18561.243739664747</v>
      </c>
      <c r="D42">
        <v>50376.033274804577</v>
      </c>
      <c r="E42">
        <v>103400.6833146897</v>
      </c>
      <c r="F42">
        <v>209449.98330493007</v>
      </c>
      <c r="G42">
        <v>421548.58324720809</v>
      </c>
      <c r="J42">
        <f t="shared" si="1"/>
        <v>41</v>
      </c>
      <c r="K42">
        <v>928.06272606375569</v>
      </c>
      <c r="L42">
        <v>2518.8019499671209</v>
      </c>
      <c r="M42">
        <v>5170.035383130511</v>
      </c>
      <c r="N42">
        <v>10472.502096331737</v>
      </c>
      <c r="O42">
        <v>21077.435457395157</v>
      </c>
      <c r="R42">
        <f t="shared" si="2"/>
        <v>41</v>
      </c>
      <c r="S42">
        <v>3.3201811156534866E-2</v>
      </c>
      <c r="T42">
        <v>3.3704499879035676E-2</v>
      </c>
      <c r="U42">
        <v>3.3886893018072017E-2</v>
      </c>
      <c r="V42">
        <v>3.3981142148919341E-2</v>
      </c>
      <c r="W42">
        <v>3.4029058982165905E-2</v>
      </c>
      <c r="AA42">
        <v>-8400.1087000000007</v>
      </c>
      <c r="AB42">
        <v>-8400.1087000000007</v>
      </c>
      <c r="AC42">
        <v>-8400.1087000000007</v>
      </c>
      <c r="AD42">
        <v>-8400.1087000000007</v>
      </c>
      <c r="AE42">
        <v>-8400.1087000000007</v>
      </c>
    </row>
    <row r="43" spans="2:31" x14ac:dyDescent="0.25">
      <c r="B43">
        <f t="shared" si="0"/>
        <v>42</v>
      </c>
      <c r="C43">
        <v>19560.558938156035</v>
      </c>
      <c r="D43">
        <v>52834.263866305082</v>
      </c>
      <c r="E43">
        <v>108290.43951469318</v>
      </c>
      <c r="F43">
        <v>219202.79072637009</v>
      </c>
      <c r="G43">
        <v>441027.49311313103</v>
      </c>
      <c r="J43">
        <f t="shared" si="1"/>
        <v>42</v>
      </c>
      <c r="K43">
        <v>978.02845252300176</v>
      </c>
      <c r="L43">
        <v>2641.7135100715532</v>
      </c>
      <c r="M43">
        <v>5414.5232417984516</v>
      </c>
      <c r="N43">
        <v>10960.142560955486</v>
      </c>
      <c r="O43">
        <v>22051.381137222052</v>
      </c>
      <c r="R43">
        <f t="shared" si="2"/>
        <v>42</v>
      </c>
      <c r="S43">
        <v>3.341791687163842E-2</v>
      </c>
      <c r="T43">
        <v>3.3929764289084341E-2</v>
      </c>
      <c r="U43">
        <v>3.4115099349979472E-2</v>
      </c>
      <c r="V43">
        <v>3.4210789483510862E-2</v>
      </c>
      <c r="W43">
        <v>3.4259418276725517E-2</v>
      </c>
      <c r="AA43">
        <v>-8292.4974999999995</v>
      </c>
      <c r="AB43">
        <v>-8292.4974999999995</v>
      </c>
      <c r="AC43">
        <v>-8292.4974999999995</v>
      </c>
      <c r="AD43">
        <v>-8292.4974999999995</v>
      </c>
      <c r="AE43">
        <v>-8292.4974999999995</v>
      </c>
    </row>
    <row r="44" spans="2:31" x14ac:dyDescent="0.25">
      <c r="B44">
        <f t="shared" si="0"/>
        <v>43</v>
      </c>
      <c r="C44">
        <v>20606.838254173017</v>
      </c>
      <c r="D44">
        <v>55408.233502441384</v>
      </c>
      <c r="E44">
        <v>113410.559636565</v>
      </c>
      <c r="F44">
        <v>229415.21182400815</v>
      </c>
      <c r="G44">
        <v>461424.51616389118</v>
      </c>
      <c r="J44">
        <f t="shared" si="1"/>
        <v>43</v>
      </c>
      <c r="K44">
        <v>1030.3423848212478</v>
      </c>
      <c r="L44">
        <v>2770.4120234722068</v>
      </c>
      <c r="M44">
        <v>5670.5292984747211</v>
      </c>
      <c r="N44">
        <v>11470.763712682936</v>
      </c>
      <c r="O44">
        <v>23071.232482274063</v>
      </c>
      <c r="R44">
        <f t="shared" si="2"/>
        <v>43</v>
      </c>
      <c r="S44">
        <v>3.365098943254452E-2</v>
      </c>
      <c r="T44">
        <v>3.417256084741771E-2</v>
      </c>
      <c r="U44">
        <v>3.4361032142218306E-2</v>
      </c>
      <c r="V44">
        <v>3.4458261810823787E-2</v>
      </c>
      <c r="W44">
        <v>3.4507652209139206E-2</v>
      </c>
      <c r="AA44">
        <v>-8182.3909999999996</v>
      </c>
      <c r="AB44">
        <v>-8182.3909999999996</v>
      </c>
      <c r="AC44">
        <v>-8182.3909999999996</v>
      </c>
      <c r="AD44">
        <v>-8182.3909999999996</v>
      </c>
      <c r="AE44">
        <v>-8182.3909999999996</v>
      </c>
    </row>
    <row r="45" spans="2:31" x14ac:dyDescent="0.25">
      <c r="B45">
        <f t="shared" si="0"/>
        <v>44</v>
      </c>
      <c r="C45">
        <v>21702.331570538659</v>
      </c>
      <c r="D45">
        <v>58103.370667385607</v>
      </c>
      <c r="E45">
        <v>118771.7698349249</v>
      </c>
      <c r="F45">
        <v>240108.56809319972</v>
      </c>
      <c r="G45">
        <v>482782.16457623313</v>
      </c>
      <c r="J45">
        <f t="shared" si="1"/>
        <v>44</v>
      </c>
      <c r="K45">
        <v>1085.1170180653207</v>
      </c>
      <c r="L45">
        <v>2905.1689139871014</v>
      </c>
      <c r="M45">
        <v>5938.5898608220741</v>
      </c>
      <c r="N45">
        <v>12005.431626602949</v>
      </c>
      <c r="O45">
        <v>24139.115102354786</v>
      </c>
      <c r="R45">
        <f t="shared" si="2"/>
        <v>44</v>
      </c>
      <c r="S45">
        <v>3.3902833009821887E-2</v>
      </c>
      <c r="T45">
        <v>3.4434691347520863E-2</v>
      </c>
      <c r="U45">
        <v>3.4626488894618168E-2</v>
      </c>
      <c r="V45">
        <v>3.4725353719907481E-2</v>
      </c>
      <c r="W45">
        <v>3.4775553709949669E-2</v>
      </c>
      <c r="AA45">
        <v>-8069.8261000000002</v>
      </c>
      <c r="AB45">
        <v>-8069.8261000000002</v>
      </c>
      <c r="AC45">
        <v>-8069.8261000000002</v>
      </c>
      <c r="AD45">
        <v>-8069.8261000000002</v>
      </c>
      <c r="AE45">
        <v>-8069.8261000000002</v>
      </c>
    </row>
    <row r="46" spans="2:31" x14ac:dyDescent="0.25">
      <c r="B46">
        <f t="shared" si="0"/>
        <v>45</v>
      </c>
      <c r="C46">
        <v>22849.201461738663</v>
      </c>
      <c r="D46">
        <v>60925.113336679184</v>
      </c>
      <c r="E46">
        <v>124384.96708432399</v>
      </c>
      <c r="F46">
        <v>251304.67450670921</v>
      </c>
      <c r="G46">
        <v>505144.08931947692</v>
      </c>
      <c r="J46">
        <f t="shared" si="1"/>
        <v>45</v>
      </c>
      <c r="K46">
        <v>1142.4604794244078</v>
      </c>
      <c r="L46">
        <v>3046.256081456464</v>
      </c>
      <c r="M46">
        <v>6219.2497786359454</v>
      </c>
      <c r="N46">
        <v>12565.237052749726</v>
      </c>
      <c r="O46">
        <v>25257.211548193591</v>
      </c>
      <c r="R46">
        <f t="shared" si="2"/>
        <v>45</v>
      </c>
      <c r="S46">
        <v>3.4175324909218041E-2</v>
      </c>
      <c r="T46">
        <v>3.4718102919814475E-2</v>
      </c>
      <c r="U46">
        <v>3.4913442483658574E-2</v>
      </c>
      <c r="V46">
        <v>3.5014051486252029E-2</v>
      </c>
      <c r="W46">
        <v>3.5065115892267684E-2</v>
      </c>
      <c r="AA46">
        <v>-7954.7533999999996</v>
      </c>
      <c r="AB46">
        <v>-7954.7533999999996</v>
      </c>
      <c r="AC46">
        <v>-7954.7533999999996</v>
      </c>
      <c r="AD46">
        <v>-7954.7533999999996</v>
      </c>
      <c r="AE46">
        <v>-7954.7533999999996</v>
      </c>
    </row>
    <row r="47" spans="2:31" x14ac:dyDescent="0.25">
      <c r="B47">
        <f t="shared" si="0"/>
        <v>46</v>
      </c>
      <c r="C47">
        <v>24049.830669177492</v>
      </c>
      <c r="D47">
        <v>63879.205608156022</v>
      </c>
      <c r="E47">
        <v>130261.49774472503</v>
      </c>
      <c r="F47">
        <v>263026.08194861561</v>
      </c>
      <c r="G47">
        <v>528555.25032580481</v>
      </c>
      <c r="J47">
        <f t="shared" si="1"/>
        <v>46</v>
      </c>
      <c r="K47">
        <v>1202.4919068782328</v>
      </c>
      <c r="L47">
        <v>3193.9607304890815</v>
      </c>
      <c r="M47">
        <v>6513.0763700545358</v>
      </c>
      <c r="N47">
        <v>13151.307536090317</v>
      </c>
      <c r="O47">
        <v>26427.769818198867</v>
      </c>
      <c r="R47">
        <f t="shared" si="2"/>
        <v>46</v>
      </c>
      <c r="S47">
        <v>3.4470724596659785E-2</v>
      </c>
      <c r="T47">
        <v>3.5025046330829701E-2</v>
      </c>
      <c r="U47">
        <v>3.5224136713106535E-2</v>
      </c>
      <c r="V47">
        <v>3.532659455762821E-2</v>
      </c>
      <c r="W47">
        <v>3.5378575794774658E-2</v>
      </c>
      <c r="AA47">
        <v>-7837.1754000000001</v>
      </c>
      <c r="AB47">
        <v>-7837.1754000000001</v>
      </c>
      <c r="AC47">
        <v>-7837.1754000000001</v>
      </c>
      <c r="AD47">
        <v>-7837.1754000000001</v>
      </c>
      <c r="AE47">
        <v>-7837.1754000000001</v>
      </c>
    </row>
    <row r="48" spans="2:31" x14ac:dyDescent="0.25">
      <c r="B48">
        <f t="shared" si="0"/>
        <v>47</v>
      </c>
      <c r="C48">
        <v>25306.484239606787</v>
      </c>
      <c r="D48">
        <v>66971.345276313979</v>
      </c>
      <c r="E48">
        <v>136412.78085383921</v>
      </c>
      <c r="F48">
        <v>275295.6519432487</v>
      </c>
      <c r="G48">
        <v>553061.39409288275</v>
      </c>
      <c r="J48">
        <f t="shared" si="1"/>
        <v>47</v>
      </c>
      <c r="K48">
        <v>1265.3245511269124</v>
      </c>
      <c r="L48">
        <v>3348.5677520369209</v>
      </c>
      <c r="M48">
        <v>6820.6405883254192</v>
      </c>
      <c r="N48">
        <v>13764.786154781235</v>
      </c>
      <c r="O48">
        <v>27653.077240510145</v>
      </c>
      <c r="R48">
        <f t="shared" si="2"/>
        <v>47</v>
      </c>
      <c r="S48">
        <v>3.479139655073249E-2</v>
      </c>
      <c r="T48">
        <v>3.53579618611779E-2</v>
      </c>
      <c r="U48">
        <v>3.556103956130463E-2</v>
      </c>
      <c r="V48">
        <v>3.5665465278529318E-2</v>
      </c>
      <c r="W48">
        <v>3.571842308082096E-2</v>
      </c>
      <c r="AA48">
        <v>-7717.0294999999996</v>
      </c>
      <c r="AB48">
        <v>-7717.0294999999996</v>
      </c>
      <c r="AC48">
        <v>-7717.0294999999996</v>
      </c>
      <c r="AD48">
        <v>-7717.0294999999996</v>
      </c>
      <c r="AE48">
        <v>-7717.0294999999996</v>
      </c>
    </row>
    <row r="49" spans="2:31" x14ac:dyDescent="0.25">
      <c r="B49">
        <f t="shared" si="0"/>
        <v>48</v>
      </c>
      <c r="C49">
        <v>26621.638695968555</v>
      </c>
      <c r="D49">
        <v>70207.493964914262</v>
      </c>
      <c r="E49">
        <v>142850.58653803763</v>
      </c>
      <c r="F49">
        <v>288136.7716220463</v>
      </c>
      <c r="G49">
        <v>578709.14176223497</v>
      </c>
      <c r="J49">
        <f t="shared" si="1"/>
        <v>48</v>
      </c>
      <c r="K49">
        <v>1331.0822391561233</v>
      </c>
      <c r="L49">
        <v>3510.3752271404228</v>
      </c>
      <c r="M49">
        <v>7142.5309401703707</v>
      </c>
      <c r="N49">
        <v>14406.842266660708</v>
      </c>
      <c r="O49">
        <v>28935.464875121485</v>
      </c>
      <c r="R49">
        <f t="shared" si="2"/>
        <v>48</v>
      </c>
      <c r="S49">
        <v>3.5140176987509486E-2</v>
      </c>
      <c r="T49">
        <v>3.5719665726260619E-2</v>
      </c>
      <c r="U49">
        <v>3.5926955779445269E-2</v>
      </c>
      <c r="V49">
        <v>3.6033461649459975E-2</v>
      </c>
      <c r="W49">
        <v>3.6087452107972151E-2</v>
      </c>
      <c r="AA49">
        <v>-7594.4201000000003</v>
      </c>
      <c r="AB49">
        <v>-7594.4201000000003</v>
      </c>
      <c r="AC49">
        <v>-7594.4201000000003</v>
      </c>
      <c r="AD49">
        <v>-7594.4201000000003</v>
      </c>
      <c r="AE49">
        <v>-7594.4201000000003</v>
      </c>
    </row>
    <row r="50" spans="2:31" x14ac:dyDescent="0.25">
      <c r="B50">
        <f t="shared" si="0"/>
        <v>49</v>
      </c>
      <c r="C50">
        <v>27997.608723407466</v>
      </c>
      <c r="D50">
        <v>73593.479478195732</v>
      </c>
      <c r="E50">
        <v>149586.59779667071</v>
      </c>
      <c r="F50">
        <v>301572.83437476284</v>
      </c>
      <c r="G50">
        <v>605545.30750448862</v>
      </c>
      <c r="J50">
        <f t="shared" si="1"/>
        <v>49</v>
      </c>
      <c r="K50">
        <v>1399.8807034747078</v>
      </c>
      <c r="L50">
        <v>3679.6745474283816</v>
      </c>
      <c r="M50">
        <v>7479.3315772803617</v>
      </c>
      <c r="N50">
        <v>15078.645543837512</v>
      </c>
      <c r="O50">
        <v>30277.273435078911</v>
      </c>
      <c r="R50">
        <f t="shared" si="2"/>
        <v>49</v>
      </c>
      <c r="S50">
        <v>3.5520045936205058E-2</v>
      </c>
      <c r="T50">
        <v>3.6113216816528793E-2</v>
      </c>
      <c r="U50">
        <v>3.6324972832949776E-2</v>
      </c>
      <c r="V50">
        <v>3.6433685912446778E-2</v>
      </c>
      <c r="W50">
        <v>3.6488772635136613E-2</v>
      </c>
      <c r="AA50">
        <v>-7469.3995999999997</v>
      </c>
      <c r="AB50">
        <v>-7469.3995999999997</v>
      </c>
      <c r="AC50">
        <v>-7469.3995999999997</v>
      </c>
      <c r="AD50">
        <v>-7469.3995999999997</v>
      </c>
      <c r="AE50">
        <v>-7469.3995999999997</v>
      </c>
    </row>
    <row r="51" spans="2:31" x14ac:dyDescent="0.25">
      <c r="B51">
        <f t="shared" si="0"/>
        <v>50</v>
      </c>
      <c r="C51">
        <v>29436.898924648587</v>
      </c>
      <c r="D51">
        <v>77135.316948547013</v>
      </c>
      <c r="E51">
        <v>156632.68064592339</v>
      </c>
      <c r="F51">
        <v>315627.40798504686</v>
      </c>
      <c r="G51">
        <v>633616.86263814732</v>
      </c>
      <c r="J51">
        <f t="shared" si="1"/>
        <v>50</v>
      </c>
      <c r="K51">
        <v>1471.8451749713931</v>
      </c>
      <c r="L51">
        <v>3856.7664695271378</v>
      </c>
      <c r="M51">
        <v>7831.6358011743578</v>
      </c>
      <c r="N51">
        <v>15781.374377410219</v>
      </c>
      <c r="O51">
        <v>31680.851490527275</v>
      </c>
      <c r="R51">
        <f t="shared" si="2"/>
        <v>50</v>
      </c>
      <c r="S51">
        <v>3.5934563795474661E-2</v>
      </c>
      <c r="T51">
        <v>3.6542135992772673E-2</v>
      </c>
      <c r="U51">
        <v>3.6758592644670518E-2</v>
      </c>
      <c r="V51">
        <v>3.6869629315562813E-2</v>
      </c>
      <c r="W51">
        <v>3.6925870257980442E-2</v>
      </c>
      <c r="AA51">
        <v>-7341.9502000000002</v>
      </c>
      <c r="AB51">
        <v>-7341.9502000000002</v>
      </c>
      <c r="AC51">
        <v>-7341.9502000000002</v>
      </c>
      <c r="AD51">
        <v>-7341.9502000000002</v>
      </c>
      <c r="AE51">
        <v>-7341.9502000000002</v>
      </c>
    </row>
    <row r="52" spans="2:31" x14ac:dyDescent="0.25">
      <c r="B52">
        <f t="shared" si="0"/>
        <v>51</v>
      </c>
      <c r="C52">
        <v>30941.788974303508</v>
      </c>
      <c r="D52">
        <v>80838.756058203769</v>
      </c>
      <c r="E52">
        <v>164000.36811026989</v>
      </c>
      <c r="F52">
        <v>330323.59216201771</v>
      </c>
      <c r="G52">
        <v>662970.04024170653</v>
      </c>
      <c r="J52">
        <f t="shared" si="1"/>
        <v>51</v>
      </c>
      <c r="K52">
        <v>1547.0896355005316</v>
      </c>
      <c r="L52">
        <v>4041.9384791530028</v>
      </c>
      <c r="M52">
        <v>8200.0202651422005</v>
      </c>
      <c r="N52">
        <v>16516.183756079758</v>
      </c>
      <c r="O52">
        <v>33148.510701123625</v>
      </c>
      <c r="R52">
        <f t="shared" si="2"/>
        <v>51</v>
      </c>
      <c r="S52">
        <v>3.638747782446683E-2</v>
      </c>
      <c r="T52">
        <v>3.7010246489306287E-2</v>
      </c>
      <c r="U52">
        <v>3.7231665778314715E-2</v>
      </c>
      <c r="V52">
        <v>3.734515652171555E-2</v>
      </c>
      <c r="W52">
        <v>3.7402616803799082E-2</v>
      </c>
      <c r="AA52">
        <v>-7212.0646999999999</v>
      </c>
      <c r="AB52">
        <v>-7212.0646999999999</v>
      </c>
      <c r="AC52">
        <v>-7212.0646999999999</v>
      </c>
      <c r="AD52">
        <v>-7212.0646999999999</v>
      </c>
      <c r="AE52">
        <v>-7212.0646999999999</v>
      </c>
    </row>
    <row r="53" spans="2:31" x14ac:dyDescent="0.25">
      <c r="B53">
        <f t="shared" si="0"/>
        <v>52</v>
      </c>
      <c r="C53">
        <v>32514.70878327328</v>
      </c>
      <c r="D53">
        <v>84709.609738139101</v>
      </c>
      <c r="E53">
        <v>171701.11148825494</v>
      </c>
      <c r="F53">
        <v>345684.11493919214</v>
      </c>
      <c r="G53">
        <v>693650.12181856181</v>
      </c>
      <c r="J53">
        <f t="shared" si="1"/>
        <v>52</v>
      </c>
      <c r="K53">
        <v>1625.7355812624373</v>
      </c>
      <c r="L53">
        <v>4235.4812229921517</v>
      </c>
      <c r="M53">
        <v>8585.0575351162115</v>
      </c>
      <c r="N53">
        <v>17284.210084003978</v>
      </c>
      <c r="O53">
        <v>34682.515147374477</v>
      </c>
      <c r="R53">
        <f t="shared" si="2"/>
        <v>52</v>
      </c>
      <c r="S53">
        <v>3.6883242330969734E-2</v>
      </c>
      <c r="T53">
        <v>3.7521930172026652E-2</v>
      </c>
      <c r="U53">
        <v>3.7748542946660191E-2</v>
      </c>
      <c r="V53">
        <v>3.7864601220477079E-2</v>
      </c>
      <c r="W53">
        <v>3.7923337074762253E-2</v>
      </c>
      <c r="AA53">
        <v>-7079.7435999999998</v>
      </c>
      <c r="AB53">
        <v>-7079.7435999999998</v>
      </c>
      <c r="AC53">
        <v>-7079.7435999999998</v>
      </c>
      <c r="AD53">
        <v>-7079.7435999999998</v>
      </c>
      <c r="AE53">
        <v>-7079.7435999999998</v>
      </c>
    </row>
    <row r="54" spans="2:31" x14ac:dyDescent="0.25">
      <c r="B54">
        <f t="shared" si="0"/>
        <v>53</v>
      </c>
      <c r="C54">
        <v>34157.774776799488</v>
      </c>
      <c r="D54">
        <v>88753.234178791463</v>
      </c>
      <c r="E54">
        <v>179745.66657475897</v>
      </c>
      <c r="F54">
        <v>361730.53132054745</v>
      </c>
      <c r="G54">
        <v>725700.26079096051</v>
      </c>
      <c r="J54">
        <f t="shared" si="1"/>
        <v>53</v>
      </c>
      <c r="K54">
        <v>1707.8888315219374</v>
      </c>
      <c r="L54">
        <v>4437.6625122851401</v>
      </c>
      <c r="M54">
        <v>8987.2854031313327</v>
      </c>
      <c r="N54">
        <v>18086.531115134596</v>
      </c>
      <c r="O54">
        <v>36285.022507181624</v>
      </c>
      <c r="R54">
        <f t="shared" si="2"/>
        <v>53</v>
      </c>
      <c r="S54">
        <v>3.7426537443856711E-2</v>
      </c>
      <c r="T54">
        <v>3.8081929415787696E-2</v>
      </c>
      <c r="U54">
        <v>3.8313988818493128E-2</v>
      </c>
      <c r="V54">
        <v>3.843273957557547E-2</v>
      </c>
      <c r="W54">
        <v>3.8492813075178933E-2</v>
      </c>
      <c r="AA54">
        <v>-6945.0875999999998</v>
      </c>
      <c r="AB54">
        <v>-6945.0875999999998</v>
      </c>
      <c r="AC54">
        <v>-6945.0875999999998</v>
      </c>
      <c r="AD54">
        <v>-6945.0875999999998</v>
      </c>
      <c r="AE54">
        <v>-6945.0875999999998</v>
      </c>
    </row>
    <row r="55" spans="2:31" x14ac:dyDescent="0.25">
      <c r="B55">
        <f t="shared" si="0"/>
        <v>54</v>
      </c>
      <c r="C55">
        <v>35873.189683287084</v>
      </c>
      <c r="D55">
        <v>92974.860892193639</v>
      </c>
      <c r="E55">
        <v>188144.31329433271</v>
      </c>
      <c r="F55">
        <v>378483.21805546968</v>
      </c>
      <c r="G55">
        <v>759161.02755790832</v>
      </c>
      <c r="J55">
        <f t="shared" si="1"/>
        <v>54</v>
      </c>
      <c r="K55">
        <v>1793.6599031062797</v>
      </c>
      <c r="L55">
        <v>4648.7439228049479</v>
      </c>
      <c r="M55">
        <v>9407.2178665200481</v>
      </c>
      <c r="N55">
        <v>18924.165689616813</v>
      </c>
      <c r="O55">
        <v>37958.061306230724</v>
      </c>
      <c r="R55">
        <f t="shared" si="2"/>
        <v>54</v>
      </c>
      <c r="S55">
        <v>3.802288914275298E-2</v>
      </c>
      <c r="T55">
        <v>3.8695641913766732E-2</v>
      </c>
      <c r="U55">
        <v>3.8933350332843064E-2</v>
      </c>
      <c r="V55">
        <v>3.9054891401204328E-2</v>
      </c>
      <c r="W55">
        <v>3.9116350605372441E-2</v>
      </c>
      <c r="AA55">
        <v>-6808.2438000000002</v>
      </c>
      <c r="AB55">
        <v>-6808.2438000000002</v>
      </c>
      <c r="AC55">
        <v>-6808.2438000000002</v>
      </c>
      <c r="AD55">
        <v>-6808.2438000000002</v>
      </c>
      <c r="AE55">
        <v>-6808.2438000000002</v>
      </c>
    </row>
    <row r="56" spans="2:31" x14ac:dyDescent="0.25">
      <c r="B56">
        <f t="shared" si="0"/>
        <v>55</v>
      </c>
      <c r="C56">
        <v>37662.720126262371</v>
      </c>
      <c r="D56">
        <v>97378.995397394596</v>
      </c>
      <c r="E56">
        <v>196906.12095568303</v>
      </c>
      <c r="F56">
        <v>395960.37203220912</v>
      </c>
      <c r="G56">
        <v>794068.87416674581</v>
      </c>
      <c r="J56">
        <f t="shared" si="1"/>
        <v>55</v>
      </c>
      <c r="K56">
        <v>1883.1362296765074</v>
      </c>
      <c r="L56">
        <v>4868.9507321637066</v>
      </c>
      <c r="M56">
        <v>9845.3083929342101</v>
      </c>
      <c r="N56">
        <v>19798.023655520054</v>
      </c>
      <c r="O56">
        <v>39703.454153435072</v>
      </c>
      <c r="R56">
        <f t="shared" si="2"/>
        <v>55</v>
      </c>
      <c r="S56">
        <v>3.8678058443214036E-2</v>
      </c>
      <c r="T56">
        <v>3.9368863085657457E-2</v>
      </c>
      <c r="U56">
        <v>3.9612433904240296E-2</v>
      </c>
      <c r="V56">
        <v>3.9736868840601902E-2</v>
      </c>
      <c r="W56">
        <v>3.9799764737130872E-2</v>
      </c>
      <c r="AA56">
        <v>-6669.2525999999998</v>
      </c>
      <c r="AB56">
        <v>-6669.2525999999998</v>
      </c>
      <c r="AC56">
        <v>-6669.2525999999998</v>
      </c>
      <c r="AD56">
        <v>-6669.2525999999998</v>
      </c>
      <c r="AE56">
        <v>-6669.2525999999998</v>
      </c>
    </row>
    <row r="57" spans="2:31" x14ac:dyDescent="0.25">
      <c r="B57">
        <f t="shared" si="0"/>
        <v>56</v>
      </c>
      <c r="C57">
        <v>39528.123962560014</v>
      </c>
      <c r="D57">
        <v>101969.74859339812</v>
      </c>
      <c r="E57">
        <v>206039.12285794175</v>
      </c>
      <c r="F57">
        <v>414177.87134994433</v>
      </c>
      <c r="G57">
        <v>830455.36831676646</v>
      </c>
      <c r="J57">
        <f t="shared" si="1"/>
        <v>56</v>
      </c>
      <c r="K57">
        <v>1976.4062828471506</v>
      </c>
      <c r="L57">
        <v>5098.4884852756804</v>
      </c>
      <c r="M57">
        <v>10301.9586480828</v>
      </c>
      <c r="N57">
        <v>20708.898919831146</v>
      </c>
      <c r="O57">
        <v>41522.779438368278</v>
      </c>
      <c r="R57">
        <f t="shared" si="2"/>
        <v>56</v>
      </c>
      <c r="S57">
        <v>3.9398783166394891E-2</v>
      </c>
      <c r="T57">
        <v>4.0108115192495353E-2</v>
      </c>
      <c r="U57">
        <v>4.0357680345223468E-2</v>
      </c>
      <c r="V57">
        <v>4.0485069878791968E-2</v>
      </c>
      <c r="W57">
        <v>4.0549431501560651E-2</v>
      </c>
      <c r="AA57">
        <v>-6528.2992000000004</v>
      </c>
      <c r="AB57">
        <v>-6528.2992000000004</v>
      </c>
      <c r="AC57">
        <v>-6528.2992000000004</v>
      </c>
      <c r="AD57">
        <v>-6528.2992000000004</v>
      </c>
      <c r="AE57">
        <v>-6528.2992000000004</v>
      </c>
    </row>
    <row r="58" spans="2:31" x14ac:dyDescent="0.25">
      <c r="B58">
        <f t="shared" si="0"/>
        <v>57</v>
      </c>
      <c r="C58">
        <v>41470.560369524705</v>
      </c>
      <c r="D58">
        <v>106750.13879062407</v>
      </c>
      <c r="E58">
        <v>215549.43604976663</v>
      </c>
      <c r="F58">
        <v>433148.0305339914</v>
      </c>
      <c r="G58">
        <v>868345.21177102288</v>
      </c>
      <c r="J58">
        <f t="shared" si="1"/>
        <v>57</v>
      </c>
      <c r="K58">
        <v>2073.52817268746</v>
      </c>
      <c r="L58">
        <v>5337.508098901395</v>
      </c>
      <c r="M58">
        <v>10777.474485909508</v>
      </c>
      <c r="N58">
        <v>21657.407211125712</v>
      </c>
      <c r="O58">
        <v>43417.26158427773</v>
      </c>
      <c r="R58">
        <f t="shared" si="2"/>
        <v>57</v>
      </c>
      <c r="S58">
        <v>4.019199065875001E-2</v>
      </c>
      <c r="T58">
        <v>4.0920294632173393E-2</v>
      </c>
      <c r="U58">
        <v>4.117597620217972E-2</v>
      </c>
      <c r="V58">
        <v>4.1306376242224108E-2</v>
      </c>
      <c r="W58">
        <v>4.1372227322890032E-2</v>
      </c>
      <c r="AA58">
        <v>-6385.5230000000001</v>
      </c>
      <c r="AB58">
        <v>-6385.5230000000001</v>
      </c>
      <c r="AC58">
        <v>-6385.5230000000001</v>
      </c>
      <c r="AD58">
        <v>-6385.5230000000001</v>
      </c>
      <c r="AE58">
        <v>-6385.5230000000001</v>
      </c>
    </row>
    <row r="59" spans="2:31" x14ac:dyDescent="0.25">
      <c r="B59">
        <f t="shared" si="0"/>
        <v>58</v>
      </c>
      <c r="C59">
        <v>43491.044358746163</v>
      </c>
      <c r="D59">
        <v>111722.42044278242</v>
      </c>
      <c r="E59">
        <v>225441.37855218319</v>
      </c>
      <c r="F59">
        <v>452879.29647349264</v>
      </c>
      <c r="G59">
        <v>907755.13231470576</v>
      </c>
      <c r="J59">
        <f t="shared" si="1"/>
        <v>58</v>
      </c>
      <c r="K59">
        <v>2174.552445947571</v>
      </c>
      <c r="L59">
        <v>5586.1222950683441</v>
      </c>
      <c r="M59">
        <v>11272.069174747623</v>
      </c>
      <c r="N59">
        <v>22643.96533935843</v>
      </c>
      <c r="O59">
        <v>45387.757666594116</v>
      </c>
      <c r="R59">
        <f t="shared" si="2"/>
        <v>58</v>
      </c>
      <c r="S59">
        <v>4.1065644699224357E-2</v>
      </c>
      <c r="T59">
        <v>4.1813020168391279E-2</v>
      </c>
      <c r="U59">
        <v>4.2074809430752591E-2</v>
      </c>
      <c r="V59">
        <v>4.2208209311633382E-2</v>
      </c>
      <c r="W59">
        <v>4.2275548444303368E-2</v>
      </c>
      <c r="AA59">
        <v>-6240.8730999999998</v>
      </c>
      <c r="AB59">
        <v>-6240.8730999999998</v>
      </c>
      <c r="AC59">
        <v>-6240.8730999999998</v>
      </c>
      <c r="AD59">
        <v>-6240.8730999999998</v>
      </c>
      <c r="AE59">
        <v>-6240.8730999999998</v>
      </c>
    </row>
    <row r="60" spans="2:31" x14ac:dyDescent="0.25">
      <c r="B60">
        <f t="shared" si="0"/>
        <v>59</v>
      </c>
      <c r="C60">
        <v>45589.780848375973</v>
      </c>
      <c r="D60">
        <v>116887.27499324808</v>
      </c>
      <c r="E60">
        <v>235716.42970519359</v>
      </c>
      <c r="F60">
        <v>473374.74102692748</v>
      </c>
      <c r="G60">
        <v>948691.36366913479</v>
      </c>
      <c r="J60">
        <f t="shared" si="1"/>
        <v>59</v>
      </c>
      <c r="K60">
        <v>2279.4893494713688</v>
      </c>
      <c r="L60">
        <v>5844.3651461814588</v>
      </c>
      <c r="M60">
        <v>11785.82174902421</v>
      </c>
      <c r="N60">
        <v>23668.737597600208</v>
      </c>
      <c r="O60">
        <v>47434.569292998174</v>
      </c>
      <c r="R60">
        <f t="shared" si="2"/>
        <v>59</v>
      </c>
      <c r="S60">
        <v>4.2027710494905168E-2</v>
      </c>
      <c r="T60">
        <v>4.2794126741339422E-2</v>
      </c>
      <c r="U60">
        <v>4.3061976835150562E-2</v>
      </c>
      <c r="V60">
        <v>4.3198344420659618E-2</v>
      </c>
      <c r="W60">
        <v>4.3267150695422751E-2</v>
      </c>
      <c r="AA60">
        <v>-6094.3262999999997</v>
      </c>
      <c r="AB60">
        <v>-6094.3262999999997</v>
      </c>
      <c r="AC60">
        <v>-6094.3262999999997</v>
      </c>
      <c r="AD60">
        <v>-6094.3262999999997</v>
      </c>
      <c r="AE60">
        <v>-6094.3262999999997</v>
      </c>
    </row>
    <row r="61" spans="2:31" x14ac:dyDescent="0.25">
      <c r="B61">
        <f t="shared" si="0"/>
        <v>60</v>
      </c>
      <c r="C61">
        <v>47766.65455675561</v>
      </c>
      <c r="D61">
        <v>122244.13983284459</v>
      </c>
      <c r="E61">
        <v>246373.28239914472</v>
      </c>
      <c r="F61">
        <v>494631.56752932828</v>
      </c>
      <c r="G61">
        <v>991148.13778857328</v>
      </c>
      <c r="J61">
        <f t="shared" si="1"/>
        <v>60</v>
      </c>
      <c r="K61">
        <v>2388.3331174372142</v>
      </c>
      <c r="L61">
        <v>6112.2071226421103</v>
      </c>
      <c r="M61">
        <v>12318.664401051123</v>
      </c>
      <c r="N61">
        <v>24731.578954553697</v>
      </c>
      <c r="O61">
        <v>49557.408060017973</v>
      </c>
      <c r="R61">
        <f t="shared" si="2"/>
        <v>60</v>
      </c>
      <c r="S61">
        <v>4.308711504209306E-2</v>
      </c>
      <c r="T61">
        <v>4.3871997732047197E-2</v>
      </c>
      <c r="U61">
        <v>4.4145668111548186E-2</v>
      </c>
      <c r="V61">
        <v>4.4284871135218618E-2</v>
      </c>
      <c r="W61">
        <v>4.4355075803258259E-2</v>
      </c>
      <c r="AA61">
        <v>-5945.9960000000001</v>
      </c>
      <c r="AB61">
        <v>-5945.9960000000001</v>
      </c>
      <c r="AC61">
        <v>-5945.9960000000001</v>
      </c>
      <c r="AD61">
        <v>-5945.9960000000001</v>
      </c>
      <c r="AE61">
        <v>-5945.9960000000001</v>
      </c>
    </row>
    <row r="62" spans="2:31" x14ac:dyDescent="0.25">
      <c r="B62">
        <f t="shared" si="0"/>
        <v>61</v>
      </c>
      <c r="C62">
        <v>50020.476245211838</v>
      </c>
      <c r="D62">
        <v>127790.28217932116</v>
      </c>
      <c r="E62">
        <v>257406.62595136181</v>
      </c>
      <c r="F62">
        <v>516639.31349333975</v>
      </c>
      <c r="G62">
        <v>1035104.6885763191</v>
      </c>
      <c r="J62">
        <f t="shared" si="1"/>
        <v>61</v>
      </c>
      <c r="K62">
        <v>2501.0242878834833</v>
      </c>
      <c r="L62">
        <v>6389.5142504815885</v>
      </c>
      <c r="M62">
        <v>12870.331596265314</v>
      </c>
      <c r="N62">
        <v>25831.966284989263</v>
      </c>
      <c r="O62">
        <v>51755.235661118058</v>
      </c>
      <c r="R62">
        <f t="shared" si="2"/>
        <v>61</v>
      </c>
      <c r="S62">
        <v>4.4252325481241694E-2</v>
      </c>
      <c r="T62">
        <v>4.5054829839985766E-2</v>
      </c>
      <c r="U62">
        <v>4.5333981639094967E-2</v>
      </c>
      <c r="V62">
        <v>4.5475841930511907E-2</v>
      </c>
      <c r="W62">
        <v>4.5547353341661267E-2</v>
      </c>
      <c r="AA62">
        <v>-5796.3015999999998</v>
      </c>
      <c r="AB62">
        <v>-5796.3015999999998</v>
      </c>
      <c r="AC62">
        <v>-5796.3015999999998</v>
      </c>
      <c r="AD62">
        <v>-5796.3015999999998</v>
      </c>
      <c r="AE62">
        <v>-5796.3015999999998</v>
      </c>
    </row>
    <row r="63" spans="2:31" x14ac:dyDescent="0.25">
      <c r="B63">
        <f t="shared" si="0"/>
        <v>62</v>
      </c>
      <c r="C63">
        <v>52349.520824752704</v>
      </c>
      <c r="D63">
        <v>133521.14056724796</v>
      </c>
      <c r="E63">
        <v>268807.17346560437</v>
      </c>
      <c r="F63">
        <v>539379.23926050914</v>
      </c>
      <c r="G63">
        <v>1080523.3708494841</v>
      </c>
      <c r="J63">
        <f t="shared" si="1"/>
        <v>62</v>
      </c>
      <c r="K63">
        <v>2617.4760901782865</v>
      </c>
      <c r="L63">
        <v>6676.0571801982005</v>
      </c>
      <c r="M63">
        <v>13440.358989174361</v>
      </c>
      <c r="N63">
        <v>26968.962604720029</v>
      </c>
      <c r="O63">
        <v>54026.169834699715</v>
      </c>
      <c r="R63">
        <f t="shared" si="2"/>
        <v>62</v>
      </c>
      <c r="S63">
        <v>4.5532408647145362E-2</v>
      </c>
      <c r="T63">
        <v>4.6350888854086447E-2</v>
      </c>
      <c r="U63">
        <v>4.6634904273470612E-2</v>
      </c>
      <c r="V63">
        <v>4.6779099910611244E-2</v>
      </c>
      <c r="W63">
        <v>4.6851753828839549E-2</v>
      </c>
      <c r="AA63">
        <v>-5645.2415000000001</v>
      </c>
      <c r="AB63">
        <v>-5645.2415000000001</v>
      </c>
      <c r="AC63">
        <v>-5645.2415000000001</v>
      </c>
      <c r="AD63">
        <v>-5645.2415000000001</v>
      </c>
      <c r="AE63">
        <v>-5645.2415000000001</v>
      </c>
    </row>
    <row r="64" spans="2:31" x14ac:dyDescent="0.25">
      <c r="B64">
        <f t="shared" si="0"/>
        <v>63</v>
      </c>
      <c r="C64">
        <v>54750.680593063407</v>
      </c>
      <c r="D64">
        <v>139429.2783253357</v>
      </c>
      <c r="E64">
        <v>280560.27454094583</v>
      </c>
      <c r="F64">
        <v>562822.26697064796</v>
      </c>
      <c r="G64">
        <v>1127346.2518293539</v>
      </c>
      <c r="J64">
        <f t="shared" si="1"/>
        <v>63</v>
      </c>
      <c r="K64">
        <v>2737.5340853305825</v>
      </c>
      <c r="L64">
        <v>6971.46407780546</v>
      </c>
      <c r="M64">
        <v>14028.014058915724</v>
      </c>
      <c r="N64">
        <v>28141.11401914712</v>
      </c>
      <c r="O64">
        <v>56367.313938693376</v>
      </c>
      <c r="R64">
        <f t="shared" si="2"/>
        <v>63</v>
      </c>
      <c r="S64">
        <v>4.6935069335099833E-2</v>
      </c>
      <c r="T64">
        <v>4.7767417063402373E-2</v>
      </c>
      <c r="U64">
        <v>4.8055528616360643E-2</v>
      </c>
      <c r="V64">
        <v>4.8201663499208847E-2</v>
      </c>
      <c r="W64">
        <v>4.8275258785114517E-2</v>
      </c>
      <c r="AA64">
        <v>-5492.4920000000002</v>
      </c>
      <c r="AB64">
        <v>-5492.4920000000002</v>
      </c>
      <c r="AC64">
        <v>-5492.4920000000002</v>
      </c>
      <c r="AD64">
        <v>-5492.4920000000002</v>
      </c>
      <c r="AE64">
        <v>-5492.4920000000002</v>
      </c>
    </row>
    <row r="65" spans="2:32" x14ac:dyDescent="0.25">
      <c r="B65">
        <f t="shared" si="0"/>
        <v>64</v>
      </c>
      <c r="C65">
        <v>57220.073888036619</v>
      </c>
      <c r="D65">
        <v>145504.78561050177</v>
      </c>
      <c r="E65">
        <v>292645.9718106424</v>
      </c>
      <c r="F65">
        <v>586928.34420967964</v>
      </c>
      <c r="G65">
        <v>1175493.0890071732</v>
      </c>
      <c r="J65">
        <f t="shared" si="1"/>
        <v>64</v>
      </c>
      <c r="K65">
        <v>2861.003756173799</v>
      </c>
      <c r="L65">
        <v>7275.2394505723787</v>
      </c>
      <c r="M65">
        <v>14632.298936117964</v>
      </c>
      <c r="N65">
        <v>29346.417905604932</v>
      </c>
      <c r="O65">
        <v>58774.655843829969</v>
      </c>
      <c r="R65">
        <f t="shared" si="2"/>
        <v>64</v>
      </c>
      <c r="S65">
        <v>4.846779568394699E-2</v>
      </c>
      <c r="T65">
        <v>4.931079895854773E-2</v>
      </c>
      <c r="U65">
        <v>4.9601857788270198E-2</v>
      </c>
      <c r="V65">
        <v>4.9749342782056782E-2</v>
      </c>
      <c r="W65">
        <v>4.982358119327257E-2</v>
      </c>
      <c r="AA65">
        <v>-5338.1817000000001</v>
      </c>
      <c r="AB65">
        <v>-5338.1817000000001</v>
      </c>
      <c r="AC65">
        <v>-5338.1817000000001</v>
      </c>
      <c r="AD65">
        <v>-5338.1817000000001</v>
      </c>
      <c r="AE65">
        <v>-5338.1817000000001</v>
      </c>
    </row>
    <row r="66" spans="2:32" x14ac:dyDescent="0.25">
      <c r="B66">
        <f t="shared" si="0"/>
        <v>65</v>
      </c>
      <c r="C66">
        <v>59752.101564254473</v>
      </c>
      <c r="D66">
        <v>151734.128545599</v>
      </c>
      <c r="E66">
        <v>305037.50684469065</v>
      </c>
      <c r="F66">
        <v>611644.2634418814</v>
      </c>
      <c r="G66">
        <v>1224857.7766358054</v>
      </c>
      <c r="J66">
        <f t="shared" si="1"/>
        <v>65</v>
      </c>
      <c r="K66">
        <v>2987.6051451741223</v>
      </c>
      <c r="L66">
        <v>7586.7066040365607</v>
      </c>
      <c r="M66">
        <v>15251.875698143034</v>
      </c>
      <c r="N66">
        <v>30582.213885096484</v>
      </c>
      <c r="O66">
        <v>61242.890258421889</v>
      </c>
      <c r="R66">
        <f t="shared" si="2"/>
        <v>65</v>
      </c>
      <c r="S66">
        <v>5.0135160355465169E-2</v>
      </c>
      <c r="T66">
        <v>5.0984993580230231E-2</v>
      </c>
      <c r="U66">
        <v>5.1277654735449651E-2</v>
      </c>
      <c r="V66">
        <v>5.1425804491779692E-2</v>
      </c>
      <c r="W66">
        <v>5.1500340162920155E-2</v>
      </c>
      <c r="AA66">
        <v>-5182.2268999999997</v>
      </c>
      <c r="AB66">
        <v>-5182.2268999999997</v>
      </c>
      <c r="AC66">
        <v>-5182.2268999999997</v>
      </c>
      <c r="AD66">
        <v>-5182.2268999999997</v>
      </c>
      <c r="AE66">
        <v>-5182.2268999999997</v>
      </c>
    </row>
    <row r="69" spans="2:32" x14ac:dyDescent="0.25">
      <c r="B69" t="s">
        <v>46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47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48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2:32" x14ac:dyDescent="0.25">
      <c r="B70">
        <v>26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J70">
        <v>26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R70">
        <v>26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AA70">
        <v>-5174.8482999999997</v>
      </c>
      <c r="AB70">
        <v>-5174.8482999999997</v>
      </c>
      <c r="AC70">
        <v>-5174.8482999999997</v>
      </c>
      <c r="AD70">
        <v>-5174.8482999999997</v>
      </c>
      <c r="AE70">
        <v>-5174.8482999999997</v>
      </c>
      <c r="AF70">
        <v>-5174.8482999999997</v>
      </c>
    </row>
    <row r="71" spans="2:32" x14ac:dyDescent="0.25">
      <c r="B71">
        <v>27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J71">
        <v>27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R71">
        <v>27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AA71">
        <v>-5173.6036999999997</v>
      </c>
      <c r="AB71">
        <v>-5173.6036999999997</v>
      </c>
      <c r="AC71">
        <v>-5173.6036999999997</v>
      </c>
      <c r="AD71">
        <v>-5173.6036999999997</v>
      </c>
      <c r="AE71">
        <v>-5173.6036999999997</v>
      </c>
      <c r="AF71">
        <v>-5173.6036999999997</v>
      </c>
    </row>
    <row r="72" spans="2:32" x14ac:dyDescent="0.25">
      <c r="B72">
        <v>28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J72">
        <v>28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R72">
        <v>28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AA72">
        <v>-5172.1755999999996</v>
      </c>
      <c r="AB72">
        <v>-5172.1755999999996</v>
      </c>
      <c r="AC72">
        <v>-5172.1755999999996</v>
      </c>
      <c r="AD72">
        <v>-5172.1755999999996</v>
      </c>
      <c r="AE72">
        <v>-5172.1755999999996</v>
      </c>
      <c r="AF72">
        <v>-5172.1755999999996</v>
      </c>
    </row>
    <row r="73" spans="2:32" x14ac:dyDescent="0.25">
      <c r="B73">
        <v>29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J73">
        <v>29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R73">
        <v>29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AA73">
        <v>-5170.5482000000002</v>
      </c>
      <c r="AB73">
        <v>-5170.5482000000002</v>
      </c>
      <c r="AC73">
        <v>-5170.5482000000002</v>
      </c>
      <c r="AD73">
        <v>-5170.5482000000002</v>
      </c>
      <c r="AE73">
        <v>-5170.5482000000002</v>
      </c>
      <c r="AF73">
        <v>-5170.5482000000002</v>
      </c>
    </row>
    <row r="74" spans="2:32" x14ac:dyDescent="0.25">
      <c r="B74">
        <v>30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J74">
        <v>30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R74">
        <v>30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AA74">
        <v>-5168.6908999999996</v>
      </c>
      <c r="AB74">
        <v>-5168.6908999999996</v>
      </c>
      <c r="AC74">
        <v>-5168.6908999999996</v>
      </c>
      <c r="AD74">
        <v>-5168.6908999999996</v>
      </c>
      <c r="AE74">
        <v>-5168.6908999999996</v>
      </c>
      <c r="AF74">
        <v>-5168.6908999999996</v>
      </c>
    </row>
    <row r="75" spans="2:32" x14ac:dyDescent="0.25">
      <c r="B75">
        <v>31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J75">
        <v>31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R75">
        <v>31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AA75">
        <v>-5166.5891000000001</v>
      </c>
      <c r="AB75">
        <v>-5166.5891000000001</v>
      </c>
      <c r="AC75">
        <v>-5166.5891000000001</v>
      </c>
      <c r="AD75">
        <v>-5166.5891000000001</v>
      </c>
      <c r="AE75">
        <v>-5166.5891000000001</v>
      </c>
      <c r="AF75">
        <v>-5166.5891000000001</v>
      </c>
    </row>
    <row r="76" spans="2:32" x14ac:dyDescent="0.25">
      <c r="B76">
        <v>32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J76">
        <v>32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R76">
        <v>32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AA76">
        <v>-5164.2407000000003</v>
      </c>
      <c r="AB76">
        <v>-5164.2407000000003</v>
      </c>
      <c r="AC76">
        <v>-5164.2407000000003</v>
      </c>
      <c r="AD76">
        <v>-5164.2407000000003</v>
      </c>
      <c r="AE76">
        <v>-5164.2407000000003</v>
      </c>
      <c r="AF76">
        <v>-5164.2407000000003</v>
      </c>
    </row>
    <row r="77" spans="2:32" x14ac:dyDescent="0.25">
      <c r="B77">
        <v>33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J77">
        <v>33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R77">
        <v>33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AA77">
        <v>-5161.6318000000001</v>
      </c>
      <c r="AB77">
        <v>-5161.6318000000001</v>
      </c>
      <c r="AC77">
        <v>-5161.6318000000001</v>
      </c>
      <c r="AD77">
        <v>-5161.6318000000001</v>
      </c>
      <c r="AE77">
        <v>-5161.6318000000001</v>
      </c>
      <c r="AF77">
        <v>-5161.6318000000001</v>
      </c>
    </row>
    <row r="78" spans="2:32" x14ac:dyDescent="0.25">
      <c r="B78">
        <v>34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J78">
        <v>34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R78">
        <v>34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AA78">
        <v>-5158.7194</v>
      </c>
      <c r="AB78">
        <v>-5158.7194</v>
      </c>
      <c r="AC78">
        <v>-5158.7194</v>
      </c>
      <c r="AD78">
        <v>-5158.7194</v>
      </c>
      <c r="AE78">
        <v>-5158.7194</v>
      </c>
      <c r="AF78">
        <v>-5158.7194</v>
      </c>
    </row>
    <row r="79" spans="2:32" x14ac:dyDescent="0.25">
      <c r="B79">
        <v>35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J79">
        <v>35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R79">
        <v>35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AA79">
        <v>-5155.4901</v>
      </c>
      <c r="AB79">
        <v>-5155.4901</v>
      </c>
      <c r="AC79">
        <v>-5155.4901</v>
      </c>
      <c r="AD79">
        <v>-5155.4901</v>
      </c>
      <c r="AE79">
        <v>-5155.4901</v>
      </c>
      <c r="AF79">
        <v>-5155.4901</v>
      </c>
    </row>
    <row r="80" spans="2:32" x14ac:dyDescent="0.25">
      <c r="B80">
        <v>36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J80">
        <v>36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R80">
        <v>36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AA80">
        <v>-5151.8950999999997</v>
      </c>
      <c r="AB80">
        <v>-5151.8950999999997</v>
      </c>
      <c r="AC80">
        <v>-5151.8950999999997</v>
      </c>
      <c r="AD80">
        <v>-5151.8950999999997</v>
      </c>
      <c r="AE80">
        <v>-5151.8950999999997</v>
      </c>
      <c r="AF80">
        <v>-5151.8950999999997</v>
      </c>
    </row>
    <row r="81" spans="2:32" x14ac:dyDescent="0.25">
      <c r="B81">
        <v>37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J81">
        <v>37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R81">
        <v>37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AA81">
        <v>-5147.9106000000002</v>
      </c>
      <c r="AB81">
        <v>-5147.9106000000002</v>
      </c>
      <c r="AC81">
        <v>-5147.9106000000002</v>
      </c>
      <c r="AD81">
        <v>-5147.9106000000002</v>
      </c>
      <c r="AE81">
        <v>-5147.9106000000002</v>
      </c>
      <c r="AF81">
        <v>-5147.9106000000002</v>
      </c>
    </row>
    <row r="82" spans="2:32" x14ac:dyDescent="0.25">
      <c r="B82">
        <v>38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J82">
        <v>38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R82">
        <v>38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AA82">
        <v>-5143.5393999999997</v>
      </c>
      <c r="AB82">
        <v>-5143.5393999999997</v>
      </c>
      <c r="AC82">
        <v>-5143.5393999999997</v>
      </c>
      <c r="AD82">
        <v>-5143.5393999999997</v>
      </c>
      <c r="AE82">
        <v>-5143.5393999999997</v>
      </c>
      <c r="AF82">
        <v>-5143.5393999999997</v>
      </c>
    </row>
    <row r="83" spans="2:32" x14ac:dyDescent="0.25">
      <c r="B83">
        <v>39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J83">
        <v>39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R83">
        <v>39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AA83">
        <v>-5138.76</v>
      </c>
      <c r="AB83">
        <v>-5138.76</v>
      </c>
      <c r="AC83">
        <v>-5138.76</v>
      </c>
      <c r="AD83">
        <v>-5138.76</v>
      </c>
      <c r="AE83">
        <v>-5138.76</v>
      </c>
      <c r="AF83">
        <v>-5138.76</v>
      </c>
    </row>
    <row r="84" spans="2:32" x14ac:dyDescent="0.25">
      <c r="B84">
        <v>40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J84">
        <v>40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R84">
        <v>40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AA84">
        <v>-5133.5084999999999</v>
      </c>
      <c r="AB84">
        <v>-5133.5084999999999</v>
      </c>
      <c r="AC84">
        <v>-5133.5084999999999</v>
      </c>
      <c r="AD84">
        <v>-5133.5084999999999</v>
      </c>
      <c r="AE84">
        <v>-5133.5084999999999</v>
      </c>
      <c r="AF84">
        <v>-5133.5084999999999</v>
      </c>
    </row>
    <row r="85" spans="2:32" x14ac:dyDescent="0.25">
      <c r="B85">
        <v>41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J85">
        <v>41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R85">
        <v>41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AA85">
        <v>-5127.7236000000003</v>
      </c>
      <c r="AB85">
        <v>-5127.7236000000003</v>
      </c>
      <c r="AC85">
        <v>-5127.7236000000003</v>
      </c>
      <c r="AD85">
        <v>-5127.7236000000003</v>
      </c>
      <c r="AE85">
        <v>-5127.7236000000003</v>
      </c>
      <c r="AF85">
        <v>-5127.7236000000003</v>
      </c>
    </row>
    <row r="86" spans="2:32" x14ac:dyDescent="0.25">
      <c r="B86">
        <v>42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J86">
        <v>42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R86">
        <v>42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AA86">
        <v>-5121.3726999999999</v>
      </c>
      <c r="AB86">
        <v>-5121.3726999999999</v>
      </c>
      <c r="AC86">
        <v>-5121.3726999999999</v>
      </c>
      <c r="AD86">
        <v>-5121.3726999999999</v>
      </c>
      <c r="AE86">
        <v>-5121.3726999999999</v>
      </c>
      <c r="AF86">
        <v>-5121.3726999999999</v>
      </c>
    </row>
    <row r="87" spans="2:32" x14ac:dyDescent="0.25">
      <c r="B87">
        <v>43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J87">
        <v>43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R87">
        <v>43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AA87">
        <v>-5114.3449000000001</v>
      </c>
      <c r="AB87">
        <v>-5114.3449000000001</v>
      </c>
      <c r="AC87">
        <v>-5114.3449000000001</v>
      </c>
      <c r="AD87">
        <v>-5114.3449000000001</v>
      </c>
      <c r="AE87">
        <v>-5114.3449000000001</v>
      </c>
      <c r="AF87">
        <v>-5114.3449000000001</v>
      </c>
    </row>
    <row r="88" spans="2:32" x14ac:dyDescent="0.25">
      <c r="B88">
        <v>44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J88">
        <v>44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R88">
        <v>44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AA88">
        <v>-5106.5976000000001</v>
      </c>
      <c r="AB88">
        <v>-5106.5976000000001</v>
      </c>
      <c r="AC88">
        <v>-5106.5976000000001</v>
      </c>
      <c r="AD88">
        <v>-5106.5976000000001</v>
      </c>
      <c r="AE88">
        <v>-5106.5976000000001</v>
      </c>
      <c r="AF88">
        <v>-5106.5976000000001</v>
      </c>
    </row>
    <row r="89" spans="2:32" x14ac:dyDescent="0.25">
      <c r="B89">
        <v>45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J89">
        <v>45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R89">
        <v>45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AA89">
        <v>-5098.0524999999998</v>
      </c>
      <c r="AB89">
        <v>-5098.0524999999998</v>
      </c>
      <c r="AC89">
        <v>-5098.0524999999998</v>
      </c>
      <c r="AD89">
        <v>-5098.0524999999998</v>
      </c>
      <c r="AE89">
        <v>-5098.0524999999998</v>
      </c>
      <c r="AF89">
        <v>-5098.0524999999998</v>
      </c>
    </row>
    <row r="90" spans="2:32" x14ac:dyDescent="0.25">
      <c r="B90">
        <v>46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J90">
        <v>46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R90">
        <v>46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AA90">
        <v>-5088.6378000000004</v>
      </c>
      <c r="AB90">
        <v>-5088.6378000000004</v>
      </c>
      <c r="AC90">
        <v>-5088.6378000000004</v>
      </c>
      <c r="AD90">
        <v>-5088.6378000000004</v>
      </c>
      <c r="AE90">
        <v>-5088.6378000000004</v>
      </c>
      <c r="AF90">
        <v>-5088.6378000000004</v>
      </c>
    </row>
    <row r="91" spans="2:32" x14ac:dyDescent="0.25">
      <c r="B91">
        <v>47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J91">
        <v>47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R91">
        <v>47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AA91">
        <v>-5078.2593999999999</v>
      </c>
      <c r="AB91">
        <v>-5078.2593999999999</v>
      </c>
      <c r="AC91">
        <v>-5078.2593999999999</v>
      </c>
      <c r="AD91">
        <v>-5078.2593999999999</v>
      </c>
      <c r="AE91">
        <v>-5078.2593999999999</v>
      </c>
      <c r="AF91">
        <v>-5078.2593999999999</v>
      </c>
    </row>
    <row r="92" spans="2:32" x14ac:dyDescent="0.25">
      <c r="B92">
        <v>48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J92">
        <v>48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R92">
        <v>48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AA92">
        <v>-5066.8732</v>
      </c>
      <c r="AB92">
        <v>-5066.8732</v>
      </c>
      <c r="AC92">
        <v>-5066.8732</v>
      </c>
      <c r="AD92">
        <v>-5066.8732</v>
      </c>
      <c r="AE92">
        <v>-5066.8732</v>
      </c>
      <c r="AF92">
        <v>-5066.8732</v>
      </c>
    </row>
    <row r="93" spans="2:32" x14ac:dyDescent="0.25">
      <c r="B93">
        <v>49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J93">
        <v>49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R93">
        <v>49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AA93">
        <v>-5054.4124000000002</v>
      </c>
      <c r="AB93">
        <v>-5054.4124000000002</v>
      </c>
      <c r="AC93">
        <v>-5054.4124000000002</v>
      </c>
      <c r="AD93">
        <v>-5054.4124000000002</v>
      </c>
      <c r="AE93">
        <v>-5054.4124000000002</v>
      </c>
      <c r="AF93">
        <v>-5054.4124000000002</v>
      </c>
    </row>
    <row r="94" spans="2:32" x14ac:dyDescent="0.25">
      <c r="B94">
        <v>50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J94">
        <v>50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R94">
        <v>50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AA94">
        <v>-5040.7671</v>
      </c>
      <c r="AB94">
        <v>-5040.7671</v>
      </c>
      <c r="AC94">
        <v>-5040.7671</v>
      </c>
      <c r="AD94">
        <v>-5040.7671</v>
      </c>
      <c r="AE94">
        <v>-5040.7671</v>
      </c>
      <c r="AF94">
        <v>-5040.7671</v>
      </c>
    </row>
    <row r="95" spans="2:32" x14ac:dyDescent="0.25">
      <c r="B95">
        <v>51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J95">
        <v>51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R95">
        <v>51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AA95">
        <v>-5025.8329000000003</v>
      </c>
      <c r="AB95">
        <v>-5025.8329000000003</v>
      </c>
      <c r="AC95">
        <v>-5025.8329000000003</v>
      </c>
      <c r="AD95">
        <v>-5025.8329000000003</v>
      </c>
      <c r="AE95">
        <v>-5025.8329000000003</v>
      </c>
      <c r="AF95">
        <v>-5025.8329000000003</v>
      </c>
    </row>
    <row r="96" spans="2:32" x14ac:dyDescent="0.25">
      <c r="B96">
        <v>52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J96">
        <v>52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R96">
        <v>52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AA96">
        <v>-5009.4771000000001</v>
      </c>
      <c r="AB96">
        <v>-5009.4771000000001</v>
      </c>
      <c r="AC96">
        <v>-5009.4771000000001</v>
      </c>
      <c r="AD96">
        <v>-5009.4771000000001</v>
      </c>
      <c r="AE96">
        <v>-5009.4771000000001</v>
      </c>
      <c r="AF96">
        <v>-5009.4771000000001</v>
      </c>
    </row>
    <row r="97" spans="2:32" x14ac:dyDescent="0.25">
      <c r="B97">
        <v>53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J97">
        <v>53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R97">
        <v>53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AA97">
        <v>-4991.6184000000003</v>
      </c>
      <c r="AB97">
        <v>-4991.6184000000003</v>
      </c>
      <c r="AC97">
        <v>-4991.6184000000003</v>
      </c>
      <c r="AD97">
        <v>-4991.6184000000003</v>
      </c>
      <c r="AE97">
        <v>-4991.6184000000003</v>
      </c>
      <c r="AF97">
        <v>-4991.6184000000003</v>
      </c>
    </row>
    <row r="98" spans="2:32" x14ac:dyDescent="0.25">
      <c r="B98">
        <v>54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J98">
        <v>54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R98">
        <v>54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AA98">
        <v>-4972.1588000000002</v>
      </c>
      <c r="AB98">
        <v>-4972.1588000000002</v>
      </c>
      <c r="AC98">
        <v>-4972.1588000000002</v>
      </c>
      <c r="AD98">
        <v>-4972.1588000000002</v>
      </c>
      <c r="AE98">
        <v>-4972.1588000000002</v>
      </c>
      <c r="AF98">
        <v>-4972.1588000000002</v>
      </c>
    </row>
    <row r="99" spans="2:32" x14ac:dyDescent="0.25">
      <c r="B99">
        <v>55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J99">
        <v>55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R99">
        <v>55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AA99">
        <v>-4950.9426000000003</v>
      </c>
      <c r="AB99">
        <v>-4950.9426000000003</v>
      </c>
      <c r="AC99">
        <v>-4950.9426000000003</v>
      </c>
      <c r="AD99">
        <v>-4950.9426000000003</v>
      </c>
      <c r="AE99">
        <v>-4950.9426000000003</v>
      </c>
      <c r="AF99">
        <v>-4950.9426000000003</v>
      </c>
    </row>
    <row r="102" spans="2:32" x14ac:dyDescent="0.25">
      <c r="B102" t="s">
        <v>46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32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48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2:32" x14ac:dyDescent="0.25">
      <c r="B103">
        <v>35</v>
      </c>
      <c r="C103">
        <v>1</v>
      </c>
      <c r="D103">
        <v>1</v>
      </c>
      <c r="E103">
        <v>1</v>
      </c>
      <c r="F103">
        <v>1</v>
      </c>
      <c r="G103">
        <v>1</v>
      </c>
      <c r="J103">
        <v>35</v>
      </c>
      <c r="K103">
        <v>1</v>
      </c>
      <c r="L103">
        <v>1</v>
      </c>
      <c r="M103">
        <v>1</v>
      </c>
      <c r="N103">
        <v>1</v>
      </c>
      <c r="O103">
        <v>1</v>
      </c>
      <c r="R103">
        <v>35</v>
      </c>
      <c r="S103">
        <v>1</v>
      </c>
      <c r="T103">
        <v>1</v>
      </c>
      <c r="U103">
        <v>1</v>
      </c>
      <c r="V103">
        <v>1</v>
      </c>
      <c r="W103">
        <v>1</v>
      </c>
      <c r="AA103">
        <v>-8996.1419000000005</v>
      </c>
      <c r="AB103">
        <v>-8996.1419000000005</v>
      </c>
      <c r="AC103">
        <v>-8996.1419000000005</v>
      </c>
      <c r="AD103">
        <v>-8996.1419000000005</v>
      </c>
      <c r="AE103">
        <v>-8996.1419000000005</v>
      </c>
    </row>
    <row r="104" spans="2:32" x14ac:dyDescent="0.25">
      <c r="B104">
        <f t="shared" ref="B104:B133" si="3">B103+1</f>
        <v>36</v>
      </c>
      <c r="C104">
        <v>1</v>
      </c>
      <c r="D104">
        <v>1</v>
      </c>
      <c r="E104">
        <v>1</v>
      </c>
      <c r="F104">
        <v>1</v>
      </c>
      <c r="G104">
        <v>1</v>
      </c>
      <c r="J104">
        <f t="shared" ref="J104:J133" si="4">J103+1</f>
        <v>36</v>
      </c>
      <c r="K104">
        <v>1</v>
      </c>
      <c r="L104">
        <v>1</v>
      </c>
      <c r="M104">
        <v>1</v>
      </c>
      <c r="N104">
        <v>1</v>
      </c>
      <c r="O104">
        <v>1</v>
      </c>
      <c r="R104">
        <f t="shared" ref="R104:R133" si="5">R103+1</f>
        <v>36</v>
      </c>
      <c r="S104">
        <v>1</v>
      </c>
      <c r="T104">
        <v>1</v>
      </c>
      <c r="U104">
        <v>1</v>
      </c>
      <c r="V104">
        <v>1</v>
      </c>
      <c r="W104">
        <v>1</v>
      </c>
      <c r="AA104">
        <v>-8902.6679999999997</v>
      </c>
      <c r="AB104">
        <v>-8902.6679999999997</v>
      </c>
      <c r="AC104">
        <v>-8902.6679999999997</v>
      </c>
      <c r="AD104">
        <v>-8902.6679999999997</v>
      </c>
      <c r="AE104">
        <v>-8902.6679999999997</v>
      </c>
    </row>
    <row r="105" spans="2:32" x14ac:dyDescent="0.25">
      <c r="B105">
        <f t="shared" si="3"/>
        <v>37</v>
      </c>
      <c r="C105">
        <v>1</v>
      </c>
      <c r="D105">
        <v>1</v>
      </c>
      <c r="E105">
        <v>1</v>
      </c>
      <c r="F105">
        <v>1</v>
      </c>
      <c r="G105">
        <v>1</v>
      </c>
      <c r="J105">
        <f t="shared" si="4"/>
        <v>37</v>
      </c>
      <c r="K105">
        <v>1</v>
      </c>
      <c r="L105">
        <v>1</v>
      </c>
      <c r="M105">
        <v>1</v>
      </c>
      <c r="N105">
        <v>1</v>
      </c>
      <c r="O105">
        <v>1</v>
      </c>
      <c r="R105">
        <f t="shared" si="5"/>
        <v>37</v>
      </c>
      <c r="S105">
        <v>1</v>
      </c>
      <c r="T105">
        <v>1</v>
      </c>
      <c r="U105">
        <v>1</v>
      </c>
      <c r="V105">
        <v>1</v>
      </c>
      <c r="W105">
        <v>1</v>
      </c>
      <c r="AA105">
        <v>-8806.7960000000003</v>
      </c>
      <c r="AB105">
        <v>-8806.7960000000003</v>
      </c>
      <c r="AC105">
        <v>-8806.7960000000003</v>
      </c>
      <c r="AD105">
        <v>-8806.7960000000003</v>
      </c>
      <c r="AE105">
        <v>-8806.7960000000003</v>
      </c>
    </row>
    <row r="106" spans="2:32" x14ac:dyDescent="0.25">
      <c r="B106">
        <f t="shared" si="3"/>
        <v>38</v>
      </c>
      <c r="C106">
        <v>1</v>
      </c>
      <c r="D106">
        <v>1</v>
      </c>
      <c r="E106">
        <v>1</v>
      </c>
      <c r="F106">
        <v>1</v>
      </c>
      <c r="G106">
        <v>1</v>
      </c>
      <c r="J106">
        <f t="shared" si="4"/>
        <v>38</v>
      </c>
      <c r="K106">
        <v>1</v>
      </c>
      <c r="L106">
        <v>1</v>
      </c>
      <c r="M106">
        <v>1</v>
      </c>
      <c r="N106">
        <v>1</v>
      </c>
      <c r="O106">
        <v>1</v>
      </c>
      <c r="R106">
        <f t="shared" si="5"/>
        <v>38</v>
      </c>
      <c r="S106">
        <v>1</v>
      </c>
      <c r="T106">
        <v>1</v>
      </c>
      <c r="U106">
        <v>1</v>
      </c>
      <c r="V106">
        <v>1</v>
      </c>
      <c r="W106">
        <v>1</v>
      </c>
      <c r="AA106">
        <v>-8708.6234000000004</v>
      </c>
      <c r="AB106">
        <v>-8708.6234000000004</v>
      </c>
      <c r="AC106">
        <v>-8708.6234000000004</v>
      </c>
      <c r="AD106">
        <v>-8708.6234000000004</v>
      </c>
      <c r="AE106">
        <v>-8708.6234000000004</v>
      </c>
    </row>
    <row r="107" spans="2:32" x14ac:dyDescent="0.25">
      <c r="B107">
        <f t="shared" si="3"/>
        <v>39</v>
      </c>
      <c r="C107">
        <v>1</v>
      </c>
      <c r="D107">
        <v>1</v>
      </c>
      <c r="E107">
        <v>1</v>
      </c>
      <c r="F107">
        <v>1</v>
      </c>
      <c r="G107">
        <v>1</v>
      </c>
      <c r="J107">
        <f t="shared" si="4"/>
        <v>39</v>
      </c>
      <c r="K107">
        <v>1</v>
      </c>
      <c r="L107">
        <v>1</v>
      </c>
      <c r="M107">
        <v>1</v>
      </c>
      <c r="N107">
        <v>1</v>
      </c>
      <c r="O107">
        <v>1</v>
      </c>
      <c r="R107">
        <f t="shared" si="5"/>
        <v>39</v>
      </c>
      <c r="S107">
        <v>1</v>
      </c>
      <c r="T107">
        <v>1</v>
      </c>
      <c r="U107">
        <v>1</v>
      </c>
      <c r="V107">
        <v>1</v>
      </c>
      <c r="W107">
        <v>1</v>
      </c>
      <c r="AA107">
        <v>-8608.1594000000005</v>
      </c>
      <c r="AB107">
        <v>-8608.1594000000005</v>
      </c>
      <c r="AC107">
        <v>-8608.1594000000005</v>
      </c>
      <c r="AD107">
        <v>-8608.1594000000005</v>
      </c>
      <c r="AE107">
        <v>-8608.1594000000005</v>
      </c>
    </row>
    <row r="108" spans="2:32" x14ac:dyDescent="0.25">
      <c r="B108">
        <f t="shared" si="3"/>
        <v>40</v>
      </c>
      <c r="C108">
        <v>1</v>
      </c>
      <c r="D108">
        <v>1</v>
      </c>
      <c r="E108">
        <v>1</v>
      </c>
      <c r="F108">
        <v>1</v>
      </c>
      <c r="G108">
        <v>1</v>
      </c>
      <c r="J108">
        <f t="shared" si="4"/>
        <v>40</v>
      </c>
      <c r="K108">
        <v>1</v>
      </c>
      <c r="L108">
        <v>1</v>
      </c>
      <c r="M108">
        <v>1</v>
      </c>
      <c r="N108">
        <v>1</v>
      </c>
      <c r="O108">
        <v>1</v>
      </c>
      <c r="R108">
        <f t="shared" si="5"/>
        <v>40</v>
      </c>
      <c r="S108">
        <v>1</v>
      </c>
      <c r="T108">
        <v>1</v>
      </c>
      <c r="U108">
        <v>1</v>
      </c>
      <c r="V108">
        <v>1</v>
      </c>
      <c r="W108">
        <v>1</v>
      </c>
      <c r="AA108">
        <v>-8505.3439999999991</v>
      </c>
      <c r="AB108">
        <v>-8505.3439999999991</v>
      </c>
      <c r="AC108">
        <v>-8505.3439999999991</v>
      </c>
      <c r="AD108">
        <v>-8505.3439999999991</v>
      </c>
      <c r="AE108">
        <v>-8505.3439999999991</v>
      </c>
    </row>
    <row r="109" spans="2:32" x14ac:dyDescent="0.25">
      <c r="B109">
        <f t="shared" si="3"/>
        <v>41</v>
      </c>
      <c r="C109">
        <v>1</v>
      </c>
      <c r="D109">
        <v>1</v>
      </c>
      <c r="E109">
        <v>1</v>
      </c>
      <c r="F109">
        <v>1</v>
      </c>
      <c r="G109">
        <v>1</v>
      </c>
      <c r="J109">
        <f t="shared" si="4"/>
        <v>41</v>
      </c>
      <c r="K109">
        <v>1</v>
      </c>
      <c r="L109">
        <v>1</v>
      </c>
      <c r="M109">
        <v>1</v>
      </c>
      <c r="N109">
        <v>1</v>
      </c>
      <c r="O109">
        <v>1</v>
      </c>
      <c r="R109">
        <f t="shared" si="5"/>
        <v>41</v>
      </c>
      <c r="S109">
        <v>1</v>
      </c>
      <c r="T109">
        <v>1</v>
      </c>
      <c r="U109">
        <v>1</v>
      </c>
      <c r="V109">
        <v>1</v>
      </c>
      <c r="W109">
        <v>1</v>
      </c>
      <c r="AA109">
        <v>-8400.1087000000007</v>
      </c>
      <c r="AB109">
        <v>-8400.1087000000007</v>
      </c>
      <c r="AC109">
        <v>-8400.1087000000007</v>
      </c>
      <c r="AD109">
        <v>-8400.1087000000007</v>
      </c>
      <c r="AE109">
        <v>-8400.1087000000007</v>
      </c>
    </row>
    <row r="110" spans="2:32" x14ac:dyDescent="0.25">
      <c r="B110">
        <f t="shared" si="3"/>
        <v>42</v>
      </c>
      <c r="C110">
        <v>1</v>
      </c>
      <c r="D110">
        <v>1</v>
      </c>
      <c r="E110">
        <v>1</v>
      </c>
      <c r="F110">
        <v>1</v>
      </c>
      <c r="G110">
        <v>1</v>
      </c>
      <c r="J110">
        <f t="shared" si="4"/>
        <v>42</v>
      </c>
      <c r="K110">
        <v>1</v>
      </c>
      <c r="L110">
        <v>1</v>
      </c>
      <c r="M110">
        <v>1</v>
      </c>
      <c r="N110">
        <v>1</v>
      </c>
      <c r="O110">
        <v>1</v>
      </c>
      <c r="R110">
        <f t="shared" si="5"/>
        <v>42</v>
      </c>
      <c r="S110">
        <v>1</v>
      </c>
      <c r="T110">
        <v>1</v>
      </c>
      <c r="U110">
        <v>1</v>
      </c>
      <c r="V110">
        <v>1</v>
      </c>
      <c r="W110">
        <v>1</v>
      </c>
      <c r="AA110">
        <v>-8292.4974999999995</v>
      </c>
      <c r="AB110">
        <v>-8292.4974999999995</v>
      </c>
      <c r="AC110">
        <v>-8292.4974999999995</v>
      </c>
      <c r="AD110">
        <v>-8292.4974999999995</v>
      </c>
      <c r="AE110">
        <v>-8292.4974999999995</v>
      </c>
    </row>
    <row r="111" spans="2:32" x14ac:dyDescent="0.25">
      <c r="B111">
        <f t="shared" si="3"/>
        <v>43</v>
      </c>
      <c r="C111">
        <v>1</v>
      </c>
      <c r="D111">
        <v>1</v>
      </c>
      <c r="E111">
        <v>1</v>
      </c>
      <c r="F111">
        <v>1</v>
      </c>
      <c r="G111">
        <v>1</v>
      </c>
      <c r="J111">
        <f t="shared" si="4"/>
        <v>43</v>
      </c>
      <c r="K111">
        <v>1</v>
      </c>
      <c r="L111">
        <v>1</v>
      </c>
      <c r="M111">
        <v>1</v>
      </c>
      <c r="N111">
        <v>1</v>
      </c>
      <c r="O111">
        <v>1</v>
      </c>
      <c r="R111">
        <f t="shared" si="5"/>
        <v>43</v>
      </c>
      <c r="S111">
        <v>1</v>
      </c>
      <c r="T111">
        <v>1</v>
      </c>
      <c r="U111">
        <v>1</v>
      </c>
      <c r="V111">
        <v>1</v>
      </c>
      <c r="W111">
        <v>1</v>
      </c>
      <c r="AA111">
        <v>-8182.3909999999996</v>
      </c>
      <c r="AB111">
        <v>-8182.3909999999996</v>
      </c>
      <c r="AC111">
        <v>-8182.3909999999996</v>
      </c>
      <c r="AD111">
        <v>-8182.3909999999996</v>
      </c>
      <c r="AE111">
        <v>-8182.3909999999996</v>
      </c>
    </row>
    <row r="112" spans="2:32" x14ac:dyDescent="0.25">
      <c r="B112">
        <f t="shared" si="3"/>
        <v>44</v>
      </c>
      <c r="C112">
        <v>1</v>
      </c>
      <c r="D112">
        <v>1</v>
      </c>
      <c r="E112">
        <v>1</v>
      </c>
      <c r="F112">
        <v>1</v>
      </c>
      <c r="G112">
        <v>1</v>
      </c>
      <c r="J112">
        <f t="shared" si="4"/>
        <v>44</v>
      </c>
      <c r="K112">
        <v>1</v>
      </c>
      <c r="L112">
        <v>1</v>
      </c>
      <c r="M112">
        <v>1</v>
      </c>
      <c r="N112">
        <v>1</v>
      </c>
      <c r="O112">
        <v>1</v>
      </c>
      <c r="R112">
        <f t="shared" si="5"/>
        <v>44</v>
      </c>
      <c r="S112">
        <v>1</v>
      </c>
      <c r="T112">
        <v>1</v>
      </c>
      <c r="U112">
        <v>1</v>
      </c>
      <c r="V112">
        <v>1</v>
      </c>
      <c r="W112">
        <v>1</v>
      </c>
      <c r="AA112">
        <v>-8069.8261000000002</v>
      </c>
      <c r="AB112">
        <v>-8069.8261000000002</v>
      </c>
      <c r="AC112">
        <v>-8069.8261000000002</v>
      </c>
      <c r="AD112">
        <v>-8069.8261000000002</v>
      </c>
      <c r="AE112">
        <v>-8069.8261000000002</v>
      </c>
    </row>
    <row r="113" spans="2:31" x14ac:dyDescent="0.25">
      <c r="B113">
        <f t="shared" si="3"/>
        <v>45</v>
      </c>
      <c r="C113">
        <v>1</v>
      </c>
      <c r="D113">
        <v>1</v>
      </c>
      <c r="E113">
        <v>1</v>
      </c>
      <c r="F113">
        <v>1</v>
      </c>
      <c r="G113">
        <v>1</v>
      </c>
      <c r="J113">
        <f t="shared" si="4"/>
        <v>45</v>
      </c>
      <c r="K113">
        <v>1</v>
      </c>
      <c r="L113">
        <v>1</v>
      </c>
      <c r="M113">
        <v>1</v>
      </c>
      <c r="N113">
        <v>1</v>
      </c>
      <c r="O113">
        <v>1</v>
      </c>
      <c r="R113">
        <f t="shared" si="5"/>
        <v>45</v>
      </c>
      <c r="S113">
        <v>1</v>
      </c>
      <c r="T113">
        <v>1</v>
      </c>
      <c r="U113">
        <v>1</v>
      </c>
      <c r="V113">
        <v>1</v>
      </c>
      <c r="W113">
        <v>1</v>
      </c>
      <c r="AA113">
        <v>-7954.7533999999996</v>
      </c>
      <c r="AB113">
        <v>-7954.7533999999996</v>
      </c>
      <c r="AC113">
        <v>-7954.7533999999996</v>
      </c>
      <c r="AD113">
        <v>-7954.7533999999996</v>
      </c>
      <c r="AE113">
        <v>-7954.7533999999996</v>
      </c>
    </row>
    <row r="114" spans="2:31" x14ac:dyDescent="0.25">
      <c r="B114">
        <f t="shared" si="3"/>
        <v>46</v>
      </c>
      <c r="C114">
        <v>1</v>
      </c>
      <c r="D114">
        <v>1</v>
      </c>
      <c r="E114">
        <v>1</v>
      </c>
      <c r="F114">
        <v>1</v>
      </c>
      <c r="G114">
        <v>1</v>
      </c>
      <c r="J114">
        <f t="shared" si="4"/>
        <v>46</v>
      </c>
      <c r="K114">
        <v>1</v>
      </c>
      <c r="L114">
        <v>1</v>
      </c>
      <c r="M114">
        <v>1</v>
      </c>
      <c r="N114">
        <v>1</v>
      </c>
      <c r="O114">
        <v>1</v>
      </c>
      <c r="R114">
        <f t="shared" si="5"/>
        <v>46</v>
      </c>
      <c r="S114">
        <v>1</v>
      </c>
      <c r="T114">
        <v>1</v>
      </c>
      <c r="U114">
        <v>1</v>
      </c>
      <c r="V114">
        <v>1</v>
      </c>
      <c r="W114">
        <v>1</v>
      </c>
      <c r="AA114">
        <v>-7837.1754000000001</v>
      </c>
      <c r="AB114">
        <v>-7837.1754000000001</v>
      </c>
      <c r="AC114">
        <v>-7837.1754000000001</v>
      </c>
      <c r="AD114">
        <v>-7837.1754000000001</v>
      </c>
      <c r="AE114">
        <v>-7837.1754000000001</v>
      </c>
    </row>
    <row r="115" spans="2:31" x14ac:dyDescent="0.25">
      <c r="B115">
        <f t="shared" si="3"/>
        <v>47</v>
      </c>
      <c r="C115">
        <v>1</v>
      </c>
      <c r="D115">
        <v>1</v>
      </c>
      <c r="E115">
        <v>1</v>
      </c>
      <c r="F115">
        <v>1</v>
      </c>
      <c r="G115">
        <v>1</v>
      </c>
      <c r="J115">
        <f t="shared" si="4"/>
        <v>47</v>
      </c>
      <c r="K115">
        <v>1</v>
      </c>
      <c r="L115">
        <v>1</v>
      </c>
      <c r="M115">
        <v>1</v>
      </c>
      <c r="N115">
        <v>1</v>
      </c>
      <c r="O115">
        <v>1</v>
      </c>
      <c r="R115">
        <f t="shared" si="5"/>
        <v>47</v>
      </c>
      <c r="S115">
        <v>1</v>
      </c>
      <c r="T115">
        <v>1</v>
      </c>
      <c r="U115">
        <v>1</v>
      </c>
      <c r="V115">
        <v>1</v>
      </c>
      <c r="W115">
        <v>1</v>
      </c>
      <c r="AA115">
        <v>-7717.0294999999996</v>
      </c>
      <c r="AB115">
        <v>-7717.0294999999996</v>
      </c>
      <c r="AC115">
        <v>-7717.0294999999996</v>
      </c>
      <c r="AD115">
        <v>-7717.0294999999996</v>
      </c>
      <c r="AE115">
        <v>-7717.0294999999996</v>
      </c>
    </row>
    <row r="116" spans="2:31" x14ac:dyDescent="0.25">
      <c r="B116">
        <f t="shared" si="3"/>
        <v>48</v>
      </c>
      <c r="C116">
        <v>1</v>
      </c>
      <c r="D116">
        <v>1</v>
      </c>
      <c r="E116">
        <v>1</v>
      </c>
      <c r="F116">
        <v>1</v>
      </c>
      <c r="G116">
        <v>1</v>
      </c>
      <c r="J116">
        <f t="shared" si="4"/>
        <v>48</v>
      </c>
      <c r="K116">
        <v>1</v>
      </c>
      <c r="L116">
        <v>1</v>
      </c>
      <c r="M116">
        <v>1</v>
      </c>
      <c r="N116">
        <v>1</v>
      </c>
      <c r="O116">
        <v>1</v>
      </c>
      <c r="R116">
        <f t="shared" si="5"/>
        <v>48</v>
      </c>
      <c r="S116">
        <v>1</v>
      </c>
      <c r="T116">
        <v>1</v>
      </c>
      <c r="U116">
        <v>1</v>
      </c>
      <c r="V116">
        <v>1</v>
      </c>
      <c r="W116">
        <v>1</v>
      </c>
      <c r="AA116">
        <v>-7594.4201000000003</v>
      </c>
      <c r="AB116">
        <v>-7594.4201000000003</v>
      </c>
      <c r="AC116">
        <v>-7594.4201000000003</v>
      </c>
      <c r="AD116">
        <v>-7594.4201000000003</v>
      </c>
      <c r="AE116">
        <v>-7594.4201000000003</v>
      </c>
    </row>
    <row r="117" spans="2:31" x14ac:dyDescent="0.25">
      <c r="B117">
        <f t="shared" si="3"/>
        <v>49</v>
      </c>
      <c r="C117">
        <v>1</v>
      </c>
      <c r="D117">
        <v>1</v>
      </c>
      <c r="E117">
        <v>1</v>
      </c>
      <c r="F117">
        <v>1</v>
      </c>
      <c r="G117">
        <v>1</v>
      </c>
      <c r="J117">
        <f t="shared" si="4"/>
        <v>49</v>
      </c>
      <c r="K117">
        <v>1</v>
      </c>
      <c r="L117">
        <v>1</v>
      </c>
      <c r="M117">
        <v>1</v>
      </c>
      <c r="N117">
        <v>1</v>
      </c>
      <c r="O117">
        <v>1</v>
      </c>
      <c r="R117">
        <f t="shared" si="5"/>
        <v>49</v>
      </c>
      <c r="S117">
        <v>1</v>
      </c>
      <c r="T117">
        <v>1</v>
      </c>
      <c r="U117">
        <v>1</v>
      </c>
      <c r="V117">
        <v>1</v>
      </c>
      <c r="W117">
        <v>1</v>
      </c>
      <c r="AA117">
        <v>-7469.3995999999997</v>
      </c>
      <c r="AB117">
        <v>-7469.3995999999997</v>
      </c>
      <c r="AC117">
        <v>-7469.3995999999997</v>
      </c>
      <c r="AD117">
        <v>-7469.3995999999997</v>
      </c>
      <c r="AE117">
        <v>-7469.3995999999997</v>
      </c>
    </row>
    <row r="118" spans="2:31" x14ac:dyDescent="0.25">
      <c r="B118">
        <f t="shared" si="3"/>
        <v>50</v>
      </c>
      <c r="C118">
        <v>1</v>
      </c>
      <c r="D118">
        <v>1</v>
      </c>
      <c r="E118">
        <v>1</v>
      </c>
      <c r="F118">
        <v>1</v>
      </c>
      <c r="G118">
        <v>1</v>
      </c>
      <c r="J118">
        <f t="shared" si="4"/>
        <v>50</v>
      </c>
      <c r="K118">
        <v>1</v>
      </c>
      <c r="L118">
        <v>1</v>
      </c>
      <c r="M118">
        <v>1</v>
      </c>
      <c r="N118">
        <v>1</v>
      </c>
      <c r="O118">
        <v>1</v>
      </c>
      <c r="R118">
        <f t="shared" si="5"/>
        <v>50</v>
      </c>
      <c r="S118">
        <v>1</v>
      </c>
      <c r="T118">
        <v>1</v>
      </c>
      <c r="U118">
        <v>1</v>
      </c>
      <c r="V118">
        <v>1</v>
      </c>
      <c r="W118">
        <v>1</v>
      </c>
      <c r="AA118">
        <v>-7341.9502000000002</v>
      </c>
      <c r="AB118">
        <v>-7341.9502000000002</v>
      </c>
      <c r="AC118">
        <v>-7341.9502000000002</v>
      </c>
      <c r="AD118">
        <v>-7341.9502000000002</v>
      </c>
      <c r="AE118">
        <v>-7341.9502000000002</v>
      </c>
    </row>
    <row r="119" spans="2:31" x14ac:dyDescent="0.25">
      <c r="B119">
        <f t="shared" si="3"/>
        <v>51</v>
      </c>
      <c r="C119">
        <v>1</v>
      </c>
      <c r="D119">
        <v>1</v>
      </c>
      <c r="E119">
        <v>1</v>
      </c>
      <c r="F119">
        <v>1</v>
      </c>
      <c r="G119">
        <v>1</v>
      </c>
      <c r="J119">
        <f t="shared" si="4"/>
        <v>51</v>
      </c>
      <c r="K119">
        <v>1</v>
      </c>
      <c r="L119">
        <v>1</v>
      </c>
      <c r="M119">
        <v>1</v>
      </c>
      <c r="N119">
        <v>1</v>
      </c>
      <c r="O119">
        <v>1</v>
      </c>
      <c r="R119">
        <f t="shared" si="5"/>
        <v>51</v>
      </c>
      <c r="S119">
        <v>1</v>
      </c>
      <c r="T119">
        <v>1</v>
      </c>
      <c r="U119">
        <v>1</v>
      </c>
      <c r="V119">
        <v>1</v>
      </c>
      <c r="W119">
        <v>1</v>
      </c>
      <c r="AA119">
        <v>-7212.0646999999999</v>
      </c>
      <c r="AB119">
        <v>-7212.0646999999999</v>
      </c>
      <c r="AC119">
        <v>-7212.0646999999999</v>
      </c>
      <c r="AD119">
        <v>-7212.0646999999999</v>
      </c>
      <c r="AE119">
        <v>-7212.0646999999999</v>
      </c>
    </row>
    <row r="120" spans="2:31" x14ac:dyDescent="0.25">
      <c r="B120">
        <f t="shared" si="3"/>
        <v>52</v>
      </c>
      <c r="C120">
        <v>1</v>
      </c>
      <c r="D120">
        <v>1</v>
      </c>
      <c r="E120">
        <v>1</v>
      </c>
      <c r="F120">
        <v>1</v>
      </c>
      <c r="G120">
        <v>1</v>
      </c>
      <c r="J120">
        <f t="shared" si="4"/>
        <v>52</v>
      </c>
      <c r="K120">
        <v>1</v>
      </c>
      <c r="L120">
        <v>1</v>
      </c>
      <c r="M120">
        <v>1</v>
      </c>
      <c r="N120">
        <v>1</v>
      </c>
      <c r="O120">
        <v>1</v>
      </c>
      <c r="R120">
        <f t="shared" si="5"/>
        <v>52</v>
      </c>
      <c r="S120">
        <v>1</v>
      </c>
      <c r="T120">
        <v>1</v>
      </c>
      <c r="U120">
        <v>1</v>
      </c>
      <c r="V120">
        <v>1</v>
      </c>
      <c r="W120">
        <v>1</v>
      </c>
      <c r="AA120">
        <v>-7079.7435999999998</v>
      </c>
      <c r="AB120">
        <v>-7079.7435999999998</v>
      </c>
      <c r="AC120">
        <v>-7079.7435999999998</v>
      </c>
      <c r="AD120">
        <v>-7079.7435999999998</v>
      </c>
      <c r="AE120">
        <v>-7079.7435999999998</v>
      </c>
    </row>
    <row r="121" spans="2:31" x14ac:dyDescent="0.25">
      <c r="B121">
        <f t="shared" si="3"/>
        <v>53</v>
      </c>
      <c r="C121">
        <v>1</v>
      </c>
      <c r="D121">
        <v>1</v>
      </c>
      <c r="E121">
        <v>1</v>
      </c>
      <c r="F121">
        <v>1</v>
      </c>
      <c r="G121">
        <v>1</v>
      </c>
      <c r="J121">
        <f t="shared" si="4"/>
        <v>53</v>
      </c>
      <c r="K121">
        <v>1</v>
      </c>
      <c r="L121">
        <v>1</v>
      </c>
      <c r="M121">
        <v>1</v>
      </c>
      <c r="N121">
        <v>1</v>
      </c>
      <c r="O121">
        <v>1</v>
      </c>
      <c r="R121">
        <f t="shared" si="5"/>
        <v>53</v>
      </c>
      <c r="S121">
        <v>1</v>
      </c>
      <c r="T121">
        <v>1</v>
      </c>
      <c r="U121">
        <v>1</v>
      </c>
      <c r="V121">
        <v>1</v>
      </c>
      <c r="W121">
        <v>1</v>
      </c>
      <c r="AA121">
        <v>-6945.0875999999998</v>
      </c>
      <c r="AB121">
        <v>-6945.0875999999998</v>
      </c>
      <c r="AC121">
        <v>-6945.0875999999998</v>
      </c>
      <c r="AD121">
        <v>-6945.0875999999998</v>
      </c>
      <c r="AE121">
        <v>-6945.0875999999998</v>
      </c>
    </row>
    <row r="122" spans="2:31" x14ac:dyDescent="0.25">
      <c r="B122">
        <f t="shared" si="3"/>
        <v>54</v>
      </c>
      <c r="C122">
        <v>1</v>
      </c>
      <c r="D122">
        <v>1</v>
      </c>
      <c r="E122">
        <v>1</v>
      </c>
      <c r="F122">
        <v>1</v>
      </c>
      <c r="G122">
        <v>1</v>
      </c>
      <c r="J122">
        <f t="shared" si="4"/>
        <v>54</v>
      </c>
      <c r="K122">
        <v>1</v>
      </c>
      <c r="L122">
        <v>1</v>
      </c>
      <c r="M122">
        <v>1</v>
      </c>
      <c r="N122">
        <v>1</v>
      </c>
      <c r="O122">
        <v>1</v>
      </c>
      <c r="R122">
        <f t="shared" si="5"/>
        <v>54</v>
      </c>
      <c r="S122">
        <v>1</v>
      </c>
      <c r="T122">
        <v>1</v>
      </c>
      <c r="U122">
        <v>1</v>
      </c>
      <c r="V122">
        <v>1</v>
      </c>
      <c r="W122">
        <v>1</v>
      </c>
      <c r="AA122">
        <v>-6808.2438000000002</v>
      </c>
      <c r="AB122">
        <v>-6808.2438000000002</v>
      </c>
      <c r="AC122">
        <v>-6808.2438000000002</v>
      </c>
      <c r="AD122">
        <v>-6808.2438000000002</v>
      </c>
      <c r="AE122">
        <v>-6808.2438000000002</v>
      </c>
    </row>
    <row r="123" spans="2:31" x14ac:dyDescent="0.25">
      <c r="B123">
        <f t="shared" si="3"/>
        <v>55</v>
      </c>
      <c r="C123">
        <v>1</v>
      </c>
      <c r="D123">
        <v>1</v>
      </c>
      <c r="E123">
        <v>1</v>
      </c>
      <c r="F123">
        <v>1</v>
      </c>
      <c r="G123">
        <v>1</v>
      </c>
      <c r="J123">
        <f t="shared" si="4"/>
        <v>55</v>
      </c>
      <c r="K123">
        <v>1</v>
      </c>
      <c r="L123">
        <v>1</v>
      </c>
      <c r="M123">
        <v>1</v>
      </c>
      <c r="N123">
        <v>1</v>
      </c>
      <c r="O123">
        <v>1</v>
      </c>
      <c r="R123">
        <f t="shared" si="5"/>
        <v>55</v>
      </c>
      <c r="S123">
        <v>1</v>
      </c>
      <c r="T123">
        <v>1</v>
      </c>
      <c r="U123">
        <v>1</v>
      </c>
      <c r="V123">
        <v>1</v>
      </c>
      <c r="W123">
        <v>1</v>
      </c>
      <c r="AA123">
        <v>-6669.2525999999998</v>
      </c>
      <c r="AB123">
        <v>-6669.2525999999998</v>
      </c>
      <c r="AC123">
        <v>-6669.2525999999998</v>
      </c>
      <c r="AD123">
        <v>-6669.2525999999998</v>
      </c>
      <c r="AE123">
        <v>-6669.2525999999998</v>
      </c>
    </row>
    <row r="124" spans="2:31" x14ac:dyDescent="0.25">
      <c r="B124">
        <f t="shared" si="3"/>
        <v>56</v>
      </c>
      <c r="C124">
        <v>1</v>
      </c>
      <c r="D124">
        <v>1</v>
      </c>
      <c r="E124">
        <v>1</v>
      </c>
      <c r="F124">
        <v>1</v>
      </c>
      <c r="G124">
        <v>1</v>
      </c>
      <c r="J124">
        <f t="shared" si="4"/>
        <v>56</v>
      </c>
      <c r="K124">
        <v>1</v>
      </c>
      <c r="L124">
        <v>1</v>
      </c>
      <c r="M124">
        <v>1</v>
      </c>
      <c r="N124">
        <v>1</v>
      </c>
      <c r="O124">
        <v>1</v>
      </c>
      <c r="R124">
        <f t="shared" si="5"/>
        <v>56</v>
      </c>
      <c r="S124">
        <v>1</v>
      </c>
      <c r="T124">
        <v>1</v>
      </c>
      <c r="U124">
        <v>1</v>
      </c>
      <c r="V124">
        <v>1</v>
      </c>
      <c r="W124">
        <v>1</v>
      </c>
      <c r="AA124">
        <v>-6528.2992000000004</v>
      </c>
      <c r="AB124">
        <v>-6528.2992000000004</v>
      </c>
      <c r="AC124">
        <v>-6528.2992000000004</v>
      </c>
      <c r="AD124">
        <v>-6528.2992000000004</v>
      </c>
      <c r="AE124">
        <v>-6528.2992000000004</v>
      </c>
    </row>
    <row r="125" spans="2:31" x14ac:dyDescent="0.25">
      <c r="B125">
        <f t="shared" si="3"/>
        <v>57</v>
      </c>
      <c r="C125">
        <v>1</v>
      </c>
      <c r="D125">
        <v>1</v>
      </c>
      <c r="E125">
        <v>1</v>
      </c>
      <c r="F125">
        <v>1</v>
      </c>
      <c r="G125">
        <v>1</v>
      </c>
      <c r="J125">
        <f t="shared" si="4"/>
        <v>57</v>
      </c>
      <c r="K125">
        <v>1</v>
      </c>
      <c r="L125">
        <v>1</v>
      </c>
      <c r="M125">
        <v>1</v>
      </c>
      <c r="N125">
        <v>1</v>
      </c>
      <c r="O125">
        <v>1</v>
      </c>
      <c r="R125">
        <f t="shared" si="5"/>
        <v>57</v>
      </c>
      <c r="S125">
        <v>1</v>
      </c>
      <c r="T125">
        <v>1</v>
      </c>
      <c r="U125">
        <v>1</v>
      </c>
      <c r="V125">
        <v>1</v>
      </c>
      <c r="W125">
        <v>1</v>
      </c>
      <c r="AA125">
        <v>-6385.5230000000001</v>
      </c>
      <c r="AB125">
        <v>-6385.5230000000001</v>
      </c>
      <c r="AC125">
        <v>-6385.5230000000001</v>
      </c>
      <c r="AD125">
        <v>-6385.5230000000001</v>
      </c>
      <c r="AE125">
        <v>-6385.5230000000001</v>
      </c>
    </row>
    <row r="126" spans="2:31" x14ac:dyDescent="0.25">
      <c r="B126">
        <f t="shared" si="3"/>
        <v>58</v>
      </c>
      <c r="C126">
        <v>1</v>
      </c>
      <c r="D126">
        <v>1</v>
      </c>
      <c r="E126">
        <v>1</v>
      </c>
      <c r="F126">
        <v>1</v>
      </c>
      <c r="G126">
        <v>1</v>
      </c>
      <c r="J126">
        <f t="shared" si="4"/>
        <v>58</v>
      </c>
      <c r="K126">
        <v>1</v>
      </c>
      <c r="L126">
        <v>1</v>
      </c>
      <c r="M126">
        <v>1</v>
      </c>
      <c r="N126">
        <v>1</v>
      </c>
      <c r="O126">
        <v>1</v>
      </c>
      <c r="R126">
        <f t="shared" si="5"/>
        <v>58</v>
      </c>
      <c r="S126">
        <v>1</v>
      </c>
      <c r="T126">
        <v>1</v>
      </c>
      <c r="U126">
        <v>1</v>
      </c>
      <c r="V126">
        <v>1</v>
      </c>
      <c r="W126">
        <v>1</v>
      </c>
      <c r="AA126">
        <v>-6240.8730999999998</v>
      </c>
      <c r="AB126">
        <v>-6240.8730999999998</v>
      </c>
      <c r="AC126">
        <v>-6240.8730999999998</v>
      </c>
      <c r="AD126">
        <v>-6240.8730999999998</v>
      </c>
      <c r="AE126">
        <v>-6240.8730999999998</v>
      </c>
    </row>
    <row r="127" spans="2:31" x14ac:dyDescent="0.25">
      <c r="B127">
        <f t="shared" si="3"/>
        <v>59</v>
      </c>
      <c r="C127">
        <v>1</v>
      </c>
      <c r="D127">
        <v>1</v>
      </c>
      <c r="E127">
        <v>1</v>
      </c>
      <c r="F127">
        <v>1</v>
      </c>
      <c r="G127">
        <v>1</v>
      </c>
      <c r="J127">
        <f t="shared" si="4"/>
        <v>59</v>
      </c>
      <c r="K127">
        <v>1</v>
      </c>
      <c r="L127">
        <v>1</v>
      </c>
      <c r="M127">
        <v>1</v>
      </c>
      <c r="N127">
        <v>1</v>
      </c>
      <c r="O127">
        <v>1</v>
      </c>
      <c r="R127">
        <f t="shared" si="5"/>
        <v>59</v>
      </c>
      <c r="S127">
        <v>1</v>
      </c>
      <c r="T127">
        <v>1</v>
      </c>
      <c r="U127">
        <v>1</v>
      </c>
      <c r="V127">
        <v>1</v>
      </c>
      <c r="W127">
        <v>1</v>
      </c>
      <c r="AA127">
        <v>-6094.3262999999997</v>
      </c>
      <c r="AB127">
        <v>-6094.3262999999997</v>
      </c>
      <c r="AC127">
        <v>-6094.3262999999997</v>
      </c>
      <c r="AD127">
        <v>-6094.3262999999997</v>
      </c>
      <c r="AE127">
        <v>-6094.3262999999997</v>
      </c>
    </row>
    <row r="128" spans="2:31" x14ac:dyDescent="0.25">
      <c r="B128">
        <f t="shared" si="3"/>
        <v>60</v>
      </c>
      <c r="C128">
        <v>1</v>
      </c>
      <c r="D128">
        <v>1</v>
      </c>
      <c r="E128">
        <v>1</v>
      </c>
      <c r="F128">
        <v>1</v>
      </c>
      <c r="G128">
        <v>1</v>
      </c>
      <c r="J128">
        <f t="shared" si="4"/>
        <v>60</v>
      </c>
      <c r="K128">
        <v>1</v>
      </c>
      <c r="L128">
        <v>1</v>
      </c>
      <c r="M128">
        <v>1</v>
      </c>
      <c r="N128">
        <v>1</v>
      </c>
      <c r="O128">
        <v>1</v>
      </c>
      <c r="R128">
        <f t="shared" si="5"/>
        <v>60</v>
      </c>
      <c r="S128">
        <v>1</v>
      </c>
      <c r="T128">
        <v>1</v>
      </c>
      <c r="U128">
        <v>1</v>
      </c>
      <c r="V128">
        <v>1</v>
      </c>
      <c r="W128">
        <v>1</v>
      </c>
      <c r="AA128">
        <v>-5945.9960000000001</v>
      </c>
      <c r="AB128">
        <v>-5945.9960000000001</v>
      </c>
      <c r="AC128">
        <v>-5945.9960000000001</v>
      </c>
      <c r="AD128">
        <v>-5945.9960000000001</v>
      </c>
      <c r="AE128">
        <v>-5945.9960000000001</v>
      </c>
    </row>
    <row r="129" spans="2:32" x14ac:dyDescent="0.25">
      <c r="B129">
        <f t="shared" si="3"/>
        <v>61</v>
      </c>
      <c r="C129">
        <v>1</v>
      </c>
      <c r="D129">
        <v>1</v>
      </c>
      <c r="E129">
        <v>1</v>
      </c>
      <c r="F129">
        <v>1</v>
      </c>
      <c r="G129">
        <v>1</v>
      </c>
      <c r="J129">
        <f t="shared" si="4"/>
        <v>61</v>
      </c>
      <c r="K129">
        <v>1</v>
      </c>
      <c r="L129">
        <v>1</v>
      </c>
      <c r="M129">
        <v>1</v>
      </c>
      <c r="N129">
        <v>1</v>
      </c>
      <c r="O129">
        <v>1</v>
      </c>
      <c r="R129">
        <f t="shared" si="5"/>
        <v>61</v>
      </c>
      <c r="S129">
        <v>1</v>
      </c>
      <c r="T129">
        <v>1</v>
      </c>
      <c r="U129">
        <v>1</v>
      </c>
      <c r="V129">
        <v>1</v>
      </c>
      <c r="W129">
        <v>1</v>
      </c>
      <c r="AA129">
        <v>-5796.3015999999998</v>
      </c>
      <c r="AB129">
        <v>-5796.3015999999998</v>
      </c>
      <c r="AC129">
        <v>-5796.3015999999998</v>
      </c>
      <c r="AD129">
        <v>-5796.3015999999998</v>
      </c>
      <c r="AE129">
        <v>-5796.3015999999998</v>
      </c>
    </row>
    <row r="130" spans="2:32" x14ac:dyDescent="0.25">
      <c r="B130">
        <f t="shared" si="3"/>
        <v>62</v>
      </c>
      <c r="C130">
        <v>1</v>
      </c>
      <c r="D130">
        <v>1</v>
      </c>
      <c r="E130">
        <v>1</v>
      </c>
      <c r="F130">
        <v>1</v>
      </c>
      <c r="G130">
        <v>1</v>
      </c>
      <c r="J130">
        <f t="shared" si="4"/>
        <v>62</v>
      </c>
      <c r="K130">
        <v>1</v>
      </c>
      <c r="L130">
        <v>1</v>
      </c>
      <c r="M130">
        <v>1</v>
      </c>
      <c r="N130">
        <v>1</v>
      </c>
      <c r="O130">
        <v>1</v>
      </c>
      <c r="R130">
        <f t="shared" si="5"/>
        <v>62</v>
      </c>
      <c r="S130">
        <v>1</v>
      </c>
      <c r="T130">
        <v>1</v>
      </c>
      <c r="U130">
        <v>1</v>
      </c>
      <c r="V130">
        <v>1</v>
      </c>
      <c r="W130">
        <v>1</v>
      </c>
      <c r="AA130">
        <v>-5645.2415000000001</v>
      </c>
      <c r="AB130">
        <v>-5645.2415000000001</v>
      </c>
      <c r="AC130">
        <v>-5645.2415000000001</v>
      </c>
      <c r="AD130">
        <v>-5645.2415000000001</v>
      </c>
      <c r="AE130">
        <v>-5645.2415000000001</v>
      </c>
    </row>
    <row r="131" spans="2:32" x14ac:dyDescent="0.25">
      <c r="B131">
        <f t="shared" si="3"/>
        <v>63</v>
      </c>
      <c r="C131">
        <v>1</v>
      </c>
      <c r="D131">
        <v>1</v>
      </c>
      <c r="E131">
        <v>1</v>
      </c>
      <c r="F131">
        <v>1</v>
      </c>
      <c r="G131">
        <v>1</v>
      </c>
      <c r="J131">
        <f t="shared" si="4"/>
        <v>63</v>
      </c>
      <c r="K131">
        <v>1</v>
      </c>
      <c r="L131">
        <v>1</v>
      </c>
      <c r="M131">
        <v>1</v>
      </c>
      <c r="N131">
        <v>1</v>
      </c>
      <c r="O131">
        <v>1</v>
      </c>
      <c r="R131">
        <f t="shared" si="5"/>
        <v>63</v>
      </c>
      <c r="S131">
        <v>1</v>
      </c>
      <c r="T131">
        <v>1</v>
      </c>
      <c r="U131">
        <v>1</v>
      </c>
      <c r="V131">
        <v>1</v>
      </c>
      <c r="W131">
        <v>1</v>
      </c>
      <c r="AA131">
        <v>-5492.4920000000002</v>
      </c>
      <c r="AB131">
        <v>-5492.4920000000002</v>
      </c>
      <c r="AC131">
        <v>-5492.4920000000002</v>
      </c>
      <c r="AD131">
        <v>-5492.4920000000002</v>
      </c>
      <c r="AE131">
        <v>-5492.4920000000002</v>
      </c>
    </row>
    <row r="132" spans="2:32" x14ac:dyDescent="0.25">
      <c r="B132">
        <f t="shared" si="3"/>
        <v>64</v>
      </c>
      <c r="C132">
        <v>1</v>
      </c>
      <c r="D132">
        <v>1</v>
      </c>
      <c r="E132">
        <v>1</v>
      </c>
      <c r="F132">
        <v>1</v>
      </c>
      <c r="G132">
        <v>1</v>
      </c>
      <c r="J132">
        <f t="shared" si="4"/>
        <v>64</v>
      </c>
      <c r="K132">
        <v>1</v>
      </c>
      <c r="L132">
        <v>1</v>
      </c>
      <c r="M132">
        <v>1</v>
      </c>
      <c r="N132">
        <v>1</v>
      </c>
      <c r="O132">
        <v>1</v>
      </c>
      <c r="R132">
        <f t="shared" si="5"/>
        <v>64</v>
      </c>
      <c r="S132">
        <v>1</v>
      </c>
      <c r="T132">
        <v>1</v>
      </c>
      <c r="U132">
        <v>1</v>
      </c>
      <c r="V132">
        <v>1</v>
      </c>
      <c r="W132">
        <v>1</v>
      </c>
      <c r="AA132">
        <v>-5338.1817000000001</v>
      </c>
      <c r="AB132">
        <v>-5338.1817000000001</v>
      </c>
      <c r="AC132">
        <v>-5338.1817000000001</v>
      </c>
      <c r="AD132">
        <v>-5338.1817000000001</v>
      </c>
      <c r="AE132">
        <v>-5338.1817000000001</v>
      </c>
    </row>
    <row r="133" spans="2:32" x14ac:dyDescent="0.25">
      <c r="B133">
        <f t="shared" si="3"/>
        <v>65</v>
      </c>
      <c r="C133">
        <v>1</v>
      </c>
      <c r="D133">
        <v>1</v>
      </c>
      <c r="E133">
        <v>1</v>
      </c>
      <c r="F133">
        <v>1</v>
      </c>
      <c r="G133">
        <v>1</v>
      </c>
      <c r="J133">
        <f t="shared" si="4"/>
        <v>65</v>
      </c>
      <c r="K133">
        <v>1</v>
      </c>
      <c r="L133">
        <v>1</v>
      </c>
      <c r="M133">
        <v>1</v>
      </c>
      <c r="N133">
        <v>1</v>
      </c>
      <c r="O133">
        <v>1</v>
      </c>
      <c r="R133">
        <f t="shared" si="5"/>
        <v>65</v>
      </c>
      <c r="S133">
        <v>1</v>
      </c>
      <c r="T133">
        <v>1</v>
      </c>
      <c r="U133">
        <v>1</v>
      </c>
      <c r="V133">
        <v>1</v>
      </c>
      <c r="W133">
        <v>1</v>
      </c>
      <c r="AA133">
        <v>-5182.2268999999997</v>
      </c>
      <c r="AB133">
        <v>-5182.2268999999997</v>
      </c>
      <c r="AC133">
        <v>-5182.2268999999997</v>
      </c>
      <c r="AD133">
        <v>-5182.2268999999997</v>
      </c>
      <c r="AE133">
        <v>-5182.2268999999997</v>
      </c>
    </row>
    <row r="136" spans="2:32" x14ac:dyDescent="0.25">
      <c r="B136" t="s">
        <v>46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47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48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2:32" x14ac:dyDescent="0.25">
      <c r="B137">
        <v>26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J137">
        <v>26</v>
      </c>
      <c r="K137">
        <v>1</v>
      </c>
      <c r="L137">
        <v>1</v>
      </c>
      <c r="M137">
        <v>1</v>
      </c>
      <c r="N137">
        <v>1</v>
      </c>
      <c r="O137">
        <v>1</v>
      </c>
      <c r="P137">
        <v>1</v>
      </c>
      <c r="R137">
        <v>26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AA137">
        <v>-5174.8482999999997</v>
      </c>
      <c r="AB137">
        <v>-5174.8482999999997</v>
      </c>
      <c r="AC137">
        <v>-5174.8482999999997</v>
      </c>
      <c r="AD137">
        <v>-5174.8482999999997</v>
      </c>
      <c r="AE137">
        <v>-5174.8482999999997</v>
      </c>
      <c r="AF137">
        <v>-5174.8482999999997</v>
      </c>
    </row>
    <row r="138" spans="2:32" x14ac:dyDescent="0.25">
      <c r="B138">
        <v>27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J138">
        <v>27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R138">
        <v>27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AA138">
        <v>-5173.6036999999997</v>
      </c>
      <c r="AB138">
        <v>-5173.6036999999997</v>
      </c>
      <c r="AC138">
        <v>-5173.6036999999997</v>
      </c>
      <c r="AD138">
        <v>-5173.6036999999997</v>
      </c>
      <c r="AE138">
        <v>-5173.6036999999997</v>
      </c>
      <c r="AF138">
        <v>-5173.6036999999997</v>
      </c>
    </row>
    <row r="139" spans="2:32" x14ac:dyDescent="0.25">
      <c r="B139">
        <v>28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J139">
        <v>28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R139">
        <v>28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AA139">
        <v>-5172.1755999999996</v>
      </c>
      <c r="AB139">
        <v>-5172.1755999999996</v>
      </c>
      <c r="AC139">
        <v>-5172.1755999999996</v>
      </c>
      <c r="AD139">
        <v>-5172.1755999999996</v>
      </c>
      <c r="AE139">
        <v>-5172.1755999999996</v>
      </c>
      <c r="AF139">
        <v>-5172.1755999999996</v>
      </c>
    </row>
    <row r="140" spans="2:32" x14ac:dyDescent="0.25">
      <c r="B140">
        <v>29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J140">
        <v>29</v>
      </c>
      <c r="K140">
        <v>1</v>
      </c>
      <c r="L140">
        <v>1</v>
      </c>
      <c r="M140">
        <v>1</v>
      </c>
      <c r="N140">
        <v>1</v>
      </c>
      <c r="O140">
        <v>1</v>
      </c>
      <c r="P140">
        <v>1</v>
      </c>
      <c r="R140">
        <v>29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AA140">
        <v>-5170.5482000000002</v>
      </c>
      <c r="AB140">
        <v>-5170.5482000000002</v>
      </c>
      <c r="AC140">
        <v>-5170.5482000000002</v>
      </c>
      <c r="AD140">
        <v>-5170.5482000000002</v>
      </c>
      <c r="AE140">
        <v>-5170.5482000000002</v>
      </c>
      <c r="AF140">
        <v>-5170.5482000000002</v>
      </c>
    </row>
    <row r="141" spans="2:32" x14ac:dyDescent="0.25">
      <c r="B141">
        <v>30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J141">
        <v>30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R141">
        <v>30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AA141">
        <v>-5168.6908999999996</v>
      </c>
      <c r="AB141">
        <v>-5168.6908999999996</v>
      </c>
      <c r="AC141">
        <v>-5168.6908999999996</v>
      </c>
      <c r="AD141">
        <v>-5168.6908999999996</v>
      </c>
      <c r="AE141">
        <v>-5168.6908999999996</v>
      </c>
      <c r="AF141">
        <v>-5168.6908999999996</v>
      </c>
    </row>
    <row r="142" spans="2:32" x14ac:dyDescent="0.25">
      <c r="B142">
        <v>31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J142">
        <v>31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R142">
        <v>31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AA142">
        <v>-5166.5891000000001</v>
      </c>
      <c r="AB142">
        <v>-5166.5891000000001</v>
      </c>
      <c r="AC142">
        <v>-5166.5891000000001</v>
      </c>
      <c r="AD142">
        <v>-5166.5891000000001</v>
      </c>
      <c r="AE142">
        <v>-5166.5891000000001</v>
      </c>
      <c r="AF142">
        <v>-5166.5891000000001</v>
      </c>
    </row>
    <row r="143" spans="2:32" x14ac:dyDescent="0.25">
      <c r="B143">
        <v>32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J143">
        <v>32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R143">
        <v>32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AA143">
        <v>-5164.2407000000003</v>
      </c>
      <c r="AB143">
        <v>-5164.2407000000003</v>
      </c>
      <c r="AC143">
        <v>-5164.2407000000003</v>
      </c>
      <c r="AD143">
        <v>-5164.2407000000003</v>
      </c>
      <c r="AE143">
        <v>-5164.2407000000003</v>
      </c>
      <c r="AF143">
        <v>-5164.2407000000003</v>
      </c>
    </row>
    <row r="144" spans="2:32" x14ac:dyDescent="0.25">
      <c r="B144">
        <v>33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J144">
        <v>33</v>
      </c>
      <c r="K144">
        <v>1</v>
      </c>
      <c r="L144">
        <v>1</v>
      </c>
      <c r="M144">
        <v>1</v>
      </c>
      <c r="N144">
        <v>1</v>
      </c>
      <c r="O144">
        <v>1</v>
      </c>
      <c r="P144">
        <v>1</v>
      </c>
      <c r="R144">
        <v>33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AA144">
        <v>-5161.6318000000001</v>
      </c>
      <c r="AB144">
        <v>-5161.6318000000001</v>
      </c>
      <c r="AC144">
        <v>-5161.6318000000001</v>
      </c>
      <c r="AD144">
        <v>-5161.6318000000001</v>
      </c>
      <c r="AE144">
        <v>-5161.6318000000001</v>
      </c>
      <c r="AF144">
        <v>-5161.6318000000001</v>
      </c>
    </row>
    <row r="145" spans="2:32" x14ac:dyDescent="0.25">
      <c r="B145">
        <v>34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J145">
        <v>34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R145">
        <v>34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AA145">
        <v>-5158.7194</v>
      </c>
      <c r="AB145">
        <v>-5158.7194</v>
      </c>
      <c r="AC145">
        <v>-5158.7194</v>
      </c>
      <c r="AD145">
        <v>-5158.7194</v>
      </c>
      <c r="AE145">
        <v>-5158.7194</v>
      </c>
      <c r="AF145">
        <v>-5158.7194</v>
      </c>
    </row>
    <row r="146" spans="2:32" x14ac:dyDescent="0.25">
      <c r="B146">
        <v>35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J146">
        <v>35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R146">
        <v>35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AA146">
        <v>-5155.4901</v>
      </c>
      <c r="AB146">
        <v>-5155.4901</v>
      </c>
      <c r="AC146">
        <v>-5155.4901</v>
      </c>
      <c r="AD146">
        <v>-5155.4901</v>
      </c>
      <c r="AE146">
        <v>-5155.4901</v>
      </c>
      <c r="AF146">
        <v>-5155.4901</v>
      </c>
    </row>
    <row r="147" spans="2:32" x14ac:dyDescent="0.25">
      <c r="B147">
        <v>36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J147">
        <v>36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R147">
        <v>36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AA147">
        <v>-5151.8950999999997</v>
      </c>
      <c r="AB147">
        <v>-5151.8950999999997</v>
      </c>
      <c r="AC147">
        <v>-5151.8950999999997</v>
      </c>
      <c r="AD147">
        <v>-5151.8950999999997</v>
      </c>
      <c r="AE147">
        <v>-5151.8950999999997</v>
      </c>
      <c r="AF147">
        <v>-5151.8950999999997</v>
      </c>
    </row>
    <row r="148" spans="2:32" x14ac:dyDescent="0.25">
      <c r="B148">
        <v>37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  <c r="J148">
        <v>37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R148">
        <v>37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AA148">
        <v>-5147.9106000000002</v>
      </c>
      <c r="AB148">
        <v>-5147.9106000000002</v>
      </c>
      <c r="AC148">
        <v>-5147.9106000000002</v>
      </c>
      <c r="AD148">
        <v>-5147.9106000000002</v>
      </c>
      <c r="AE148">
        <v>-5147.9106000000002</v>
      </c>
      <c r="AF148">
        <v>-5147.9106000000002</v>
      </c>
    </row>
    <row r="149" spans="2:32" x14ac:dyDescent="0.25">
      <c r="B149">
        <v>38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J149">
        <v>38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R149">
        <v>38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AA149">
        <v>-5143.5393999999997</v>
      </c>
      <c r="AB149">
        <v>-5143.5393999999997</v>
      </c>
      <c r="AC149">
        <v>-5143.5393999999997</v>
      </c>
      <c r="AD149">
        <v>-5143.5393999999997</v>
      </c>
      <c r="AE149">
        <v>-5143.5393999999997</v>
      </c>
      <c r="AF149">
        <v>-5143.5393999999997</v>
      </c>
    </row>
    <row r="150" spans="2:32" x14ac:dyDescent="0.25">
      <c r="B150">
        <v>39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J150">
        <v>39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R150">
        <v>39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AA150">
        <v>-5138.76</v>
      </c>
      <c r="AB150">
        <v>-5138.76</v>
      </c>
      <c r="AC150">
        <v>-5138.76</v>
      </c>
      <c r="AD150">
        <v>-5138.76</v>
      </c>
      <c r="AE150">
        <v>-5138.76</v>
      </c>
      <c r="AF150">
        <v>-5138.76</v>
      </c>
    </row>
    <row r="151" spans="2:32" x14ac:dyDescent="0.25">
      <c r="B151">
        <v>40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J151">
        <v>40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R151">
        <v>40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AA151">
        <v>-5133.5084999999999</v>
      </c>
      <c r="AB151">
        <v>-5133.5084999999999</v>
      </c>
      <c r="AC151">
        <v>-5133.5084999999999</v>
      </c>
      <c r="AD151">
        <v>-5133.5084999999999</v>
      </c>
      <c r="AE151">
        <v>-5133.5084999999999</v>
      </c>
      <c r="AF151">
        <v>-5133.5084999999999</v>
      </c>
    </row>
    <row r="152" spans="2:32" x14ac:dyDescent="0.25">
      <c r="B152">
        <v>41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J152">
        <v>41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R152">
        <v>41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AA152">
        <v>-5127.7236000000003</v>
      </c>
      <c r="AB152">
        <v>-5127.7236000000003</v>
      </c>
      <c r="AC152">
        <v>-5127.7236000000003</v>
      </c>
      <c r="AD152">
        <v>-5127.7236000000003</v>
      </c>
      <c r="AE152">
        <v>-5127.7236000000003</v>
      </c>
      <c r="AF152">
        <v>-5127.7236000000003</v>
      </c>
    </row>
    <row r="153" spans="2:32" x14ac:dyDescent="0.25">
      <c r="B153">
        <v>42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J153">
        <v>42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R153">
        <v>42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AA153">
        <v>-5121.3726999999999</v>
      </c>
      <c r="AB153">
        <v>-5121.3726999999999</v>
      </c>
      <c r="AC153">
        <v>-5121.3726999999999</v>
      </c>
      <c r="AD153">
        <v>-5121.3726999999999</v>
      </c>
      <c r="AE153">
        <v>-5121.3726999999999</v>
      </c>
      <c r="AF153">
        <v>-5121.3726999999999</v>
      </c>
    </row>
    <row r="154" spans="2:32" x14ac:dyDescent="0.25">
      <c r="B154">
        <v>43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J154">
        <v>43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R154">
        <v>43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AA154">
        <v>-5114.3449000000001</v>
      </c>
      <c r="AB154">
        <v>-5114.3449000000001</v>
      </c>
      <c r="AC154">
        <v>-5114.3449000000001</v>
      </c>
      <c r="AD154">
        <v>-5114.3449000000001</v>
      </c>
      <c r="AE154">
        <v>-5114.3449000000001</v>
      </c>
      <c r="AF154">
        <v>-5114.3449000000001</v>
      </c>
    </row>
    <row r="155" spans="2:32" x14ac:dyDescent="0.25">
      <c r="B155">
        <v>44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J155">
        <v>44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R155">
        <v>44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AA155">
        <v>-5106.5976000000001</v>
      </c>
      <c r="AB155">
        <v>-5106.5976000000001</v>
      </c>
      <c r="AC155">
        <v>-5106.5976000000001</v>
      </c>
      <c r="AD155">
        <v>-5106.5976000000001</v>
      </c>
      <c r="AE155">
        <v>-5106.5976000000001</v>
      </c>
      <c r="AF155">
        <v>-5106.5976000000001</v>
      </c>
    </row>
    <row r="156" spans="2:32" x14ac:dyDescent="0.25">
      <c r="B156">
        <v>45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J156">
        <v>45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1</v>
      </c>
      <c r="R156">
        <v>45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AA156">
        <v>-5098.0524999999998</v>
      </c>
      <c r="AB156">
        <v>-5098.0524999999998</v>
      </c>
      <c r="AC156">
        <v>-5098.0524999999998</v>
      </c>
      <c r="AD156">
        <v>-5098.0524999999998</v>
      </c>
      <c r="AE156">
        <v>-5098.0524999999998</v>
      </c>
      <c r="AF156">
        <v>-5098.0524999999998</v>
      </c>
    </row>
    <row r="157" spans="2:32" x14ac:dyDescent="0.25">
      <c r="B157">
        <v>46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J157">
        <v>46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R157">
        <v>46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AA157">
        <v>-5088.6378000000004</v>
      </c>
      <c r="AB157">
        <v>-5088.6378000000004</v>
      </c>
      <c r="AC157">
        <v>-5088.6378000000004</v>
      </c>
      <c r="AD157">
        <v>-5088.6378000000004</v>
      </c>
      <c r="AE157">
        <v>-5088.6378000000004</v>
      </c>
      <c r="AF157">
        <v>-5088.6378000000004</v>
      </c>
    </row>
    <row r="158" spans="2:32" x14ac:dyDescent="0.25">
      <c r="B158">
        <v>47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J158">
        <v>47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R158">
        <v>47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AA158">
        <v>-5078.2593999999999</v>
      </c>
      <c r="AB158">
        <v>-5078.2593999999999</v>
      </c>
      <c r="AC158">
        <v>-5078.2593999999999</v>
      </c>
      <c r="AD158">
        <v>-5078.2593999999999</v>
      </c>
      <c r="AE158">
        <v>-5078.2593999999999</v>
      </c>
      <c r="AF158">
        <v>-5078.2593999999999</v>
      </c>
    </row>
    <row r="159" spans="2:32" x14ac:dyDescent="0.25">
      <c r="B159">
        <v>48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J159">
        <v>48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R159">
        <v>48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AA159">
        <v>-5066.8732</v>
      </c>
      <c r="AB159">
        <v>-5066.8732</v>
      </c>
      <c r="AC159">
        <v>-5066.8732</v>
      </c>
      <c r="AD159">
        <v>-5066.8732</v>
      </c>
      <c r="AE159">
        <v>-5066.8732</v>
      </c>
      <c r="AF159">
        <v>-5066.8732</v>
      </c>
    </row>
    <row r="160" spans="2:32" x14ac:dyDescent="0.25">
      <c r="B160">
        <v>49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J160">
        <v>49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R160">
        <v>49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AA160">
        <v>-5054.4124000000002</v>
      </c>
      <c r="AB160">
        <v>-5054.4124000000002</v>
      </c>
      <c r="AC160">
        <v>-5054.4124000000002</v>
      </c>
      <c r="AD160">
        <v>-5054.4124000000002</v>
      </c>
      <c r="AE160">
        <v>-5054.4124000000002</v>
      </c>
      <c r="AF160">
        <v>-5054.4124000000002</v>
      </c>
    </row>
    <row r="161" spans="2:32" x14ac:dyDescent="0.25">
      <c r="B161">
        <v>50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J161">
        <v>50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R161">
        <v>50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AA161">
        <v>-5040.7671</v>
      </c>
      <c r="AB161">
        <v>-5040.7671</v>
      </c>
      <c r="AC161">
        <v>-5040.7671</v>
      </c>
      <c r="AD161">
        <v>-5040.7671</v>
      </c>
      <c r="AE161">
        <v>-5040.7671</v>
      </c>
      <c r="AF161">
        <v>-5040.7671</v>
      </c>
    </row>
    <row r="162" spans="2:32" x14ac:dyDescent="0.25">
      <c r="B162">
        <v>51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J162">
        <v>51</v>
      </c>
      <c r="K162">
        <v>1</v>
      </c>
      <c r="L162">
        <v>1</v>
      </c>
      <c r="M162">
        <v>1</v>
      </c>
      <c r="N162">
        <v>1</v>
      </c>
      <c r="O162">
        <v>1</v>
      </c>
      <c r="P162">
        <v>1</v>
      </c>
      <c r="R162">
        <v>51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AA162">
        <v>-5025.8329000000003</v>
      </c>
      <c r="AB162">
        <v>-5025.8329000000003</v>
      </c>
      <c r="AC162">
        <v>-5025.8329000000003</v>
      </c>
      <c r="AD162">
        <v>-5025.8329000000003</v>
      </c>
      <c r="AE162">
        <v>-5025.8329000000003</v>
      </c>
      <c r="AF162">
        <v>-5025.8329000000003</v>
      </c>
    </row>
    <row r="163" spans="2:32" x14ac:dyDescent="0.25">
      <c r="B163">
        <v>52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J163">
        <v>52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R163">
        <v>52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AA163">
        <v>-5009.4771000000001</v>
      </c>
      <c r="AB163">
        <v>-5009.4771000000001</v>
      </c>
      <c r="AC163">
        <v>-5009.4771000000001</v>
      </c>
      <c r="AD163">
        <v>-5009.4771000000001</v>
      </c>
      <c r="AE163">
        <v>-5009.4771000000001</v>
      </c>
      <c r="AF163">
        <v>-5009.4771000000001</v>
      </c>
    </row>
    <row r="164" spans="2:32" x14ac:dyDescent="0.25">
      <c r="B164">
        <v>53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J164">
        <v>53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R164">
        <v>53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AA164">
        <v>-4991.6184000000003</v>
      </c>
      <c r="AB164">
        <v>-4991.6184000000003</v>
      </c>
      <c r="AC164">
        <v>-4991.6184000000003</v>
      </c>
      <c r="AD164">
        <v>-4991.6184000000003</v>
      </c>
      <c r="AE164">
        <v>-4991.6184000000003</v>
      </c>
      <c r="AF164">
        <v>-4991.6184000000003</v>
      </c>
    </row>
    <row r="165" spans="2:32" x14ac:dyDescent="0.25">
      <c r="B165">
        <v>54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J165">
        <v>54</v>
      </c>
      <c r="K165">
        <v>1</v>
      </c>
      <c r="L165">
        <v>1</v>
      </c>
      <c r="M165">
        <v>1</v>
      </c>
      <c r="N165">
        <v>1</v>
      </c>
      <c r="O165">
        <v>1</v>
      </c>
      <c r="P165">
        <v>1</v>
      </c>
      <c r="R165">
        <v>54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AA165">
        <v>-4972.1588000000002</v>
      </c>
      <c r="AB165">
        <v>-4972.1588000000002</v>
      </c>
      <c r="AC165">
        <v>-4972.1588000000002</v>
      </c>
      <c r="AD165">
        <v>-4972.1588000000002</v>
      </c>
      <c r="AE165">
        <v>-4972.1588000000002</v>
      </c>
      <c r="AF165">
        <v>-4972.1588000000002</v>
      </c>
    </row>
    <row r="166" spans="2:32" x14ac:dyDescent="0.25">
      <c r="B166">
        <v>55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J166">
        <v>55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R166">
        <v>55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AA166">
        <v>-4950.9426000000003</v>
      </c>
      <c r="AB166">
        <v>-4950.9426000000003</v>
      </c>
      <c r="AC166">
        <v>-4950.9426000000003</v>
      </c>
      <c r="AD166">
        <v>-4950.9426000000003</v>
      </c>
      <c r="AE166">
        <v>-4950.9426000000003</v>
      </c>
      <c r="AF166">
        <v>-4950.9426000000003</v>
      </c>
    </row>
    <row r="169" spans="2:32" x14ac:dyDescent="0.25">
      <c r="B169" t="s">
        <v>46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32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48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2:32" x14ac:dyDescent="0.25">
      <c r="B170">
        <v>35</v>
      </c>
      <c r="C170">
        <v>1</v>
      </c>
      <c r="D170">
        <v>1</v>
      </c>
      <c r="E170">
        <v>1</v>
      </c>
      <c r="F170">
        <v>1</v>
      </c>
      <c r="G170">
        <v>1</v>
      </c>
      <c r="J170">
        <v>35</v>
      </c>
      <c r="K170">
        <v>1</v>
      </c>
      <c r="L170">
        <v>1</v>
      </c>
      <c r="M170">
        <v>1</v>
      </c>
      <c r="N170">
        <v>1</v>
      </c>
      <c r="O170">
        <v>1</v>
      </c>
      <c r="R170">
        <v>35</v>
      </c>
      <c r="S170">
        <v>1</v>
      </c>
      <c r="T170">
        <v>1</v>
      </c>
      <c r="U170">
        <v>1</v>
      </c>
      <c r="V170">
        <v>1</v>
      </c>
      <c r="W170">
        <v>1</v>
      </c>
      <c r="AA170">
        <v>-8996.1419000000005</v>
      </c>
      <c r="AB170">
        <v>-8996.1419000000005</v>
      </c>
      <c r="AC170">
        <v>-8996.1419000000005</v>
      </c>
      <c r="AD170">
        <v>-8996.1419000000005</v>
      </c>
      <c r="AE170">
        <v>-8996.1419000000005</v>
      </c>
    </row>
    <row r="171" spans="2:32" x14ac:dyDescent="0.25">
      <c r="B171">
        <f t="shared" ref="B171:B200" si="6">B170+1</f>
        <v>36</v>
      </c>
      <c r="C171">
        <v>1</v>
      </c>
      <c r="D171">
        <v>1</v>
      </c>
      <c r="E171">
        <v>1</v>
      </c>
      <c r="F171">
        <v>1</v>
      </c>
      <c r="G171">
        <v>1</v>
      </c>
      <c r="J171">
        <f t="shared" ref="J171:J200" si="7">J170+1</f>
        <v>36</v>
      </c>
      <c r="K171">
        <v>1</v>
      </c>
      <c r="L171">
        <v>1</v>
      </c>
      <c r="M171">
        <v>1</v>
      </c>
      <c r="N171">
        <v>1</v>
      </c>
      <c r="O171">
        <v>1</v>
      </c>
      <c r="R171">
        <f t="shared" ref="R171:R200" si="8">R170+1</f>
        <v>36</v>
      </c>
      <c r="S171">
        <v>1</v>
      </c>
      <c r="T171">
        <v>1</v>
      </c>
      <c r="U171">
        <v>1</v>
      </c>
      <c r="V171">
        <v>1</v>
      </c>
      <c r="W171">
        <v>1</v>
      </c>
      <c r="AA171">
        <v>-8902.6679999999997</v>
      </c>
      <c r="AB171">
        <v>-8902.6679999999997</v>
      </c>
      <c r="AC171">
        <v>-8902.6679999999997</v>
      </c>
      <c r="AD171">
        <v>-8902.6679999999997</v>
      </c>
      <c r="AE171">
        <v>-8902.6679999999997</v>
      </c>
    </row>
    <row r="172" spans="2:32" x14ac:dyDescent="0.25">
      <c r="B172">
        <f t="shared" si="6"/>
        <v>37</v>
      </c>
      <c r="C172">
        <v>1</v>
      </c>
      <c r="D172">
        <v>1</v>
      </c>
      <c r="E172">
        <v>1</v>
      </c>
      <c r="F172">
        <v>1</v>
      </c>
      <c r="G172">
        <v>1</v>
      </c>
      <c r="J172">
        <f t="shared" si="7"/>
        <v>37</v>
      </c>
      <c r="K172">
        <v>1</v>
      </c>
      <c r="L172">
        <v>1</v>
      </c>
      <c r="M172">
        <v>1</v>
      </c>
      <c r="N172">
        <v>1</v>
      </c>
      <c r="O172">
        <v>1</v>
      </c>
      <c r="R172">
        <f t="shared" si="8"/>
        <v>37</v>
      </c>
      <c r="S172">
        <v>1</v>
      </c>
      <c r="T172">
        <v>1</v>
      </c>
      <c r="U172">
        <v>1</v>
      </c>
      <c r="V172">
        <v>1</v>
      </c>
      <c r="W172">
        <v>1</v>
      </c>
      <c r="AA172">
        <v>-8806.7960000000003</v>
      </c>
      <c r="AB172">
        <v>-8806.7960000000003</v>
      </c>
      <c r="AC172">
        <v>-8806.7960000000003</v>
      </c>
      <c r="AD172">
        <v>-8806.7960000000003</v>
      </c>
      <c r="AE172">
        <v>-8806.7960000000003</v>
      </c>
    </row>
    <row r="173" spans="2:32" x14ac:dyDescent="0.25">
      <c r="B173">
        <f t="shared" si="6"/>
        <v>38</v>
      </c>
      <c r="C173">
        <v>1</v>
      </c>
      <c r="D173">
        <v>1</v>
      </c>
      <c r="E173">
        <v>1</v>
      </c>
      <c r="F173">
        <v>1</v>
      </c>
      <c r="G173">
        <v>1</v>
      </c>
      <c r="J173">
        <f t="shared" si="7"/>
        <v>38</v>
      </c>
      <c r="K173">
        <v>1</v>
      </c>
      <c r="L173">
        <v>1</v>
      </c>
      <c r="M173">
        <v>1</v>
      </c>
      <c r="N173">
        <v>1</v>
      </c>
      <c r="O173">
        <v>1</v>
      </c>
      <c r="R173">
        <f t="shared" si="8"/>
        <v>38</v>
      </c>
      <c r="S173">
        <v>1</v>
      </c>
      <c r="T173">
        <v>1</v>
      </c>
      <c r="U173">
        <v>1</v>
      </c>
      <c r="V173">
        <v>1</v>
      </c>
      <c r="W173">
        <v>1</v>
      </c>
      <c r="AA173">
        <v>-8708.6234000000004</v>
      </c>
      <c r="AB173">
        <v>-8708.6234000000004</v>
      </c>
      <c r="AC173">
        <v>-8708.6234000000004</v>
      </c>
      <c r="AD173">
        <v>-8708.6234000000004</v>
      </c>
      <c r="AE173">
        <v>-8708.6234000000004</v>
      </c>
    </row>
    <row r="174" spans="2:32" x14ac:dyDescent="0.25">
      <c r="B174">
        <f t="shared" si="6"/>
        <v>39</v>
      </c>
      <c r="C174">
        <v>1</v>
      </c>
      <c r="D174">
        <v>1</v>
      </c>
      <c r="E174">
        <v>1</v>
      </c>
      <c r="F174">
        <v>1</v>
      </c>
      <c r="G174">
        <v>1</v>
      </c>
      <c r="J174">
        <f t="shared" si="7"/>
        <v>39</v>
      </c>
      <c r="K174">
        <v>1</v>
      </c>
      <c r="L174">
        <v>1</v>
      </c>
      <c r="M174">
        <v>1</v>
      </c>
      <c r="N174">
        <v>1</v>
      </c>
      <c r="O174">
        <v>1</v>
      </c>
      <c r="R174">
        <f t="shared" si="8"/>
        <v>39</v>
      </c>
      <c r="S174">
        <v>1</v>
      </c>
      <c r="T174">
        <v>1</v>
      </c>
      <c r="U174">
        <v>1</v>
      </c>
      <c r="V174">
        <v>1</v>
      </c>
      <c r="W174">
        <v>1</v>
      </c>
      <c r="AA174">
        <v>-8608.1594000000005</v>
      </c>
      <c r="AB174">
        <v>-8608.1594000000005</v>
      </c>
      <c r="AC174">
        <v>-8608.1594000000005</v>
      </c>
      <c r="AD174">
        <v>-8608.1594000000005</v>
      </c>
      <c r="AE174">
        <v>-8608.1594000000005</v>
      </c>
    </row>
    <row r="175" spans="2:32" x14ac:dyDescent="0.25">
      <c r="B175">
        <f t="shared" si="6"/>
        <v>40</v>
      </c>
      <c r="C175">
        <v>1</v>
      </c>
      <c r="D175">
        <v>1</v>
      </c>
      <c r="E175">
        <v>1</v>
      </c>
      <c r="F175">
        <v>1</v>
      </c>
      <c r="G175">
        <v>1</v>
      </c>
      <c r="J175">
        <f t="shared" si="7"/>
        <v>40</v>
      </c>
      <c r="K175">
        <v>1</v>
      </c>
      <c r="L175">
        <v>1</v>
      </c>
      <c r="M175">
        <v>1</v>
      </c>
      <c r="N175">
        <v>1</v>
      </c>
      <c r="O175">
        <v>1</v>
      </c>
      <c r="R175">
        <f t="shared" si="8"/>
        <v>40</v>
      </c>
      <c r="S175">
        <v>1</v>
      </c>
      <c r="T175">
        <v>1</v>
      </c>
      <c r="U175">
        <v>1</v>
      </c>
      <c r="V175">
        <v>1</v>
      </c>
      <c r="W175">
        <v>1</v>
      </c>
      <c r="AA175">
        <v>-8505.3439999999991</v>
      </c>
      <c r="AB175">
        <v>-8505.3439999999991</v>
      </c>
      <c r="AC175">
        <v>-8505.3439999999991</v>
      </c>
      <c r="AD175">
        <v>-8505.3439999999991</v>
      </c>
      <c r="AE175">
        <v>-8505.3439999999991</v>
      </c>
    </row>
    <row r="176" spans="2:32" x14ac:dyDescent="0.25">
      <c r="B176">
        <f t="shared" si="6"/>
        <v>41</v>
      </c>
      <c r="C176">
        <v>1</v>
      </c>
      <c r="D176">
        <v>1</v>
      </c>
      <c r="E176">
        <v>1</v>
      </c>
      <c r="F176">
        <v>1</v>
      </c>
      <c r="G176">
        <v>1</v>
      </c>
      <c r="J176">
        <f t="shared" si="7"/>
        <v>41</v>
      </c>
      <c r="K176">
        <v>1</v>
      </c>
      <c r="L176">
        <v>1</v>
      </c>
      <c r="M176">
        <v>1</v>
      </c>
      <c r="N176">
        <v>1</v>
      </c>
      <c r="O176">
        <v>1</v>
      </c>
      <c r="R176">
        <f t="shared" si="8"/>
        <v>41</v>
      </c>
      <c r="S176">
        <v>1</v>
      </c>
      <c r="T176">
        <v>1</v>
      </c>
      <c r="U176">
        <v>1</v>
      </c>
      <c r="V176">
        <v>1</v>
      </c>
      <c r="W176">
        <v>1</v>
      </c>
      <c r="AA176">
        <v>-8400.1087000000007</v>
      </c>
      <c r="AB176">
        <v>-8400.1087000000007</v>
      </c>
      <c r="AC176">
        <v>-8400.1087000000007</v>
      </c>
      <c r="AD176">
        <v>-8400.1087000000007</v>
      </c>
      <c r="AE176">
        <v>-8400.1087000000007</v>
      </c>
    </row>
    <row r="177" spans="2:31" x14ac:dyDescent="0.25">
      <c r="B177">
        <f t="shared" si="6"/>
        <v>42</v>
      </c>
      <c r="C177">
        <v>1</v>
      </c>
      <c r="D177">
        <v>1</v>
      </c>
      <c r="E177">
        <v>1</v>
      </c>
      <c r="F177">
        <v>1</v>
      </c>
      <c r="G177">
        <v>1</v>
      </c>
      <c r="J177">
        <f t="shared" si="7"/>
        <v>42</v>
      </c>
      <c r="K177">
        <v>1</v>
      </c>
      <c r="L177">
        <v>1</v>
      </c>
      <c r="M177">
        <v>1</v>
      </c>
      <c r="N177">
        <v>1</v>
      </c>
      <c r="O177">
        <v>1</v>
      </c>
      <c r="R177">
        <f t="shared" si="8"/>
        <v>42</v>
      </c>
      <c r="S177">
        <v>1</v>
      </c>
      <c r="T177">
        <v>1</v>
      </c>
      <c r="U177">
        <v>1</v>
      </c>
      <c r="V177">
        <v>1</v>
      </c>
      <c r="W177">
        <v>1</v>
      </c>
      <c r="AA177">
        <v>-8292.4974999999995</v>
      </c>
      <c r="AB177">
        <v>-8292.4974999999995</v>
      </c>
      <c r="AC177">
        <v>-8292.4974999999995</v>
      </c>
      <c r="AD177">
        <v>-8292.4974999999995</v>
      </c>
      <c r="AE177">
        <v>-8292.4974999999995</v>
      </c>
    </row>
    <row r="178" spans="2:31" x14ac:dyDescent="0.25">
      <c r="B178">
        <f t="shared" si="6"/>
        <v>43</v>
      </c>
      <c r="C178">
        <v>1</v>
      </c>
      <c r="D178">
        <v>1</v>
      </c>
      <c r="E178">
        <v>1</v>
      </c>
      <c r="F178">
        <v>1</v>
      </c>
      <c r="G178">
        <v>1</v>
      </c>
      <c r="J178">
        <f t="shared" si="7"/>
        <v>43</v>
      </c>
      <c r="K178">
        <v>1</v>
      </c>
      <c r="L178">
        <v>1</v>
      </c>
      <c r="M178">
        <v>1</v>
      </c>
      <c r="N178">
        <v>1</v>
      </c>
      <c r="O178">
        <v>1</v>
      </c>
      <c r="R178">
        <f t="shared" si="8"/>
        <v>43</v>
      </c>
      <c r="S178">
        <v>1</v>
      </c>
      <c r="T178">
        <v>1</v>
      </c>
      <c r="U178">
        <v>1</v>
      </c>
      <c r="V178">
        <v>1</v>
      </c>
      <c r="W178">
        <v>1</v>
      </c>
      <c r="AA178">
        <v>-8182.3909999999996</v>
      </c>
      <c r="AB178">
        <v>-8182.3909999999996</v>
      </c>
      <c r="AC178">
        <v>-8182.3909999999996</v>
      </c>
      <c r="AD178">
        <v>-8182.3909999999996</v>
      </c>
      <c r="AE178">
        <v>-8182.3909999999996</v>
      </c>
    </row>
    <row r="179" spans="2:31" x14ac:dyDescent="0.25">
      <c r="B179">
        <f t="shared" si="6"/>
        <v>44</v>
      </c>
      <c r="C179">
        <v>1</v>
      </c>
      <c r="D179">
        <v>1</v>
      </c>
      <c r="E179">
        <v>1</v>
      </c>
      <c r="F179">
        <v>1</v>
      </c>
      <c r="G179">
        <v>1</v>
      </c>
      <c r="J179">
        <f t="shared" si="7"/>
        <v>44</v>
      </c>
      <c r="K179">
        <v>1</v>
      </c>
      <c r="L179">
        <v>1</v>
      </c>
      <c r="M179">
        <v>1</v>
      </c>
      <c r="N179">
        <v>1</v>
      </c>
      <c r="O179">
        <v>1</v>
      </c>
      <c r="R179">
        <f t="shared" si="8"/>
        <v>44</v>
      </c>
      <c r="S179">
        <v>1</v>
      </c>
      <c r="T179">
        <v>1</v>
      </c>
      <c r="U179">
        <v>1</v>
      </c>
      <c r="V179">
        <v>1</v>
      </c>
      <c r="W179">
        <v>1</v>
      </c>
      <c r="AA179">
        <v>-8069.8261000000002</v>
      </c>
      <c r="AB179">
        <v>-8069.8261000000002</v>
      </c>
      <c r="AC179">
        <v>-8069.8261000000002</v>
      </c>
      <c r="AD179">
        <v>-8069.8261000000002</v>
      </c>
      <c r="AE179">
        <v>-8069.8261000000002</v>
      </c>
    </row>
    <row r="180" spans="2:31" x14ac:dyDescent="0.25">
      <c r="B180">
        <f t="shared" si="6"/>
        <v>45</v>
      </c>
      <c r="C180">
        <v>1</v>
      </c>
      <c r="D180">
        <v>1</v>
      </c>
      <c r="E180">
        <v>1</v>
      </c>
      <c r="F180">
        <v>1</v>
      </c>
      <c r="G180">
        <v>1</v>
      </c>
      <c r="J180">
        <f t="shared" si="7"/>
        <v>45</v>
      </c>
      <c r="K180">
        <v>1</v>
      </c>
      <c r="L180">
        <v>1</v>
      </c>
      <c r="M180">
        <v>1</v>
      </c>
      <c r="N180">
        <v>1</v>
      </c>
      <c r="O180">
        <v>1</v>
      </c>
      <c r="R180">
        <f t="shared" si="8"/>
        <v>45</v>
      </c>
      <c r="S180">
        <v>1</v>
      </c>
      <c r="T180">
        <v>1</v>
      </c>
      <c r="U180">
        <v>1</v>
      </c>
      <c r="V180">
        <v>1</v>
      </c>
      <c r="W180">
        <v>1</v>
      </c>
      <c r="AA180">
        <v>-7954.7533999999996</v>
      </c>
      <c r="AB180">
        <v>-7954.7533999999996</v>
      </c>
      <c r="AC180">
        <v>-7954.7533999999996</v>
      </c>
      <c r="AD180">
        <v>-7954.7533999999996</v>
      </c>
      <c r="AE180">
        <v>-7954.7533999999996</v>
      </c>
    </row>
    <row r="181" spans="2:31" x14ac:dyDescent="0.25">
      <c r="B181">
        <f t="shared" si="6"/>
        <v>46</v>
      </c>
      <c r="C181">
        <v>1</v>
      </c>
      <c r="D181">
        <v>1</v>
      </c>
      <c r="E181">
        <v>1</v>
      </c>
      <c r="F181">
        <v>1</v>
      </c>
      <c r="G181">
        <v>1</v>
      </c>
      <c r="J181">
        <f t="shared" si="7"/>
        <v>46</v>
      </c>
      <c r="K181">
        <v>1</v>
      </c>
      <c r="L181">
        <v>1</v>
      </c>
      <c r="M181">
        <v>1</v>
      </c>
      <c r="N181">
        <v>1</v>
      </c>
      <c r="O181">
        <v>1</v>
      </c>
      <c r="R181">
        <f t="shared" si="8"/>
        <v>46</v>
      </c>
      <c r="S181">
        <v>1</v>
      </c>
      <c r="T181">
        <v>1</v>
      </c>
      <c r="U181">
        <v>1</v>
      </c>
      <c r="V181">
        <v>1</v>
      </c>
      <c r="W181">
        <v>1</v>
      </c>
      <c r="AA181">
        <v>-7837.1754000000001</v>
      </c>
      <c r="AB181">
        <v>-7837.1754000000001</v>
      </c>
      <c r="AC181">
        <v>-7837.1754000000001</v>
      </c>
      <c r="AD181">
        <v>-7837.1754000000001</v>
      </c>
      <c r="AE181">
        <v>-7837.1754000000001</v>
      </c>
    </row>
    <row r="182" spans="2:31" x14ac:dyDescent="0.25">
      <c r="B182">
        <f t="shared" si="6"/>
        <v>47</v>
      </c>
      <c r="C182">
        <v>1</v>
      </c>
      <c r="D182">
        <v>1</v>
      </c>
      <c r="E182">
        <v>1</v>
      </c>
      <c r="F182">
        <v>1</v>
      </c>
      <c r="G182">
        <v>1</v>
      </c>
      <c r="J182">
        <f t="shared" si="7"/>
        <v>47</v>
      </c>
      <c r="K182">
        <v>1</v>
      </c>
      <c r="L182">
        <v>1</v>
      </c>
      <c r="M182">
        <v>1</v>
      </c>
      <c r="N182">
        <v>1</v>
      </c>
      <c r="O182">
        <v>1</v>
      </c>
      <c r="R182">
        <f t="shared" si="8"/>
        <v>47</v>
      </c>
      <c r="S182">
        <v>1</v>
      </c>
      <c r="T182">
        <v>1</v>
      </c>
      <c r="U182">
        <v>1</v>
      </c>
      <c r="V182">
        <v>1</v>
      </c>
      <c r="W182">
        <v>1</v>
      </c>
      <c r="AA182">
        <v>-7717.0294999999996</v>
      </c>
      <c r="AB182">
        <v>-7717.0294999999996</v>
      </c>
      <c r="AC182">
        <v>-7717.0294999999996</v>
      </c>
      <c r="AD182">
        <v>-7717.0294999999996</v>
      </c>
      <c r="AE182">
        <v>-7717.0294999999996</v>
      </c>
    </row>
    <row r="183" spans="2:31" x14ac:dyDescent="0.25">
      <c r="B183">
        <f t="shared" si="6"/>
        <v>48</v>
      </c>
      <c r="C183">
        <v>1</v>
      </c>
      <c r="D183">
        <v>1</v>
      </c>
      <c r="E183">
        <v>1</v>
      </c>
      <c r="F183">
        <v>1</v>
      </c>
      <c r="G183">
        <v>1</v>
      </c>
      <c r="J183">
        <f t="shared" si="7"/>
        <v>48</v>
      </c>
      <c r="K183">
        <v>1</v>
      </c>
      <c r="L183">
        <v>1</v>
      </c>
      <c r="M183">
        <v>1</v>
      </c>
      <c r="N183">
        <v>1</v>
      </c>
      <c r="O183">
        <v>1</v>
      </c>
      <c r="R183">
        <f t="shared" si="8"/>
        <v>48</v>
      </c>
      <c r="S183">
        <v>1</v>
      </c>
      <c r="T183">
        <v>1</v>
      </c>
      <c r="U183">
        <v>1</v>
      </c>
      <c r="V183">
        <v>1</v>
      </c>
      <c r="W183">
        <v>1</v>
      </c>
      <c r="AA183">
        <v>-7594.4201000000003</v>
      </c>
      <c r="AB183">
        <v>-7594.4201000000003</v>
      </c>
      <c r="AC183">
        <v>-7594.4201000000003</v>
      </c>
      <c r="AD183">
        <v>-7594.4201000000003</v>
      </c>
      <c r="AE183">
        <v>-7594.4201000000003</v>
      </c>
    </row>
    <row r="184" spans="2:31" x14ac:dyDescent="0.25">
      <c r="B184">
        <f t="shared" si="6"/>
        <v>49</v>
      </c>
      <c r="C184">
        <v>1</v>
      </c>
      <c r="D184">
        <v>1</v>
      </c>
      <c r="E184">
        <v>1</v>
      </c>
      <c r="F184">
        <v>1</v>
      </c>
      <c r="G184">
        <v>1</v>
      </c>
      <c r="J184">
        <f t="shared" si="7"/>
        <v>49</v>
      </c>
      <c r="K184">
        <v>1</v>
      </c>
      <c r="L184">
        <v>1</v>
      </c>
      <c r="M184">
        <v>1</v>
      </c>
      <c r="N184">
        <v>1</v>
      </c>
      <c r="O184">
        <v>1</v>
      </c>
      <c r="R184">
        <f t="shared" si="8"/>
        <v>49</v>
      </c>
      <c r="S184">
        <v>1</v>
      </c>
      <c r="T184">
        <v>1</v>
      </c>
      <c r="U184">
        <v>1</v>
      </c>
      <c r="V184">
        <v>1</v>
      </c>
      <c r="W184">
        <v>1</v>
      </c>
      <c r="AA184">
        <v>-7469.3995999999997</v>
      </c>
      <c r="AB184">
        <v>-7469.3995999999997</v>
      </c>
      <c r="AC184">
        <v>-7469.3995999999997</v>
      </c>
      <c r="AD184">
        <v>-7469.3995999999997</v>
      </c>
      <c r="AE184">
        <v>-7469.3995999999997</v>
      </c>
    </row>
    <row r="185" spans="2:31" x14ac:dyDescent="0.25">
      <c r="B185">
        <f t="shared" si="6"/>
        <v>50</v>
      </c>
      <c r="C185">
        <v>1</v>
      </c>
      <c r="D185">
        <v>1</v>
      </c>
      <c r="E185">
        <v>1</v>
      </c>
      <c r="F185">
        <v>1</v>
      </c>
      <c r="G185">
        <v>1</v>
      </c>
      <c r="J185">
        <f t="shared" si="7"/>
        <v>50</v>
      </c>
      <c r="K185">
        <v>1</v>
      </c>
      <c r="L185">
        <v>1</v>
      </c>
      <c r="M185">
        <v>1</v>
      </c>
      <c r="N185">
        <v>1</v>
      </c>
      <c r="O185">
        <v>1</v>
      </c>
      <c r="R185">
        <f t="shared" si="8"/>
        <v>50</v>
      </c>
      <c r="S185">
        <v>1</v>
      </c>
      <c r="T185">
        <v>1</v>
      </c>
      <c r="U185">
        <v>1</v>
      </c>
      <c r="V185">
        <v>1</v>
      </c>
      <c r="W185">
        <v>1</v>
      </c>
      <c r="AA185">
        <v>-7341.9502000000002</v>
      </c>
      <c r="AB185">
        <v>-7341.9502000000002</v>
      </c>
      <c r="AC185">
        <v>-7341.9502000000002</v>
      </c>
      <c r="AD185">
        <v>-7341.9502000000002</v>
      </c>
      <c r="AE185">
        <v>-7341.9502000000002</v>
      </c>
    </row>
    <row r="186" spans="2:31" x14ac:dyDescent="0.25">
      <c r="B186">
        <f t="shared" si="6"/>
        <v>51</v>
      </c>
      <c r="C186">
        <v>1</v>
      </c>
      <c r="D186">
        <v>1</v>
      </c>
      <c r="E186">
        <v>1</v>
      </c>
      <c r="F186">
        <v>1</v>
      </c>
      <c r="G186">
        <v>1</v>
      </c>
      <c r="J186">
        <f t="shared" si="7"/>
        <v>51</v>
      </c>
      <c r="K186">
        <v>1</v>
      </c>
      <c r="L186">
        <v>1</v>
      </c>
      <c r="M186">
        <v>1</v>
      </c>
      <c r="N186">
        <v>1</v>
      </c>
      <c r="O186">
        <v>1</v>
      </c>
      <c r="R186">
        <f t="shared" si="8"/>
        <v>51</v>
      </c>
      <c r="S186">
        <v>1</v>
      </c>
      <c r="T186">
        <v>1</v>
      </c>
      <c r="U186">
        <v>1</v>
      </c>
      <c r="V186">
        <v>1</v>
      </c>
      <c r="W186">
        <v>1</v>
      </c>
      <c r="AA186">
        <v>-7212.0646999999999</v>
      </c>
      <c r="AB186">
        <v>-7212.0646999999999</v>
      </c>
      <c r="AC186">
        <v>-7212.0646999999999</v>
      </c>
      <c r="AD186">
        <v>-7212.0646999999999</v>
      </c>
      <c r="AE186">
        <v>-7212.0646999999999</v>
      </c>
    </row>
    <row r="187" spans="2:31" x14ac:dyDescent="0.25">
      <c r="B187">
        <f t="shared" si="6"/>
        <v>52</v>
      </c>
      <c r="C187">
        <v>1</v>
      </c>
      <c r="D187">
        <v>1</v>
      </c>
      <c r="E187">
        <v>1</v>
      </c>
      <c r="F187">
        <v>1</v>
      </c>
      <c r="G187">
        <v>1</v>
      </c>
      <c r="J187">
        <f t="shared" si="7"/>
        <v>52</v>
      </c>
      <c r="K187">
        <v>1</v>
      </c>
      <c r="L187">
        <v>1</v>
      </c>
      <c r="M187">
        <v>1</v>
      </c>
      <c r="N187">
        <v>1</v>
      </c>
      <c r="O187">
        <v>1</v>
      </c>
      <c r="R187">
        <f t="shared" si="8"/>
        <v>52</v>
      </c>
      <c r="S187">
        <v>1</v>
      </c>
      <c r="T187">
        <v>1</v>
      </c>
      <c r="U187">
        <v>1</v>
      </c>
      <c r="V187">
        <v>1</v>
      </c>
      <c r="W187">
        <v>1</v>
      </c>
      <c r="AA187">
        <v>-7079.7435999999998</v>
      </c>
      <c r="AB187">
        <v>-7079.7435999999998</v>
      </c>
      <c r="AC187">
        <v>-7079.7435999999998</v>
      </c>
      <c r="AD187">
        <v>-7079.7435999999998</v>
      </c>
      <c r="AE187">
        <v>-7079.7435999999998</v>
      </c>
    </row>
    <row r="188" spans="2:31" x14ac:dyDescent="0.25">
      <c r="B188">
        <f t="shared" si="6"/>
        <v>53</v>
      </c>
      <c r="C188">
        <v>1</v>
      </c>
      <c r="D188">
        <v>1</v>
      </c>
      <c r="E188">
        <v>1</v>
      </c>
      <c r="F188">
        <v>1</v>
      </c>
      <c r="G188">
        <v>1</v>
      </c>
      <c r="J188">
        <f t="shared" si="7"/>
        <v>53</v>
      </c>
      <c r="K188">
        <v>1</v>
      </c>
      <c r="L188">
        <v>1</v>
      </c>
      <c r="M188">
        <v>1</v>
      </c>
      <c r="N188">
        <v>1</v>
      </c>
      <c r="O188">
        <v>1</v>
      </c>
      <c r="R188">
        <f t="shared" si="8"/>
        <v>53</v>
      </c>
      <c r="S188">
        <v>1</v>
      </c>
      <c r="T188">
        <v>1</v>
      </c>
      <c r="U188">
        <v>1</v>
      </c>
      <c r="V188">
        <v>1</v>
      </c>
      <c r="W188">
        <v>1</v>
      </c>
      <c r="AA188">
        <v>-6945.0875999999998</v>
      </c>
      <c r="AB188">
        <v>-6945.0875999999998</v>
      </c>
      <c r="AC188">
        <v>-6945.0875999999998</v>
      </c>
      <c r="AD188">
        <v>-6945.0875999999998</v>
      </c>
      <c r="AE188">
        <v>-6945.0875999999998</v>
      </c>
    </row>
    <row r="189" spans="2:31" x14ac:dyDescent="0.25">
      <c r="B189">
        <f t="shared" si="6"/>
        <v>54</v>
      </c>
      <c r="C189">
        <v>1</v>
      </c>
      <c r="D189">
        <v>1</v>
      </c>
      <c r="E189">
        <v>1</v>
      </c>
      <c r="F189">
        <v>1</v>
      </c>
      <c r="G189">
        <v>1</v>
      </c>
      <c r="J189">
        <f t="shared" si="7"/>
        <v>54</v>
      </c>
      <c r="K189">
        <v>1</v>
      </c>
      <c r="L189">
        <v>1</v>
      </c>
      <c r="M189">
        <v>1</v>
      </c>
      <c r="N189">
        <v>1</v>
      </c>
      <c r="O189">
        <v>1</v>
      </c>
      <c r="R189">
        <f t="shared" si="8"/>
        <v>54</v>
      </c>
      <c r="S189">
        <v>1</v>
      </c>
      <c r="T189">
        <v>1</v>
      </c>
      <c r="U189">
        <v>1</v>
      </c>
      <c r="V189">
        <v>1</v>
      </c>
      <c r="W189">
        <v>1</v>
      </c>
      <c r="AA189">
        <v>-6808.2438000000002</v>
      </c>
      <c r="AB189">
        <v>-6808.2438000000002</v>
      </c>
      <c r="AC189">
        <v>-6808.2438000000002</v>
      </c>
      <c r="AD189">
        <v>-6808.2438000000002</v>
      </c>
      <c r="AE189">
        <v>-6808.2438000000002</v>
      </c>
    </row>
    <row r="190" spans="2:31" x14ac:dyDescent="0.25">
      <c r="B190">
        <f t="shared" si="6"/>
        <v>55</v>
      </c>
      <c r="C190">
        <v>1</v>
      </c>
      <c r="D190">
        <v>1</v>
      </c>
      <c r="E190">
        <v>1</v>
      </c>
      <c r="F190">
        <v>1</v>
      </c>
      <c r="G190">
        <v>1</v>
      </c>
      <c r="J190">
        <f t="shared" si="7"/>
        <v>55</v>
      </c>
      <c r="K190">
        <v>1</v>
      </c>
      <c r="L190">
        <v>1</v>
      </c>
      <c r="M190">
        <v>1</v>
      </c>
      <c r="N190">
        <v>1</v>
      </c>
      <c r="O190">
        <v>1</v>
      </c>
      <c r="R190">
        <f t="shared" si="8"/>
        <v>55</v>
      </c>
      <c r="S190">
        <v>1</v>
      </c>
      <c r="T190">
        <v>1</v>
      </c>
      <c r="U190">
        <v>1</v>
      </c>
      <c r="V190">
        <v>1</v>
      </c>
      <c r="W190">
        <v>1</v>
      </c>
      <c r="AA190">
        <v>-6669.2525999999998</v>
      </c>
      <c r="AB190">
        <v>-6669.2525999999998</v>
      </c>
      <c r="AC190">
        <v>-6669.2525999999998</v>
      </c>
      <c r="AD190">
        <v>-6669.2525999999998</v>
      </c>
      <c r="AE190">
        <v>-6669.2525999999998</v>
      </c>
    </row>
    <row r="191" spans="2:31" x14ac:dyDescent="0.25">
      <c r="B191">
        <f t="shared" si="6"/>
        <v>56</v>
      </c>
      <c r="C191">
        <v>1</v>
      </c>
      <c r="D191">
        <v>1</v>
      </c>
      <c r="E191">
        <v>1</v>
      </c>
      <c r="F191">
        <v>1</v>
      </c>
      <c r="G191">
        <v>1</v>
      </c>
      <c r="J191">
        <f t="shared" si="7"/>
        <v>56</v>
      </c>
      <c r="K191">
        <v>1</v>
      </c>
      <c r="L191">
        <v>1</v>
      </c>
      <c r="M191">
        <v>1</v>
      </c>
      <c r="N191">
        <v>1</v>
      </c>
      <c r="O191">
        <v>1</v>
      </c>
      <c r="R191">
        <f t="shared" si="8"/>
        <v>56</v>
      </c>
      <c r="S191">
        <v>1</v>
      </c>
      <c r="T191">
        <v>1</v>
      </c>
      <c r="U191">
        <v>1</v>
      </c>
      <c r="V191">
        <v>1</v>
      </c>
      <c r="W191">
        <v>1</v>
      </c>
      <c r="AA191">
        <v>-6528.2992000000004</v>
      </c>
      <c r="AB191">
        <v>-6528.2992000000004</v>
      </c>
      <c r="AC191">
        <v>-6528.2992000000004</v>
      </c>
      <c r="AD191">
        <v>-6528.2992000000004</v>
      </c>
      <c r="AE191">
        <v>-6528.2992000000004</v>
      </c>
    </row>
    <row r="192" spans="2:31" x14ac:dyDescent="0.25">
      <c r="B192">
        <f t="shared" si="6"/>
        <v>57</v>
      </c>
      <c r="C192">
        <v>1</v>
      </c>
      <c r="D192">
        <v>1</v>
      </c>
      <c r="E192">
        <v>1</v>
      </c>
      <c r="F192">
        <v>1</v>
      </c>
      <c r="G192">
        <v>1</v>
      </c>
      <c r="J192">
        <f t="shared" si="7"/>
        <v>57</v>
      </c>
      <c r="K192">
        <v>1</v>
      </c>
      <c r="L192">
        <v>1</v>
      </c>
      <c r="M192">
        <v>1</v>
      </c>
      <c r="N192">
        <v>1</v>
      </c>
      <c r="O192">
        <v>1</v>
      </c>
      <c r="R192">
        <f t="shared" si="8"/>
        <v>57</v>
      </c>
      <c r="S192">
        <v>1</v>
      </c>
      <c r="T192">
        <v>1</v>
      </c>
      <c r="U192">
        <v>1</v>
      </c>
      <c r="V192">
        <v>1</v>
      </c>
      <c r="W192">
        <v>1</v>
      </c>
      <c r="AA192">
        <v>-6385.5230000000001</v>
      </c>
      <c r="AB192">
        <v>-6385.5230000000001</v>
      </c>
      <c r="AC192">
        <v>-6385.5230000000001</v>
      </c>
      <c r="AD192">
        <v>-6385.5230000000001</v>
      </c>
      <c r="AE192">
        <v>-6385.5230000000001</v>
      </c>
    </row>
    <row r="193" spans="2:32" x14ac:dyDescent="0.25">
      <c r="B193">
        <f t="shared" si="6"/>
        <v>58</v>
      </c>
      <c r="C193">
        <v>1</v>
      </c>
      <c r="D193">
        <v>1</v>
      </c>
      <c r="E193">
        <v>1</v>
      </c>
      <c r="F193">
        <v>1</v>
      </c>
      <c r="G193">
        <v>1</v>
      </c>
      <c r="J193">
        <f t="shared" si="7"/>
        <v>58</v>
      </c>
      <c r="K193">
        <v>1</v>
      </c>
      <c r="L193">
        <v>1</v>
      </c>
      <c r="M193">
        <v>1</v>
      </c>
      <c r="N193">
        <v>1</v>
      </c>
      <c r="O193">
        <v>1</v>
      </c>
      <c r="R193">
        <f t="shared" si="8"/>
        <v>58</v>
      </c>
      <c r="S193">
        <v>1</v>
      </c>
      <c r="T193">
        <v>1</v>
      </c>
      <c r="U193">
        <v>1</v>
      </c>
      <c r="V193">
        <v>1</v>
      </c>
      <c r="W193">
        <v>1</v>
      </c>
      <c r="AA193">
        <v>-6240.8730999999998</v>
      </c>
      <c r="AB193">
        <v>-6240.8730999999998</v>
      </c>
      <c r="AC193">
        <v>-6240.8730999999998</v>
      </c>
      <c r="AD193">
        <v>-6240.8730999999998</v>
      </c>
      <c r="AE193">
        <v>-6240.8730999999998</v>
      </c>
    </row>
    <row r="194" spans="2:32" x14ac:dyDescent="0.25">
      <c r="B194">
        <f t="shared" si="6"/>
        <v>59</v>
      </c>
      <c r="C194">
        <v>1</v>
      </c>
      <c r="D194">
        <v>1</v>
      </c>
      <c r="E194">
        <v>1</v>
      </c>
      <c r="F194">
        <v>1</v>
      </c>
      <c r="G194">
        <v>1</v>
      </c>
      <c r="J194">
        <f t="shared" si="7"/>
        <v>59</v>
      </c>
      <c r="K194">
        <v>1</v>
      </c>
      <c r="L194">
        <v>1</v>
      </c>
      <c r="M194">
        <v>1</v>
      </c>
      <c r="N194">
        <v>1</v>
      </c>
      <c r="O194">
        <v>1</v>
      </c>
      <c r="R194">
        <f t="shared" si="8"/>
        <v>59</v>
      </c>
      <c r="S194">
        <v>1</v>
      </c>
      <c r="T194">
        <v>1</v>
      </c>
      <c r="U194">
        <v>1</v>
      </c>
      <c r="V194">
        <v>1</v>
      </c>
      <c r="W194">
        <v>1</v>
      </c>
      <c r="AA194">
        <v>-6094.3262999999997</v>
      </c>
      <c r="AB194">
        <v>-6094.3262999999997</v>
      </c>
      <c r="AC194">
        <v>-6094.3262999999997</v>
      </c>
      <c r="AD194">
        <v>-6094.3262999999997</v>
      </c>
      <c r="AE194">
        <v>-6094.3262999999997</v>
      </c>
    </row>
    <row r="195" spans="2:32" x14ac:dyDescent="0.25">
      <c r="B195">
        <f t="shared" si="6"/>
        <v>60</v>
      </c>
      <c r="C195">
        <v>1</v>
      </c>
      <c r="D195">
        <v>1</v>
      </c>
      <c r="E195">
        <v>1</v>
      </c>
      <c r="F195">
        <v>1</v>
      </c>
      <c r="G195">
        <v>1</v>
      </c>
      <c r="J195">
        <f t="shared" si="7"/>
        <v>60</v>
      </c>
      <c r="K195">
        <v>1</v>
      </c>
      <c r="L195">
        <v>1</v>
      </c>
      <c r="M195">
        <v>1</v>
      </c>
      <c r="N195">
        <v>1</v>
      </c>
      <c r="O195">
        <v>1</v>
      </c>
      <c r="R195">
        <f t="shared" si="8"/>
        <v>60</v>
      </c>
      <c r="S195">
        <v>1</v>
      </c>
      <c r="T195">
        <v>1</v>
      </c>
      <c r="U195">
        <v>1</v>
      </c>
      <c r="V195">
        <v>1</v>
      </c>
      <c r="W195">
        <v>1</v>
      </c>
      <c r="AA195">
        <v>-5945.9960000000001</v>
      </c>
      <c r="AB195">
        <v>-5945.9960000000001</v>
      </c>
      <c r="AC195">
        <v>-5945.9960000000001</v>
      </c>
      <c r="AD195">
        <v>-5945.9960000000001</v>
      </c>
      <c r="AE195">
        <v>-5945.9960000000001</v>
      </c>
    </row>
    <row r="196" spans="2:32" x14ac:dyDescent="0.25">
      <c r="B196">
        <f t="shared" si="6"/>
        <v>61</v>
      </c>
      <c r="C196">
        <v>1</v>
      </c>
      <c r="D196">
        <v>1</v>
      </c>
      <c r="E196">
        <v>1</v>
      </c>
      <c r="F196">
        <v>1</v>
      </c>
      <c r="G196">
        <v>1</v>
      </c>
      <c r="J196">
        <f t="shared" si="7"/>
        <v>61</v>
      </c>
      <c r="K196">
        <v>1</v>
      </c>
      <c r="L196">
        <v>1</v>
      </c>
      <c r="M196">
        <v>1</v>
      </c>
      <c r="N196">
        <v>1</v>
      </c>
      <c r="O196">
        <v>1</v>
      </c>
      <c r="R196">
        <f t="shared" si="8"/>
        <v>61</v>
      </c>
      <c r="S196">
        <v>1</v>
      </c>
      <c r="T196">
        <v>1</v>
      </c>
      <c r="U196">
        <v>1</v>
      </c>
      <c r="V196">
        <v>1</v>
      </c>
      <c r="W196">
        <v>1</v>
      </c>
      <c r="AA196">
        <v>-5796.3015999999998</v>
      </c>
      <c r="AB196">
        <v>-5796.3015999999998</v>
      </c>
      <c r="AC196">
        <v>-5796.3015999999998</v>
      </c>
      <c r="AD196">
        <v>-5796.3015999999998</v>
      </c>
      <c r="AE196">
        <v>-5796.3015999999998</v>
      </c>
    </row>
    <row r="197" spans="2:32" x14ac:dyDescent="0.25">
      <c r="B197">
        <f t="shared" si="6"/>
        <v>62</v>
      </c>
      <c r="C197">
        <v>1</v>
      </c>
      <c r="D197">
        <v>1</v>
      </c>
      <c r="E197">
        <v>1</v>
      </c>
      <c r="F197">
        <v>1</v>
      </c>
      <c r="G197">
        <v>1</v>
      </c>
      <c r="J197">
        <f t="shared" si="7"/>
        <v>62</v>
      </c>
      <c r="K197">
        <v>1</v>
      </c>
      <c r="L197">
        <v>1</v>
      </c>
      <c r="M197">
        <v>1</v>
      </c>
      <c r="N197">
        <v>1</v>
      </c>
      <c r="O197">
        <v>1</v>
      </c>
      <c r="R197">
        <f t="shared" si="8"/>
        <v>62</v>
      </c>
      <c r="S197">
        <v>1</v>
      </c>
      <c r="T197">
        <v>1</v>
      </c>
      <c r="U197">
        <v>1</v>
      </c>
      <c r="V197">
        <v>1</v>
      </c>
      <c r="W197">
        <v>1</v>
      </c>
      <c r="AA197">
        <v>-5645.2415000000001</v>
      </c>
      <c r="AB197">
        <v>-5645.2415000000001</v>
      </c>
      <c r="AC197">
        <v>-5645.2415000000001</v>
      </c>
      <c r="AD197">
        <v>-5645.2415000000001</v>
      </c>
      <c r="AE197">
        <v>-5645.2415000000001</v>
      </c>
    </row>
    <row r="198" spans="2:32" x14ac:dyDescent="0.25">
      <c r="B198">
        <f t="shared" si="6"/>
        <v>63</v>
      </c>
      <c r="C198">
        <v>1</v>
      </c>
      <c r="D198">
        <v>1</v>
      </c>
      <c r="E198">
        <v>1</v>
      </c>
      <c r="F198">
        <v>1</v>
      </c>
      <c r="G198">
        <v>1</v>
      </c>
      <c r="J198">
        <f t="shared" si="7"/>
        <v>63</v>
      </c>
      <c r="K198">
        <v>1</v>
      </c>
      <c r="L198">
        <v>1</v>
      </c>
      <c r="M198">
        <v>1</v>
      </c>
      <c r="N198">
        <v>1</v>
      </c>
      <c r="O198">
        <v>1</v>
      </c>
      <c r="R198">
        <f t="shared" si="8"/>
        <v>63</v>
      </c>
      <c r="S198">
        <v>1</v>
      </c>
      <c r="T198">
        <v>1</v>
      </c>
      <c r="U198">
        <v>1</v>
      </c>
      <c r="V198">
        <v>1</v>
      </c>
      <c r="W198">
        <v>1</v>
      </c>
      <c r="AA198">
        <v>-5492.4920000000002</v>
      </c>
      <c r="AB198">
        <v>-5492.4920000000002</v>
      </c>
      <c r="AC198">
        <v>-5492.4920000000002</v>
      </c>
      <c r="AD198">
        <v>-5492.4920000000002</v>
      </c>
      <c r="AE198">
        <v>-5492.4920000000002</v>
      </c>
    </row>
    <row r="199" spans="2:32" x14ac:dyDescent="0.25">
      <c r="B199">
        <f t="shared" si="6"/>
        <v>64</v>
      </c>
      <c r="C199">
        <v>1</v>
      </c>
      <c r="D199">
        <v>1</v>
      </c>
      <c r="E199">
        <v>1</v>
      </c>
      <c r="F199">
        <v>1</v>
      </c>
      <c r="G199">
        <v>1</v>
      </c>
      <c r="J199">
        <f t="shared" si="7"/>
        <v>64</v>
      </c>
      <c r="K199">
        <v>1</v>
      </c>
      <c r="L199">
        <v>1</v>
      </c>
      <c r="M199">
        <v>1</v>
      </c>
      <c r="N199">
        <v>1</v>
      </c>
      <c r="O199">
        <v>1</v>
      </c>
      <c r="R199">
        <f t="shared" si="8"/>
        <v>64</v>
      </c>
      <c r="S199">
        <v>1</v>
      </c>
      <c r="T199">
        <v>1</v>
      </c>
      <c r="U199">
        <v>1</v>
      </c>
      <c r="V199">
        <v>1</v>
      </c>
      <c r="W199">
        <v>1</v>
      </c>
      <c r="AA199">
        <v>-5338.1817000000001</v>
      </c>
      <c r="AB199">
        <v>-5338.1817000000001</v>
      </c>
      <c r="AC199">
        <v>-5338.1817000000001</v>
      </c>
      <c r="AD199">
        <v>-5338.1817000000001</v>
      </c>
      <c r="AE199">
        <v>-5338.1817000000001</v>
      </c>
    </row>
    <row r="200" spans="2:32" x14ac:dyDescent="0.25">
      <c r="B200">
        <f t="shared" si="6"/>
        <v>65</v>
      </c>
      <c r="C200">
        <v>1</v>
      </c>
      <c r="D200">
        <v>1</v>
      </c>
      <c r="E200">
        <v>1</v>
      </c>
      <c r="F200">
        <v>1</v>
      </c>
      <c r="G200">
        <v>1</v>
      </c>
      <c r="J200">
        <f t="shared" si="7"/>
        <v>65</v>
      </c>
      <c r="K200">
        <v>1</v>
      </c>
      <c r="L200">
        <v>1</v>
      </c>
      <c r="M200">
        <v>1</v>
      </c>
      <c r="N200">
        <v>1</v>
      </c>
      <c r="O200">
        <v>1</v>
      </c>
      <c r="R200">
        <f t="shared" si="8"/>
        <v>65</v>
      </c>
      <c r="S200">
        <v>1</v>
      </c>
      <c r="T200">
        <v>1</v>
      </c>
      <c r="U200">
        <v>1</v>
      </c>
      <c r="V200">
        <v>1</v>
      </c>
      <c r="W200">
        <v>1</v>
      </c>
      <c r="AA200">
        <v>-5182.2268999999997</v>
      </c>
      <c r="AB200">
        <v>-5182.2268999999997</v>
      </c>
      <c r="AC200">
        <v>-5182.2268999999997</v>
      </c>
      <c r="AD200">
        <v>-5182.2268999999997</v>
      </c>
      <c r="AE200">
        <v>-5182.2268999999997</v>
      </c>
    </row>
    <row r="203" spans="2:32" x14ac:dyDescent="0.25">
      <c r="B203" t="s">
        <v>46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47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48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2:32" x14ac:dyDescent="0.25">
      <c r="B204">
        <v>26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J204">
        <v>26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R204">
        <v>26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AA204">
        <v>-5174.8482999999997</v>
      </c>
      <c r="AB204">
        <v>-5174.8482999999997</v>
      </c>
      <c r="AC204">
        <v>-5174.8482999999997</v>
      </c>
      <c r="AD204">
        <v>-5174.8482999999997</v>
      </c>
      <c r="AE204">
        <v>-5174.8482999999997</v>
      </c>
      <c r="AF204">
        <v>-5174.8482999999997</v>
      </c>
    </row>
    <row r="205" spans="2:32" x14ac:dyDescent="0.25">
      <c r="B205">
        <v>27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J205">
        <v>27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R205">
        <v>27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AA205">
        <v>-5173.6036999999997</v>
      </c>
      <c r="AB205">
        <v>-5173.6036999999997</v>
      </c>
      <c r="AC205">
        <v>-5173.6036999999997</v>
      </c>
      <c r="AD205">
        <v>-5173.6036999999997</v>
      </c>
      <c r="AE205">
        <v>-5173.6036999999997</v>
      </c>
      <c r="AF205">
        <v>-5173.6036999999997</v>
      </c>
    </row>
    <row r="206" spans="2:32" x14ac:dyDescent="0.25">
      <c r="B206">
        <v>28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J206">
        <v>28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R206">
        <v>28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AA206">
        <v>-5172.1755999999996</v>
      </c>
      <c r="AB206">
        <v>-5172.1755999999996</v>
      </c>
      <c r="AC206">
        <v>-5172.1755999999996</v>
      </c>
      <c r="AD206">
        <v>-5172.1755999999996</v>
      </c>
      <c r="AE206">
        <v>-5172.1755999999996</v>
      </c>
      <c r="AF206">
        <v>-5172.1755999999996</v>
      </c>
    </row>
    <row r="207" spans="2:32" x14ac:dyDescent="0.25">
      <c r="B207">
        <v>29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J207">
        <v>29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R207">
        <v>29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AA207">
        <v>-5170.5482000000002</v>
      </c>
      <c r="AB207">
        <v>-5170.5482000000002</v>
      </c>
      <c r="AC207">
        <v>-5170.5482000000002</v>
      </c>
      <c r="AD207">
        <v>-5170.5482000000002</v>
      </c>
      <c r="AE207">
        <v>-5170.5482000000002</v>
      </c>
      <c r="AF207">
        <v>-5170.5482000000002</v>
      </c>
    </row>
    <row r="208" spans="2:32" x14ac:dyDescent="0.25">
      <c r="B208">
        <v>30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J208">
        <v>30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R208">
        <v>30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AA208">
        <v>-5168.6908999999996</v>
      </c>
      <c r="AB208">
        <v>-5168.6908999999996</v>
      </c>
      <c r="AC208">
        <v>-5168.6908999999996</v>
      </c>
      <c r="AD208">
        <v>-5168.6908999999996</v>
      </c>
      <c r="AE208">
        <v>-5168.6908999999996</v>
      </c>
      <c r="AF208">
        <v>-5168.6908999999996</v>
      </c>
    </row>
    <row r="209" spans="2:32" x14ac:dyDescent="0.25">
      <c r="B209">
        <v>31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J209">
        <v>31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R209">
        <v>31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AA209">
        <v>-5166.5891000000001</v>
      </c>
      <c r="AB209">
        <v>-5166.5891000000001</v>
      </c>
      <c r="AC209">
        <v>-5166.5891000000001</v>
      </c>
      <c r="AD209">
        <v>-5166.5891000000001</v>
      </c>
      <c r="AE209">
        <v>-5166.5891000000001</v>
      </c>
      <c r="AF209">
        <v>-5166.5891000000001</v>
      </c>
    </row>
    <row r="210" spans="2:32" x14ac:dyDescent="0.25">
      <c r="B210">
        <v>32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J210">
        <v>32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R210">
        <v>32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AA210">
        <v>-5164.2407000000003</v>
      </c>
      <c r="AB210">
        <v>-5164.2407000000003</v>
      </c>
      <c r="AC210">
        <v>-5164.2407000000003</v>
      </c>
      <c r="AD210">
        <v>-5164.2407000000003</v>
      </c>
      <c r="AE210">
        <v>-5164.2407000000003</v>
      </c>
      <c r="AF210">
        <v>-5164.2407000000003</v>
      </c>
    </row>
    <row r="211" spans="2:32" x14ac:dyDescent="0.25">
      <c r="B211">
        <v>33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J211">
        <v>33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R211">
        <v>33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AA211">
        <v>-5161.6318000000001</v>
      </c>
      <c r="AB211">
        <v>-5161.6318000000001</v>
      </c>
      <c r="AC211">
        <v>-5161.6318000000001</v>
      </c>
      <c r="AD211">
        <v>-5161.6318000000001</v>
      </c>
      <c r="AE211">
        <v>-5161.6318000000001</v>
      </c>
      <c r="AF211">
        <v>-5161.6318000000001</v>
      </c>
    </row>
    <row r="212" spans="2:32" x14ac:dyDescent="0.25">
      <c r="B212">
        <v>34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J212">
        <v>34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R212">
        <v>34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AA212">
        <v>-5158.7194</v>
      </c>
      <c r="AB212">
        <v>-5158.7194</v>
      </c>
      <c r="AC212">
        <v>-5158.7194</v>
      </c>
      <c r="AD212">
        <v>-5158.7194</v>
      </c>
      <c r="AE212">
        <v>-5158.7194</v>
      </c>
      <c r="AF212">
        <v>-5158.7194</v>
      </c>
    </row>
    <row r="213" spans="2:32" x14ac:dyDescent="0.25">
      <c r="B213">
        <v>35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J213">
        <v>35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R213">
        <v>35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AA213">
        <v>-5155.4901</v>
      </c>
      <c r="AB213">
        <v>-5155.4901</v>
      </c>
      <c r="AC213">
        <v>-5155.4901</v>
      </c>
      <c r="AD213">
        <v>-5155.4901</v>
      </c>
      <c r="AE213">
        <v>-5155.4901</v>
      </c>
      <c r="AF213">
        <v>-5155.4901</v>
      </c>
    </row>
    <row r="214" spans="2:32" x14ac:dyDescent="0.25">
      <c r="B214">
        <v>36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J214">
        <v>36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R214">
        <v>36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AA214">
        <v>-5151.8950999999997</v>
      </c>
      <c r="AB214">
        <v>-5151.8950999999997</v>
      </c>
      <c r="AC214">
        <v>-5151.8950999999997</v>
      </c>
      <c r="AD214">
        <v>-5151.8950999999997</v>
      </c>
      <c r="AE214">
        <v>-5151.8950999999997</v>
      </c>
      <c r="AF214">
        <v>-5151.8950999999997</v>
      </c>
    </row>
    <row r="215" spans="2:32" x14ac:dyDescent="0.25">
      <c r="B215">
        <v>37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J215">
        <v>37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R215">
        <v>37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AA215">
        <v>-5147.9106000000002</v>
      </c>
      <c r="AB215">
        <v>-5147.9106000000002</v>
      </c>
      <c r="AC215">
        <v>-5147.9106000000002</v>
      </c>
      <c r="AD215">
        <v>-5147.9106000000002</v>
      </c>
      <c r="AE215">
        <v>-5147.9106000000002</v>
      </c>
      <c r="AF215">
        <v>-5147.9106000000002</v>
      </c>
    </row>
    <row r="216" spans="2:32" x14ac:dyDescent="0.25">
      <c r="B216">
        <v>38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J216">
        <v>38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R216">
        <v>38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AA216">
        <v>-5143.5393999999997</v>
      </c>
      <c r="AB216">
        <v>-5143.5393999999997</v>
      </c>
      <c r="AC216">
        <v>-5143.5393999999997</v>
      </c>
      <c r="AD216">
        <v>-5143.5393999999997</v>
      </c>
      <c r="AE216">
        <v>-5143.5393999999997</v>
      </c>
      <c r="AF216">
        <v>-5143.5393999999997</v>
      </c>
    </row>
    <row r="217" spans="2:32" x14ac:dyDescent="0.25">
      <c r="B217">
        <v>39</v>
      </c>
      <c r="C217">
        <v>1</v>
      </c>
      <c r="D217">
        <v>1</v>
      </c>
      <c r="E217">
        <v>1</v>
      </c>
      <c r="F217">
        <v>1</v>
      </c>
      <c r="G217">
        <v>1</v>
      </c>
      <c r="H217">
        <v>1</v>
      </c>
      <c r="J217">
        <v>39</v>
      </c>
      <c r="K217">
        <v>1</v>
      </c>
      <c r="L217">
        <v>1</v>
      </c>
      <c r="M217">
        <v>1</v>
      </c>
      <c r="N217">
        <v>1</v>
      </c>
      <c r="O217">
        <v>1</v>
      </c>
      <c r="P217">
        <v>1</v>
      </c>
      <c r="R217">
        <v>39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AA217">
        <v>-5138.76</v>
      </c>
      <c r="AB217">
        <v>-5138.76</v>
      </c>
      <c r="AC217">
        <v>-5138.76</v>
      </c>
      <c r="AD217">
        <v>-5138.76</v>
      </c>
      <c r="AE217">
        <v>-5138.76</v>
      </c>
      <c r="AF217">
        <v>-5138.76</v>
      </c>
    </row>
    <row r="218" spans="2:32" x14ac:dyDescent="0.25">
      <c r="B218">
        <v>40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1</v>
      </c>
      <c r="J218">
        <v>40</v>
      </c>
      <c r="K218">
        <v>1</v>
      </c>
      <c r="L218">
        <v>1</v>
      </c>
      <c r="M218">
        <v>1</v>
      </c>
      <c r="N218">
        <v>1</v>
      </c>
      <c r="O218">
        <v>1</v>
      </c>
      <c r="P218">
        <v>1</v>
      </c>
      <c r="R218">
        <v>40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AA218">
        <v>-5133.5084999999999</v>
      </c>
      <c r="AB218">
        <v>-5133.5084999999999</v>
      </c>
      <c r="AC218">
        <v>-5133.5084999999999</v>
      </c>
      <c r="AD218">
        <v>-5133.5084999999999</v>
      </c>
      <c r="AE218">
        <v>-5133.5084999999999</v>
      </c>
      <c r="AF218">
        <v>-5133.5084999999999</v>
      </c>
    </row>
    <row r="219" spans="2:32" x14ac:dyDescent="0.25">
      <c r="B219">
        <v>41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1</v>
      </c>
      <c r="J219">
        <v>41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R219">
        <v>41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AA219">
        <v>-5127.7236000000003</v>
      </c>
      <c r="AB219">
        <v>-5127.7236000000003</v>
      </c>
      <c r="AC219">
        <v>-5127.7236000000003</v>
      </c>
      <c r="AD219">
        <v>-5127.7236000000003</v>
      </c>
      <c r="AE219">
        <v>-5127.7236000000003</v>
      </c>
      <c r="AF219">
        <v>-5127.7236000000003</v>
      </c>
    </row>
    <row r="220" spans="2:32" x14ac:dyDescent="0.25">
      <c r="B220">
        <v>42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J220">
        <v>42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R220">
        <v>42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AA220">
        <v>-5121.3726999999999</v>
      </c>
      <c r="AB220">
        <v>-5121.3726999999999</v>
      </c>
      <c r="AC220">
        <v>-5121.3726999999999</v>
      </c>
      <c r="AD220">
        <v>-5121.3726999999999</v>
      </c>
      <c r="AE220">
        <v>-5121.3726999999999</v>
      </c>
      <c r="AF220">
        <v>-5121.3726999999999</v>
      </c>
    </row>
    <row r="221" spans="2:32" x14ac:dyDescent="0.25">
      <c r="B221">
        <v>43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J221">
        <v>43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R221">
        <v>43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AA221">
        <v>-5114.3449000000001</v>
      </c>
      <c r="AB221">
        <v>-5114.3449000000001</v>
      </c>
      <c r="AC221">
        <v>-5114.3449000000001</v>
      </c>
      <c r="AD221">
        <v>-5114.3449000000001</v>
      </c>
      <c r="AE221">
        <v>-5114.3449000000001</v>
      </c>
      <c r="AF221">
        <v>-5114.3449000000001</v>
      </c>
    </row>
    <row r="222" spans="2:32" x14ac:dyDescent="0.25">
      <c r="B222">
        <v>44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J222">
        <v>44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R222">
        <v>44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AA222">
        <v>-5106.5976000000001</v>
      </c>
      <c r="AB222">
        <v>-5106.5976000000001</v>
      </c>
      <c r="AC222">
        <v>-5106.5976000000001</v>
      </c>
      <c r="AD222">
        <v>-5106.5976000000001</v>
      </c>
      <c r="AE222">
        <v>-5106.5976000000001</v>
      </c>
      <c r="AF222">
        <v>-5106.5976000000001</v>
      </c>
    </row>
    <row r="223" spans="2:32" x14ac:dyDescent="0.25">
      <c r="B223">
        <v>45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J223">
        <v>45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R223">
        <v>45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AA223">
        <v>-5098.0524999999998</v>
      </c>
      <c r="AB223">
        <v>-5098.0524999999998</v>
      </c>
      <c r="AC223">
        <v>-5098.0524999999998</v>
      </c>
      <c r="AD223">
        <v>-5098.0524999999998</v>
      </c>
      <c r="AE223">
        <v>-5098.0524999999998</v>
      </c>
      <c r="AF223">
        <v>-5098.0524999999998</v>
      </c>
    </row>
    <row r="224" spans="2:32" x14ac:dyDescent="0.25">
      <c r="B224">
        <v>46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1</v>
      </c>
      <c r="J224">
        <v>46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R224">
        <v>46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AA224">
        <v>-5088.6378000000004</v>
      </c>
      <c r="AB224">
        <v>-5088.6378000000004</v>
      </c>
      <c r="AC224">
        <v>-5088.6378000000004</v>
      </c>
      <c r="AD224">
        <v>-5088.6378000000004</v>
      </c>
      <c r="AE224">
        <v>-5088.6378000000004</v>
      </c>
      <c r="AF224">
        <v>-5088.6378000000004</v>
      </c>
    </row>
    <row r="225" spans="2:32" x14ac:dyDescent="0.25">
      <c r="B225">
        <v>47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1</v>
      </c>
      <c r="J225">
        <v>47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R225">
        <v>47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AA225">
        <v>-5078.2593999999999</v>
      </c>
      <c r="AB225">
        <v>-5078.2593999999999</v>
      </c>
      <c r="AC225">
        <v>-5078.2593999999999</v>
      </c>
      <c r="AD225">
        <v>-5078.2593999999999</v>
      </c>
      <c r="AE225">
        <v>-5078.2593999999999</v>
      </c>
      <c r="AF225">
        <v>-5078.2593999999999</v>
      </c>
    </row>
    <row r="226" spans="2:32" x14ac:dyDescent="0.25">
      <c r="B226">
        <v>48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J226">
        <v>48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R226">
        <v>48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AA226">
        <v>-5066.8732</v>
      </c>
      <c r="AB226">
        <v>-5066.8732</v>
      </c>
      <c r="AC226">
        <v>-5066.8732</v>
      </c>
      <c r="AD226">
        <v>-5066.8732</v>
      </c>
      <c r="AE226">
        <v>-5066.8732</v>
      </c>
      <c r="AF226">
        <v>-5066.8732</v>
      </c>
    </row>
    <row r="227" spans="2:32" x14ac:dyDescent="0.25">
      <c r="B227">
        <v>49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J227">
        <v>49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R227">
        <v>49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AA227">
        <v>-5054.4124000000002</v>
      </c>
      <c r="AB227">
        <v>-5054.4124000000002</v>
      </c>
      <c r="AC227">
        <v>-5054.4124000000002</v>
      </c>
      <c r="AD227">
        <v>-5054.4124000000002</v>
      </c>
      <c r="AE227">
        <v>-5054.4124000000002</v>
      </c>
      <c r="AF227">
        <v>-5054.4124000000002</v>
      </c>
    </row>
    <row r="228" spans="2:32" x14ac:dyDescent="0.25">
      <c r="B228">
        <v>50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1</v>
      </c>
      <c r="J228">
        <v>50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R228">
        <v>50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AA228">
        <v>-5040.7671</v>
      </c>
      <c r="AB228">
        <v>-5040.7671</v>
      </c>
      <c r="AC228">
        <v>-5040.7671</v>
      </c>
      <c r="AD228">
        <v>-5040.7671</v>
      </c>
      <c r="AE228">
        <v>-5040.7671</v>
      </c>
      <c r="AF228">
        <v>-5040.7671</v>
      </c>
    </row>
    <row r="229" spans="2:32" x14ac:dyDescent="0.25">
      <c r="B229">
        <v>51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J229">
        <v>51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R229">
        <v>51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AA229">
        <v>-5025.8329000000003</v>
      </c>
      <c r="AB229">
        <v>-5025.8329000000003</v>
      </c>
      <c r="AC229">
        <v>-5025.8329000000003</v>
      </c>
      <c r="AD229">
        <v>-5025.8329000000003</v>
      </c>
      <c r="AE229">
        <v>-5025.8329000000003</v>
      </c>
      <c r="AF229">
        <v>-5025.8329000000003</v>
      </c>
    </row>
    <row r="230" spans="2:32" x14ac:dyDescent="0.25">
      <c r="B230">
        <v>52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1</v>
      </c>
      <c r="J230">
        <v>52</v>
      </c>
      <c r="K230">
        <v>1</v>
      </c>
      <c r="L230">
        <v>1</v>
      </c>
      <c r="M230">
        <v>1</v>
      </c>
      <c r="N230">
        <v>1</v>
      </c>
      <c r="O230">
        <v>1</v>
      </c>
      <c r="P230">
        <v>1</v>
      </c>
      <c r="R230">
        <v>52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AA230">
        <v>-5009.4771000000001</v>
      </c>
      <c r="AB230">
        <v>-5009.4771000000001</v>
      </c>
      <c r="AC230">
        <v>-5009.4771000000001</v>
      </c>
      <c r="AD230">
        <v>-5009.4771000000001</v>
      </c>
      <c r="AE230">
        <v>-5009.4771000000001</v>
      </c>
      <c r="AF230">
        <v>-5009.4771000000001</v>
      </c>
    </row>
    <row r="231" spans="2:32" x14ac:dyDescent="0.25">
      <c r="B231">
        <v>53</v>
      </c>
      <c r="C231">
        <v>1</v>
      </c>
      <c r="D231">
        <v>1</v>
      </c>
      <c r="E231">
        <v>1</v>
      </c>
      <c r="F231">
        <v>1</v>
      </c>
      <c r="G231">
        <v>1</v>
      </c>
      <c r="H231">
        <v>1</v>
      </c>
      <c r="J231">
        <v>53</v>
      </c>
      <c r="K231">
        <v>1</v>
      </c>
      <c r="L231">
        <v>1</v>
      </c>
      <c r="M231">
        <v>1</v>
      </c>
      <c r="N231">
        <v>1</v>
      </c>
      <c r="O231">
        <v>1</v>
      </c>
      <c r="P231">
        <v>1</v>
      </c>
      <c r="R231">
        <v>53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AA231">
        <v>-4991.6184000000003</v>
      </c>
      <c r="AB231">
        <v>-4991.6184000000003</v>
      </c>
      <c r="AC231">
        <v>-4991.6184000000003</v>
      </c>
      <c r="AD231">
        <v>-4991.6184000000003</v>
      </c>
      <c r="AE231">
        <v>-4991.6184000000003</v>
      </c>
      <c r="AF231">
        <v>-4991.6184000000003</v>
      </c>
    </row>
    <row r="232" spans="2:32" x14ac:dyDescent="0.25">
      <c r="B232">
        <v>54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J232">
        <v>54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R232">
        <v>54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AA232">
        <v>-4972.1588000000002</v>
      </c>
      <c r="AB232">
        <v>-4972.1588000000002</v>
      </c>
      <c r="AC232">
        <v>-4972.1588000000002</v>
      </c>
      <c r="AD232">
        <v>-4972.1588000000002</v>
      </c>
      <c r="AE232">
        <v>-4972.1588000000002</v>
      </c>
      <c r="AF232">
        <v>-4972.1588000000002</v>
      </c>
    </row>
    <row r="233" spans="2:32" x14ac:dyDescent="0.25">
      <c r="B233">
        <v>55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J233">
        <v>55</v>
      </c>
      <c r="K233">
        <v>1</v>
      </c>
      <c r="L233">
        <v>1</v>
      </c>
      <c r="M233">
        <v>1</v>
      </c>
      <c r="N233">
        <v>1</v>
      </c>
      <c r="O233">
        <v>1</v>
      </c>
      <c r="P233">
        <v>1</v>
      </c>
      <c r="R233">
        <v>55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AA233">
        <v>-4950.9426000000003</v>
      </c>
      <c r="AB233">
        <v>-4950.9426000000003</v>
      </c>
      <c r="AC233">
        <v>-4950.9426000000003</v>
      </c>
      <c r="AD233">
        <v>-4950.9426000000003</v>
      </c>
      <c r="AE233">
        <v>-4950.9426000000003</v>
      </c>
      <c r="AF233">
        <v>-4950.9426000000003</v>
      </c>
    </row>
    <row r="236" spans="2:32" x14ac:dyDescent="0.25">
      <c r="B236" t="s">
        <v>46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32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48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2:32" x14ac:dyDescent="0.25">
      <c r="B237">
        <v>35</v>
      </c>
      <c r="C237">
        <v>1</v>
      </c>
      <c r="D237">
        <v>1</v>
      </c>
      <c r="E237">
        <v>1</v>
      </c>
      <c r="F237">
        <v>1</v>
      </c>
      <c r="G237">
        <v>1</v>
      </c>
      <c r="J237">
        <v>35</v>
      </c>
      <c r="K237">
        <v>1</v>
      </c>
      <c r="L237">
        <v>1</v>
      </c>
      <c r="M237">
        <v>1</v>
      </c>
      <c r="N237">
        <v>1</v>
      </c>
      <c r="O237">
        <v>1</v>
      </c>
      <c r="R237">
        <v>35</v>
      </c>
      <c r="S237">
        <v>1</v>
      </c>
      <c r="T237">
        <v>1</v>
      </c>
      <c r="U237">
        <v>1</v>
      </c>
      <c r="V237">
        <v>1</v>
      </c>
      <c r="W237">
        <v>1</v>
      </c>
      <c r="AA237">
        <v>-8996.1419000000005</v>
      </c>
      <c r="AB237">
        <v>-8996.1419000000005</v>
      </c>
      <c r="AC237">
        <v>-8996.1419000000005</v>
      </c>
      <c r="AD237">
        <v>-8996.1419000000005</v>
      </c>
      <c r="AE237">
        <v>-8996.1419000000005</v>
      </c>
    </row>
    <row r="238" spans="2:32" x14ac:dyDescent="0.25">
      <c r="B238">
        <f t="shared" ref="B238:B267" si="9">B237+1</f>
        <v>36</v>
      </c>
      <c r="C238">
        <v>1</v>
      </c>
      <c r="D238">
        <v>1</v>
      </c>
      <c r="E238">
        <v>1</v>
      </c>
      <c r="F238">
        <v>1</v>
      </c>
      <c r="G238">
        <v>1</v>
      </c>
      <c r="J238">
        <f t="shared" ref="J238:J267" si="10">J237+1</f>
        <v>36</v>
      </c>
      <c r="K238">
        <v>1</v>
      </c>
      <c r="L238">
        <v>1</v>
      </c>
      <c r="M238">
        <v>1</v>
      </c>
      <c r="N238">
        <v>1</v>
      </c>
      <c r="O238">
        <v>1</v>
      </c>
      <c r="R238">
        <f t="shared" ref="R238:R267" si="11">R237+1</f>
        <v>36</v>
      </c>
      <c r="S238">
        <v>1</v>
      </c>
      <c r="T238">
        <v>1</v>
      </c>
      <c r="U238">
        <v>1</v>
      </c>
      <c r="V238">
        <v>1</v>
      </c>
      <c r="W238">
        <v>1</v>
      </c>
      <c r="AA238">
        <v>-8902.6679999999997</v>
      </c>
      <c r="AB238">
        <v>-8902.6679999999997</v>
      </c>
      <c r="AC238">
        <v>-8902.6679999999997</v>
      </c>
      <c r="AD238">
        <v>-8902.6679999999997</v>
      </c>
      <c r="AE238">
        <v>-8902.6679999999997</v>
      </c>
    </row>
    <row r="239" spans="2:32" x14ac:dyDescent="0.25">
      <c r="B239">
        <f t="shared" si="9"/>
        <v>37</v>
      </c>
      <c r="C239">
        <v>1</v>
      </c>
      <c r="D239">
        <v>1</v>
      </c>
      <c r="E239">
        <v>1</v>
      </c>
      <c r="F239">
        <v>1</v>
      </c>
      <c r="G239">
        <v>1</v>
      </c>
      <c r="J239">
        <f t="shared" si="10"/>
        <v>37</v>
      </c>
      <c r="K239">
        <v>1</v>
      </c>
      <c r="L239">
        <v>1</v>
      </c>
      <c r="M239">
        <v>1</v>
      </c>
      <c r="N239">
        <v>1</v>
      </c>
      <c r="O239">
        <v>1</v>
      </c>
      <c r="R239">
        <f t="shared" si="11"/>
        <v>37</v>
      </c>
      <c r="S239">
        <v>1</v>
      </c>
      <c r="T239">
        <v>1</v>
      </c>
      <c r="U239">
        <v>1</v>
      </c>
      <c r="V239">
        <v>1</v>
      </c>
      <c r="W239">
        <v>1</v>
      </c>
      <c r="AA239">
        <v>-8806.7960000000003</v>
      </c>
      <c r="AB239">
        <v>-8806.7960000000003</v>
      </c>
      <c r="AC239">
        <v>-8806.7960000000003</v>
      </c>
      <c r="AD239">
        <v>-8806.7960000000003</v>
      </c>
      <c r="AE239">
        <v>-8806.7960000000003</v>
      </c>
    </row>
    <row r="240" spans="2:32" x14ac:dyDescent="0.25">
      <c r="B240">
        <f t="shared" si="9"/>
        <v>38</v>
      </c>
      <c r="C240">
        <v>1</v>
      </c>
      <c r="D240">
        <v>1</v>
      </c>
      <c r="E240">
        <v>1</v>
      </c>
      <c r="F240">
        <v>1</v>
      </c>
      <c r="G240">
        <v>1</v>
      </c>
      <c r="J240">
        <f t="shared" si="10"/>
        <v>38</v>
      </c>
      <c r="K240">
        <v>1</v>
      </c>
      <c r="L240">
        <v>1</v>
      </c>
      <c r="M240">
        <v>1</v>
      </c>
      <c r="N240">
        <v>1</v>
      </c>
      <c r="O240">
        <v>1</v>
      </c>
      <c r="R240">
        <f t="shared" si="11"/>
        <v>38</v>
      </c>
      <c r="S240">
        <v>1</v>
      </c>
      <c r="T240">
        <v>1</v>
      </c>
      <c r="U240">
        <v>1</v>
      </c>
      <c r="V240">
        <v>1</v>
      </c>
      <c r="W240">
        <v>1</v>
      </c>
      <c r="AA240">
        <v>-8708.6234000000004</v>
      </c>
      <c r="AB240">
        <v>-8708.6234000000004</v>
      </c>
      <c r="AC240">
        <v>-8708.6234000000004</v>
      </c>
      <c r="AD240">
        <v>-8708.6234000000004</v>
      </c>
      <c r="AE240">
        <v>-8708.6234000000004</v>
      </c>
    </row>
    <row r="241" spans="2:31" x14ac:dyDescent="0.25">
      <c r="B241">
        <f t="shared" si="9"/>
        <v>39</v>
      </c>
      <c r="C241">
        <v>1</v>
      </c>
      <c r="D241">
        <v>1</v>
      </c>
      <c r="E241">
        <v>1</v>
      </c>
      <c r="F241">
        <v>1</v>
      </c>
      <c r="G241">
        <v>1</v>
      </c>
      <c r="J241">
        <f t="shared" si="10"/>
        <v>39</v>
      </c>
      <c r="K241">
        <v>1</v>
      </c>
      <c r="L241">
        <v>1</v>
      </c>
      <c r="M241">
        <v>1</v>
      </c>
      <c r="N241">
        <v>1</v>
      </c>
      <c r="O241">
        <v>1</v>
      </c>
      <c r="R241">
        <f t="shared" si="11"/>
        <v>39</v>
      </c>
      <c r="S241">
        <v>1</v>
      </c>
      <c r="T241">
        <v>1</v>
      </c>
      <c r="U241">
        <v>1</v>
      </c>
      <c r="V241">
        <v>1</v>
      </c>
      <c r="W241">
        <v>1</v>
      </c>
      <c r="AA241">
        <v>-8608.1594000000005</v>
      </c>
      <c r="AB241">
        <v>-8608.1594000000005</v>
      </c>
      <c r="AC241">
        <v>-8608.1594000000005</v>
      </c>
      <c r="AD241">
        <v>-8608.1594000000005</v>
      </c>
      <c r="AE241">
        <v>-8608.1594000000005</v>
      </c>
    </row>
    <row r="242" spans="2:31" x14ac:dyDescent="0.25">
      <c r="B242">
        <f t="shared" si="9"/>
        <v>40</v>
      </c>
      <c r="C242">
        <v>1</v>
      </c>
      <c r="D242">
        <v>1</v>
      </c>
      <c r="E242">
        <v>1</v>
      </c>
      <c r="F242">
        <v>1</v>
      </c>
      <c r="G242">
        <v>1</v>
      </c>
      <c r="J242">
        <f t="shared" si="10"/>
        <v>40</v>
      </c>
      <c r="K242">
        <v>1</v>
      </c>
      <c r="L242">
        <v>1</v>
      </c>
      <c r="M242">
        <v>1</v>
      </c>
      <c r="N242">
        <v>1</v>
      </c>
      <c r="O242">
        <v>1</v>
      </c>
      <c r="R242">
        <f t="shared" si="11"/>
        <v>40</v>
      </c>
      <c r="S242">
        <v>1</v>
      </c>
      <c r="T242">
        <v>1</v>
      </c>
      <c r="U242">
        <v>1</v>
      </c>
      <c r="V242">
        <v>1</v>
      </c>
      <c r="W242">
        <v>1</v>
      </c>
      <c r="AA242">
        <v>-8505.3439999999991</v>
      </c>
      <c r="AB242">
        <v>-8505.3439999999991</v>
      </c>
      <c r="AC242">
        <v>-8505.3439999999991</v>
      </c>
      <c r="AD242">
        <v>-8505.3439999999991</v>
      </c>
      <c r="AE242">
        <v>-8505.3439999999991</v>
      </c>
    </row>
    <row r="243" spans="2:31" x14ac:dyDescent="0.25">
      <c r="B243">
        <f t="shared" si="9"/>
        <v>41</v>
      </c>
      <c r="C243">
        <v>1</v>
      </c>
      <c r="D243">
        <v>1</v>
      </c>
      <c r="E243">
        <v>1</v>
      </c>
      <c r="F243">
        <v>1</v>
      </c>
      <c r="G243">
        <v>1</v>
      </c>
      <c r="J243">
        <f t="shared" si="10"/>
        <v>41</v>
      </c>
      <c r="K243">
        <v>1</v>
      </c>
      <c r="L243">
        <v>1</v>
      </c>
      <c r="M243">
        <v>1</v>
      </c>
      <c r="N243">
        <v>1</v>
      </c>
      <c r="O243">
        <v>1</v>
      </c>
      <c r="R243">
        <f t="shared" si="11"/>
        <v>41</v>
      </c>
      <c r="S243">
        <v>1</v>
      </c>
      <c r="T243">
        <v>1</v>
      </c>
      <c r="U243">
        <v>1</v>
      </c>
      <c r="V243">
        <v>1</v>
      </c>
      <c r="W243">
        <v>1</v>
      </c>
      <c r="AA243">
        <v>-8400.1087000000007</v>
      </c>
      <c r="AB243">
        <v>-8400.1087000000007</v>
      </c>
      <c r="AC243">
        <v>-8400.1087000000007</v>
      </c>
      <c r="AD243">
        <v>-8400.1087000000007</v>
      </c>
      <c r="AE243">
        <v>-8400.1087000000007</v>
      </c>
    </row>
    <row r="244" spans="2:31" x14ac:dyDescent="0.25">
      <c r="B244">
        <f t="shared" si="9"/>
        <v>42</v>
      </c>
      <c r="C244">
        <v>1</v>
      </c>
      <c r="D244">
        <v>1</v>
      </c>
      <c r="E244">
        <v>1</v>
      </c>
      <c r="F244">
        <v>1</v>
      </c>
      <c r="G244">
        <v>1</v>
      </c>
      <c r="J244">
        <f t="shared" si="10"/>
        <v>42</v>
      </c>
      <c r="K244">
        <v>1</v>
      </c>
      <c r="L244">
        <v>1</v>
      </c>
      <c r="M244">
        <v>1</v>
      </c>
      <c r="N244">
        <v>1</v>
      </c>
      <c r="O244">
        <v>1</v>
      </c>
      <c r="R244">
        <f t="shared" si="11"/>
        <v>42</v>
      </c>
      <c r="S244">
        <v>1</v>
      </c>
      <c r="T244">
        <v>1</v>
      </c>
      <c r="U244">
        <v>1</v>
      </c>
      <c r="V244">
        <v>1</v>
      </c>
      <c r="W244">
        <v>1</v>
      </c>
      <c r="AA244">
        <v>-8292.4974999999995</v>
      </c>
      <c r="AB244">
        <v>-8292.4974999999995</v>
      </c>
      <c r="AC244">
        <v>-8292.4974999999995</v>
      </c>
      <c r="AD244">
        <v>-8292.4974999999995</v>
      </c>
      <c r="AE244">
        <v>-8292.4974999999995</v>
      </c>
    </row>
    <row r="245" spans="2:31" x14ac:dyDescent="0.25">
      <c r="B245">
        <f t="shared" si="9"/>
        <v>43</v>
      </c>
      <c r="C245">
        <v>1</v>
      </c>
      <c r="D245">
        <v>1</v>
      </c>
      <c r="E245">
        <v>1</v>
      </c>
      <c r="F245">
        <v>1</v>
      </c>
      <c r="G245">
        <v>1</v>
      </c>
      <c r="J245">
        <f t="shared" si="10"/>
        <v>43</v>
      </c>
      <c r="K245">
        <v>1</v>
      </c>
      <c r="L245">
        <v>1</v>
      </c>
      <c r="M245">
        <v>1</v>
      </c>
      <c r="N245">
        <v>1</v>
      </c>
      <c r="O245">
        <v>1</v>
      </c>
      <c r="R245">
        <f t="shared" si="11"/>
        <v>43</v>
      </c>
      <c r="S245">
        <v>1</v>
      </c>
      <c r="T245">
        <v>1</v>
      </c>
      <c r="U245">
        <v>1</v>
      </c>
      <c r="V245">
        <v>1</v>
      </c>
      <c r="W245">
        <v>1</v>
      </c>
      <c r="AA245">
        <v>-8182.3909999999996</v>
      </c>
      <c r="AB245">
        <v>-8182.3909999999996</v>
      </c>
      <c r="AC245">
        <v>-8182.3909999999996</v>
      </c>
      <c r="AD245">
        <v>-8182.3909999999996</v>
      </c>
      <c r="AE245">
        <v>-8182.3909999999996</v>
      </c>
    </row>
    <row r="246" spans="2:31" x14ac:dyDescent="0.25">
      <c r="B246">
        <f t="shared" si="9"/>
        <v>44</v>
      </c>
      <c r="C246">
        <v>1</v>
      </c>
      <c r="D246">
        <v>1</v>
      </c>
      <c r="E246">
        <v>1</v>
      </c>
      <c r="F246">
        <v>1</v>
      </c>
      <c r="G246">
        <v>1</v>
      </c>
      <c r="J246">
        <f t="shared" si="10"/>
        <v>44</v>
      </c>
      <c r="K246">
        <v>1</v>
      </c>
      <c r="L246">
        <v>1</v>
      </c>
      <c r="M246">
        <v>1</v>
      </c>
      <c r="N246">
        <v>1</v>
      </c>
      <c r="O246">
        <v>1</v>
      </c>
      <c r="R246">
        <f t="shared" si="11"/>
        <v>44</v>
      </c>
      <c r="S246">
        <v>1</v>
      </c>
      <c r="T246">
        <v>1</v>
      </c>
      <c r="U246">
        <v>1</v>
      </c>
      <c r="V246">
        <v>1</v>
      </c>
      <c r="W246">
        <v>1</v>
      </c>
      <c r="AA246">
        <v>-8069.8261000000002</v>
      </c>
      <c r="AB246">
        <v>-8069.8261000000002</v>
      </c>
      <c r="AC246">
        <v>-8069.8261000000002</v>
      </c>
      <c r="AD246">
        <v>-8069.8261000000002</v>
      </c>
      <c r="AE246">
        <v>-8069.8261000000002</v>
      </c>
    </row>
    <row r="247" spans="2:31" x14ac:dyDescent="0.25">
      <c r="B247">
        <f t="shared" si="9"/>
        <v>45</v>
      </c>
      <c r="C247">
        <v>1</v>
      </c>
      <c r="D247">
        <v>1</v>
      </c>
      <c r="E247">
        <v>1</v>
      </c>
      <c r="F247">
        <v>1</v>
      </c>
      <c r="G247">
        <v>1</v>
      </c>
      <c r="J247">
        <f t="shared" si="10"/>
        <v>45</v>
      </c>
      <c r="K247">
        <v>1</v>
      </c>
      <c r="L247">
        <v>1</v>
      </c>
      <c r="M247">
        <v>1</v>
      </c>
      <c r="N247">
        <v>1</v>
      </c>
      <c r="O247">
        <v>1</v>
      </c>
      <c r="R247">
        <f t="shared" si="11"/>
        <v>45</v>
      </c>
      <c r="S247">
        <v>1</v>
      </c>
      <c r="T247">
        <v>1</v>
      </c>
      <c r="U247">
        <v>1</v>
      </c>
      <c r="V247">
        <v>1</v>
      </c>
      <c r="W247">
        <v>1</v>
      </c>
      <c r="AA247">
        <v>-7954.7533999999996</v>
      </c>
      <c r="AB247">
        <v>-7954.7533999999996</v>
      </c>
      <c r="AC247">
        <v>-7954.7533999999996</v>
      </c>
      <c r="AD247">
        <v>-7954.7533999999996</v>
      </c>
      <c r="AE247">
        <v>-7954.7533999999996</v>
      </c>
    </row>
    <row r="248" spans="2:31" x14ac:dyDescent="0.25">
      <c r="B248">
        <f t="shared" si="9"/>
        <v>46</v>
      </c>
      <c r="C248">
        <v>1</v>
      </c>
      <c r="D248">
        <v>1</v>
      </c>
      <c r="E248">
        <v>1</v>
      </c>
      <c r="F248">
        <v>1</v>
      </c>
      <c r="G248">
        <v>1</v>
      </c>
      <c r="J248">
        <f t="shared" si="10"/>
        <v>46</v>
      </c>
      <c r="K248">
        <v>1</v>
      </c>
      <c r="L248">
        <v>1</v>
      </c>
      <c r="M248">
        <v>1</v>
      </c>
      <c r="N248">
        <v>1</v>
      </c>
      <c r="O248">
        <v>1</v>
      </c>
      <c r="R248">
        <f t="shared" si="11"/>
        <v>46</v>
      </c>
      <c r="S248">
        <v>1</v>
      </c>
      <c r="T248">
        <v>1</v>
      </c>
      <c r="U248">
        <v>1</v>
      </c>
      <c r="V248">
        <v>1</v>
      </c>
      <c r="W248">
        <v>1</v>
      </c>
      <c r="AA248">
        <v>-7837.1754000000001</v>
      </c>
      <c r="AB248">
        <v>-7837.1754000000001</v>
      </c>
      <c r="AC248">
        <v>-7837.1754000000001</v>
      </c>
      <c r="AD248">
        <v>-7837.1754000000001</v>
      </c>
      <c r="AE248">
        <v>-7837.1754000000001</v>
      </c>
    </row>
    <row r="249" spans="2:31" x14ac:dyDescent="0.25">
      <c r="B249">
        <f t="shared" si="9"/>
        <v>47</v>
      </c>
      <c r="C249">
        <v>1</v>
      </c>
      <c r="D249">
        <v>1</v>
      </c>
      <c r="E249">
        <v>1</v>
      </c>
      <c r="F249">
        <v>1</v>
      </c>
      <c r="G249">
        <v>1</v>
      </c>
      <c r="J249">
        <f t="shared" si="10"/>
        <v>47</v>
      </c>
      <c r="K249">
        <v>1</v>
      </c>
      <c r="L249">
        <v>1</v>
      </c>
      <c r="M249">
        <v>1</v>
      </c>
      <c r="N249">
        <v>1</v>
      </c>
      <c r="O249">
        <v>1</v>
      </c>
      <c r="R249">
        <f t="shared" si="11"/>
        <v>47</v>
      </c>
      <c r="S249">
        <v>1</v>
      </c>
      <c r="T249">
        <v>1</v>
      </c>
      <c r="U249">
        <v>1</v>
      </c>
      <c r="V249">
        <v>1</v>
      </c>
      <c r="W249">
        <v>1</v>
      </c>
      <c r="AA249">
        <v>-7717.0294999999996</v>
      </c>
      <c r="AB249">
        <v>-7717.0294999999996</v>
      </c>
      <c r="AC249">
        <v>-7717.0294999999996</v>
      </c>
      <c r="AD249">
        <v>-7717.0294999999996</v>
      </c>
      <c r="AE249">
        <v>-7717.0294999999996</v>
      </c>
    </row>
    <row r="250" spans="2:31" x14ac:dyDescent="0.25">
      <c r="B250">
        <f t="shared" si="9"/>
        <v>48</v>
      </c>
      <c r="C250">
        <v>1</v>
      </c>
      <c r="D250">
        <v>1</v>
      </c>
      <c r="E250">
        <v>1</v>
      </c>
      <c r="F250">
        <v>1</v>
      </c>
      <c r="G250">
        <v>1</v>
      </c>
      <c r="J250">
        <f t="shared" si="10"/>
        <v>48</v>
      </c>
      <c r="K250">
        <v>1</v>
      </c>
      <c r="L250">
        <v>1</v>
      </c>
      <c r="M250">
        <v>1</v>
      </c>
      <c r="N250">
        <v>1</v>
      </c>
      <c r="O250">
        <v>1</v>
      </c>
      <c r="R250">
        <f t="shared" si="11"/>
        <v>48</v>
      </c>
      <c r="S250">
        <v>1</v>
      </c>
      <c r="T250">
        <v>1</v>
      </c>
      <c r="U250">
        <v>1</v>
      </c>
      <c r="V250">
        <v>1</v>
      </c>
      <c r="W250">
        <v>1</v>
      </c>
      <c r="AA250">
        <v>-7594.4201000000003</v>
      </c>
      <c r="AB250">
        <v>-7594.4201000000003</v>
      </c>
      <c r="AC250">
        <v>-7594.4201000000003</v>
      </c>
      <c r="AD250">
        <v>-7594.4201000000003</v>
      </c>
      <c r="AE250">
        <v>-7594.4201000000003</v>
      </c>
    </row>
    <row r="251" spans="2:31" x14ac:dyDescent="0.25">
      <c r="B251">
        <f t="shared" si="9"/>
        <v>49</v>
      </c>
      <c r="C251">
        <v>1</v>
      </c>
      <c r="D251">
        <v>1</v>
      </c>
      <c r="E251">
        <v>1</v>
      </c>
      <c r="F251">
        <v>1</v>
      </c>
      <c r="G251">
        <v>1</v>
      </c>
      <c r="J251">
        <f t="shared" si="10"/>
        <v>49</v>
      </c>
      <c r="K251">
        <v>1</v>
      </c>
      <c r="L251">
        <v>1</v>
      </c>
      <c r="M251">
        <v>1</v>
      </c>
      <c r="N251">
        <v>1</v>
      </c>
      <c r="O251">
        <v>1</v>
      </c>
      <c r="R251">
        <f t="shared" si="11"/>
        <v>49</v>
      </c>
      <c r="S251">
        <v>1</v>
      </c>
      <c r="T251">
        <v>1</v>
      </c>
      <c r="U251">
        <v>1</v>
      </c>
      <c r="V251">
        <v>1</v>
      </c>
      <c r="W251">
        <v>1</v>
      </c>
      <c r="AA251">
        <v>-7469.3995999999997</v>
      </c>
      <c r="AB251">
        <v>-7469.3995999999997</v>
      </c>
      <c r="AC251">
        <v>-7469.3995999999997</v>
      </c>
      <c r="AD251">
        <v>-7469.3995999999997</v>
      </c>
      <c r="AE251">
        <v>-7469.3995999999997</v>
      </c>
    </row>
    <row r="252" spans="2:31" x14ac:dyDescent="0.25">
      <c r="B252">
        <f t="shared" si="9"/>
        <v>50</v>
      </c>
      <c r="C252">
        <v>1</v>
      </c>
      <c r="D252">
        <v>1</v>
      </c>
      <c r="E252">
        <v>1</v>
      </c>
      <c r="F252">
        <v>1</v>
      </c>
      <c r="G252">
        <v>1</v>
      </c>
      <c r="J252">
        <f t="shared" si="10"/>
        <v>50</v>
      </c>
      <c r="K252">
        <v>1</v>
      </c>
      <c r="L252">
        <v>1</v>
      </c>
      <c r="M252">
        <v>1</v>
      </c>
      <c r="N252">
        <v>1</v>
      </c>
      <c r="O252">
        <v>1</v>
      </c>
      <c r="R252">
        <f t="shared" si="11"/>
        <v>50</v>
      </c>
      <c r="S252">
        <v>1</v>
      </c>
      <c r="T252">
        <v>1</v>
      </c>
      <c r="U252">
        <v>1</v>
      </c>
      <c r="V252">
        <v>1</v>
      </c>
      <c r="W252">
        <v>1</v>
      </c>
      <c r="AA252">
        <v>-7341.9502000000002</v>
      </c>
      <c r="AB252">
        <v>-7341.9502000000002</v>
      </c>
      <c r="AC252">
        <v>-7341.9502000000002</v>
      </c>
      <c r="AD252">
        <v>-7341.9502000000002</v>
      </c>
      <c r="AE252">
        <v>-7341.9502000000002</v>
      </c>
    </row>
    <row r="253" spans="2:31" x14ac:dyDescent="0.25">
      <c r="B253">
        <f t="shared" si="9"/>
        <v>51</v>
      </c>
      <c r="C253">
        <v>1</v>
      </c>
      <c r="D253">
        <v>1</v>
      </c>
      <c r="E253">
        <v>1</v>
      </c>
      <c r="F253">
        <v>1</v>
      </c>
      <c r="G253">
        <v>1</v>
      </c>
      <c r="J253">
        <f t="shared" si="10"/>
        <v>51</v>
      </c>
      <c r="K253">
        <v>1</v>
      </c>
      <c r="L253">
        <v>1</v>
      </c>
      <c r="M253">
        <v>1</v>
      </c>
      <c r="N253">
        <v>1</v>
      </c>
      <c r="O253">
        <v>1</v>
      </c>
      <c r="R253">
        <f t="shared" si="11"/>
        <v>51</v>
      </c>
      <c r="S253">
        <v>1</v>
      </c>
      <c r="T253">
        <v>1</v>
      </c>
      <c r="U253">
        <v>1</v>
      </c>
      <c r="V253">
        <v>1</v>
      </c>
      <c r="W253">
        <v>1</v>
      </c>
      <c r="AA253">
        <v>-7212.0646999999999</v>
      </c>
      <c r="AB253">
        <v>-7212.0646999999999</v>
      </c>
      <c r="AC253">
        <v>-7212.0646999999999</v>
      </c>
      <c r="AD253">
        <v>-7212.0646999999999</v>
      </c>
      <c r="AE253">
        <v>-7212.0646999999999</v>
      </c>
    </row>
    <row r="254" spans="2:31" x14ac:dyDescent="0.25">
      <c r="B254">
        <f t="shared" si="9"/>
        <v>52</v>
      </c>
      <c r="C254">
        <v>1</v>
      </c>
      <c r="D254">
        <v>1</v>
      </c>
      <c r="E254">
        <v>1</v>
      </c>
      <c r="F254">
        <v>1</v>
      </c>
      <c r="G254">
        <v>1</v>
      </c>
      <c r="J254">
        <f t="shared" si="10"/>
        <v>52</v>
      </c>
      <c r="K254">
        <v>1</v>
      </c>
      <c r="L254">
        <v>1</v>
      </c>
      <c r="M254">
        <v>1</v>
      </c>
      <c r="N254">
        <v>1</v>
      </c>
      <c r="O254">
        <v>1</v>
      </c>
      <c r="R254">
        <f t="shared" si="11"/>
        <v>52</v>
      </c>
      <c r="S254">
        <v>1</v>
      </c>
      <c r="T254">
        <v>1</v>
      </c>
      <c r="U254">
        <v>1</v>
      </c>
      <c r="V254">
        <v>1</v>
      </c>
      <c r="W254">
        <v>1</v>
      </c>
      <c r="AA254">
        <v>-7079.7435999999998</v>
      </c>
      <c r="AB254">
        <v>-7079.7435999999998</v>
      </c>
      <c r="AC254">
        <v>-7079.7435999999998</v>
      </c>
      <c r="AD254">
        <v>-7079.7435999999998</v>
      </c>
      <c r="AE254">
        <v>-7079.7435999999998</v>
      </c>
    </row>
    <row r="255" spans="2:31" x14ac:dyDescent="0.25">
      <c r="B255">
        <f t="shared" si="9"/>
        <v>53</v>
      </c>
      <c r="C255">
        <v>1</v>
      </c>
      <c r="D255">
        <v>1</v>
      </c>
      <c r="E255">
        <v>1</v>
      </c>
      <c r="F255">
        <v>1</v>
      </c>
      <c r="G255">
        <v>1</v>
      </c>
      <c r="J255">
        <f t="shared" si="10"/>
        <v>53</v>
      </c>
      <c r="K255">
        <v>1</v>
      </c>
      <c r="L255">
        <v>1</v>
      </c>
      <c r="M255">
        <v>1</v>
      </c>
      <c r="N255">
        <v>1</v>
      </c>
      <c r="O255">
        <v>1</v>
      </c>
      <c r="R255">
        <f t="shared" si="11"/>
        <v>53</v>
      </c>
      <c r="S255">
        <v>1</v>
      </c>
      <c r="T255">
        <v>1</v>
      </c>
      <c r="U255">
        <v>1</v>
      </c>
      <c r="V255">
        <v>1</v>
      </c>
      <c r="W255">
        <v>1</v>
      </c>
      <c r="AA255">
        <v>-6945.0875999999998</v>
      </c>
      <c r="AB255">
        <v>-6945.0875999999998</v>
      </c>
      <c r="AC255">
        <v>-6945.0875999999998</v>
      </c>
      <c r="AD255">
        <v>-6945.0875999999998</v>
      </c>
      <c r="AE255">
        <v>-6945.0875999999998</v>
      </c>
    </row>
    <row r="256" spans="2:31" x14ac:dyDescent="0.25">
      <c r="B256">
        <f t="shared" si="9"/>
        <v>54</v>
      </c>
      <c r="C256">
        <v>1</v>
      </c>
      <c r="D256">
        <v>1</v>
      </c>
      <c r="E256">
        <v>1</v>
      </c>
      <c r="F256">
        <v>1</v>
      </c>
      <c r="G256">
        <v>1</v>
      </c>
      <c r="J256">
        <f t="shared" si="10"/>
        <v>54</v>
      </c>
      <c r="K256">
        <v>1</v>
      </c>
      <c r="L256">
        <v>1</v>
      </c>
      <c r="M256">
        <v>1</v>
      </c>
      <c r="N256">
        <v>1</v>
      </c>
      <c r="O256">
        <v>1</v>
      </c>
      <c r="R256">
        <f t="shared" si="11"/>
        <v>54</v>
      </c>
      <c r="S256">
        <v>1</v>
      </c>
      <c r="T256">
        <v>1</v>
      </c>
      <c r="U256">
        <v>1</v>
      </c>
      <c r="V256">
        <v>1</v>
      </c>
      <c r="W256">
        <v>1</v>
      </c>
      <c r="AA256">
        <v>-6808.2438000000002</v>
      </c>
      <c r="AB256">
        <v>-6808.2438000000002</v>
      </c>
      <c r="AC256">
        <v>-6808.2438000000002</v>
      </c>
      <c r="AD256">
        <v>-6808.2438000000002</v>
      </c>
      <c r="AE256">
        <v>-6808.2438000000002</v>
      </c>
    </row>
    <row r="257" spans="2:32" x14ac:dyDescent="0.25">
      <c r="B257">
        <f t="shared" si="9"/>
        <v>55</v>
      </c>
      <c r="C257">
        <v>1</v>
      </c>
      <c r="D257">
        <v>1</v>
      </c>
      <c r="E257">
        <v>1</v>
      </c>
      <c r="F257">
        <v>1</v>
      </c>
      <c r="G257">
        <v>1</v>
      </c>
      <c r="J257">
        <f t="shared" si="10"/>
        <v>55</v>
      </c>
      <c r="K257">
        <v>1</v>
      </c>
      <c r="L257">
        <v>1</v>
      </c>
      <c r="M257">
        <v>1</v>
      </c>
      <c r="N257">
        <v>1</v>
      </c>
      <c r="O257">
        <v>1</v>
      </c>
      <c r="R257">
        <f t="shared" si="11"/>
        <v>55</v>
      </c>
      <c r="S257">
        <v>1</v>
      </c>
      <c r="T257">
        <v>1</v>
      </c>
      <c r="U257">
        <v>1</v>
      </c>
      <c r="V257">
        <v>1</v>
      </c>
      <c r="W257">
        <v>1</v>
      </c>
      <c r="AA257">
        <v>-6669.2525999999998</v>
      </c>
      <c r="AB257">
        <v>-6669.2525999999998</v>
      </c>
      <c r="AC257">
        <v>-6669.2525999999998</v>
      </c>
      <c r="AD257">
        <v>-6669.2525999999998</v>
      </c>
      <c r="AE257">
        <v>-6669.2525999999998</v>
      </c>
    </row>
    <row r="258" spans="2:32" x14ac:dyDescent="0.25">
      <c r="B258">
        <f t="shared" si="9"/>
        <v>56</v>
      </c>
      <c r="C258">
        <v>1</v>
      </c>
      <c r="D258">
        <v>1</v>
      </c>
      <c r="E258">
        <v>1</v>
      </c>
      <c r="F258">
        <v>1</v>
      </c>
      <c r="G258">
        <v>1</v>
      </c>
      <c r="J258">
        <f t="shared" si="10"/>
        <v>56</v>
      </c>
      <c r="K258">
        <v>1</v>
      </c>
      <c r="L258">
        <v>1</v>
      </c>
      <c r="M258">
        <v>1</v>
      </c>
      <c r="N258">
        <v>1</v>
      </c>
      <c r="O258">
        <v>1</v>
      </c>
      <c r="R258">
        <f t="shared" si="11"/>
        <v>56</v>
      </c>
      <c r="S258">
        <v>1</v>
      </c>
      <c r="T258">
        <v>1</v>
      </c>
      <c r="U258">
        <v>1</v>
      </c>
      <c r="V258">
        <v>1</v>
      </c>
      <c r="W258">
        <v>1</v>
      </c>
      <c r="AA258">
        <v>-6528.2992000000004</v>
      </c>
      <c r="AB258">
        <v>-6528.2992000000004</v>
      </c>
      <c r="AC258">
        <v>-6528.2992000000004</v>
      </c>
      <c r="AD258">
        <v>-6528.2992000000004</v>
      </c>
      <c r="AE258">
        <v>-6528.2992000000004</v>
      </c>
    </row>
    <row r="259" spans="2:32" x14ac:dyDescent="0.25">
      <c r="B259">
        <f t="shared" si="9"/>
        <v>57</v>
      </c>
      <c r="C259">
        <v>1</v>
      </c>
      <c r="D259">
        <v>1</v>
      </c>
      <c r="E259">
        <v>1</v>
      </c>
      <c r="F259">
        <v>1</v>
      </c>
      <c r="G259">
        <v>1</v>
      </c>
      <c r="J259">
        <f t="shared" si="10"/>
        <v>57</v>
      </c>
      <c r="K259">
        <v>1</v>
      </c>
      <c r="L259">
        <v>1</v>
      </c>
      <c r="M259">
        <v>1</v>
      </c>
      <c r="N259">
        <v>1</v>
      </c>
      <c r="O259">
        <v>1</v>
      </c>
      <c r="R259">
        <f t="shared" si="11"/>
        <v>57</v>
      </c>
      <c r="S259">
        <v>1</v>
      </c>
      <c r="T259">
        <v>1</v>
      </c>
      <c r="U259">
        <v>1</v>
      </c>
      <c r="V259">
        <v>1</v>
      </c>
      <c r="W259">
        <v>1</v>
      </c>
      <c r="AA259">
        <v>-6385.5230000000001</v>
      </c>
      <c r="AB259">
        <v>-6385.5230000000001</v>
      </c>
      <c r="AC259">
        <v>-6385.5230000000001</v>
      </c>
      <c r="AD259">
        <v>-6385.5230000000001</v>
      </c>
      <c r="AE259">
        <v>-6385.5230000000001</v>
      </c>
    </row>
    <row r="260" spans="2:32" x14ac:dyDescent="0.25">
      <c r="B260">
        <f t="shared" si="9"/>
        <v>58</v>
      </c>
      <c r="C260">
        <v>1</v>
      </c>
      <c r="D260">
        <v>1</v>
      </c>
      <c r="E260">
        <v>1</v>
      </c>
      <c r="F260">
        <v>1</v>
      </c>
      <c r="G260">
        <v>1</v>
      </c>
      <c r="J260">
        <f t="shared" si="10"/>
        <v>58</v>
      </c>
      <c r="K260">
        <v>1</v>
      </c>
      <c r="L260">
        <v>1</v>
      </c>
      <c r="M260">
        <v>1</v>
      </c>
      <c r="N260">
        <v>1</v>
      </c>
      <c r="O260">
        <v>1</v>
      </c>
      <c r="R260">
        <f t="shared" si="11"/>
        <v>58</v>
      </c>
      <c r="S260">
        <v>1</v>
      </c>
      <c r="T260">
        <v>1</v>
      </c>
      <c r="U260">
        <v>1</v>
      </c>
      <c r="V260">
        <v>1</v>
      </c>
      <c r="W260">
        <v>1</v>
      </c>
      <c r="AA260">
        <v>-6240.8730999999998</v>
      </c>
      <c r="AB260">
        <v>-6240.8730999999998</v>
      </c>
      <c r="AC260">
        <v>-6240.8730999999998</v>
      </c>
      <c r="AD260">
        <v>-6240.8730999999998</v>
      </c>
      <c r="AE260">
        <v>-6240.8730999999998</v>
      </c>
    </row>
    <row r="261" spans="2:32" x14ac:dyDescent="0.25">
      <c r="B261">
        <f t="shared" si="9"/>
        <v>59</v>
      </c>
      <c r="C261">
        <v>1</v>
      </c>
      <c r="D261">
        <v>1</v>
      </c>
      <c r="E261">
        <v>1</v>
      </c>
      <c r="F261">
        <v>1</v>
      </c>
      <c r="G261">
        <v>1</v>
      </c>
      <c r="J261">
        <f t="shared" si="10"/>
        <v>59</v>
      </c>
      <c r="K261">
        <v>1</v>
      </c>
      <c r="L261">
        <v>1</v>
      </c>
      <c r="M261">
        <v>1</v>
      </c>
      <c r="N261">
        <v>1</v>
      </c>
      <c r="O261">
        <v>1</v>
      </c>
      <c r="R261">
        <f t="shared" si="11"/>
        <v>59</v>
      </c>
      <c r="S261">
        <v>1</v>
      </c>
      <c r="T261">
        <v>1</v>
      </c>
      <c r="U261">
        <v>1</v>
      </c>
      <c r="V261">
        <v>1</v>
      </c>
      <c r="W261">
        <v>1</v>
      </c>
      <c r="AA261">
        <v>-6094.3262999999997</v>
      </c>
      <c r="AB261">
        <v>-6094.3262999999997</v>
      </c>
      <c r="AC261">
        <v>-6094.3262999999997</v>
      </c>
      <c r="AD261">
        <v>-6094.3262999999997</v>
      </c>
      <c r="AE261">
        <v>-6094.3262999999997</v>
      </c>
    </row>
    <row r="262" spans="2:32" x14ac:dyDescent="0.25">
      <c r="B262">
        <f t="shared" si="9"/>
        <v>60</v>
      </c>
      <c r="C262">
        <v>1</v>
      </c>
      <c r="D262">
        <v>1</v>
      </c>
      <c r="E262">
        <v>1</v>
      </c>
      <c r="F262">
        <v>1</v>
      </c>
      <c r="G262">
        <v>1</v>
      </c>
      <c r="J262">
        <f t="shared" si="10"/>
        <v>60</v>
      </c>
      <c r="K262">
        <v>1</v>
      </c>
      <c r="L262">
        <v>1</v>
      </c>
      <c r="M262">
        <v>1</v>
      </c>
      <c r="N262">
        <v>1</v>
      </c>
      <c r="O262">
        <v>1</v>
      </c>
      <c r="R262">
        <f t="shared" si="11"/>
        <v>60</v>
      </c>
      <c r="S262">
        <v>1</v>
      </c>
      <c r="T262">
        <v>1</v>
      </c>
      <c r="U262">
        <v>1</v>
      </c>
      <c r="V262">
        <v>1</v>
      </c>
      <c r="W262">
        <v>1</v>
      </c>
      <c r="AA262">
        <v>-5945.9960000000001</v>
      </c>
      <c r="AB262">
        <v>-5945.9960000000001</v>
      </c>
      <c r="AC262">
        <v>-5945.9960000000001</v>
      </c>
      <c r="AD262">
        <v>-5945.9960000000001</v>
      </c>
      <c r="AE262">
        <v>-5945.9960000000001</v>
      </c>
    </row>
    <row r="263" spans="2:32" x14ac:dyDescent="0.25">
      <c r="B263">
        <f t="shared" si="9"/>
        <v>61</v>
      </c>
      <c r="C263">
        <v>1</v>
      </c>
      <c r="D263">
        <v>1</v>
      </c>
      <c r="E263">
        <v>1</v>
      </c>
      <c r="F263">
        <v>1</v>
      </c>
      <c r="G263">
        <v>1</v>
      </c>
      <c r="J263">
        <f t="shared" si="10"/>
        <v>61</v>
      </c>
      <c r="K263">
        <v>1</v>
      </c>
      <c r="L263">
        <v>1</v>
      </c>
      <c r="M263">
        <v>1</v>
      </c>
      <c r="N263">
        <v>1</v>
      </c>
      <c r="O263">
        <v>1</v>
      </c>
      <c r="R263">
        <f t="shared" si="11"/>
        <v>61</v>
      </c>
      <c r="S263">
        <v>1</v>
      </c>
      <c r="T263">
        <v>1</v>
      </c>
      <c r="U263">
        <v>1</v>
      </c>
      <c r="V263">
        <v>1</v>
      </c>
      <c r="W263">
        <v>1</v>
      </c>
      <c r="AA263">
        <v>-5796.3015999999998</v>
      </c>
      <c r="AB263">
        <v>-5796.3015999999998</v>
      </c>
      <c r="AC263">
        <v>-5796.3015999999998</v>
      </c>
      <c r="AD263">
        <v>-5796.3015999999998</v>
      </c>
      <c r="AE263">
        <v>-5796.3015999999998</v>
      </c>
    </row>
    <row r="264" spans="2:32" x14ac:dyDescent="0.25">
      <c r="B264">
        <f t="shared" si="9"/>
        <v>62</v>
      </c>
      <c r="C264">
        <v>1</v>
      </c>
      <c r="D264">
        <v>1</v>
      </c>
      <c r="E264">
        <v>1</v>
      </c>
      <c r="F264">
        <v>1</v>
      </c>
      <c r="G264">
        <v>1</v>
      </c>
      <c r="J264">
        <f t="shared" si="10"/>
        <v>62</v>
      </c>
      <c r="K264">
        <v>1</v>
      </c>
      <c r="L264">
        <v>1</v>
      </c>
      <c r="M264">
        <v>1</v>
      </c>
      <c r="N264">
        <v>1</v>
      </c>
      <c r="O264">
        <v>1</v>
      </c>
      <c r="R264">
        <f t="shared" si="11"/>
        <v>62</v>
      </c>
      <c r="S264">
        <v>1</v>
      </c>
      <c r="T264">
        <v>1</v>
      </c>
      <c r="U264">
        <v>1</v>
      </c>
      <c r="V264">
        <v>1</v>
      </c>
      <c r="W264">
        <v>1</v>
      </c>
      <c r="AA264">
        <v>-5645.2415000000001</v>
      </c>
      <c r="AB264">
        <v>-5645.2415000000001</v>
      </c>
      <c r="AC264">
        <v>-5645.2415000000001</v>
      </c>
      <c r="AD264">
        <v>-5645.2415000000001</v>
      </c>
      <c r="AE264">
        <v>-5645.2415000000001</v>
      </c>
    </row>
    <row r="265" spans="2:32" x14ac:dyDescent="0.25">
      <c r="B265">
        <f t="shared" si="9"/>
        <v>63</v>
      </c>
      <c r="C265">
        <v>1</v>
      </c>
      <c r="D265">
        <v>1</v>
      </c>
      <c r="E265">
        <v>1</v>
      </c>
      <c r="F265">
        <v>1</v>
      </c>
      <c r="G265">
        <v>1</v>
      </c>
      <c r="J265">
        <f t="shared" si="10"/>
        <v>63</v>
      </c>
      <c r="K265">
        <v>1</v>
      </c>
      <c r="L265">
        <v>1</v>
      </c>
      <c r="M265">
        <v>1</v>
      </c>
      <c r="N265">
        <v>1</v>
      </c>
      <c r="O265">
        <v>1</v>
      </c>
      <c r="R265">
        <f t="shared" si="11"/>
        <v>63</v>
      </c>
      <c r="S265">
        <v>1</v>
      </c>
      <c r="T265">
        <v>1</v>
      </c>
      <c r="U265">
        <v>1</v>
      </c>
      <c r="V265">
        <v>1</v>
      </c>
      <c r="W265">
        <v>1</v>
      </c>
      <c r="AA265">
        <v>-5492.4920000000002</v>
      </c>
      <c r="AB265">
        <v>-5492.4920000000002</v>
      </c>
      <c r="AC265">
        <v>-5492.4920000000002</v>
      </c>
      <c r="AD265">
        <v>-5492.4920000000002</v>
      </c>
      <c r="AE265">
        <v>-5492.4920000000002</v>
      </c>
    </row>
    <row r="266" spans="2:32" x14ac:dyDescent="0.25">
      <c r="B266">
        <f t="shared" si="9"/>
        <v>64</v>
      </c>
      <c r="C266">
        <v>1</v>
      </c>
      <c r="D266">
        <v>1</v>
      </c>
      <c r="E266">
        <v>1</v>
      </c>
      <c r="F266">
        <v>1</v>
      </c>
      <c r="G266">
        <v>1</v>
      </c>
      <c r="J266">
        <f t="shared" si="10"/>
        <v>64</v>
      </c>
      <c r="K266">
        <v>1</v>
      </c>
      <c r="L266">
        <v>1</v>
      </c>
      <c r="M266">
        <v>1</v>
      </c>
      <c r="N266">
        <v>1</v>
      </c>
      <c r="O266">
        <v>1</v>
      </c>
      <c r="R266">
        <f t="shared" si="11"/>
        <v>64</v>
      </c>
      <c r="S266">
        <v>1</v>
      </c>
      <c r="T266">
        <v>1</v>
      </c>
      <c r="U266">
        <v>1</v>
      </c>
      <c r="V266">
        <v>1</v>
      </c>
      <c r="W266">
        <v>1</v>
      </c>
      <c r="AA266">
        <v>-5338.1817000000001</v>
      </c>
      <c r="AB266">
        <v>-5338.1817000000001</v>
      </c>
      <c r="AC266">
        <v>-5338.1817000000001</v>
      </c>
      <c r="AD266">
        <v>-5338.1817000000001</v>
      </c>
      <c r="AE266">
        <v>-5338.1817000000001</v>
      </c>
    </row>
    <row r="267" spans="2:32" x14ac:dyDescent="0.25">
      <c r="B267">
        <f t="shared" si="9"/>
        <v>65</v>
      </c>
      <c r="C267">
        <v>1</v>
      </c>
      <c r="D267">
        <v>1</v>
      </c>
      <c r="E267">
        <v>1</v>
      </c>
      <c r="F267">
        <v>1</v>
      </c>
      <c r="G267">
        <v>1</v>
      </c>
      <c r="J267">
        <f t="shared" si="10"/>
        <v>65</v>
      </c>
      <c r="K267">
        <v>1</v>
      </c>
      <c r="L267">
        <v>1</v>
      </c>
      <c r="M267">
        <v>1</v>
      </c>
      <c r="N267">
        <v>1</v>
      </c>
      <c r="O267">
        <v>1</v>
      </c>
      <c r="R267">
        <f t="shared" si="11"/>
        <v>65</v>
      </c>
      <c r="S267">
        <v>1</v>
      </c>
      <c r="T267">
        <v>1</v>
      </c>
      <c r="U267">
        <v>1</v>
      </c>
      <c r="V267">
        <v>1</v>
      </c>
      <c r="W267">
        <v>1</v>
      </c>
      <c r="AA267">
        <v>-5182.2268999999997</v>
      </c>
      <c r="AB267">
        <v>-5182.2268999999997</v>
      </c>
      <c r="AC267">
        <v>-5182.2268999999997</v>
      </c>
      <c r="AD267">
        <v>-5182.2268999999997</v>
      </c>
      <c r="AE267">
        <v>-5182.2268999999997</v>
      </c>
    </row>
    <row r="270" spans="2:32" x14ac:dyDescent="0.25">
      <c r="B270" t="s">
        <v>46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47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48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2:32" x14ac:dyDescent="0.25">
      <c r="B271">
        <v>26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J271">
        <v>26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R271">
        <v>26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AA271">
        <v>-5174.8482999999997</v>
      </c>
      <c r="AB271">
        <v>-5174.8482999999997</v>
      </c>
      <c r="AC271">
        <v>-5174.8482999999997</v>
      </c>
      <c r="AD271">
        <v>-5174.8482999999997</v>
      </c>
      <c r="AE271">
        <v>-5174.8482999999997</v>
      </c>
      <c r="AF271">
        <v>-5174.8482999999997</v>
      </c>
    </row>
    <row r="272" spans="2:32" x14ac:dyDescent="0.25">
      <c r="B272">
        <v>27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J272">
        <v>27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R272">
        <v>27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AA272">
        <v>-5173.6036999999997</v>
      </c>
      <c r="AB272">
        <v>-5173.6036999999997</v>
      </c>
      <c r="AC272">
        <v>-5173.6036999999997</v>
      </c>
      <c r="AD272">
        <v>-5173.6036999999997</v>
      </c>
      <c r="AE272">
        <v>-5173.6036999999997</v>
      </c>
      <c r="AF272">
        <v>-5173.6036999999997</v>
      </c>
    </row>
    <row r="273" spans="2:32" x14ac:dyDescent="0.25">
      <c r="B273">
        <v>28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J273">
        <v>28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R273">
        <v>28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AA273">
        <v>-5172.1755999999996</v>
      </c>
      <c r="AB273">
        <v>-5172.1755999999996</v>
      </c>
      <c r="AC273">
        <v>-5172.1755999999996</v>
      </c>
      <c r="AD273">
        <v>-5172.1755999999996</v>
      </c>
      <c r="AE273">
        <v>-5172.1755999999996</v>
      </c>
      <c r="AF273">
        <v>-5172.1755999999996</v>
      </c>
    </row>
    <row r="274" spans="2:32" x14ac:dyDescent="0.25">
      <c r="B274">
        <v>29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1</v>
      </c>
      <c r="J274">
        <v>29</v>
      </c>
      <c r="K274">
        <v>1</v>
      </c>
      <c r="L274">
        <v>1</v>
      </c>
      <c r="M274">
        <v>1</v>
      </c>
      <c r="N274">
        <v>1</v>
      </c>
      <c r="O274">
        <v>1</v>
      </c>
      <c r="P274">
        <v>1</v>
      </c>
      <c r="R274">
        <v>29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AA274">
        <v>-5170.5482000000002</v>
      </c>
      <c r="AB274">
        <v>-5170.5482000000002</v>
      </c>
      <c r="AC274">
        <v>-5170.5482000000002</v>
      </c>
      <c r="AD274">
        <v>-5170.5482000000002</v>
      </c>
      <c r="AE274">
        <v>-5170.5482000000002</v>
      </c>
      <c r="AF274">
        <v>-5170.5482000000002</v>
      </c>
    </row>
    <row r="275" spans="2:32" x14ac:dyDescent="0.25">
      <c r="B275">
        <v>30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J275">
        <v>30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R275">
        <v>30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AA275">
        <v>-5168.6908999999996</v>
      </c>
      <c r="AB275">
        <v>-5168.6908999999996</v>
      </c>
      <c r="AC275">
        <v>-5168.6908999999996</v>
      </c>
      <c r="AD275">
        <v>-5168.6908999999996</v>
      </c>
      <c r="AE275">
        <v>-5168.6908999999996</v>
      </c>
      <c r="AF275">
        <v>-5168.6908999999996</v>
      </c>
    </row>
    <row r="276" spans="2:32" x14ac:dyDescent="0.25">
      <c r="B276">
        <v>31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J276">
        <v>31</v>
      </c>
      <c r="K276">
        <v>1</v>
      </c>
      <c r="L276">
        <v>1</v>
      </c>
      <c r="M276">
        <v>1</v>
      </c>
      <c r="N276">
        <v>1</v>
      </c>
      <c r="O276">
        <v>1</v>
      </c>
      <c r="P276">
        <v>1</v>
      </c>
      <c r="R276">
        <v>31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AA276">
        <v>-5166.5891000000001</v>
      </c>
      <c r="AB276">
        <v>-5166.5891000000001</v>
      </c>
      <c r="AC276">
        <v>-5166.5891000000001</v>
      </c>
      <c r="AD276">
        <v>-5166.5891000000001</v>
      </c>
      <c r="AE276">
        <v>-5166.5891000000001</v>
      </c>
      <c r="AF276">
        <v>-5166.5891000000001</v>
      </c>
    </row>
    <row r="277" spans="2:32" x14ac:dyDescent="0.25">
      <c r="B277">
        <v>32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J277">
        <v>32</v>
      </c>
      <c r="K277">
        <v>1</v>
      </c>
      <c r="L277">
        <v>1</v>
      </c>
      <c r="M277">
        <v>1</v>
      </c>
      <c r="N277">
        <v>1</v>
      </c>
      <c r="O277">
        <v>1</v>
      </c>
      <c r="P277">
        <v>1</v>
      </c>
      <c r="R277">
        <v>32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AA277">
        <v>-5164.2407000000003</v>
      </c>
      <c r="AB277">
        <v>-5164.2407000000003</v>
      </c>
      <c r="AC277">
        <v>-5164.2407000000003</v>
      </c>
      <c r="AD277">
        <v>-5164.2407000000003</v>
      </c>
      <c r="AE277">
        <v>-5164.2407000000003</v>
      </c>
      <c r="AF277">
        <v>-5164.2407000000003</v>
      </c>
    </row>
    <row r="278" spans="2:32" x14ac:dyDescent="0.25">
      <c r="B278">
        <v>33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J278">
        <v>33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R278">
        <v>33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AA278">
        <v>-5161.6318000000001</v>
      </c>
      <c r="AB278">
        <v>-5161.6318000000001</v>
      </c>
      <c r="AC278">
        <v>-5161.6318000000001</v>
      </c>
      <c r="AD278">
        <v>-5161.6318000000001</v>
      </c>
      <c r="AE278">
        <v>-5161.6318000000001</v>
      </c>
      <c r="AF278">
        <v>-5161.6318000000001</v>
      </c>
    </row>
    <row r="279" spans="2:32" x14ac:dyDescent="0.25">
      <c r="B279">
        <v>34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1</v>
      </c>
      <c r="J279">
        <v>34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R279">
        <v>34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AA279">
        <v>-5158.7194</v>
      </c>
      <c r="AB279">
        <v>-5158.7194</v>
      </c>
      <c r="AC279">
        <v>-5158.7194</v>
      </c>
      <c r="AD279">
        <v>-5158.7194</v>
      </c>
      <c r="AE279">
        <v>-5158.7194</v>
      </c>
      <c r="AF279">
        <v>-5158.7194</v>
      </c>
    </row>
    <row r="280" spans="2:32" x14ac:dyDescent="0.25">
      <c r="B280">
        <v>35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1</v>
      </c>
      <c r="J280">
        <v>35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R280">
        <v>35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AA280">
        <v>-5155.4901</v>
      </c>
      <c r="AB280">
        <v>-5155.4901</v>
      </c>
      <c r="AC280">
        <v>-5155.4901</v>
      </c>
      <c r="AD280">
        <v>-5155.4901</v>
      </c>
      <c r="AE280">
        <v>-5155.4901</v>
      </c>
      <c r="AF280">
        <v>-5155.4901</v>
      </c>
    </row>
    <row r="281" spans="2:32" x14ac:dyDescent="0.25">
      <c r="B281">
        <v>36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J281">
        <v>36</v>
      </c>
      <c r="K281">
        <v>1</v>
      </c>
      <c r="L281">
        <v>1</v>
      </c>
      <c r="M281">
        <v>1</v>
      </c>
      <c r="N281">
        <v>1</v>
      </c>
      <c r="O281">
        <v>1</v>
      </c>
      <c r="P281">
        <v>1</v>
      </c>
      <c r="R281">
        <v>36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AA281">
        <v>-5151.8950999999997</v>
      </c>
      <c r="AB281">
        <v>-5151.8950999999997</v>
      </c>
      <c r="AC281">
        <v>-5151.8950999999997</v>
      </c>
      <c r="AD281">
        <v>-5151.8950999999997</v>
      </c>
      <c r="AE281">
        <v>-5151.8950999999997</v>
      </c>
      <c r="AF281">
        <v>-5151.8950999999997</v>
      </c>
    </row>
    <row r="282" spans="2:32" x14ac:dyDescent="0.25">
      <c r="B282">
        <v>37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J282">
        <v>37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R282">
        <v>37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AA282">
        <v>-5147.9106000000002</v>
      </c>
      <c r="AB282">
        <v>-5147.9106000000002</v>
      </c>
      <c r="AC282">
        <v>-5147.9106000000002</v>
      </c>
      <c r="AD282">
        <v>-5147.9106000000002</v>
      </c>
      <c r="AE282">
        <v>-5147.9106000000002</v>
      </c>
      <c r="AF282">
        <v>-5147.9106000000002</v>
      </c>
    </row>
    <row r="283" spans="2:32" x14ac:dyDescent="0.25">
      <c r="B283">
        <v>38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J283">
        <v>38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R283">
        <v>38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AA283">
        <v>-5143.5393999999997</v>
      </c>
      <c r="AB283">
        <v>-5143.5393999999997</v>
      </c>
      <c r="AC283">
        <v>-5143.5393999999997</v>
      </c>
      <c r="AD283">
        <v>-5143.5393999999997</v>
      </c>
      <c r="AE283">
        <v>-5143.5393999999997</v>
      </c>
      <c r="AF283">
        <v>-5143.5393999999997</v>
      </c>
    </row>
    <row r="284" spans="2:32" x14ac:dyDescent="0.25">
      <c r="B284">
        <v>39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1</v>
      </c>
      <c r="J284">
        <v>39</v>
      </c>
      <c r="K284">
        <v>1</v>
      </c>
      <c r="L284">
        <v>1</v>
      </c>
      <c r="M284">
        <v>1</v>
      </c>
      <c r="N284">
        <v>1</v>
      </c>
      <c r="O284">
        <v>1</v>
      </c>
      <c r="P284">
        <v>1</v>
      </c>
      <c r="R284">
        <v>39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AA284">
        <v>-5138.76</v>
      </c>
      <c r="AB284">
        <v>-5138.76</v>
      </c>
      <c r="AC284">
        <v>-5138.76</v>
      </c>
      <c r="AD284">
        <v>-5138.76</v>
      </c>
      <c r="AE284">
        <v>-5138.76</v>
      </c>
      <c r="AF284">
        <v>-5138.76</v>
      </c>
    </row>
    <row r="285" spans="2:32" x14ac:dyDescent="0.25">
      <c r="B285">
        <v>40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J285">
        <v>40</v>
      </c>
      <c r="K285">
        <v>1</v>
      </c>
      <c r="L285">
        <v>1</v>
      </c>
      <c r="M285">
        <v>1</v>
      </c>
      <c r="N285">
        <v>1</v>
      </c>
      <c r="O285">
        <v>1</v>
      </c>
      <c r="P285">
        <v>1</v>
      </c>
      <c r="R285">
        <v>40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AA285">
        <v>-5133.5084999999999</v>
      </c>
      <c r="AB285">
        <v>-5133.5084999999999</v>
      </c>
      <c r="AC285">
        <v>-5133.5084999999999</v>
      </c>
      <c r="AD285">
        <v>-5133.5084999999999</v>
      </c>
      <c r="AE285">
        <v>-5133.5084999999999</v>
      </c>
      <c r="AF285">
        <v>-5133.5084999999999</v>
      </c>
    </row>
    <row r="286" spans="2:32" x14ac:dyDescent="0.25">
      <c r="B286">
        <v>41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J286">
        <v>41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R286">
        <v>41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AA286">
        <v>-5127.7236000000003</v>
      </c>
      <c r="AB286">
        <v>-5127.7236000000003</v>
      </c>
      <c r="AC286">
        <v>-5127.7236000000003</v>
      </c>
      <c r="AD286">
        <v>-5127.7236000000003</v>
      </c>
      <c r="AE286">
        <v>-5127.7236000000003</v>
      </c>
      <c r="AF286">
        <v>-5127.7236000000003</v>
      </c>
    </row>
    <row r="287" spans="2:32" x14ac:dyDescent="0.25">
      <c r="B287">
        <v>42</v>
      </c>
      <c r="C287">
        <v>1</v>
      </c>
      <c r="D287">
        <v>1</v>
      </c>
      <c r="E287">
        <v>1</v>
      </c>
      <c r="F287">
        <v>1</v>
      </c>
      <c r="G287">
        <v>1</v>
      </c>
      <c r="H287">
        <v>1</v>
      </c>
      <c r="J287">
        <v>42</v>
      </c>
      <c r="K287">
        <v>1</v>
      </c>
      <c r="L287">
        <v>1</v>
      </c>
      <c r="M287">
        <v>1</v>
      </c>
      <c r="N287">
        <v>1</v>
      </c>
      <c r="O287">
        <v>1</v>
      </c>
      <c r="P287">
        <v>1</v>
      </c>
      <c r="R287">
        <v>42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AA287">
        <v>-5121.3726999999999</v>
      </c>
      <c r="AB287">
        <v>-5121.3726999999999</v>
      </c>
      <c r="AC287">
        <v>-5121.3726999999999</v>
      </c>
      <c r="AD287">
        <v>-5121.3726999999999</v>
      </c>
      <c r="AE287">
        <v>-5121.3726999999999</v>
      </c>
      <c r="AF287">
        <v>-5121.3726999999999</v>
      </c>
    </row>
    <row r="288" spans="2:32" x14ac:dyDescent="0.25">
      <c r="B288">
        <v>43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J288">
        <v>43</v>
      </c>
      <c r="K288">
        <v>1</v>
      </c>
      <c r="L288">
        <v>1</v>
      </c>
      <c r="M288">
        <v>1</v>
      </c>
      <c r="N288">
        <v>1</v>
      </c>
      <c r="O288">
        <v>1</v>
      </c>
      <c r="P288">
        <v>1</v>
      </c>
      <c r="R288">
        <v>43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AA288">
        <v>-5114.3449000000001</v>
      </c>
      <c r="AB288">
        <v>-5114.3449000000001</v>
      </c>
      <c r="AC288">
        <v>-5114.3449000000001</v>
      </c>
      <c r="AD288">
        <v>-5114.3449000000001</v>
      </c>
      <c r="AE288">
        <v>-5114.3449000000001</v>
      </c>
      <c r="AF288">
        <v>-5114.3449000000001</v>
      </c>
    </row>
    <row r="289" spans="2:32" x14ac:dyDescent="0.25">
      <c r="B289">
        <v>44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1</v>
      </c>
      <c r="J289">
        <v>44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R289">
        <v>44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AA289">
        <v>-5106.5976000000001</v>
      </c>
      <c r="AB289">
        <v>-5106.5976000000001</v>
      </c>
      <c r="AC289">
        <v>-5106.5976000000001</v>
      </c>
      <c r="AD289">
        <v>-5106.5976000000001</v>
      </c>
      <c r="AE289">
        <v>-5106.5976000000001</v>
      </c>
      <c r="AF289">
        <v>-5106.5976000000001</v>
      </c>
    </row>
    <row r="290" spans="2:32" x14ac:dyDescent="0.25">
      <c r="B290">
        <v>45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J290">
        <v>45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R290">
        <v>45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AA290">
        <v>-5098.0524999999998</v>
      </c>
      <c r="AB290">
        <v>-5098.0524999999998</v>
      </c>
      <c r="AC290">
        <v>-5098.0524999999998</v>
      </c>
      <c r="AD290">
        <v>-5098.0524999999998</v>
      </c>
      <c r="AE290">
        <v>-5098.0524999999998</v>
      </c>
      <c r="AF290">
        <v>-5098.0524999999998</v>
      </c>
    </row>
    <row r="291" spans="2:32" x14ac:dyDescent="0.25">
      <c r="B291">
        <v>46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J291">
        <v>46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R291">
        <v>46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AA291">
        <v>-5088.6378000000004</v>
      </c>
      <c r="AB291">
        <v>-5088.6378000000004</v>
      </c>
      <c r="AC291">
        <v>-5088.6378000000004</v>
      </c>
      <c r="AD291">
        <v>-5088.6378000000004</v>
      </c>
      <c r="AE291">
        <v>-5088.6378000000004</v>
      </c>
      <c r="AF291">
        <v>-5088.6378000000004</v>
      </c>
    </row>
    <row r="292" spans="2:32" x14ac:dyDescent="0.25">
      <c r="B292">
        <v>47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1</v>
      </c>
      <c r="J292">
        <v>47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R292">
        <v>47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AA292">
        <v>-5078.2593999999999</v>
      </c>
      <c r="AB292">
        <v>-5078.2593999999999</v>
      </c>
      <c r="AC292">
        <v>-5078.2593999999999</v>
      </c>
      <c r="AD292">
        <v>-5078.2593999999999</v>
      </c>
      <c r="AE292">
        <v>-5078.2593999999999</v>
      </c>
      <c r="AF292">
        <v>-5078.2593999999999</v>
      </c>
    </row>
    <row r="293" spans="2:32" x14ac:dyDescent="0.25">
      <c r="B293">
        <v>48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J293">
        <v>48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R293">
        <v>48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AA293">
        <v>-5066.8732</v>
      </c>
      <c r="AB293">
        <v>-5066.8732</v>
      </c>
      <c r="AC293">
        <v>-5066.8732</v>
      </c>
      <c r="AD293">
        <v>-5066.8732</v>
      </c>
      <c r="AE293">
        <v>-5066.8732</v>
      </c>
      <c r="AF293">
        <v>-5066.8732</v>
      </c>
    </row>
    <row r="294" spans="2:32" x14ac:dyDescent="0.25">
      <c r="B294">
        <v>49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J294">
        <v>49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R294">
        <v>49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AA294">
        <v>-5054.4124000000002</v>
      </c>
      <c r="AB294">
        <v>-5054.4124000000002</v>
      </c>
      <c r="AC294">
        <v>-5054.4124000000002</v>
      </c>
      <c r="AD294">
        <v>-5054.4124000000002</v>
      </c>
      <c r="AE294">
        <v>-5054.4124000000002</v>
      </c>
      <c r="AF294">
        <v>-5054.4124000000002</v>
      </c>
    </row>
    <row r="295" spans="2:32" x14ac:dyDescent="0.25">
      <c r="B295">
        <v>50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J295">
        <v>50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R295">
        <v>50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AA295">
        <v>-5040.7671</v>
      </c>
      <c r="AB295">
        <v>-5040.7671</v>
      </c>
      <c r="AC295">
        <v>-5040.7671</v>
      </c>
      <c r="AD295">
        <v>-5040.7671</v>
      </c>
      <c r="AE295">
        <v>-5040.7671</v>
      </c>
      <c r="AF295">
        <v>-5040.7671</v>
      </c>
    </row>
    <row r="296" spans="2:32" x14ac:dyDescent="0.25">
      <c r="B296">
        <v>51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J296">
        <v>51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R296">
        <v>51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AA296">
        <v>-5025.8329000000003</v>
      </c>
      <c r="AB296">
        <v>-5025.8329000000003</v>
      </c>
      <c r="AC296">
        <v>-5025.8329000000003</v>
      </c>
      <c r="AD296">
        <v>-5025.8329000000003</v>
      </c>
      <c r="AE296">
        <v>-5025.8329000000003</v>
      </c>
      <c r="AF296">
        <v>-5025.8329000000003</v>
      </c>
    </row>
    <row r="297" spans="2:32" x14ac:dyDescent="0.25">
      <c r="B297">
        <v>52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1</v>
      </c>
      <c r="J297">
        <v>52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1</v>
      </c>
      <c r="R297">
        <v>52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AA297">
        <v>-5009.4771000000001</v>
      </c>
      <c r="AB297">
        <v>-5009.4771000000001</v>
      </c>
      <c r="AC297">
        <v>-5009.4771000000001</v>
      </c>
      <c r="AD297">
        <v>-5009.4771000000001</v>
      </c>
      <c r="AE297">
        <v>-5009.4771000000001</v>
      </c>
      <c r="AF297">
        <v>-5009.4771000000001</v>
      </c>
    </row>
    <row r="298" spans="2:32" x14ac:dyDescent="0.25">
      <c r="B298">
        <v>53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J298">
        <v>53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R298">
        <v>53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AA298">
        <v>-4991.6184000000003</v>
      </c>
      <c r="AB298">
        <v>-4991.6184000000003</v>
      </c>
      <c r="AC298">
        <v>-4991.6184000000003</v>
      </c>
      <c r="AD298">
        <v>-4991.6184000000003</v>
      </c>
      <c r="AE298">
        <v>-4991.6184000000003</v>
      </c>
      <c r="AF298">
        <v>-4991.6184000000003</v>
      </c>
    </row>
    <row r="299" spans="2:32" x14ac:dyDescent="0.25">
      <c r="B299">
        <v>54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J299">
        <v>54</v>
      </c>
      <c r="K299">
        <v>1</v>
      </c>
      <c r="L299">
        <v>1</v>
      </c>
      <c r="M299">
        <v>1</v>
      </c>
      <c r="N299">
        <v>1</v>
      </c>
      <c r="O299">
        <v>1</v>
      </c>
      <c r="P299">
        <v>1</v>
      </c>
      <c r="R299">
        <v>54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AA299">
        <v>-4972.1588000000002</v>
      </c>
      <c r="AB299">
        <v>-4972.1588000000002</v>
      </c>
      <c r="AC299">
        <v>-4972.1588000000002</v>
      </c>
      <c r="AD299">
        <v>-4972.1588000000002</v>
      </c>
      <c r="AE299">
        <v>-4972.1588000000002</v>
      </c>
      <c r="AF299">
        <v>-4972.1588000000002</v>
      </c>
    </row>
    <row r="300" spans="2:32" x14ac:dyDescent="0.25">
      <c r="B300">
        <v>55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J300">
        <v>55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R300">
        <v>55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AA300">
        <v>-4950.9426000000003</v>
      </c>
      <c r="AB300">
        <v>-4950.9426000000003</v>
      </c>
      <c r="AC300">
        <v>-4950.9426000000003</v>
      </c>
      <c r="AD300">
        <v>-4950.9426000000003</v>
      </c>
      <c r="AE300">
        <v>-4950.9426000000003</v>
      </c>
      <c r="AF300">
        <v>-4950.9426000000003</v>
      </c>
    </row>
    <row r="303" spans="2:32" x14ac:dyDescent="0.25">
      <c r="B303" t="s">
        <v>46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32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48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2:32" x14ac:dyDescent="0.25">
      <c r="B304">
        <v>35</v>
      </c>
      <c r="C304">
        <v>1</v>
      </c>
      <c r="D304">
        <v>1</v>
      </c>
      <c r="E304">
        <v>1</v>
      </c>
      <c r="F304">
        <v>1</v>
      </c>
      <c r="G304">
        <v>1</v>
      </c>
      <c r="J304">
        <v>35</v>
      </c>
      <c r="K304">
        <v>1</v>
      </c>
      <c r="L304">
        <v>1</v>
      </c>
      <c r="M304">
        <v>1</v>
      </c>
      <c r="N304">
        <v>1</v>
      </c>
      <c r="O304">
        <v>1</v>
      </c>
      <c r="R304">
        <v>35</v>
      </c>
      <c r="S304">
        <v>1</v>
      </c>
      <c r="T304">
        <v>1</v>
      </c>
      <c r="U304">
        <v>1</v>
      </c>
      <c r="V304">
        <v>1</v>
      </c>
      <c r="W304">
        <v>1</v>
      </c>
      <c r="AA304">
        <v>-8996.1419000000005</v>
      </c>
      <c r="AB304">
        <v>-8996.1419000000005</v>
      </c>
      <c r="AC304">
        <v>-8996.1419000000005</v>
      </c>
      <c r="AD304">
        <v>-8996.1419000000005</v>
      </c>
      <c r="AE304">
        <v>-8996.1419000000005</v>
      </c>
    </row>
    <row r="305" spans="2:31" x14ac:dyDescent="0.25">
      <c r="B305">
        <f t="shared" ref="B305:B334" si="12">B304+1</f>
        <v>36</v>
      </c>
      <c r="C305">
        <v>1</v>
      </c>
      <c r="D305">
        <v>1</v>
      </c>
      <c r="E305">
        <v>1</v>
      </c>
      <c r="F305">
        <v>1</v>
      </c>
      <c r="G305">
        <v>1</v>
      </c>
      <c r="J305">
        <f t="shared" ref="J305:J334" si="13">J304+1</f>
        <v>36</v>
      </c>
      <c r="K305">
        <v>1</v>
      </c>
      <c r="L305">
        <v>1</v>
      </c>
      <c r="M305">
        <v>1</v>
      </c>
      <c r="N305">
        <v>1</v>
      </c>
      <c r="O305">
        <v>1</v>
      </c>
      <c r="R305">
        <f t="shared" ref="R305:R334" si="14">R304+1</f>
        <v>36</v>
      </c>
      <c r="S305">
        <v>1</v>
      </c>
      <c r="T305">
        <v>1</v>
      </c>
      <c r="U305">
        <v>1</v>
      </c>
      <c r="V305">
        <v>1</v>
      </c>
      <c r="W305">
        <v>1</v>
      </c>
      <c r="AA305">
        <v>-8902.6679999999997</v>
      </c>
      <c r="AB305">
        <v>-8902.6679999999997</v>
      </c>
      <c r="AC305">
        <v>-8902.6679999999997</v>
      </c>
      <c r="AD305">
        <v>-8902.6679999999997</v>
      </c>
      <c r="AE305">
        <v>-8902.6679999999997</v>
      </c>
    </row>
    <row r="306" spans="2:31" x14ac:dyDescent="0.25">
      <c r="B306">
        <f t="shared" si="12"/>
        <v>37</v>
      </c>
      <c r="C306">
        <v>1</v>
      </c>
      <c r="D306">
        <v>1</v>
      </c>
      <c r="E306">
        <v>1</v>
      </c>
      <c r="F306">
        <v>1</v>
      </c>
      <c r="G306">
        <v>1</v>
      </c>
      <c r="J306">
        <f t="shared" si="13"/>
        <v>37</v>
      </c>
      <c r="K306">
        <v>1</v>
      </c>
      <c r="L306">
        <v>1</v>
      </c>
      <c r="M306">
        <v>1</v>
      </c>
      <c r="N306">
        <v>1</v>
      </c>
      <c r="O306">
        <v>1</v>
      </c>
      <c r="R306">
        <f t="shared" si="14"/>
        <v>37</v>
      </c>
      <c r="S306">
        <v>1</v>
      </c>
      <c r="T306">
        <v>1</v>
      </c>
      <c r="U306">
        <v>1</v>
      </c>
      <c r="V306">
        <v>1</v>
      </c>
      <c r="W306">
        <v>1</v>
      </c>
      <c r="AA306">
        <v>-8806.7960000000003</v>
      </c>
      <c r="AB306">
        <v>-8806.7960000000003</v>
      </c>
      <c r="AC306">
        <v>-8806.7960000000003</v>
      </c>
      <c r="AD306">
        <v>-8806.7960000000003</v>
      </c>
      <c r="AE306">
        <v>-8806.7960000000003</v>
      </c>
    </row>
    <row r="307" spans="2:31" x14ac:dyDescent="0.25">
      <c r="B307">
        <f t="shared" si="12"/>
        <v>38</v>
      </c>
      <c r="C307">
        <v>1</v>
      </c>
      <c r="D307">
        <v>1</v>
      </c>
      <c r="E307">
        <v>1</v>
      </c>
      <c r="F307">
        <v>1</v>
      </c>
      <c r="G307">
        <v>1</v>
      </c>
      <c r="J307">
        <f t="shared" si="13"/>
        <v>38</v>
      </c>
      <c r="K307">
        <v>1</v>
      </c>
      <c r="L307">
        <v>1</v>
      </c>
      <c r="M307">
        <v>1</v>
      </c>
      <c r="N307">
        <v>1</v>
      </c>
      <c r="O307">
        <v>1</v>
      </c>
      <c r="R307">
        <f t="shared" si="14"/>
        <v>38</v>
      </c>
      <c r="S307">
        <v>1</v>
      </c>
      <c r="T307">
        <v>1</v>
      </c>
      <c r="U307">
        <v>1</v>
      </c>
      <c r="V307">
        <v>1</v>
      </c>
      <c r="W307">
        <v>1</v>
      </c>
      <c r="AA307">
        <v>-8708.6234000000004</v>
      </c>
      <c r="AB307">
        <v>-8708.6234000000004</v>
      </c>
      <c r="AC307">
        <v>-8708.6234000000004</v>
      </c>
      <c r="AD307">
        <v>-8708.6234000000004</v>
      </c>
      <c r="AE307">
        <v>-8708.6234000000004</v>
      </c>
    </row>
    <row r="308" spans="2:31" x14ac:dyDescent="0.25">
      <c r="B308">
        <f t="shared" si="12"/>
        <v>39</v>
      </c>
      <c r="C308">
        <v>1</v>
      </c>
      <c r="D308">
        <v>1</v>
      </c>
      <c r="E308">
        <v>1</v>
      </c>
      <c r="F308">
        <v>1</v>
      </c>
      <c r="G308">
        <v>1</v>
      </c>
      <c r="J308">
        <f t="shared" si="13"/>
        <v>39</v>
      </c>
      <c r="K308">
        <v>1</v>
      </c>
      <c r="L308">
        <v>1</v>
      </c>
      <c r="M308">
        <v>1</v>
      </c>
      <c r="N308">
        <v>1</v>
      </c>
      <c r="O308">
        <v>1</v>
      </c>
      <c r="R308">
        <f t="shared" si="14"/>
        <v>39</v>
      </c>
      <c r="S308">
        <v>1</v>
      </c>
      <c r="T308">
        <v>1</v>
      </c>
      <c r="U308">
        <v>1</v>
      </c>
      <c r="V308">
        <v>1</v>
      </c>
      <c r="W308">
        <v>1</v>
      </c>
      <c r="AA308">
        <v>-8608.1594000000005</v>
      </c>
      <c r="AB308">
        <v>-8608.1594000000005</v>
      </c>
      <c r="AC308">
        <v>-8608.1594000000005</v>
      </c>
      <c r="AD308">
        <v>-8608.1594000000005</v>
      </c>
      <c r="AE308">
        <v>-8608.1594000000005</v>
      </c>
    </row>
    <row r="309" spans="2:31" x14ac:dyDescent="0.25">
      <c r="B309">
        <f t="shared" si="12"/>
        <v>40</v>
      </c>
      <c r="C309">
        <v>1</v>
      </c>
      <c r="D309">
        <v>1</v>
      </c>
      <c r="E309">
        <v>1</v>
      </c>
      <c r="F309">
        <v>1</v>
      </c>
      <c r="G309">
        <v>1</v>
      </c>
      <c r="J309">
        <f t="shared" si="13"/>
        <v>40</v>
      </c>
      <c r="K309">
        <v>1</v>
      </c>
      <c r="L309">
        <v>1</v>
      </c>
      <c r="M309">
        <v>1</v>
      </c>
      <c r="N309">
        <v>1</v>
      </c>
      <c r="O309">
        <v>1</v>
      </c>
      <c r="R309">
        <f t="shared" si="14"/>
        <v>40</v>
      </c>
      <c r="S309">
        <v>1</v>
      </c>
      <c r="T309">
        <v>1</v>
      </c>
      <c r="U309">
        <v>1</v>
      </c>
      <c r="V309">
        <v>1</v>
      </c>
      <c r="W309">
        <v>1</v>
      </c>
      <c r="AA309">
        <v>-8505.3439999999991</v>
      </c>
      <c r="AB309">
        <v>-8505.3439999999991</v>
      </c>
      <c r="AC309">
        <v>-8505.3439999999991</v>
      </c>
      <c r="AD309">
        <v>-8505.3439999999991</v>
      </c>
      <c r="AE309">
        <v>-8505.3439999999991</v>
      </c>
    </row>
    <row r="310" spans="2:31" x14ac:dyDescent="0.25">
      <c r="B310">
        <f t="shared" si="12"/>
        <v>41</v>
      </c>
      <c r="C310">
        <v>1</v>
      </c>
      <c r="D310">
        <v>1</v>
      </c>
      <c r="E310">
        <v>1</v>
      </c>
      <c r="F310">
        <v>1</v>
      </c>
      <c r="G310">
        <v>1</v>
      </c>
      <c r="J310">
        <f t="shared" si="13"/>
        <v>41</v>
      </c>
      <c r="K310">
        <v>1</v>
      </c>
      <c r="L310">
        <v>1</v>
      </c>
      <c r="M310">
        <v>1</v>
      </c>
      <c r="N310">
        <v>1</v>
      </c>
      <c r="O310">
        <v>1</v>
      </c>
      <c r="R310">
        <f t="shared" si="14"/>
        <v>41</v>
      </c>
      <c r="S310">
        <v>1</v>
      </c>
      <c r="T310">
        <v>1</v>
      </c>
      <c r="U310">
        <v>1</v>
      </c>
      <c r="V310">
        <v>1</v>
      </c>
      <c r="W310">
        <v>1</v>
      </c>
      <c r="AA310">
        <v>-8400.1087000000007</v>
      </c>
      <c r="AB310">
        <v>-8400.1087000000007</v>
      </c>
      <c r="AC310">
        <v>-8400.1087000000007</v>
      </c>
      <c r="AD310">
        <v>-8400.1087000000007</v>
      </c>
      <c r="AE310">
        <v>-8400.1087000000007</v>
      </c>
    </row>
    <row r="311" spans="2:31" x14ac:dyDescent="0.25">
      <c r="B311">
        <f t="shared" si="12"/>
        <v>42</v>
      </c>
      <c r="C311">
        <v>1</v>
      </c>
      <c r="D311">
        <v>1</v>
      </c>
      <c r="E311">
        <v>1</v>
      </c>
      <c r="F311">
        <v>1</v>
      </c>
      <c r="G311">
        <v>1</v>
      </c>
      <c r="J311">
        <f t="shared" si="13"/>
        <v>42</v>
      </c>
      <c r="K311">
        <v>1</v>
      </c>
      <c r="L311">
        <v>1</v>
      </c>
      <c r="M311">
        <v>1</v>
      </c>
      <c r="N311">
        <v>1</v>
      </c>
      <c r="O311">
        <v>1</v>
      </c>
      <c r="R311">
        <f t="shared" si="14"/>
        <v>42</v>
      </c>
      <c r="S311">
        <v>1</v>
      </c>
      <c r="T311">
        <v>1</v>
      </c>
      <c r="U311">
        <v>1</v>
      </c>
      <c r="V311">
        <v>1</v>
      </c>
      <c r="W311">
        <v>1</v>
      </c>
      <c r="AA311">
        <v>-8292.4974999999995</v>
      </c>
      <c r="AB311">
        <v>-8292.4974999999995</v>
      </c>
      <c r="AC311">
        <v>-8292.4974999999995</v>
      </c>
      <c r="AD311">
        <v>-8292.4974999999995</v>
      </c>
      <c r="AE311">
        <v>-8292.4974999999995</v>
      </c>
    </row>
    <row r="312" spans="2:31" x14ac:dyDescent="0.25">
      <c r="B312">
        <f t="shared" si="12"/>
        <v>43</v>
      </c>
      <c r="C312">
        <v>1</v>
      </c>
      <c r="D312">
        <v>1</v>
      </c>
      <c r="E312">
        <v>1</v>
      </c>
      <c r="F312">
        <v>1</v>
      </c>
      <c r="G312">
        <v>1</v>
      </c>
      <c r="J312">
        <f t="shared" si="13"/>
        <v>43</v>
      </c>
      <c r="K312">
        <v>1</v>
      </c>
      <c r="L312">
        <v>1</v>
      </c>
      <c r="M312">
        <v>1</v>
      </c>
      <c r="N312">
        <v>1</v>
      </c>
      <c r="O312">
        <v>1</v>
      </c>
      <c r="R312">
        <f t="shared" si="14"/>
        <v>43</v>
      </c>
      <c r="S312">
        <v>1</v>
      </c>
      <c r="T312">
        <v>1</v>
      </c>
      <c r="U312">
        <v>1</v>
      </c>
      <c r="V312">
        <v>1</v>
      </c>
      <c r="W312">
        <v>1</v>
      </c>
      <c r="AA312">
        <v>-8182.3909999999996</v>
      </c>
      <c r="AB312">
        <v>-8182.3909999999996</v>
      </c>
      <c r="AC312">
        <v>-8182.3909999999996</v>
      </c>
      <c r="AD312">
        <v>-8182.3909999999996</v>
      </c>
      <c r="AE312">
        <v>-8182.3909999999996</v>
      </c>
    </row>
    <row r="313" spans="2:31" x14ac:dyDescent="0.25">
      <c r="B313">
        <f t="shared" si="12"/>
        <v>44</v>
      </c>
      <c r="C313">
        <v>1</v>
      </c>
      <c r="D313">
        <v>1</v>
      </c>
      <c r="E313">
        <v>1</v>
      </c>
      <c r="F313">
        <v>1</v>
      </c>
      <c r="G313">
        <v>1</v>
      </c>
      <c r="J313">
        <f t="shared" si="13"/>
        <v>44</v>
      </c>
      <c r="K313">
        <v>1</v>
      </c>
      <c r="L313">
        <v>1</v>
      </c>
      <c r="M313">
        <v>1</v>
      </c>
      <c r="N313">
        <v>1</v>
      </c>
      <c r="O313">
        <v>1</v>
      </c>
      <c r="R313">
        <f t="shared" si="14"/>
        <v>44</v>
      </c>
      <c r="S313">
        <v>1</v>
      </c>
      <c r="T313">
        <v>1</v>
      </c>
      <c r="U313">
        <v>1</v>
      </c>
      <c r="V313">
        <v>1</v>
      </c>
      <c r="W313">
        <v>1</v>
      </c>
      <c r="AA313">
        <v>-8069.8261000000002</v>
      </c>
      <c r="AB313">
        <v>-8069.8261000000002</v>
      </c>
      <c r="AC313">
        <v>-8069.8261000000002</v>
      </c>
      <c r="AD313">
        <v>-8069.8261000000002</v>
      </c>
      <c r="AE313">
        <v>-8069.8261000000002</v>
      </c>
    </row>
    <row r="314" spans="2:31" x14ac:dyDescent="0.25">
      <c r="B314">
        <f t="shared" si="12"/>
        <v>45</v>
      </c>
      <c r="C314">
        <v>1</v>
      </c>
      <c r="D314">
        <v>1</v>
      </c>
      <c r="E314">
        <v>1</v>
      </c>
      <c r="F314">
        <v>1</v>
      </c>
      <c r="G314">
        <v>1</v>
      </c>
      <c r="J314">
        <f t="shared" si="13"/>
        <v>45</v>
      </c>
      <c r="K314">
        <v>1</v>
      </c>
      <c r="L314">
        <v>1</v>
      </c>
      <c r="M314">
        <v>1</v>
      </c>
      <c r="N314">
        <v>1</v>
      </c>
      <c r="O314">
        <v>1</v>
      </c>
      <c r="R314">
        <f t="shared" si="14"/>
        <v>45</v>
      </c>
      <c r="S314">
        <v>1</v>
      </c>
      <c r="T314">
        <v>1</v>
      </c>
      <c r="U314">
        <v>1</v>
      </c>
      <c r="V314">
        <v>1</v>
      </c>
      <c r="W314">
        <v>1</v>
      </c>
      <c r="AA314">
        <v>-7954.7533999999996</v>
      </c>
      <c r="AB314">
        <v>-7954.7533999999996</v>
      </c>
      <c r="AC314">
        <v>-7954.7533999999996</v>
      </c>
      <c r="AD314">
        <v>-7954.7533999999996</v>
      </c>
      <c r="AE314">
        <v>-7954.7533999999996</v>
      </c>
    </row>
    <row r="315" spans="2:31" x14ac:dyDescent="0.25">
      <c r="B315">
        <f t="shared" si="12"/>
        <v>46</v>
      </c>
      <c r="C315">
        <v>1</v>
      </c>
      <c r="D315">
        <v>1</v>
      </c>
      <c r="E315">
        <v>1</v>
      </c>
      <c r="F315">
        <v>1</v>
      </c>
      <c r="G315">
        <v>1</v>
      </c>
      <c r="J315">
        <f t="shared" si="13"/>
        <v>46</v>
      </c>
      <c r="K315">
        <v>1</v>
      </c>
      <c r="L315">
        <v>1</v>
      </c>
      <c r="M315">
        <v>1</v>
      </c>
      <c r="N315">
        <v>1</v>
      </c>
      <c r="O315">
        <v>1</v>
      </c>
      <c r="R315">
        <f t="shared" si="14"/>
        <v>46</v>
      </c>
      <c r="S315">
        <v>1</v>
      </c>
      <c r="T315">
        <v>1</v>
      </c>
      <c r="U315">
        <v>1</v>
      </c>
      <c r="V315">
        <v>1</v>
      </c>
      <c r="W315">
        <v>1</v>
      </c>
      <c r="AA315">
        <v>-7837.1754000000001</v>
      </c>
      <c r="AB315">
        <v>-7837.1754000000001</v>
      </c>
      <c r="AC315">
        <v>-7837.1754000000001</v>
      </c>
      <c r="AD315">
        <v>-7837.1754000000001</v>
      </c>
      <c r="AE315">
        <v>-7837.1754000000001</v>
      </c>
    </row>
    <row r="316" spans="2:31" x14ac:dyDescent="0.25">
      <c r="B316">
        <f t="shared" si="12"/>
        <v>47</v>
      </c>
      <c r="C316">
        <v>1</v>
      </c>
      <c r="D316">
        <v>1</v>
      </c>
      <c r="E316">
        <v>1</v>
      </c>
      <c r="F316">
        <v>1</v>
      </c>
      <c r="G316">
        <v>1</v>
      </c>
      <c r="J316">
        <f t="shared" si="13"/>
        <v>47</v>
      </c>
      <c r="K316">
        <v>1</v>
      </c>
      <c r="L316">
        <v>1</v>
      </c>
      <c r="M316">
        <v>1</v>
      </c>
      <c r="N316">
        <v>1</v>
      </c>
      <c r="O316">
        <v>1</v>
      </c>
      <c r="R316">
        <f t="shared" si="14"/>
        <v>47</v>
      </c>
      <c r="S316">
        <v>1</v>
      </c>
      <c r="T316">
        <v>1</v>
      </c>
      <c r="U316">
        <v>1</v>
      </c>
      <c r="V316">
        <v>1</v>
      </c>
      <c r="W316">
        <v>1</v>
      </c>
      <c r="AA316">
        <v>-7717.0294999999996</v>
      </c>
      <c r="AB316">
        <v>-7717.0294999999996</v>
      </c>
      <c r="AC316">
        <v>-7717.0294999999996</v>
      </c>
      <c r="AD316">
        <v>-7717.0294999999996</v>
      </c>
      <c r="AE316">
        <v>-7717.0294999999996</v>
      </c>
    </row>
    <row r="317" spans="2:31" x14ac:dyDescent="0.25">
      <c r="B317">
        <f t="shared" si="12"/>
        <v>48</v>
      </c>
      <c r="C317">
        <v>1</v>
      </c>
      <c r="D317">
        <v>1</v>
      </c>
      <c r="E317">
        <v>1</v>
      </c>
      <c r="F317">
        <v>1</v>
      </c>
      <c r="G317">
        <v>1</v>
      </c>
      <c r="J317">
        <f t="shared" si="13"/>
        <v>48</v>
      </c>
      <c r="K317">
        <v>1</v>
      </c>
      <c r="L317">
        <v>1</v>
      </c>
      <c r="M317">
        <v>1</v>
      </c>
      <c r="N317">
        <v>1</v>
      </c>
      <c r="O317">
        <v>1</v>
      </c>
      <c r="R317">
        <f t="shared" si="14"/>
        <v>48</v>
      </c>
      <c r="S317">
        <v>1</v>
      </c>
      <c r="T317">
        <v>1</v>
      </c>
      <c r="U317">
        <v>1</v>
      </c>
      <c r="V317">
        <v>1</v>
      </c>
      <c r="W317">
        <v>1</v>
      </c>
      <c r="AA317">
        <v>-7594.4201000000003</v>
      </c>
      <c r="AB317">
        <v>-7594.4201000000003</v>
      </c>
      <c r="AC317">
        <v>-7594.4201000000003</v>
      </c>
      <c r="AD317">
        <v>-7594.4201000000003</v>
      </c>
      <c r="AE317">
        <v>-7594.4201000000003</v>
      </c>
    </row>
    <row r="318" spans="2:31" x14ac:dyDescent="0.25">
      <c r="B318">
        <f t="shared" si="12"/>
        <v>49</v>
      </c>
      <c r="C318">
        <v>1</v>
      </c>
      <c r="D318">
        <v>1</v>
      </c>
      <c r="E318">
        <v>1</v>
      </c>
      <c r="F318">
        <v>1</v>
      </c>
      <c r="G318">
        <v>1</v>
      </c>
      <c r="J318">
        <f t="shared" si="13"/>
        <v>49</v>
      </c>
      <c r="K318">
        <v>1</v>
      </c>
      <c r="L318">
        <v>1</v>
      </c>
      <c r="M318">
        <v>1</v>
      </c>
      <c r="N318">
        <v>1</v>
      </c>
      <c r="O318">
        <v>1</v>
      </c>
      <c r="R318">
        <f t="shared" si="14"/>
        <v>49</v>
      </c>
      <c r="S318">
        <v>1</v>
      </c>
      <c r="T318">
        <v>1</v>
      </c>
      <c r="U318">
        <v>1</v>
      </c>
      <c r="V318">
        <v>1</v>
      </c>
      <c r="W318">
        <v>1</v>
      </c>
      <c r="AA318">
        <v>-7469.3995999999997</v>
      </c>
      <c r="AB318">
        <v>-7469.3995999999997</v>
      </c>
      <c r="AC318">
        <v>-7469.3995999999997</v>
      </c>
      <c r="AD318">
        <v>-7469.3995999999997</v>
      </c>
      <c r="AE318">
        <v>-7469.3995999999997</v>
      </c>
    </row>
    <row r="319" spans="2:31" x14ac:dyDescent="0.25">
      <c r="B319">
        <f t="shared" si="12"/>
        <v>50</v>
      </c>
      <c r="C319">
        <v>1</v>
      </c>
      <c r="D319">
        <v>1</v>
      </c>
      <c r="E319">
        <v>1</v>
      </c>
      <c r="F319">
        <v>1</v>
      </c>
      <c r="G319">
        <v>1</v>
      </c>
      <c r="J319">
        <f t="shared" si="13"/>
        <v>50</v>
      </c>
      <c r="K319">
        <v>1</v>
      </c>
      <c r="L319">
        <v>1</v>
      </c>
      <c r="M319">
        <v>1</v>
      </c>
      <c r="N319">
        <v>1</v>
      </c>
      <c r="O319">
        <v>1</v>
      </c>
      <c r="R319">
        <f t="shared" si="14"/>
        <v>50</v>
      </c>
      <c r="S319">
        <v>1</v>
      </c>
      <c r="T319">
        <v>1</v>
      </c>
      <c r="U319">
        <v>1</v>
      </c>
      <c r="V319">
        <v>1</v>
      </c>
      <c r="W319">
        <v>1</v>
      </c>
      <c r="AA319">
        <v>-7341.9502000000002</v>
      </c>
      <c r="AB319">
        <v>-7341.9502000000002</v>
      </c>
      <c r="AC319">
        <v>-7341.9502000000002</v>
      </c>
      <c r="AD319">
        <v>-7341.9502000000002</v>
      </c>
      <c r="AE319">
        <v>-7341.9502000000002</v>
      </c>
    </row>
    <row r="320" spans="2:31" x14ac:dyDescent="0.25">
      <c r="B320">
        <f t="shared" si="12"/>
        <v>51</v>
      </c>
      <c r="C320">
        <v>1</v>
      </c>
      <c r="D320">
        <v>1</v>
      </c>
      <c r="E320">
        <v>1</v>
      </c>
      <c r="F320">
        <v>1</v>
      </c>
      <c r="G320">
        <v>1</v>
      </c>
      <c r="J320">
        <f t="shared" si="13"/>
        <v>51</v>
      </c>
      <c r="K320">
        <v>1</v>
      </c>
      <c r="L320">
        <v>1</v>
      </c>
      <c r="M320">
        <v>1</v>
      </c>
      <c r="N320">
        <v>1</v>
      </c>
      <c r="O320">
        <v>1</v>
      </c>
      <c r="R320">
        <f t="shared" si="14"/>
        <v>51</v>
      </c>
      <c r="S320">
        <v>1</v>
      </c>
      <c r="T320">
        <v>1</v>
      </c>
      <c r="U320">
        <v>1</v>
      </c>
      <c r="V320">
        <v>1</v>
      </c>
      <c r="W320">
        <v>1</v>
      </c>
      <c r="AA320">
        <v>-7212.0646999999999</v>
      </c>
      <c r="AB320">
        <v>-7212.0646999999999</v>
      </c>
      <c r="AC320">
        <v>-7212.0646999999999</v>
      </c>
      <c r="AD320">
        <v>-7212.0646999999999</v>
      </c>
      <c r="AE320">
        <v>-7212.0646999999999</v>
      </c>
    </row>
    <row r="321" spans="2:31" x14ac:dyDescent="0.25">
      <c r="B321">
        <f t="shared" si="12"/>
        <v>52</v>
      </c>
      <c r="C321">
        <v>1</v>
      </c>
      <c r="D321">
        <v>1</v>
      </c>
      <c r="E321">
        <v>1</v>
      </c>
      <c r="F321">
        <v>1</v>
      </c>
      <c r="G321">
        <v>1</v>
      </c>
      <c r="J321">
        <f t="shared" si="13"/>
        <v>52</v>
      </c>
      <c r="K321">
        <v>1</v>
      </c>
      <c r="L321">
        <v>1</v>
      </c>
      <c r="M321">
        <v>1</v>
      </c>
      <c r="N321">
        <v>1</v>
      </c>
      <c r="O321">
        <v>1</v>
      </c>
      <c r="R321">
        <f t="shared" si="14"/>
        <v>52</v>
      </c>
      <c r="S321">
        <v>1</v>
      </c>
      <c r="T321">
        <v>1</v>
      </c>
      <c r="U321">
        <v>1</v>
      </c>
      <c r="V321">
        <v>1</v>
      </c>
      <c r="W321">
        <v>1</v>
      </c>
      <c r="AA321">
        <v>-7079.7435999999998</v>
      </c>
      <c r="AB321">
        <v>-7079.7435999999998</v>
      </c>
      <c r="AC321">
        <v>-7079.7435999999998</v>
      </c>
      <c r="AD321">
        <v>-7079.7435999999998</v>
      </c>
      <c r="AE321">
        <v>-7079.7435999999998</v>
      </c>
    </row>
    <row r="322" spans="2:31" x14ac:dyDescent="0.25">
      <c r="B322">
        <f t="shared" si="12"/>
        <v>53</v>
      </c>
      <c r="C322">
        <v>1</v>
      </c>
      <c r="D322">
        <v>1</v>
      </c>
      <c r="E322">
        <v>1</v>
      </c>
      <c r="F322">
        <v>1</v>
      </c>
      <c r="G322">
        <v>1</v>
      </c>
      <c r="J322">
        <f t="shared" si="13"/>
        <v>53</v>
      </c>
      <c r="K322">
        <v>1</v>
      </c>
      <c r="L322">
        <v>1</v>
      </c>
      <c r="M322">
        <v>1</v>
      </c>
      <c r="N322">
        <v>1</v>
      </c>
      <c r="O322">
        <v>1</v>
      </c>
      <c r="R322">
        <f t="shared" si="14"/>
        <v>53</v>
      </c>
      <c r="S322">
        <v>1</v>
      </c>
      <c r="T322">
        <v>1</v>
      </c>
      <c r="U322">
        <v>1</v>
      </c>
      <c r="V322">
        <v>1</v>
      </c>
      <c r="W322">
        <v>1</v>
      </c>
      <c r="AA322">
        <v>-6945.0875999999998</v>
      </c>
      <c r="AB322">
        <v>-6945.0875999999998</v>
      </c>
      <c r="AC322">
        <v>-6945.0875999999998</v>
      </c>
      <c r="AD322">
        <v>-6945.0875999999998</v>
      </c>
      <c r="AE322">
        <v>-6945.0875999999998</v>
      </c>
    </row>
    <row r="323" spans="2:31" x14ac:dyDescent="0.25">
      <c r="B323">
        <f t="shared" si="12"/>
        <v>54</v>
      </c>
      <c r="C323">
        <v>1</v>
      </c>
      <c r="D323">
        <v>1</v>
      </c>
      <c r="E323">
        <v>1</v>
      </c>
      <c r="F323">
        <v>1</v>
      </c>
      <c r="G323">
        <v>1</v>
      </c>
      <c r="J323">
        <f t="shared" si="13"/>
        <v>54</v>
      </c>
      <c r="K323">
        <v>1</v>
      </c>
      <c r="L323">
        <v>1</v>
      </c>
      <c r="M323">
        <v>1</v>
      </c>
      <c r="N323">
        <v>1</v>
      </c>
      <c r="O323">
        <v>1</v>
      </c>
      <c r="R323">
        <f t="shared" si="14"/>
        <v>54</v>
      </c>
      <c r="S323">
        <v>1</v>
      </c>
      <c r="T323">
        <v>1</v>
      </c>
      <c r="U323">
        <v>1</v>
      </c>
      <c r="V323">
        <v>1</v>
      </c>
      <c r="W323">
        <v>1</v>
      </c>
      <c r="AA323">
        <v>-6808.2438000000002</v>
      </c>
      <c r="AB323">
        <v>-6808.2438000000002</v>
      </c>
      <c r="AC323">
        <v>-6808.2438000000002</v>
      </c>
      <c r="AD323">
        <v>-6808.2438000000002</v>
      </c>
      <c r="AE323">
        <v>-6808.2438000000002</v>
      </c>
    </row>
    <row r="324" spans="2:31" x14ac:dyDescent="0.25">
      <c r="B324">
        <f t="shared" si="12"/>
        <v>55</v>
      </c>
      <c r="C324">
        <v>1</v>
      </c>
      <c r="D324">
        <v>1</v>
      </c>
      <c r="E324">
        <v>1</v>
      </c>
      <c r="F324">
        <v>1</v>
      </c>
      <c r="G324">
        <v>1</v>
      </c>
      <c r="J324">
        <f t="shared" si="13"/>
        <v>55</v>
      </c>
      <c r="K324">
        <v>1</v>
      </c>
      <c r="L324">
        <v>1</v>
      </c>
      <c r="M324">
        <v>1</v>
      </c>
      <c r="N324">
        <v>1</v>
      </c>
      <c r="O324">
        <v>1</v>
      </c>
      <c r="R324">
        <f t="shared" si="14"/>
        <v>55</v>
      </c>
      <c r="S324">
        <v>1</v>
      </c>
      <c r="T324">
        <v>1</v>
      </c>
      <c r="U324">
        <v>1</v>
      </c>
      <c r="V324">
        <v>1</v>
      </c>
      <c r="W324">
        <v>1</v>
      </c>
      <c r="AA324">
        <v>-6669.2525999999998</v>
      </c>
      <c r="AB324">
        <v>-6669.2525999999998</v>
      </c>
      <c r="AC324">
        <v>-6669.2525999999998</v>
      </c>
      <c r="AD324">
        <v>-6669.2525999999998</v>
      </c>
      <c r="AE324">
        <v>-6669.2525999999998</v>
      </c>
    </row>
    <row r="325" spans="2:31" x14ac:dyDescent="0.25">
      <c r="B325">
        <f t="shared" si="12"/>
        <v>56</v>
      </c>
      <c r="C325">
        <v>1</v>
      </c>
      <c r="D325">
        <v>1</v>
      </c>
      <c r="E325">
        <v>1</v>
      </c>
      <c r="F325">
        <v>1</v>
      </c>
      <c r="G325">
        <v>1</v>
      </c>
      <c r="J325">
        <f t="shared" si="13"/>
        <v>56</v>
      </c>
      <c r="K325">
        <v>1</v>
      </c>
      <c r="L325">
        <v>1</v>
      </c>
      <c r="M325">
        <v>1</v>
      </c>
      <c r="N325">
        <v>1</v>
      </c>
      <c r="O325">
        <v>1</v>
      </c>
      <c r="R325">
        <f t="shared" si="14"/>
        <v>56</v>
      </c>
      <c r="S325">
        <v>1</v>
      </c>
      <c r="T325">
        <v>1</v>
      </c>
      <c r="U325">
        <v>1</v>
      </c>
      <c r="V325">
        <v>1</v>
      </c>
      <c r="W325">
        <v>1</v>
      </c>
      <c r="AA325">
        <v>-6528.2992000000004</v>
      </c>
      <c r="AB325">
        <v>-6528.2992000000004</v>
      </c>
      <c r="AC325">
        <v>-6528.2992000000004</v>
      </c>
      <c r="AD325">
        <v>-6528.2992000000004</v>
      </c>
      <c r="AE325">
        <v>-6528.2992000000004</v>
      </c>
    </row>
    <row r="326" spans="2:31" x14ac:dyDescent="0.25">
      <c r="B326">
        <f t="shared" si="12"/>
        <v>57</v>
      </c>
      <c r="C326">
        <v>1</v>
      </c>
      <c r="D326">
        <v>1</v>
      </c>
      <c r="E326">
        <v>1</v>
      </c>
      <c r="F326">
        <v>1</v>
      </c>
      <c r="G326">
        <v>1</v>
      </c>
      <c r="J326">
        <f t="shared" si="13"/>
        <v>57</v>
      </c>
      <c r="K326">
        <v>1</v>
      </c>
      <c r="L326">
        <v>1</v>
      </c>
      <c r="M326">
        <v>1</v>
      </c>
      <c r="N326">
        <v>1</v>
      </c>
      <c r="O326">
        <v>1</v>
      </c>
      <c r="R326">
        <f t="shared" si="14"/>
        <v>57</v>
      </c>
      <c r="S326">
        <v>1</v>
      </c>
      <c r="T326">
        <v>1</v>
      </c>
      <c r="U326">
        <v>1</v>
      </c>
      <c r="V326">
        <v>1</v>
      </c>
      <c r="W326">
        <v>1</v>
      </c>
      <c r="AA326">
        <v>-6385.5230000000001</v>
      </c>
      <c r="AB326">
        <v>-6385.5230000000001</v>
      </c>
      <c r="AC326">
        <v>-6385.5230000000001</v>
      </c>
      <c r="AD326">
        <v>-6385.5230000000001</v>
      </c>
      <c r="AE326">
        <v>-6385.5230000000001</v>
      </c>
    </row>
    <row r="327" spans="2:31" x14ac:dyDescent="0.25">
      <c r="B327">
        <f t="shared" si="12"/>
        <v>58</v>
      </c>
      <c r="C327">
        <v>1</v>
      </c>
      <c r="D327">
        <v>1</v>
      </c>
      <c r="E327">
        <v>1</v>
      </c>
      <c r="F327">
        <v>1</v>
      </c>
      <c r="G327">
        <v>1</v>
      </c>
      <c r="J327">
        <f t="shared" si="13"/>
        <v>58</v>
      </c>
      <c r="K327">
        <v>1</v>
      </c>
      <c r="L327">
        <v>1</v>
      </c>
      <c r="M327">
        <v>1</v>
      </c>
      <c r="N327">
        <v>1</v>
      </c>
      <c r="O327">
        <v>1</v>
      </c>
      <c r="R327">
        <f t="shared" si="14"/>
        <v>58</v>
      </c>
      <c r="S327">
        <v>1</v>
      </c>
      <c r="T327">
        <v>1</v>
      </c>
      <c r="U327">
        <v>1</v>
      </c>
      <c r="V327">
        <v>1</v>
      </c>
      <c r="W327">
        <v>1</v>
      </c>
      <c r="AA327">
        <v>-6240.8730999999998</v>
      </c>
      <c r="AB327">
        <v>-6240.8730999999998</v>
      </c>
      <c r="AC327">
        <v>-6240.8730999999998</v>
      </c>
      <c r="AD327">
        <v>-6240.8730999999998</v>
      </c>
      <c r="AE327">
        <v>-6240.8730999999998</v>
      </c>
    </row>
    <row r="328" spans="2:31" x14ac:dyDescent="0.25">
      <c r="B328">
        <f t="shared" si="12"/>
        <v>59</v>
      </c>
      <c r="C328">
        <v>1</v>
      </c>
      <c r="D328">
        <v>1</v>
      </c>
      <c r="E328">
        <v>1</v>
      </c>
      <c r="F328">
        <v>1</v>
      </c>
      <c r="G328">
        <v>1</v>
      </c>
      <c r="J328">
        <f t="shared" si="13"/>
        <v>59</v>
      </c>
      <c r="K328">
        <v>1</v>
      </c>
      <c r="L328">
        <v>1</v>
      </c>
      <c r="M328">
        <v>1</v>
      </c>
      <c r="N328">
        <v>1</v>
      </c>
      <c r="O328">
        <v>1</v>
      </c>
      <c r="R328">
        <f t="shared" si="14"/>
        <v>59</v>
      </c>
      <c r="S328">
        <v>1</v>
      </c>
      <c r="T328">
        <v>1</v>
      </c>
      <c r="U328">
        <v>1</v>
      </c>
      <c r="V328">
        <v>1</v>
      </c>
      <c r="W328">
        <v>1</v>
      </c>
      <c r="AA328">
        <v>-6094.3262999999997</v>
      </c>
      <c r="AB328">
        <v>-6094.3262999999997</v>
      </c>
      <c r="AC328">
        <v>-6094.3262999999997</v>
      </c>
      <c r="AD328">
        <v>-6094.3262999999997</v>
      </c>
      <c r="AE328">
        <v>-6094.3262999999997</v>
      </c>
    </row>
    <row r="329" spans="2:31" x14ac:dyDescent="0.25">
      <c r="B329">
        <f t="shared" si="12"/>
        <v>60</v>
      </c>
      <c r="C329">
        <v>1</v>
      </c>
      <c r="D329">
        <v>1</v>
      </c>
      <c r="E329">
        <v>1</v>
      </c>
      <c r="F329">
        <v>1</v>
      </c>
      <c r="G329">
        <v>1</v>
      </c>
      <c r="J329">
        <f t="shared" si="13"/>
        <v>60</v>
      </c>
      <c r="K329">
        <v>1</v>
      </c>
      <c r="L329">
        <v>1</v>
      </c>
      <c r="M329">
        <v>1</v>
      </c>
      <c r="N329">
        <v>1</v>
      </c>
      <c r="O329">
        <v>1</v>
      </c>
      <c r="R329">
        <f t="shared" si="14"/>
        <v>60</v>
      </c>
      <c r="S329">
        <v>1</v>
      </c>
      <c r="T329">
        <v>1</v>
      </c>
      <c r="U329">
        <v>1</v>
      </c>
      <c r="V329">
        <v>1</v>
      </c>
      <c r="W329">
        <v>1</v>
      </c>
      <c r="AA329">
        <v>-5945.9960000000001</v>
      </c>
      <c r="AB329">
        <v>-5945.9960000000001</v>
      </c>
      <c r="AC329">
        <v>-5945.9960000000001</v>
      </c>
      <c r="AD329">
        <v>-5945.9960000000001</v>
      </c>
      <c r="AE329">
        <v>-5945.9960000000001</v>
      </c>
    </row>
    <row r="330" spans="2:31" x14ac:dyDescent="0.25">
      <c r="B330">
        <f t="shared" si="12"/>
        <v>61</v>
      </c>
      <c r="C330">
        <v>1</v>
      </c>
      <c r="D330">
        <v>1</v>
      </c>
      <c r="E330">
        <v>1</v>
      </c>
      <c r="F330">
        <v>1</v>
      </c>
      <c r="G330">
        <v>1</v>
      </c>
      <c r="J330">
        <f t="shared" si="13"/>
        <v>61</v>
      </c>
      <c r="K330">
        <v>1</v>
      </c>
      <c r="L330">
        <v>1</v>
      </c>
      <c r="M330">
        <v>1</v>
      </c>
      <c r="N330">
        <v>1</v>
      </c>
      <c r="O330">
        <v>1</v>
      </c>
      <c r="R330">
        <f t="shared" si="14"/>
        <v>61</v>
      </c>
      <c r="S330">
        <v>1</v>
      </c>
      <c r="T330">
        <v>1</v>
      </c>
      <c r="U330">
        <v>1</v>
      </c>
      <c r="V330">
        <v>1</v>
      </c>
      <c r="W330">
        <v>1</v>
      </c>
      <c r="AA330">
        <v>-5796.3015999999998</v>
      </c>
      <c r="AB330">
        <v>-5796.3015999999998</v>
      </c>
      <c r="AC330">
        <v>-5796.3015999999998</v>
      </c>
      <c r="AD330">
        <v>-5796.3015999999998</v>
      </c>
      <c r="AE330">
        <v>-5796.3015999999998</v>
      </c>
    </row>
    <row r="331" spans="2:31" x14ac:dyDescent="0.25">
      <c r="B331">
        <f t="shared" si="12"/>
        <v>62</v>
      </c>
      <c r="C331">
        <v>1</v>
      </c>
      <c r="D331">
        <v>1</v>
      </c>
      <c r="E331">
        <v>1</v>
      </c>
      <c r="F331">
        <v>1</v>
      </c>
      <c r="G331">
        <v>1</v>
      </c>
      <c r="J331">
        <f t="shared" si="13"/>
        <v>62</v>
      </c>
      <c r="K331">
        <v>1</v>
      </c>
      <c r="L331">
        <v>1</v>
      </c>
      <c r="M331">
        <v>1</v>
      </c>
      <c r="N331">
        <v>1</v>
      </c>
      <c r="O331">
        <v>1</v>
      </c>
      <c r="R331">
        <f t="shared" si="14"/>
        <v>62</v>
      </c>
      <c r="S331">
        <v>1</v>
      </c>
      <c r="T331">
        <v>1</v>
      </c>
      <c r="U331">
        <v>1</v>
      </c>
      <c r="V331">
        <v>1</v>
      </c>
      <c r="W331">
        <v>1</v>
      </c>
      <c r="AA331">
        <v>-5645.2415000000001</v>
      </c>
      <c r="AB331">
        <v>-5645.2415000000001</v>
      </c>
      <c r="AC331">
        <v>-5645.2415000000001</v>
      </c>
      <c r="AD331">
        <v>-5645.2415000000001</v>
      </c>
      <c r="AE331">
        <v>-5645.2415000000001</v>
      </c>
    </row>
    <row r="332" spans="2:31" x14ac:dyDescent="0.25">
      <c r="B332">
        <f t="shared" si="12"/>
        <v>63</v>
      </c>
      <c r="C332">
        <v>1</v>
      </c>
      <c r="D332">
        <v>1</v>
      </c>
      <c r="E332">
        <v>1</v>
      </c>
      <c r="F332">
        <v>1</v>
      </c>
      <c r="G332">
        <v>1</v>
      </c>
      <c r="J332">
        <f t="shared" si="13"/>
        <v>63</v>
      </c>
      <c r="K332">
        <v>1</v>
      </c>
      <c r="L332">
        <v>1</v>
      </c>
      <c r="M332">
        <v>1</v>
      </c>
      <c r="N332">
        <v>1</v>
      </c>
      <c r="O332">
        <v>1</v>
      </c>
      <c r="R332">
        <f t="shared" si="14"/>
        <v>63</v>
      </c>
      <c r="S332">
        <v>1</v>
      </c>
      <c r="T332">
        <v>1</v>
      </c>
      <c r="U332">
        <v>1</v>
      </c>
      <c r="V332">
        <v>1</v>
      </c>
      <c r="W332">
        <v>1</v>
      </c>
      <c r="AA332">
        <v>-5492.4920000000002</v>
      </c>
      <c r="AB332">
        <v>-5492.4920000000002</v>
      </c>
      <c r="AC332">
        <v>-5492.4920000000002</v>
      </c>
      <c r="AD332">
        <v>-5492.4920000000002</v>
      </c>
      <c r="AE332">
        <v>-5492.4920000000002</v>
      </c>
    </row>
    <row r="333" spans="2:31" x14ac:dyDescent="0.25">
      <c r="B333">
        <f t="shared" si="12"/>
        <v>64</v>
      </c>
      <c r="C333">
        <v>1</v>
      </c>
      <c r="D333">
        <v>1</v>
      </c>
      <c r="E333">
        <v>1</v>
      </c>
      <c r="F333">
        <v>1</v>
      </c>
      <c r="G333">
        <v>1</v>
      </c>
      <c r="J333">
        <f t="shared" si="13"/>
        <v>64</v>
      </c>
      <c r="K333">
        <v>1</v>
      </c>
      <c r="L333">
        <v>1</v>
      </c>
      <c r="M333">
        <v>1</v>
      </c>
      <c r="N333">
        <v>1</v>
      </c>
      <c r="O333">
        <v>1</v>
      </c>
      <c r="R333">
        <f t="shared" si="14"/>
        <v>64</v>
      </c>
      <c r="S333">
        <v>1</v>
      </c>
      <c r="T333">
        <v>1</v>
      </c>
      <c r="U333">
        <v>1</v>
      </c>
      <c r="V333">
        <v>1</v>
      </c>
      <c r="W333">
        <v>1</v>
      </c>
      <c r="AA333">
        <v>-5338.1817000000001</v>
      </c>
      <c r="AB333">
        <v>-5338.1817000000001</v>
      </c>
      <c r="AC333">
        <v>-5338.1817000000001</v>
      </c>
      <c r="AD333">
        <v>-5338.1817000000001</v>
      </c>
      <c r="AE333">
        <v>-5338.1817000000001</v>
      </c>
    </row>
    <row r="334" spans="2:31" x14ac:dyDescent="0.25">
      <c r="B334">
        <f t="shared" si="12"/>
        <v>65</v>
      </c>
      <c r="C334">
        <v>1</v>
      </c>
      <c r="D334">
        <v>1</v>
      </c>
      <c r="E334">
        <v>1</v>
      </c>
      <c r="F334">
        <v>1</v>
      </c>
      <c r="G334">
        <v>1</v>
      </c>
      <c r="J334">
        <f t="shared" si="13"/>
        <v>65</v>
      </c>
      <c r="K334">
        <v>1</v>
      </c>
      <c r="L334">
        <v>1</v>
      </c>
      <c r="M334">
        <v>1</v>
      </c>
      <c r="N334">
        <v>1</v>
      </c>
      <c r="O334">
        <v>1</v>
      </c>
      <c r="R334">
        <f t="shared" si="14"/>
        <v>65</v>
      </c>
      <c r="S334">
        <v>1</v>
      </c>
      <c r="T334">
        <v>1</v>
      </c>
      <c r="U334">
        <v>1</v>
      </c>
      <c r="V334">
        <v>1</v>
      </c>
      <c r="W334">
        <v>1</v>
      </c>
      <c r="AA334">
        <v>-5182.2268999999997</v>
      </c>
      <c r="AB334">
        <v>-5182.2268999999997</v>
      </c>
      <c r="AC334">
        <v>-5182.2268999999997</v>
      </c>
      <c r="AD334">
        <v>-5182.2268999999997</v>
      </c>
      <c r="AE334">
        <v>-5182.2268999999997</v>
      </c>
    </row>
    <row r="337" spans="2:32" x14ac:dyDescent="0.25">
      <c r="B337" t="s">
        <v>46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47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48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32" x14ac:dyDescent="0.25">
      <c r="B338">
        <v>26</v>
      </c>
      <c r="C338">
        <v>1</v>
      </c>
      <c r="D338">
        <v>1</v>
      </c>
      <c r="E338">
        <v>1</v>
      </c>
      <c r="F338">
        <v>1</v>
      </c>
      <c r="G338">
        <v>1</v>
      </c>
      <c r="H338">
        <v>1</v>
      </c>
      <c r="J338">
        <v>26</v>
      </c>
      <c r="K338">
        <v>1</v>
      </c>
      <c r="L338">
        <v>1</v>
      </c>
      <c r="M338">
        <v>1</v>
      </c>
      <c r="N338">
        <v>1</v>
      </c>
      <c r="O338">
        <v>1</v>
      </c>
      <c r="P338">
        <v>1</v>
      </c>
      <c r="R338">
        <v>26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AA338">
        <v>-5174.8482999999997</v>
      </c>
      <c r="AB338">
        <v>-5174.8482999999997</v>
      </c>
      <c r="AC338">
        <v>-5174.8482999999997</v>
      </c>
      <c r="AD338">
        <v>-5174.8482999999997</v>
      </c>
      <c r="AE338">
        <v>-5174.8482999999997</v>
      </c>
      <c r="AF338">
        <v>-5174.8482999999997</v>
      </c>
    </row>
    <row r="339" spans="2:32" x14ac:dyDescent="0.25">
      <c r="B339">
        <v>27</v>
      </c>
      <c r="C339">
        <v>1</v>
      </c>
      <c r="D339">
        <v>1</v>
      </c>
      <c r="E339">
        <v>1</v>
      </c>
      <c r="F339">
        <v>1</v>
      </c>
      <c r="G339">
        <v>1</v>
      </c>
      <c r="H339">
        <v>1</v>
      </c>
      <c r="J339">
        <v>27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R339">
        <v>27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AA339">
        <v>-5173.6036999999997</v>
      </c>
      <c r="AB339">
        <v>-5173.6036999999997</v>
      </c>
      <c r="AC339">
        <v>-5173.6036999999997</v>
      </c>
      <c r="AD339">
        <v>-5173.6036999999997</v>
      </c>
      <c r="AE339">
        <v>-5173.6036999999997</v>
      </c>
      <c r="AF339">
        <v>-5173.6036999999997</v>
      </c>
    </row>
    <row r="340" spans="2:32" x14ac:dyDescent="0.25">
      <c r="B340">
        <v>28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1</v>
      </c>
      <c r="J340">
        <v>28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1</v>
      </c>
      <c r="R340">
        <v>28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AA340">
        <v>-5172.1755999999996</v>
      </c>
      <c r="AB340">
        <v>-5172.1755999999996</v>
      </c>
      <c r="AC340">
        <v>-5172.1755999999996</v>
      </c>
      <c r="AD340">
        <v>-5172.1755999999996</v>
      </c>
      <c r="AE340">
        <v>-5172.1755999999996</v>
      </c>
      <c r="AF340">
        <v>-5172.1755999999996</v>
      </c>
    </row>
    <row r="341" spans="2:32" x14ac:dyDescent="0.25">
      <c r="B341">
        <v>29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1</v>
      </c>
      <c r="J341">
        <v>29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R341">
        <v>29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AA341">
        <v>-5170.5482000000002</v>
      </c>
      <c r="AB341">
        <v>-5170.5482000000002</v>
      </c>
      <c r="AC341">
        <v>-5170.5482000000002</v>
      </c>
      <c r="AD341">
        <v>-5170.5482000000002</v>
      </c>
      <c r="AE341">
        <v>-5170.5482000000002</v>
      </c>
      <c r="AF341">
        <v>-5170.5482000000002</v>
      </c>
    </row>
    <row r="342" spans="2:32" x14ac:dyDescent="0.25">
      <c r="B342">
        <v>30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1</v>
      </c>
      <c r="J342">
        <v>30</v>
      </c>
      <c r="K342">
        <v>1</v>
      </c>
      <c r="L342">
        <v>1</v>
      </c>
      <c r="M342">
        <v>1</v>
      </c>
      <c r="N342">
        <v>1</v>
      </c>
      <c r="O342">
        <v>1</v>
      </c>
      <c r="P342">
        <v>1</v>
      </c>
      <c r="R342">
        <v>30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AA342">
        <v>-5168.6908999999996</v>
      </c>
      <c r="AB342">
        <v>-5168.6908999999996</v>
      </c>
      <c r="AC342">
        <v>-5168.6908999999996</v>
      </c>
      <c r="AD342">
        <v>-5168.6908999999996</v>
      </c>
      <c r="AE342">
        <v>-5168.6908999999996</v>
      </c>
      <c r="AF342">
        <v>-5168.6908999999996</v>
      </c>
    </row>
    <row r="343" spans="2:32" x14ac:dyDescent="0.25">
      <c r="B343">
        <v>31</v>
      </c>
      <c r="C343">
        <v>1</v>
      </c>
      <c r="D343">
        <v>1</v>
      </c>
      <c r="E343">
        <v>1</v>
      </c>
      <c r="F343">
        <v>1</v>
      </c>
      <c r="G343">
        <v>1</v>
      </c>
      <c r="H343">
        <v>1</v>
      </c>
      <c r="J343">
        <v>31</v>
      </c>
      <c r="K343">
        <v>1</v>
      </c>
      <c r="L343">
        <v>1</v>
      </c>
      <c r="M343">
        <v>1</v>
      </c>
      <c r="N343">
        <v>1</v>
      </c>
      <c r="O343">
        <v>1</v>
      </c>
      <c r="P343">
        <v>1</v>
      </c>
      <c r="R343">
        <v>31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AA343">
        <v>-5166.5891000000001</v>
      </c>
      <c r="AB343">
        <v>-5166.5891000000001</v>
      </c>
      <c r="AC343">
        <v>-5166.5891000000001</v>
      </c>
      <c r="AD343">
        <v>-5166.5891000000001</v>
      </c>
      <c r="AE343">
        <v>-5166.5891000000001</v>
      </c>
      <c r="AF343">
        <v>-5166.5891000000001</v>
      </c>
    </row>
    <row r="344" spans="2:32" x14ac:dyDescent="0.25">
      <c r="B344">
        <v>32</v>
      </c>
      <c r="C344">
        <v>1</v>
      </c>
      <c r="D344">
        <v>1</v>
      </c>
      <c r="E344">
        <v>1</v>
      </c>
      <c r="F344">
        <v>1</v>
      </c>
      <c r="G344">
        <v>1</v>
      </c>
      <c r="H344">
        <v>1</v>
      </c>
      <c r="J344">
        <v>32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R344">
        <v>32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AA344">
        <v>-5164.2407000000003</v>
      </c>
      <c r="AB344">
        <v>-5164.2407000000003</v>
      </c>
      <c r="AC344">
        <v>-5164.2407000000003</v>
      </c>
      <c r="AD344">
        <v>-5164.2407000000003</v>
      </c>
      <c r="AE344">
        <v>-5164.2407000000003</v>
      </c>
      <c r="AF344">
        <v>-5164.2407000000003</v>
      </c>
    </row>
    <row r="345" spans="2:32" x14ac:dyDescent="0.25">
      <c r="B345">
        <v>33</v>
      </c>
      <c r="C345">
        <v>1</v>
      </c>
      <c r="D345">
        <v>1</v>
      </c>
      <c r="E345">
        <v>1</v>
      </c>
      <c r="F345">
        <v>1</v>
      </c>
      <c r="G345">
        <v>1</v>
      </c>
      <c r="H345">
        <v>1</v>
      </c>
      <c r="J345">
        <v>33</v>
      </c>
      <c r="K345">
        <v>1</v>
      </c>
      <c r="L345">
        <v>1</v>
      </c>
      <c r="M345">
        <v>1</v>
      </c>
      <c r="N345">
        <v>1</v>
      </c>
      <c r="O345">
        <v>1</v>
      </c>
      <c r="P345">
        <v>1</v>
      </c>
      <c r="R345">
        <v>33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AA345">
        <v>-5161.6318000000001</v>
      </c>
      <c r="AB345">
        <v>-5161.6318000000001</v>
      </c>
      <c r="AC345">
        <v>-5161.6318000000001</v>
      </c>
      <c r="AD345">
        <v>-5161.6318000000001</v>
      </c>
      <c r="AE345">
        <v>-5161.6318000000001</v>
      </c>
      <c r="AF345">
        <v>-5161.6318000000001</v>
      </c>
    </row>
    <row r="346" spans="2:32" x14ac:dyDescent="0.25">
      <c r="B346">
        <v>34</v>
      </c>
      <c r="C346">
        <v>1</v>
      </c>
      <c r="D346">
        <v>1</v>
      </c>
      <c r="E346">
        <v>1</v>
      </c>
      <c r="F346">
        <v>1</v>
      </c>
      <c r="G346">
        <v>1</v>
      </c>
      <c r="H346">
        <v>1</v>
      </c>
      <c r="J346">
        <v>34</v>
      </c>
      <c r="K346">
        <v>1</v>
      </c>
      <c r="L346">
        <v>1</v>
      </c>
      <c r="M346">
        <v>1</v>
      </c>
      <c r="N346">
        <v>1</v>
      </c>
      <c r="O346">
        <v>1</v>
      </c>
      <c r="P346">
        <v>1</v>
      </c>
      <c r="R346">
        <v>34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AA346">
        <v>-5158.7194</v>
      </c>
      <c r="AB346">
        <v>-5158.7194</v>
      </c>
      <c r="AC346">
        <v>-5158.7194</v>
      </c>
      <c r="AD346">
        <v>-5158.7194</v>
      </c>
      <c r="AE346">
        <v>-5158.7194</v>
      </c>
      <c r="AF346">
        <v>-5158.7194</v>
      </c>
    </row>
    <row r="347" spans="2:32" x14ac:dyDescent="0.25">
      <c r="B347">
        <v>35</v>
      </c>
      <c r="C347">
        <v>1</v>
      </c>
      <c r="D347">
        <v>1</v>
      </c>
      <c r="E347">
        <v>1</v>
      </c>
      <c r="F347">
        <v>1</v>
      </c>
      <c r="G347">
        <v>1</v>
      </c>
      <c r="H347">
        <v>1</v>
      </c>
      <c r="J347">
        <v>35</v>
      </c>
      <c r="K347">
        <v>1</v>
      </c>
      <c r="L347">
        <v>1</v>
      </c>
      <c r="M347">
        <v>1</v>
      </c>
      <c r="N347">
        <v>1</v>
      </c>
      <c r="O347">
        <v>1</v>
      </c>
      <c r="P347">
        <v>1</v>
      </c>
      <c r="R347">
        <v>35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AA347">
        <v>-5155.4901</v>
      </c>
      <c r="AB347">
        <v>-5155.4901</v>
      </c>
      <c r="AC347">
        <v>-5155.4901</v>
      </c>
      <c r="AD347">
        <v>-5155.4901</v>
      </c>
      <c r="AE347">
        <v>-5155.4901</v>
      </c>
      <c r="AF347">
        <v>-5155.4901</v>
      </c>
    </row>
    <row r="348" spans="2:32" x14ac:dyDescent="0.25">
      <c r="B348">
        <v>36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1</v>
      </c>
      <c r="J348">
        <v>36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R348">
        <v>36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AA348">
        <v>-5151.8950999999997</v>
      </c>
      <c r="AB348">
        <v>-5151.8950999999997</v>
      </c>
      <c r="AC348">
        <v>-5151.8950999999997</v>
      </c>
      <c r="AD348">
        <v>-5151.8950999999997</v>
      </c>
      <c r="AE348">
        <v>-5151.8950999999997</v>
      </c>
      <c r="AF348">
        <v>-5151.8950999999997</v>
      </c>
    </row>
    <row r="349" spans="2:32" x14ac:dyDescent="0.25">
      <c r="B349">
        <v>37</v>
      </c>
      <c r="C349">
        <v>1</v>
      </c>
      <c r="D349">
        <v>1</v>
      </c>
      <c r="E349">
        <v>1</v>
      </c>
      <c r="F349">
        <v>1</v>
      </c>
      <c r="G349">
        <v>1</v>
      </c>
      <c r="H349">
        <v>1</v>
      </c>
      <c r="J349">
        <v>37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R349">
        <v>37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AA349">
        <v>-5147.9106000000002</v>
      </c>
      <c r="AB349">
        <v>-5147.9106000000002</v>
      </c>
      <c r="AC349">
        <v>-5147.9106000000002</v>
      </c>
      <c r="AD349">
        <v>-5147.9106000000002</v>
      </c>
      <c r="AE349">
        <v>-5147.9106000000002</v>
      </c>
      <c r="AF349">
        <v>-5147.9106000000002</v>
      </c>
    </row>
    <row r="350" spans="2:32" x14ac:dyDescent="0.25">
      <c r="B350">
        <v>38</v>
      </c>
      <c r="C350">
        <v>1</v>
      </c>
      <c r="D350">
        <v>1</v>
      </c>
      <c r="E350">
        <v>1</v>
      </c>
      <c r="F350">
        <v>1</v>
      </c>
      <c r="G350">
        <v>1</v>
      </c>
      <c r="H350">
        <v>1</v>
      </c>
      <c r="J350">
        <v>38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R350">
        <v>38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AA350">
        <v>-5143.5393999999997</v>
      </c>
      <c r="AB350">
        <v>-5143.5393999999997</v>
      </c>
      <c r="AC350">
        <v>-5143.5393999999997</v>
      </c>
      <c r="AD350">
        <v>-5143.5393999999997</v>
      </c>
      <c r="AE350">
        <v>-5143.5393999999997</v>
      </c>
      <c r="AF350">
        <v>-5143.5393999999997</v>
      </c>
    </row>
    <row r="351" spans="2:32" x14ac:dyDescent="0.25">
      <c r="B351">
        <v>39</v>
      </c>
      <c r="C351">
        <v>1</v>
      </c>
      <c r="D351">
        <v>1</v>
      </c>
      <c r="E351">
        <v>1</v>
      </c>
      <c r="F351">
        <v>1</v>
      </c>
      <c r="G351">
        <v>1</v>
      </c>
      <c r="H351">
        <v>1</v>
      </c>
      <c r="J351">
        <v>39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R351">
        <v>39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AA351">
        <v>-5138.76</v>
      </c>
      <c r="AB351">
        <v>-5138.76</v>
      </c>
      <c r="AC351">
        <v>-5138.76</v>
      </c>
      <c r="AD351">
        <v>-5138.76</v>
      </c>
      <c r="AE351">
        <v>-5138.76</v>
      </c>
      <c r="AF351">
        <v>-5138.76</v>
      </c>
    </row>
    <row r="352" spans="2:32" x14ac:dyDescent="0.25">
      <c r="B352">
        <v>40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1</v>
      </c>
      <c r="J352">
        <v>40</v>
      </c>
      <c r="K352">
        <v>1</v>
      </c>
      <c r="L352">
        <v>1</v>
      </c>
      <c r="M352">
        <v>1</v>
      </c>
      <c r="N352">
        <v>1</v>
      </c>
      <c r="O352">
        <v>1</v>
      </c>
      <c r="P352">
        <v>1</v>
      </c>
      <c r="R352">
        <v>40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AA352">
        <v>-5133.5084999999999</v>
      </c>
      <c r="AB352">
        <v>-5133.5084999999999</v>
      </c>
      <c r="AC352">
        <v>-5133.5084999999999</v>
      </c>
      <c r="AD352">
        <v>-5133.5084999999999</v>
      </c>
      <c r="AE352">
        <v>-5133.5084999999999</v>
      </c>
      <c r="AF352">
        <v>-5133.5084999999999</v>
      </c>
    </row>
    <row r="353" spans="2:32" x14ac:dyDescent="0.25">
      <c r="B353">
        <v>41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J353">
        <v>41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R353">
        <v>41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AA353">
        <v>-5127.7236000000003</v>
      </c>
      <c r="AB353">
        <v>-5127.7236000000003</v>
      </c>
      <c r="AC353">
        <v>-5127.7236000000003</v>
      </c>
      <c r="AD353">
        <v>-5127.7236000000003</v>
      </c>
      <c r="AE353">
        <v>-5127.7236000000003</v>
      </c>
      <c r="AF353">
        <v>-5127.7236000000003</v>
      </c>
    </row>
    <row r="354" spans="2:32" x14ac:dyDescent="0.25">
      <c r="B354">
        <v>42</v>
      </c>
      <c r="C354">
        <v>1</v>
      </c>
      <c r="D354">
        <v>1</v>
      </c>
      <c r="E354">
        <v>1</v>
      </c>
      <c r="F354">
        <v>1</v>
      </c>
      <c r="G354">
        <v>1</v>
      </c>
      <c r="H354">
        <v>1</v>
      </c>
      <c r="J354">
        <v>42</v>
      </c>
      <c r="K354">
        <v>1</v>
      </c>
      <c r="L354">
        <v>1</v>
      </c>
      <c r="M354">
        <v>1</v>
      </c>
      <c r="N354">
        <v>1</v>
      </c>
      <c r="O354">
        <v>1</v>
      </c>
      <c r="P354">
        <v>1</v>
      </c>
      <c r="R354">
        <v>42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AA354">
        <v>-5121.3726999999999</v>
      </c>
      <c r="AB354">
        <v>-5121.3726999999999</v>
      </c>
      <c r="AC354">
        <v>-5121.3726999999999</v>
      </c>
      <c r="AD354">
        <v>-5121.3726999999999</v>
      </c>
      <c r="AE354">
        <v>-5121.3726999999999</v>
      </c>
      <c r="AF354">
        <v>-5121.3726999999999</v>
      </c>
    </row>
    <row r="355" spans="2:32" x14ac:dyDescent="0.25">
      <c r="B355">
        <v>43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1</v>
      </c>
      <c r="J355">
        <v>43</v>
      </c>
      <c r="K355">
        <v>1</v>
      </c>
      <c r="L355">
        <v>1</v>
      </c>
      <c r="M355">
        <v>1</v>
      </c>
      <c r="N355">
        <v>1</v>
      </c>
      <c r="O355">
        <v>1</v>
      </c>
      <c r="P355">
        <v>1</v>
      </c>
      <c r="R355">
        <v>43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AA355">
        <v>-5114.3449000000001</v>
      </c>
      <c r="AB355">
        <v>-5114.3449000000001</v>
      </c>
      <c r="AC355">
        <v>-5114.3449000000001</v>
      </c>
      <c r="AD355">
        <v>-5114.3449000000001</v>
      </c>
      <c r="AE355">
        <v>-5114.3449000000001</v>
      </c>
      <c r="AF355">
        <v>-5114.3449000000001</v>
      </c>
    </row>
    <row r="356" spans="2:32" x14ac:dyDescent="0.25">
      <c r="B356">
        <v>44</v>
      </c>
      <c r="C356">
        <v>1</v>
      </c>
      <c r="D356">
        <v>1</v>
      </c>
      <c r="E356">
        <v>1</v>
      </c>
      <c r="F356">
        <v>1</v>
      </c>
      <c r="G356">
        <v>1</v>
      </c>
      <c r="H356">
        <v>1</v>
      </c>
      <c r="J356">
        <v>44</v>
      </c>
      <c r="K356">
        <v>1</v>
      </c>
      <c r="L356">
        <v>1</v>
      </c>
      <c r="M356">
        <v>1</v>
      </c>
      <c r="N356">
        <v>1</v>
      </c>
      <c r="O356">
        <v>1</v>
      </c>
      <c r="P356">
        <v>1</v>
      </c>
      <c r="R356">
        <v>44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AA356">
        <v>-5106.5976000000001</v>
      </c>
      <c r="AB356">
        <v>-5106.5976000000001</v>
      </c>
      <c r="AC356">
        <v>-5106.5976000000001</v>
      </c>
      <c r="AD356">
        <v>-5106.5976000000001</v>
      </c>
      <c r="AE356">
        <v>-5106.5976000000001</v>
      </c>
      <c r="AF356">
        <v>-5106.5976000000001</v>
      </c>
    </row>
    <row r="357" spans="2:32" x14ac:dyDescent="0.25">
      <c r="B357">
        <v>45</v>
      </c>
      <c r="C357">
        <v>1</v>
      </c>
      <c r="D357">
        <v>1</v>
      </c>
      <c r="E357">
        <v>1</v>
      </c>
      <c r="F357">
        <v>1</v>
      </c>
      <c r="G357">
        <v>1</v>
      </c>
      <c r="H357">
        <v>1</v>
      </c>
      <c r="J357">
        <v>45</v>
      </c>
      <c r="K357">
        <v>1</v>
      </c>
      <c r="L357">
        <v>1</v>
      </c>
      <c r="M357">
        <v>1</v>
      </c>
      <c r="N357">
        <v>1</v>
      </c>
      <c r="O357">
        <v>1</v>
      </c>
      <c r="P357">
        <v>1</v>
      </c>
      <c r="R357">
        <v>45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AA357">
        <v>-5098.0524999999998</v>
      </c>
      <c r="AB357">
        <v>-5098.0524999999998</v>
      </c>
      <c r="AC357">
        <v>-5098.0524999999998</v>
      </c>
      <c r="AD357">
        <v>-5098.0524999999998</v>
      </c>
      <c r="AE357">
        <v>-5098.0524999999998</v>
      </c>
      <c r="AF357">
        <v>-5098.0524999999998</v>
      </c>
    </row>
    <row r="358" spans="2:32" x14ac:dyDescent="0.25">
      <c r="B358">
        <v>46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1</v>
      </c>
      <c r="J358">
        <v>46</v>
      </c>
      <c r="K358">
        <v>1</v>
      </c>
      <c r="L358">
        <v>1</v>
      </c>
      <c r="M358">
        <v>1</v>
      </c>
      <c r="N358">
        <v>1</v>
      </c>
      <c r="O358">
        <v>1</v>
      </c>
      <c r="P358">
        <v>1</v>
      </c>
      <c r="R358">
        <v>46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AA358">
        <v>-5088.6378000000004</v>
      </c>
      <c r="AB358">
        <v>-5088.6378000000004</v>
      </c>
      <c r="AC358">
        <v>-5088.6378000000004</v>
      </c>
      <c r="AD358">
        <v>-5088.6378000000004</v>
      </c>
      <c r="AE358">
        <v>-5088.6378000000004</v>
      </c>
      <c r="AF358">
        <v>-5088.6378000000004</v>
      </c>
    </row>
    <row r="359" spans="2:32" x14ac:dyDescent="0.25">
      <c r="B359">
        <v>47</v>
      </c>
      <c r="C359">
        <v>1</v>
      </c>
      <c r="D359">
        <v>1</v>
      </c>
      <c r="E359">
        <v>1</v>
      </c>
      <c r="F359">
        <v>1</v>
      </c>
      <c r="G359">
        <v>1</v>
      </c>
      <c r="H359">
        <v>1</v>
      </c>
      <c r="J359">
        <v>47</v>
      </c>
      <c r="K359">
        <v>1</v>
      </c>
      <c r="L359">
        <v>1</v>
      </c>
      <c r="M359">
        <v>1</v>
      </c>
      <c r="N359">
        <v>1</v>
      </c>
      <c r="O359">
        <v>1</v>
      </c>
      <c r="P359">
        <v>1</v>
      </c>
      <c r="R359">
        <v>47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AA359">
        <v>-5078.2593999999999</v>
      </c>
      <c r="AB359">
        <v>-5078.2593999999999</v>
      </c>
      <c r="AC359">
        <v>-5078.2593999999999</v>
      </c>
      <c r="AD359">
        <v>-5078.2593999999999</v>
      </c>
      <c r="AE359">
        <v>-5078.2593999999999</v>
      </c>
      <c r="AF359">
        <v>-5078.2593999999999</v>
      </c>
    </row>
    <row r="360" spans="2:32" x14ac:dyDescent="0.25">
      <c r="B360">
        <v>48</v>
      </c>
      <c r="C360">
        <v>1</v>
      </c>
      <c r="D360">
        <v>1</v>
      </c>
      <c r="E360">
        <v>1</v>
      </c>
      <c r="F360">
        <v>1</v>
      </c>
      <c r="G360">
        <v>1</v>
      </c>
      <c r="H360">
        <v>1</v>
      </c>
      <c r="J360">
        <v>48</v>
      </c>
      <c r="K360">
        <v>1</v>
      </c>
      <c r="L360">
        <v>1</v>
      </c>
      <c r="M360">
        <v>1</v>
      </c>
      <c r="N360">
        <v>1</v>
      </c>
      <c r="O360">
        <v>1</v>
      </c>
      <c r="P360">
        <v>1</v>
      </c>
      <c r="R360">
        <v>48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AA360">
        <v>-5066.8732</v>
      </c>
      <c r="AB360">
        <v>-5066.8732</v>
      </c>
      <c r="AC360">
        <v>-5066.8732</v>
      </c>
      <c r="AD360">
        <v>-5066.8732</v>
      </c>
      <c r="AE360">
        <v>-5066.8732</v>
      </c>
      <c r="AF360">
        <v>-5066.8732</v>
      </c>
    </row>
    <row r="361" spans="2:32" x14ac:dyDescent="0.25">
      <c r="B361">
        <v>49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J361">
        <v>49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R361">
        <v>49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AA361">
        <v>-5054.4124000000002</v>
      </c>
      <c r="AB361">
        <v>-5054.4124000000002</v>
      </c>
      <c r="AC361">
        <v>-5054.4124000000002</v>
      </c>
      <c r="AD361">
        <v>-5054.4124000000002</v>
      </c>
      <c r="AE361">
        <v>-5054.4124000000002</v>
      </c>
      <c r="AF361">
        <v>-5054.4124000000002</v>
      </c>
    </row>
    <row r="362" spans="2:32" x14ac:dyDescent="0.25">
      <c r="B362">
        <v>50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1</v>
      </c>
      <c r="J362">
        <v>50</v>
      </c>
      <c r="K362">
        <v>1</v>
      </c>
      <c r="L362">
        <v>1</v>
      </c>
      <c r="M362">
        <v>1</v>
      </c>
      <c r="N362">
        <v>1</v>
      </c>
      <c r="O362">
        <v>1</v>
      </c>
      <c r="P362">
        <v>1</v>
      </c>
      <c r="R362">
        <v>50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AA362">
        <v>-5040.7671</v>
      </c>
      <c r="AB362">
        <v>-5040.7671</v>
      </c>
      <c r="AC362">
        <v>-5040.7671</v>
      </c>
      <c r="AD362">
        <v>-5040.7671</v>
      </c>
      <c r="AE362">
        <v>-5040.7671</v>
      </c>
      <c r="AF362">
        <v>-5040.7671</v>
      </c>
    </row>
    <row r="363" spans="2:32" x14ac:dyDescent="0.25">
      <c r="B363">
        <v>51</v>
      </c>
      <c r="C363">
        <v>1</v>
      </c>
      <c r="D363">
        <v>1</v>
      </c>
      <c r="E363">
        <v>1</v>
      </c>
      <c r="F363">
        <v>1</v>
      </c>
      <c r="G363">
        <v>1</v>
      </c>
      <c r="H363">
        <v>1</v>
      </c>
      <c r="J363">
        <v>51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R363">
        <v>51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AA363">
        <v>-5025.8329000000003</v>
      </c>
      <c r="AB363">
        <v>-5025.8329000000003</v>
      </c>
      <c r="AC363">
        <v>-5025.8329000000003</v>
      </c>
      <c r="AD363">
        <v>-5025.8329000000003</v>
      </c>
      <c r="AE363">
        <v>-5025.8329000000003</v>
      </c>
      <c r="AF363">
        <v>-5025.8329000000003</v>
      </c>
    </row>
    <row r="364" spans="2:32" x14ac:dyDescent="0.25">
      <c r="B364">
        <v>52</v>
      </c>
      <c r="C364">
        <v>1</v>
      </c>
      <c r="D364">
        <v>1</v>
      </c>
      <c r="E364">
        <v>1</v>
      </c>
      <c r="F364">
        <v>1</v>
      </c>
      <c r="G364">
        <v>1</v>
      </c>
      <c r="H364">
        <v>1</v>
      </c>
      <c r="J364">
        <v>52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R364">
        <v>52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AA364">
        <v>-5009.4771000000001</v>
      </c>
      <c r="AB364">
        <v>-5009.4771000000001</v>
      </c>
      <c r="AC364">
        <v>-5009.4771000000001</v>
      </c>
      <c r="AD364">
        <v>-5009.4771000000001</v>
      </c>
      <c r="AE364">
        <v>-5009.4771000000001</v>
      </c>
      <c r="AF364">
        <v>-5009.4771000000001</v>
      </c>
    </row>
    <row r="365" spans="2:32" x14ac:dyDescent="0.25">
      <c r="B365">
        <v>53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1</v>
      </c>
      <c r="J365">
        <v>53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R365">
        <v>53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AA365">
        <v>-4991.6184000000003</v>
      </c>
      <c r="AB365">
        <v>-4991.6184000000003</v>
      </c>
      <c r="AC365">
        <v>-4991.6184000000003</v>
      </c>
      <c r="AD365">
        <v>-4991.6184000000003</v>
      </c>
      <c r="AE365">
        <v>-4991.6184000000003</v>
      </c>
      <c r="AF365">
        <v>-4991.6184000000003</v>
      </c>
    </row>
    <row r="366" spans="2:32" x14ac:dyDescent="0.25">
      <c r="B366">
        <v>54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1</v>
      </c>
      <c r="J366">
        <v>54</v>
      </c>
      <c r="K366">
        <v>1</v>
      </c>
      <c r="L366">
        <v>1</v>
      </c>
      <c r="M366">
        <v>1</v>
      </c>
      <c r="N366">
        <v>1</v>
      </c>
      <c r="O366">
        <v>1</v>
      </c>
      <c r="P366">
        <v>1</v>
      </c>
      <c r="R366">
        <v>54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AA366">
        <v>-4972.1588000000002</v>
      </c>
      <c r="AB366">
        <v>-4972.1588000000002</v>
      </c>
      <c r="AC366">
        <v>-4972.1588000000002</v>
      </c>
      <c r="AD366">
        <v>-4972.1588000000002</v>
      </c>
      <c r="AE366">
        <v>-4972.1588000000002</v>
      </c>
      <c r="AF366">
        <v>-4972.1588000000002</v>
      </c>
    </row>
    <row r="367" spans="2:32" x14ac:dyDescent="0.25">
      <c r="B367">
        <v>55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1</v>
      </c>
      <c r="J367">
        <v>55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R367">
        <v>55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AA367">
        <v>-4950.9426000000003</v>
      </c>
      <c r="AB367">
        <v>-4950.9426000000003</v>
      </c>
      <c r="AC367">
        <v>-4950.9426000000003</v>
      </c>
      <c r="AD367">
        <v>-4950.9426000000003</v>
      </c>
      <c r="AE367">
        <v>-4950.9426000000003</v>
      </c>
      <c r="AF367">
        <v>-4950.9426000000003</v>
      </c>
    </row>
    <row r="370" spans="2:32" x14ac:dyDescent="0.25">
      <c r="B370" t="s">
        <v>46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32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48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2:32" x14ac:dyDescent="0.25">
      <c r="B371">
        <v>35</v>
      </c>
      <c r="C371">
        <v>1</v>
      </c>
      <c r="D371">
        <v>1</v>
      </c>
      <c r="E371">
        <v>1</v>
      </c>
      <c r="F371">
        <v>1</v>
      </c>
      <c r="G371">
        <v>1</v>
      </c>
      <c r="J371">
        <v>35</v>
      </c>
      <c r="K371">
        <v>1</v>
      </c>
      <c r="L371">
        <v>1</v>
      </c>
      <c r="M371">
        <v>1</v>
      </c>
      <c r="N371">
        <v>1</v>
      </c>
      <c r="O371">
        <v>1</v>
      </c>
      <c r="R371">
        <v>35</v>
      </c>
      <c r="S371">
        <v>1</v>
      </c>
      <c r="T371">
        <v>1</v>
      </c>
      <c r="U371">
        <v>1</v>
      </c>
      <c r="V371">
        <v>1</v>
      </c>
      <c r="W371">
        <v>1</v>
      </c>
      <c r="AA371">
        <v>-8996.1419000000005</v>
      </c>
      <c r="AB371">
        <v>-8996.1419000000005</v>
      </c>
      <c r="AC371">
        <v>-8996.1419000000005</v>
      </c>
      <c r="AD371">
        <v>-8996.1419000000005</v>
      </c>
      <c r="AE371">
        <v>-8996.1419000000005</v>
      </c>
      <c r="AF371">
        <v>-759112.79520000005</v>
      </c>
    </row>
    <row r="372" spans="2:32" x14ac:dyDescent="0.25">
      <c r="B372">
        <f t="shared" ref="B372:B401" si="15">B371+1</f>
        <v>36</v>
      </c>
      <c r="C372">
        <v>1</v>
      </c>
      <c r="D372">
        <v>1</v>
      </c>
      <c r="E372">
        <v>1</v>
      </c>
      <c r="F372">
        <v>1</v>
      </c>
      <c r="G372">
        <v>1</v>
      </c>
      <c r="J372">
        <f t="shared" ref="J372:J401" si="16">J371+1</f>
        <v>36</v>
      </c>
      <c r="K372">
        <v>1</v>
      </c>
      <c r="L372">
        <v>1</v>
      </c>
      <c r="M372">
        <v>1</v>
      </c>
      <c r="N372">
        <v>1</v>
      </c>
      <c r="O372">
        <v>1</v>
      </c>
      <c r="R372">
        <f t="shared" ref="R372:R401" si="17">R371+1</f>
        <v>36</v>
      </c>
      <c r="S372">
        <v>1</v>
      </c>
      <c r="T372">
        <v>1</v>
      </c>
      <c r="U372">
        <v>1</v>
      </c>
      <c r="V372">
        <v>1</v>
      </c>
      <c r="W372">
        <v>1</v>
      </c>
      <c r="AA372">
        <v>-8902.6679999999997</v>
      </c>
      <c r="AB372">
        <v>-8902.6679999999997</v>
      </c>
      <c r="AC372">
        <v>-8902.6679999999997</v>
      </c>
      <c r="AD372">
        <v>-8902.6679999999997</v>
      </c>
      <c r="AE372">
        <v>-8902.6679999999997</v>
      </c>
      <c r="AF372">
        <v>-737070.86179999996</v>
      </c>
    </row>
    <row r="373" spans="2:32" x14ac:dyDescent="0.25">
      <c r="B373">
        <f t="shared" si="15"/>
        <v>37</v>
      </c>
      <c r="C373">
        <v>1</v>
      </c>
      <c r="D373">
        <v>1</v>
      </c>
      <c r="E373">
        <v>1</v>
      </c>
      <c r="F373">
        <v>1</v>
      </c>
      <c r="G373">
        <v>1</v>
      </c>
      <c r="J373">
        <f t="shared" si="16"/>
        <v>37</v>
      </c>
      <c r="K373">
        <v>1</v>
      </c>
      <c r="L373">
        <v>1</v>
      </c>
      <c r="M373">
        <v>1</v>
      </c>
      <c r="N373">
        <v>1</v>
      </c>
      <c r="O373">
        <v>1</v>
      </c>
      <c r="R373">
        <f t="shared" si="17"/>
        <v>37</v>
      </c>
      <c r="S373">
        <v>1</v>
      </c>
      <c r="T373">
        <v>1</v>
      </c>
      <c r="U373">
        <v>1</v>
      </c>
      <c r="V373">
        <v>1</v>
      </c>
      <c r="W373">
        <v>1</v>
      </c>
      <c r="AA373">
        <v>-8806.7960000000003</v>
      </c>
      <c r="AB373">
        <v>-8806.7960000000003</v>
      </c>
      <c r="AC373">
        <v>-8806.7960000000003</v>
      </c>
      <c r="AD373">
        <v>-8806.7960000000003</v>
      </c>
      <c r="AE373">
        <v>-8806.7960000000003</v>
      </c>
      <c r="AF373">
        <v>-765978.91940000001</v>
      </c>
    </row>
    <row r="374" spans="2:32" x14ac:dyDescent="0.25">
      <c r="B374">
        <f t="shared" si="15"/>
        <v>38</v>
      </c>
      <c r="C374">
        <v>1</v>
      </c>
      <c r="D374">
        <v>1</v>
      </c>
      <c r="E374">
        <v>1</v>
      </c>
      <c r="F374">
        <v>1</v>
      </c>
      <c r="G374">
        <v>1</v>
      </c>
      <c r="J374">
        <f t="shared" si="16"/>
        <v>38</v>
      </c>
      <c r="K374">
        <v>1</v>
      </c>
      <c r="L374">
        <v>1</v>
      </c>
      <c r="M374">
        <v>1</v>
      </c>
      <c r="N374">
        <v>1</v>
      </c>
      <c r="O374">
        <v>1</v>
      </c>
      <c r="R374">
        <f t="shared" si="17"/>
        <v>38</v>
      </c>
      <c r="S374">
        <v>1</v>
      </c>
      <c r="T374">
        <v>1</v>
      </c>
      <c r="U374">
        <v>1</v>
      </c>
      <c r="V374">
        <v>1</v>
      </c>
      <c r="W374">
        <v>1</v>
      </c>
      <c r="AA374">
        <v>-8708.6234000000004</v>
      </c>
      <c r="AB374">
        <v>-8708.6234000000004</v>
      </c>
      <c r="AC374">
        <v>-8708.6234000000004</v>
      </c>
      <c r="AD374">
        <v>-8708.6234000000004</v>
      </c>
      <c r="AE374">
        <v>-8708.6234000000004</v>
      </c>
      <c r="AF374">
        <v>-783780.576</v>
      </c>
    </row>
    <row r="375" spans="2:32" x14ac:dyDescent="0.25">
      <c r="B375">
        <f t="shared" si="15"/>
        <v>39</v>
      </c>
      <c r="C375">
        <v>1</v>
      </c>
      <c r="D375">
        <v>1</v>
      </c>
      <c r="E375">
        <v>1</v>
      </c>
      <c r="F375">
        <v>1</v>
      </c>
      <c r="G375">
        <v>1</v>
      </c>
      <c r="J375">
        <f t="shared" si="16"/>
        <v>39</v>
      </c>
      <c r="K375">
        <v>1</v>
      </c>
      <c r="L375">
        <v>1</v>
      </c>
      <c r="M375">
        <v>1</v>
      </c>
      <c r="N375">
        <v>1</v>
      </c>
      <c r="O375">
        <v>1</v>
      </c>
      <c r="R375">
        <f t="shared" si="17"/>
        <v>39</v>
      </c>
      <c r="S375">
        <v>1</v>
      </c>
      <c r="T375">
        <v>1</v>
      </c>
      <c r="U375">
        <v>1</v>
      </c>
      <c r="V375">
        <v>1</v>
      </c>
      <c r="W375">
        <v>1</v>
      </c>
      <c r="AA375">
        <v>-8608.1594000000005</v>
      </c>
      <c r="AB375">
        <v>-8608.1594000000005</v>
      </c>
      <c r="AC375">
        <v>-8608.1594000000005</v>
      </c>
      <c r="AD375">
        <v>-8608.1594000000005</v>
      </c>
      <c r="AE375">
        <v>-8608.1594000000005</v>
      </c>
      <c r="AF375">
        <v>-769662.22069999995</v>
      </c>
    </row>
    <row r="376" spans="2:32" x14ac:dyDescent="0.25">
      <c r="B376">
        <f t="shared" si="15"/>
        <v>40</v>
      </c>
      <c r="C376">
        <v>1</v>
      </c>
      <c r="D376">
        <v>1</v>
      </c>
      <c r="E376">
        <v>1</v>
      </c>
      <c r="F376">
        <v>1</v>
      </c>
      <c r="G376">
        <v>1</v>
      </c>
      <c r="J376">
        <f t="shared" si="16"/>
        <v>40</v>
      </c>
      <c r="K376">
        <v>1</v>
      </c>
      <c r="L376">
        <v>1</v>
      </c>
      <c r="M376">
        <v>1</v>
      </c>
      <c r="N376">
        <v>1</v>
      </c>
      <c r="O376">
        <v>1</v>
      </c>
      <c r="R376">
        <f t="shared" si="17"/>
        <v>40</v>
      </c>
      <c r="S376">
        <v>1</v>
      </c>
      <c r="T376">
        <v>1</v>
      </c>
      <c r="U376">
        <v>1</v>
      </c>
      <c r="V376">
        <v>1</v>
      </c>
      <c r="W376">
        <v>1</v>
      </c>
      <c r="AA376">
        <v>-8505.3439999999991</v>
      </c>
      <c r="AB376">
        <v>-8505.3439999999991</v>
      </c>
      <c r="AC376">
        <v>-8505.3439999999991</v>
      </c>
      <c r="AD376">
        <v>-8505.3439999999991</v>
      </c>
      <c r="AE376">
        <v>-8505.3439999999991</v>
      </c>
      <c r="AF376">
        <v>-798570.41119999997</v>
      </c>
    </row>
    <row r="377" spans="2:32" x14ac:dyDescent="0.25">
      <c r="B377">
        <f t="shared" si="15"/>
        <v>41</v>
      </c>
      <c r="C377">
        <v>1</v>
      </c>
      <c r="D377">
        <v>1</v>
      </c>
      <c r="E377">
        <v>1</v>
      </c>
      <c r="F377">
        <v>1</v>
      </c>
      <c r="G377">
        <v>1</v>
      </c>
      <c r="J377">
        <f t="shared" si="16"/>
        <v>41</v>
      </c>
      <c r="K377">
        <v>1</v>
      </c>
      <c r="L377">
        <v>1</v>
      </c>
      <c r="M377">
        <v>1</v>
      </c>
      <c r="N377">
        <v>1</v>
      </c>
      <c r="O377">
        <v>1</v>
      </c>
      <c r="R377">
        <f t="shared" si="17"/>
        <v>41</v>
      </c>
      <c r="S377">
        <v>1</v>
      </c>
      <c r="T377">
        <v>1</v>
      </c>
      <c r="U377">
        <v>1</v>
      </c>
      <c r="V377">
        <v>1</v>
      </c>
      <c r="W377">
        <v>1</v>
      </c>
      <c r="AA377">
        <v>-8400.1087000000007</v>
      </c>
      <c r="AB377">
        <v>-8400.1087000000007</v>
      </c>
      <c r="AC377">
        <v>-8400.1087000000007</v>
      </c>
      <c r="AD377">
        <v>-8400.1087000000007</v>
      </c>
      <c r="AE377">
        <v>-8400.1087000000007</v>
      </c>
      <c r="AF377">
        <v>-803549.96459999995</v>
      </c>
    </row>
    <row r="378" spans="2:32" x14ac:dyDescent="0.25">
      <c r="B378">
        <f t="shared" si="15"/>
        <v>42</v>
      </c>
      <c r="C378">
        <v>1</v>
      </c>
      <c r="D378">
        <v>1</v>
      </c>
      <c r="E378">
        <v>1</v>
      </c>
      <c r="F378">
        <v>1</v>
      </c>
      <c r="G378">
        <v>1</v>
      </c>
      <c r="J378">
        <f t="shared" si="16"/>
        <v>42</v>
      </c>
      <c r="K378">
        <v>1</v>
      </c>
      <c r="L378">
        <v>1</v>
      </c>
      <c r="M378">
        <v>1</v>
      </c>
      <c r="N378">
        <v>1</v>
      </c>
      <c r="O378">
        <v>1</v>
      </c>
      <c r="R378">
        <f t="shared" si="17"/>
        <v>42</v>
      </c>
      <c r="S378">
        <v>1</v>
      </c>
      <c r="T378">
        <v>1</v>
      </c>
      <c r="U378">
        <v>1</v>
      </c>
      <c r="V378">
        <v>1</v>
      </c>
      <c r="W378">
        <v>1</v>
      </c>
      <c r="AA378">
        <v>-8292.4974999999995</v>
      </c>
      <c r="AB378">
        <v>-8292.4974999999995</v>
      </c>
      <c r="AC378">
        <v>-8292.4974999999995</v>
      </c>
      <c r="AD378">
        <v>-8292.4974999999995</v>
      </c>
      <c r="AE378">
        <v>-8292.4974999999995</v>
      </c>
      <c r="AF378">
        <v>-833551.75890000002</v>
      </c>
    </row>
    <row r="379" spans="2:32" x14ac:dyDescent="0.25">
      <c r="B379">
        <f t="shared" si="15"/>
        <v>43</v>
      </c>
      <c r="C379">
        <v>1</v>
      </c>
      <c r="D379">
        <v>1</v>
      </c>
      <c r="E379">
        <v>1</v>
      </c>
      <c r="F379">
        <v>1</v>
      </c>
      <c r="G379">
        <v>1</v>
      </c>
      <c r="J379">
        <f t="shared" si="16"/>
        <v>43</v>
      </c>
      <c r="K379">
        <v>1</v>
      </c>
      <c r="L379">
        <v>1</v>
      </c>
      <c r="M379">
        <v>1</v>
      </c>
      <c r="N379">
        <v>1</v>
      </c>
      <c r="O379">
        <v>1</v>
      </c>
      <c r="R379">
        <f t="shared" si="17"/>
        <v>43</v>
      </c>
      <c r="S379">
        <v>1</v>
      </c>
      <c r="T379">
        <v>1</v>
      </c>
      <c r="U379">
        <v>1</v>
      </c>
      <c r="V379">
        <v>1</v>
      </c>
      <c r="W379">
        <v>1</v>
      </c>
      <c r="AA379">
        <v>-8182.3909999999996</v>
      </c>
      <c r="AB379">
        <v>-8182.3909999999996</v>
      </c>
      <c r="AC379">
        <v>-8182.3909999999996</v>
      </c>
      <c r="AD379">
        <v>-8182.3909999999996</v>
      </c>
      <c r="AE379">
        <v>-8182.3909999999996</v>
      </c>
      <c r="AF379">
        <v>-844950.93949999998</v>
      </c>
    </row>
    <row r="380" spans="2:32" x14ac:dyDescent="0.25">
      <c r="B380">
        <f t="shared" si="15"/>
        <v>44</v>
      </c>
      <c r="C380">
        <v>1</v>
      </c>
      <c r="D380">
        <v>1</v>
      </c>
      <c r="E380">
        <v>1</v>
      </c>
      <c r="F380">
        <v>1</v>
      </c>
      <c r="G380">
        <v>1</v>
      </c>
      <c r="J380">
        <f t="shared" si="16"/>
        <v>44</v>
      </c>
      <c r="K380">
        <v>1</v>
      </c>
      <c r="L380">
        <v>1</v>
      </c>
      <c r="M380">
        <v>1</v>
      </c>
      <c r="N380">
        <v>1</v>
      </c>
      <c r="O380">
        <v>1</v>
      </c>
      <c r="R380">
        <f t="shared" si="17"/>
        <v>44</v>
      </c>
      <c r="S380">
        <v>1</v>
      </c>
      <c r="T380">
        <v>1</v>
      </c>
      <c r="U380">
        <v>1</v>
      </c>
      <c r="V380">
        <v>1</v>
      </c>
      <c r="W380">
        <v>1</v>
      </c>
      <c r="AA380">
        <v>-8069.8261000000002</v>
      </c>
      <c r="AB380">
        <v>-8069.8261000000002</v>
      </c>
      <c r="AC380">
        <v>-8069.8261000000002</v>
      </c>
      <c r="AD380">
        <v>-8069.8261000000002</v>
      </c>
      <c r="AE380">
        <v>-8069.8261000000002</v>
      </c>
      <c r="AF380">
        <v>-851265.64670000004</v>
      </c>
    </row>
    <row r="381" spans="2:32" x14ac:dyDescent="0.25">
      <c r="B381">
        <f t="shared" si="15"/>
        <v>45</v>
      </c>
      <c r="C381">
        <v>1</v>
      </c>
      <c r="D381">
        <v>1</v>
      </c>
      <c r="E381">
        <v>1</v>
      </c>
      <c r="F381">
        <v>1</v>
      </c>
      <c r="G381">
        <v>1</v>
      </c>
      <c r="J381">
        <f t="shared" si="16"/>
        <v>45</v>
      </c>
      <c r="K381">
        <v>1</v>
      </c>
      <c r="L381">
        <v>1</v>
      </c>
      <c r="M381">
        <v>1</v>
      </c>
      <c r="N381">
        <v>1</v>
      </c>
      <c r="O381">
        <v>1</v>
      </c>
      <c r="R381">
        <f t="shared" si="17"/>
        <v>45</v>
      </c>
      <c r="S381">
        <v>1</v>
      </c>
      <c r="T381">
        <v>1</v>
      </c>
      <c r="U381">
        <v>1</v>
      </c>
      <c r="V381">
        <v>1</v>
      </c>
      <c r="W381">
        <v>1</v>
      </c>
      <c r="AA381">
        <v>-7954.7533999999996</v>
      </c>
      <c r="AB381">
        <v>-7954.7533999999996</v>
      </c>
      <c r="AC381">
        <v>-7954.7533999999996</v>
      </c>
      <c r="AD381">
        <v>-7954.7533999999996</v>
      </c>
      <c r="AE381">
        <v>-7954.7533999999996</v>
      </c>
      <c r="AF381">
        <v>-870649.02139999997</v>
      </c>
    </row>
    <row r="382" spans="2:32" x14ac:dyDescent="0.25">
      <c r="B382">
        <f t="shared" si="15"/>
        <v>46</v>
      </c>
      <c r="C382">
        <v>1</v>
      </c>
      <c r="D382">
        <v>1</v>
      </c>
      <c r="E382">
        <v>1</v>
      </c>
      <c r="F382">
        <v>1</v>
      </c>
      <c r="G382">
        <v>1</v>
      </c>
      <c r="J382">
        <f t="shared" si="16"/>
        <v>46</v>
      </c>
      <c r="K382">
        <v>1</v>
      </c>
      <c r="L382">
        <v>1</v>
      </c>
      <c r="M382">
        <v>1</v>
      </c>
      <c r="N382">
        <v>1</v>
      </c>
      <c r="O382">
        <v>1</v>
      </c>
      <c r="R382">
        <f t="shared" si="17"/>
        <v>46</v>
      </c>
      <c r="S382">
        <v>1</v>
      </c>
      <c r="T382">
        <v>1</v>
      </c>
      <c r="U382">
        <v>1</v>
      </c>
      <c r="V382">
        <v>1</v>
      </c>
      <c r="W382">
        <v>1</v>
      </c>
      <c r="AA382">
        <v>-7837.1754000000001</v>
      </c>
      <c r="AB382">
        <v>-7837.1754000000001</v>
      </c>
      <c r="AC382">
        <v>-7837.1754000000001</v>
      </c>
      <c r="AD382">
        <v>-7837.1754000000001</v>
      </c>
      <c r="AE382">
        <v>-7837.1754000000001</v>
      </c>
      <c r="AF382">
        <v>-892550.54509999999</v>
      </c>
    </row>
    <row r="383" spans="2:32" x14ac:dyDescent="0.25">
      <c r="B383">
        <f t="shared" si="15"/>
        <v>47</v>
      </c>
      <c r="C383">
        <v>1</v>
      </c>
      <c r="D383">
        <v>1</v>
      </c>
      <c r="E383">
        <v>1</v>
      </c>
      <c r="F383">
        <v>1</v>
      </c>
      <c r="G383">
        <v>1</v>
      </c>
      <c r="J383">
        <f t="shared" si="16"/>
        <v>47</v>
      </c>
      <c r="K383">
        <v>1</v>
      </c>
      <c r="L383">
        <v>1</v>
      </c>
      <c r="M383">
        <v>1</v>
      </c>
      <c r="N383">
        <v>1</v>
      </c>
      <c r="O383">
        <v>1</v>
      </c>
      <c r="R383">
        <f t="shared" si="17"/>
        <v>47</v>
      </c>
      <c r="S383">
        <v>1</v>
      </c>
      <c r="T383">
        <v>1</v>
      </c>
      <c r="U383">
        <v>1</v>
      </c>
      <c r="V383">
        <v>1</v>
      </c>
      <c r="W383">
        <v>1</v>
      </c>
      <c r="AA383">
        <v>-7717.0294999999996</v>
      </c>
      <c r="AB383">
        <v>-7717.0294999999996</v>
      </c>
      <c r="AC383">
        <v>-7717.0294999999996</v>
      </c>
      <c r="AD383">
        <v>-7717.0294999999996</v>
      </c>
      <c r="AE383">
        <v>-7717.0294999999996</v>
      </c>
      <c r="AF383">
        <v>-910915.81969999999</v>
      </c>
    </row>
    <row r="384" spans="2:32" x14ac:dyDescent="0.25">
      <c r="B384">
        <f t="shared" si="15"/>
        <v>48</v>
      </c>
      <c r="C384">
        <v>1</v>
      </c>
      <c r="D384">
        <v>1</v>
      </c>
      <c r="E384">
        <v>1</v>
      </c>
      <c r="F384">
        <v>1</v>
      </c>
      <c r="G384">
        <v>1</v>
      </c>
      <c r="J384">
        <f t="shared" si="16"/>
        <v>48</v>
      </c>
      <c r="K384">
        <v>1</v>
      </c>
      <c r="L384">
        <v>1</v>
      </c>
      <c r="M384">
        <v>1</v>
      </c>
      <c r="N384">
        <v>1</v>
      </c>
      <c r="O384">
        <v>1</v>
      </c>
      <c r="R384">
        <f t="shared" si="17"/>
        <v>48</v>
      </c>
      <c r="S384">
        <v>1</v>
      </c>
      <c r="T384">
        <v>1</v>
      </c>
      <c r="U384">
        <v>1</v>
      </c>
      <c r="V384">
        <v>1</v>
      </c>
      <c r="W384">
        <v>1</v>
      </c>
      <c r="AA384">
        <v>-7594.4201000000003</v>
      </c>
      <c r="AB384">
        <v>-7594.4201000000003</v>
      </c>
      <c r="AC384">
        <v>-7594.4201000000003</v>
      </c>
      <c r="AD384">
        <v>-7594.4201000000003</v>
      </c>
      <c r="AE384">
        <v>-7594.4201000000003</v>
      </c>
      <c r="AF384">
        <v>-917891.87360000005</v>
      </c>
    </row>
    <row r="385" spans="2:32" x14ac:dyDescent="0.25">
      <c r="B385">
        <f t="shared" si="15"/>
        <v>49</v>
      </c>
      <c r="C385">
        <v>1</v>
      </c>
      <c r="D385">
        <v>1</v>
      </c>
      <c r="E385">
        <v>1</v>
      </c>
      <c r="F385">
        <v>1</v>
      </c>
      <c r="G385">
        <v>1</v>
      </c>
      <c r="J385">
        <f t="shared" si="16"/>
        <v>49</v>
      </c>
      <c r="K385">
        <v>1</v>
      </c>
      <c r="L385">
        <v>1</v>
      </c>
      <c r="M385">
        <v>1</v>
      </c>
      <c r="N385">
        <v>1</v>
      </c>
      <c r="O385">
        <v>1</v>
      </c>
      <c r="R385">
        <f t="shared" si="17"/>
        <v>49</v>
      </c>
      <c r="S385">
        <v>1</v>
      </c>
      <c r="T385">
        <v>1</v>
      </c>
      <c r="U385">
        <v>1</v>
      </c>
      <c r="V385">
        <v>1</v>
      </c>
      <c r="W385">
        <v>1</v>
      </c>
      <c r="AA385">
        <v>-7469.3995999999997</v>
      </c>
      <c r="AB385">
        <v>-7469.3995999999997</v>
      </c>
      <c r="AC385">
        <v>-7469.3995999999997</v>
      </c>
      <c r="AD385">
        <v>-7469.3995999999997</v>
      </c>
      <c r="AE385">
        <v>-7469.3995999999997</v>
      </c>
      <c r="AF385">
        <v>-944521.72470000002</v>
      </c>
    </row>
    <row r="386" spans="2:32" x14ac:dyDescent="0.25">
      <c r="B386">
        <f t="shared" si="15"/>
        <v>50</v>
      </c>
      <c r="C386">
        <v>1</v>
      </c>
      <c r="D386">
        <v>1</v>
      </c>
      <c r="E386">
        <v>1</v>
      </c>
      <c r="F386">
        <v>1</v>
      </c>
      <c r="G386">
        <v>1</v>
      </c>
      <c r="J386">
        <f t="shared" si="16"/>
        <v>50</v>
      </c>
      <c r="K386">
        <v>1</v>
      </c>
      <c r="L386">
        <v>1</v>
      </c>
      <c r="M386">
        <v>1</v>
      </c>
      <c r="N386">
        <v>1</v>
      </c>
      <c r="O386">
        <v>1</v>
      </c>
      <c r="R386">
        <f t="shared" si="17"/>
        <v>50</v>
      </c>
      <c r="S386">
        <v>1</v>
      </c>
      <c r="T386">
        <v>1</v>
      </c>
      <c r="U386">
        <v>1</v>
      </c>
      <c r="V386">
        <v>1</v>
      </c>
      <c r="W386">
        <v>1</v>
      </c>
      <c r="AA386">
        <v>-7341.9502000000002</v>
      </c>
      <c r="AB386">
        <v>-7341.9502000000002</v>
      </c>
      <c r="AC386">
        <v>-7341.9502000000002</v>
      </c>
      <c r="AD386">
        <v>-7341.9502000000002</v>
      </c>
      <c r="AE386">
        <v>-7341.9502000000002</v>
      </c>
      <c r="AF386">
        <v>-963257.14989999996</v>
      </c>
    </row>
    <row r="387" spans="2:32" x14ac:dyDescent="0.25">
      <c r="B387">
        <f t="shared" si="15"/>
        <v>51</v>
      </c>
      <c r="C387">
        <v>1</v>
      </c>
      <c r="D387">
        <v>1</v>
      </c>
      <c r="E387">
        <v>1</v>
      </c>
      <c r="F387">
        <v>1</v>
      </c>
      <c r="G387">
        <v>1</v>
      </c>
      <c r="J387">
        <f t="shared" si="16"/>
        <v>51</v>
      </c>
      <c r="K387">
        <v>1</v>
      </c>
      <c r="L387">
        <v>1</v>
      </c>
      <c r="M387">
        <v>1</v>
      </c>
      <c r="N387">
        <v>1</v>
      </c>
      <c r="O387">
        <v>1</v>
      </c>
      <c r="R387">
        <f t="shared" si="17"/>
        <v>51</v>
      </c>
      <c r="S387">
        <v>1</v>
      </c>
      <c r="T387">
        <v>1</v>
      </c>
      <c r="U387">
        <v>1</v>
      </c>
      <c r="V387">
        <v>1</v>
      </c>
      <c r="W387">
        <v>1</v>
      </c>
      <c r="AA387">
        <v>-7212.0646999999999</v>
      </c>
      <c r="AB387">
        <v>-7212.0646999999999</v>
      </c>
      <c r="AC387">
        <v>-7212.0646999999999</v>
      </c>
      <c r="AD387">
        <v>-7212.0646999999999</v>
      </c>
      <c r="AE387">
        <v>-7212.0646999999999</v>
      </c>
      <c r="AF387">
        <v>-981592.90729999996</v>
      </c>
    </row>
    <row r="388" spans="2:32" x14ac:dyDescent="0.25">
      <c r="B388">
        <f t="shared" si="15"/>
        <v>52</v>
      </c>
      <c r="C388">
        <v>1</v>
      </c>
      <c r="D388">
        <v>1</v>
      </c>
      <c r="E388">
        <v>1</v>
      </c>
      <c r="F388">
        <v>1</v>
      </c>
      <c r="G388">
        <v>1</v>
      </c>
      <c r="J388">
        <f t="shared" si="16"/>
        <v>52</v>
      </c>
      <c r="K388">
        <v>1</v>
      </c>
      <c r="L388">
        <v>1</v>
      </c>
      <c r="M388">
        <v>1</v>
      </c>
      <c r="N388">
        <v>1</v>
      </c>
      <c r="O388">
        <v>1</v>
      </c>
      <c r="R388">
        <f t="shared" si="17"/>
        <v>52</v>
      </c>
      <c r="S388">
        <v>1</v>
      </c>
      <c r="T388">
        <v>1</v>
      </c>
      <c r="U388">
        <v>1</v>
      </c>
      <c r="V388">
        <v>1</v>
      </c>
      <c r="W388">
        <v>1</v>
      </c>
      <c r="AA388">
        <v>-7079.7435999999998</v>
      </c>
      <c r="AB388">
        <v>-7079.7435999999998</v>
      </c>
      <c r="AC388">
        <v>-7079.7435999999998</v>
      </c>
      <c r="AD388">
        <v>-7079.7435999999998</v>
      </c>
      <c r="AE388">
        <v>-7079.7435999999998</v>
      </c>
      <c r="AF388">
        <v>-998556.10360000003</v>
      </c>
    </row>
    <row r="389" spans="2:32" x14ac:dyDescent="0.25">
      <c r="B389">
        <f t="shared" si="15"/>
        <v>53</v>
      </c>
      <c r="C389">
        <v>1</v>
      </c>
      <c r="D389">
        <v>1</v>
      </c>
      <c r="E389">
        <v>1</v>
      </c>
      <c r="F389">
        <v>1</v>
      </c>
      <c r="G389">
        <v>1</v>
      </c>
      <c r="J389">
        <f t="shared" si="16"/>
        <v>53</v>
      </c>
      <c r="K389">
        <v>1</v>
      </c>
      <c r="L389">
        <v>1</v>
      </c>
      <c r="M389">
        <v>1</v>
      </c>
      <c r="N389">
        <v>1</v>
      </c>
      <c r="O389">
        <v>1</v>
      </c>
      <c r="R389">
        <f t="shared" si="17"/>
        <v>53</v>
      </c>
      <c r="S389">
        <v>1</v>
      </c>
      <c r="T389">
        <v>1</v>
      </c>
      <c r="U389">
        <v>1</v>
      </c>
      <c r="V389">
        <v>1</v>
      </c>
      <c r="W389">
        <v>1</v>
      </c>
      <c r="AA389">
        <v>-6945.0875999999998</v>
      </c>
      <c r="AB389">
        <v>-6945.0875999999998</v>
      </c>
      <c r="AC389">
        <v>-6945.0875999999998</v>
      </c>
      <c r="AD389">
        <v>-6945.0875999999998</v>
      </c>
      <c r="AE389">
        <v>-6945.0875999999998</v>
      </c>
      <c r="AF389">
        <v>-1015461.3278</v>
      </c>
    </row>
    <row r="390" spans="2:32" x14ac:dyDescent="0.25">
      <c r="B390">
        <f t="shared" si="15"/>
        <v>54</v>
      </c>
      <c r="C390">
        <v>1</v>
      </c>
      <c r="D390">
        <v>1</v>
      </c>
      <c r="E390">
        <v>1</v>
      </c>
      <c r="F390">
        <v>1</v>
      </c>
      <c r="G390">
        <v>1</v>
      </c>
      <c r="J390">
        <f t="shared" si="16"/>
        <v>54</v>
      </c>
      <c r="K390">
        <v>1</v>
      </c>
      <c r="L390">
        <v>1</v>
      </c>
      <c r="M390">
        <v>1</v>
      </c>
      <c r="N390">
        <v>1</v>
      </c>
      <c r="O390">
        <v>1</v>
      </c>
      <c r="R390">
        <f t="shared" si="17"/>
        <v>54</v>
      </c>
      <c r="S390">
        <v>1</v>
      </c>
      <c r="T390">
        <v>1</v>
      </c>
      <c r="U390">
        <v>1</v>
      </c>
      <c r="V390">
        <v>1</v>
      </c>
      <c r="W390">
        <v>1</v>
      </c>
      <c r="AA390">
        <v>-6808.2438000000002</v>
      </c>
      <c r="AB390">
        <v>-6808.2438000000002</v>
      </c>
      <c r="AC390">
        <v>-6808.2438000000002</v>
      </c>
      <c r="AD390">
        <v>-6808.2438000000002</v>
      </c>
      <c r="AE390">
        <v>-6808.2438000000002</v>
      </c>
      <c r="AF390">
        <v>-1033869.6813000001</v>
      </c>
    </row>
    <row r="391" spans="2:32" x14ac:dyDescent="0.25">
      <c r="B391">
        <f t="shared" si="15"/>
        <v>55</v>
      </c>
      <c r="C391">
        <v>1</v>
      </c>
      <c r="D391">
        <v>1</v>
      </c>
      <c r="E391">
        <v>1</v>
      </c>
      <c r="F391">
        <v>1</v>
      </c>
      <c r="G391">
        <v>1</v>
      </c>
      <c r="J391">
        <f t="shared" si="16"/>
        <v>55</v>
      </c>
      <c r="K391">
        <v>1</v>
      </c>
      <c r="L391">
        <v>1</v>
      </c>
      <c r="M391">
        <v>1</v>
      </c>
      <c r="N391">
        <v>1</v>
      </c>
      <c r="O391">
        <v>1</v>
      </c>
      <c r="R391">
        <f t="shared" si="17"/>
        <v>55</v>
      </c>
      <c r="S391">
        <v>1</v>
      </c>
      <c r="T391">
        <v>1</v>
      </c>
      <c r="U391">
        <v>1</v>
      </c>
      <c r="V391">
        <v>1</v>
      </c>
      <c r="W391">
        <v>1</v>
      </c>
      <c r="AA391">
        <v>-6669.2525999999998</v>
      </c>
      <c r="AB391">
        <v>-6669.2525999999998</v>
      </c>
      <c r="AC391">
        <v>-6669.2525999999998</v>
      </c>
      <c r="AD391">
        <v>-6669.2525999999998</v>
      </c>
      <c r="AE391">
        <v>-6669.2525999999998</v>
      </c>
      <c r="AF391">
        <v>-1050810.2549999999</v>
      </c>
    </row>
    <row r="392" spans="2:32" x14ac:dyDescent="0.25">
      <c r="B392">
        <f t="shared" si="15"/>
        <v>56</v>
      </c>
      <c r="C392">
        <v>1</v>
      </c>
      <c r="D392">
        <v>1</v>
      </c>
      <c r="E392">
        <v>1</v>
      </c>
      <c r="F392">
        <v>1</v>
      </c>
      <c r="G392">
        <v>1</v>
      </c>
      <c r="J392">
        <f t="shared" si="16"/>
        <v>56</v>
      </c>
      <c r="K392">
        <v>1</v>
      </c>
      <c r="L392">
        <v>1</v>
      </c>
      <c r="M392">
        <v>1</v>
      </c>
      <c r="N392">
        <v>1</v>
      </c>
      <c r="O392">
        <v>1</v>
      </c>
      <c r="R392">
        <f t="shared" si="17"/>
        <v>56</v>
      </c>
      <c r="S392">
        <v>1</v>
      </c>
      <c r="T392">
        <v>1</v>
      </c>
      <c r="U392">
        <v>1</v>
      </c>
      <c r="V392">
        <v>1</v>
      </c>
      <c r="W392">
        <v>1</v>
      </c>
      <c r="AA392">
        <v>-6528.2992000000004</v>
      </c>
      <c r="AB392">
        <v>-6528.2992000000004</v>
      </c>
      <c r="AC392">
        <v>-6528.2992000000004</v>
      </c>
      <c r="AD392">
        <v>-6528.2992000000004</v>
      </c>
      <c r="AE392">
        <v>-6528.2992000000004</v>
      </c>
      <c r="AF392">
        <v>-1073295.8774000001</v>
      </c>
    </row>
    <row r="393" spans="2:32" x14ac:dyDescent="0.25">
      <c r="B393">
        <f t="shared" si="15"/>
        <v>57</v>
      </c>
      <c r="C393">
        <v>1</v>
      </c>
      <c r="D393">
        <v>1</v>
      </c>
      <c r="E393">
        <v>1</v>
      </c>
      <c r="F393">
        <v>1</v>
      </c>
      <c r="G393">
        <v>1</v>
      </c>
      <c r="J393">
        <f t="shared" si="16"/>
        <v>57</v>
      </c>
      <c r="K393">
        <v>1</v>
      </c>
      <c r="L393">
        <v>1</v>
      </c>
      <c r="M393">
        <v>1</v>
      </c>
      <c r="N393">
        <v>1</v>
      </c>
      <c r="O393">
        <v>1</v>
      </c>
      <c r="R393">
        <f t="shared" si="17"/>
        <v>57</v>
      </c>
      <c r="S393">
        <v>1</v>
      </c>
      <c r="T393">
        <v>1</v>
      </c>
      <c r="U393">
        <v>1</v>
      </c>
      <c r="V393">
        <v>1</v>
      </c>
      <c r="W393">
        <v>1</v>
      </c>
      <c r="AA393">
        <v>-6385.5230000000001</v>
      </c>
      <c r="AB393">
        <v>-6385.5230000000001</v>
      </c>
      <c r="AC393">
        <v>-6385.5230000000001</v>
      </c>
      <c r="AD393">
        <v>-6385.5230000000001</v>
      </c>
      <c r="AE393">
        <v>-6385.5230000000001</v>
      </c>
      <c r="AF393">
        <v>-1093242.6832999999</v>
      </c>
    </row>
    <row r="394" spans="2:32" x14ac:dyDescent="0.25">
      <c r="B394">
        <f t="shared" si="15"/>
        <v>58</v>
      </c>
      <c r="C394">
        <v>1</v>
      </c>
      <c r="D394">
        <v>1</v>
      </c>
      <c r="E394">
        <v>1</v>
      </c>
      <c r="F394">
        <v>1</v>
      </c>
      <c r="G394">
        <v>1</v>
      </c>
      <c r="J394">
        <f t="shared" si="16"/>
        <v>58</v>
      </c>
      <c r="K394">
        <v>1</v>
      </c>
      <c r="L394">
        <v>1</v>
      </c>
      <c r="M394">
        <v>1</v>
      </c>
      <c r="N394">
        <v>1</v>
      </c>
      <c r="O394">
        <v>1</v>
      </c>
      <c r="R394">
        <f t="shared" si="17"/>
        <v>58</v>
      </c>
      <c r="S394">
        <v>1</v>
      </c>
      <c r="T394">
        <v>1</v>
      </c>
      <c r="U394">
        <v>1</v>
      </c>
      <c r="V394">
        <v>1</v>
      </c>
      <c r="W394">
        <v>1</v>
      </c>
      <c r="AA394">
        <v>-6240.8730999999998</v>
      </c>
      <c r="AB394">
        <v>-6240.8730999999998</v>
      </c>
      <c r="AC394">
        <v>-6240.8730999999998</v>
      </c>
      <c r="AD394">
        <v>-6240.8730999999998</v>
      </c>
      <c r="AE394">
        <v>-6240.8730999999998</v>
      </c>
      <c r="AF394">
        <v>-1114366.6444000001</v>
      </c>
    </row>
    <row r="395" spans="2:32" x14ac:dyDescent="0.25">
      <c r="B395">
        <f t="shared" si="15"/>
        <v>59</v>
      </c>
      <c r="C395">
        <v>1</v>
      </c>
      <c r="D395">
        <v>1</v>
      </c>
      <c r="E395">
        <v>1</v>
      </c>
      <c r="F395">
        <v>1</v>
      </c>
      <c r="G395">
        <v>1</v>
      </c>
      <c r="J395">
        <f t="shared" si="16"/>
        <v>59</v>
      </c>
      <c r="K395">
        <v>1</v>
      </c>
      <c r="L395">
        <v>1</v>
      </c>
      <c r="M395">
        <v>1</v>
      </c>
      <c r="N395">
        <v>1</v>
      </c>
      <c r="O395">
        <v>1</v>
      </c>
      <c r="R395">
        <f t="shared" si="17"/>
        <v>59</v>
      </c>
      <c r="S395">
        <v>1</v>
      </c>
      <c r="T395">
        <v>1</v>
      </c>
      <c r="U395">
        <v>1</v>
      </c>
      <c r="V395">
        <v>1</v>
      </c>
      <c r="W395">
        <v>1</v>
      </c>
      <c r="AA395">
        <v>-6094.3262999999997</v>
      </c>
      <c r="AB395">
        <v>-6094.3262999999997</v>
      </c>
      <c r="AC395">
        <v>-6094.3262999999997</v>
      </c>
      <c r="AD395">
        <v>-6094.3262999999997</v>
      </c>
      <c r="AE395">
        <v>-6094.3262999999997</v>
      </c>
      <c r="AF395">
        <v>-1136284.0146999999</v>
      </c>
    </row>
    <row r="396" spans="2:32" x14ac:dyDescent="0.25">
      <c r="B396">
        <f t="shared" si="15"/>
        <v>60</v>
      </c>
      <c r="C396">
        <v>1</v>
      </c>
      <c r="D396">
        <v>1</v>
      </c>
      <c r="E396">
        <v>1</v>
      </c>
      <c r="F396">
        <v>1</v>
      </c>
      <c r="G396">
        <v>1</v>
      </c>
      <c r="J396">
        <f t="shared" si="16"/>
        <v>60</v>
      </c>
      <c r="K396">
        <v>1</v>
      </c>
      <c r="L396">
        <v>1</v>
      </c>
      <c r="M396">
        <v>1</v>
      </c>
      <c r="N396">
        <v>1</v>
      </c>
      <c r="O396">
        <v>1</v>
      </c>
      <c r="R396">
        <f t="shared" si="17"/>
        <v>60</v>
      </c>
      <c r="S396">
        <v>1</v>
      </c>
      <c r="T396">
        <v>1</v>
      </c>
      <c r="U396">
        <v>1</v>
      </c>
      <c r="V396">
        <v>1</v>
      </c>
      <c r="W396">
        <v>1</v>
      </c>
      <c r="AA396">
        <v>-5945.9960000000001</v>
      </c>
      <c r="AB396">
        <v>-5945.9960000000001</v>
      </c>
      <c r="AC396">
        <v>-5945.9960000000001</v>
      </c>
      <c r="AD396">
        <v>-5945.9960000000001</v>
      </c>
      <c r="AE396">
        <v>-5945.9960000000001</v>
      </c>
      <c r="AF396">
        <v>-1157801.6717999999</v>
      </c>
    </row>
    <row r="397" spans="2:32" x14ac:dyDescent="0.25">
      <c r="B397">
        <f t="shared" si="15"/>
        <v>61</v>
      </c>
      <c r="C397">
        <v>1</v>
      </c>
      <c r="D397">
        <v>1</v>
      </c>
      <c r="E397">
        <v>1</v>
      </c>
      <c r="F397">
        <v>1</v>
      </c>
      <c r="G397">
        <v>1</v>
      </c>
      <c r="J397">
        <f t="shared" si="16"/>
        <v>61</v>
      </c>
      <c r="K397">
        <v>1</v>
      </c>
      <c r="L397">
        <v>1</v>
      </c>
      <c r="M397">
        <v>1</v>
      </c>
      <c r="N397">
        <v>1</v>
      </c>
      <c r="O397">
        <v>1</v>
      </c>
      <c r="R397">
        <f t="shared" si="17"/>
        <v>61</v>
      </c>
      <c r="S397">
        <v>1</v>
      </c>
      <c r="T397">
        <v>1</v>
      </c>
      <c r="U397">
        <v>1</v>
      </c>
      <c r="V397">
        <v>1</v>
      </c>
      <c r="W397">
        <v>1</v>
      </c>
      <c r="AA397">
        <v>-5796.3015999999998</v>
      </c>
      <c r="AB397">
        <v>-5796.3015999999998</v>
      </c>
      <c r="AC397">
        <v>-5796.3015999999998</v>
      </c>
      <c r="AD397">
        <v>-5796.3015999999998</v>
      </c>
      <c r="AE397">
        <v>-5796.3015999999998</v>
      </c>
      <c r="AF397">
        <v>-1178581.4038</v>
      </c>
    </row>
    <row r="398" spans="2:32" x14ac:dyDescent="0.25">
      <c r="B398">
        <f t="shared" si="15"/>
        <v>62</v>
      </c>
      <c r="C398">
        <v>1</v>
      </c>
      <c r="D398">
        <v>1</v>
      </c>
      <c r="E398">
        <v>1</v>
      </c>
      <c r="F398">
        <v>1</v>
      </c>
      <c r="G398">
        <v>1</v>
      </c>
      <c r="J398">
        <f t="shared" si="16"/>
        <v>62</v>
      </c>
      <c r="K398">
        <v>1</v>
      </c>
      <c r="L398">
        <v>1</v>
      </c>
      <c r="M398">
        <v>1</v>
      </c>
      <c r="N398">
        <v>1</v>
      </c>
      <c r="O398">
        <v>1</v>
      </c>
      <c r="R398">
        <f t="shared" si="17"/>
        <v>62</v>
      </c>
      <c r="S398">
        <v>1</v>
      </c>
      <c r="T398">
        <v>1</v>
      </c>
      <c r="U398">
        <v>1</v>
      </c>
      <c r="V398">
        <v>1</v>
      </c>
      <c r="W398">
        <v>1</v>
      </c>
      <c r="AA398">
        <v>-5645.2415000000001</v>
      </c>
      <c r="AB398">
        <v>-5645.2415000000001</v>
      </c>
      <c r="AC398">
        <v>-5645.2415000000001</v>
      </c>
      <c r="AD398">
        <v>-5645.2415000000001</v>
      </c>
      <c r="AE398">
        <v>-5645.2415000000001</v>
      </c>
      <c r="AF398">
        <v>-1199521.5327000001</v>
      </c>
    </row>
    <row r="399" spans="2:32" x14ac:dyDescent="0.25">
      <c r="B399">
        <f t="shared" si="15"/>
        <v>63</v>
      </c>
      <c r="C399">
        <v>1</v>
      </c>
      <c r="D399">
        <v>1</v>
      </c>
      <c r="E399">
        <v>1</v>
      </c>
      <c r="F399">
        <v>1</v>
      </c>
      <c r="G399">
        <v>1</v>
      </c>
      <c r="J399">
        <f t="shared" si="16"/>
        <v>63</v>
      </c>
      <c r="K399">
        <v>1</v>
      </c>
      <c r="L399">
        <v>1</v>
      </c>
      <c r="M399">
        <v>1</v>
      </c>
      <c r="N399">
        <v>1</v>
      </c>
      <c r="O399">
        <v>1</v>
      </c>
      <c r="R399">
        <f t="shared" si="17"/>
        <v>63</v>
      </c>
      <c r="S399">
        <v>1</v>
      </c>
      <c r="T399">
        <v>1</v>
      </c>
      <c r="U399">
        <v>1</v>
      </c>
      <c r="V399">
        <v>1</v>
      </c>
      <c r="W399">
        <v>1</v>
      </c>
      <c r="AA399">
        <v>-5492.4920000000002</v>
      </c>
      <c r="AB399">
        <v>-5492.4920000000002</v>
      </c>
      <c r="AC399">
        <v>-5492.4920000000002</v>
      </c>
      <c r="AD399">
        <v>-5492.4920000000002</v>
      </c>
      <c r="AE399">
        <v>-5492.4920000000002</v>
      </c>
      <c r="AF399">
        <v>-1220461.6269</v>
      </c>
    </row>
    <row r="400" spans="2:32" x14ac:dyDescent="0.25">
      <c r="B400">
        <f t="shared" si="15"/>
        <v>64</v>
      </c>
      <c r="C400">
        <v>1</v>
      </c>
      <c r="D400">
        <v>1</v>
      </c>
      <c r="E400">
        <v>1</v>
      </c>
      <c r="F400">
        <v>1</v>
      </c>
      <c r="G400">
        <v>1</v>
      </c>
      <c r="J400">
        <f t="shared" si="16"/>
        <v>64</v>
      </c>
      <c r="K400">
        <v>1</v>
      </c>
      <c r="L400">
        <v>1</v>
      </c>
      <c r="M400">
        <v>1</v>
      </c>
      <c r="N400">
        <v>1</v>
      </c>
      <c r="O400">
        <v>1</v>
      </c>
      <c r="R400">
        <f t="shared" si="17"/>
        <v>64</v>
      </c>
      <c r="S400">
        <v>1</v>
      </c>
      <c r="T400">
        <v>1</v>
      </c>
      <c r="U400">
        <v>1</v>
      </c>
      <c r="V400">
        <v>1</v>
      </c>
      <c r="W400">
        <v>1</v>
      </c>
      <c r="AA400">
        <v>-5338.1817000000001</v>
      </c>
      <c r="AB400">
        <v>-5338.1817000000001</v>
      </c>
      <c r="AC400">
        <v>-5338.1817000000001</v>
      </c>
      <c r="AD400">
        <v>-5338.1817000000001</v>
      </c>
      <c r="AE400">
        <v>-5338.1817000000001</v>
      </c>
      <c r="AF400">
        <v>-1240652.2526</v>
      </c>
    </row>
    <row r="401" spans="2:32" x14ac:dyDescent="0.25">
      <c r="B401">
        <f t="shared" si="15"/>
        <v>65</v>
      </c>
      <c r="C401">
        <v>1</v>
      </c>
      <c r="D401">
        <v>1</v>
      </c>
      <c r="E401">
        <v>1</v>
      </c>
      <c r="F401">
        <v>1</v>
      </c>
      <c r="G401">
        <v>1</v>
      </c>
      <c r="J401">
        <f t="shared" si="16"/>
        <v>65</v>
      </c>
      <c r="K401">
        <v>1</v>
      </c>
      <c r="L401">
        <v>1</v>
      </c>
      <c r="M401">
        <v>1</v>
      </c>
      <c r="N401">
        <v>1</v>
      </c>
      <c r="O401">
        <v>1</v>
      </c>
      <c r="R401">
        <f t="shared" si="17"/>
        <v>65</v>
      </c>
      <c r="S401">
        <v>1</v>
      </c>
      <c r="T401">
        <v>1</v>
      </c>
      <c r="U401">
        <v>1</v>
      </c>
      <c r="V401">
        <v>1</v>
      </c>
      <c r="W401">
        <v>1</v>
      </c>
      <c r="AA401">
        <v>-5182.2268999999997</v>
      </c>
      <c r="AB401">
        <v>-5182.2268999999997</v>
      </c>
      <c r="AC401">
        <v>-5182.2268999999997</v>
      </c>
      <c r="AD401">
        <v>-5182.2268999999997</v>
      </c>
      <c r="AE401">
        <v>-5182.2268999999997</v>
      </c>
      <c r="AF401">
        <v>-1260049.8302</v>
      </c>
    </row>
    <row r="404" spans="2:32" x14ac:dyDescent="0.25">
      <c r="B404" t="s">
        <v>46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47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48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2:32" x14ac:dyDescent="0.25">
      <c r="B405">
        <v>26</v>
      </c>
      <c r="C405">
        <v>1</v>
      </c>
      <c r="D405">
        <v>1</v>
      </c>
      <c r="E405">
        <v>1</v>
      </c>
      <c r="F405">
        <v>1</v>
      </c>
      <c r="G405">
        <v>1</v>
      </c>
      <c r="H405">
        <v>1</v>
      </c>
      <c r="J405">
        <v>26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R405">
        <v>26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AA405">
        <v>-5174.8482999999997</v>
      </c>
      <c r="AB405">
        <v>-5174.8482999999997</v>
      </c>
      <c r="AC405">
        <v>-5174.8482999999997</v>
      </c>
      <c r="AD405">
        <v>-5174.8482999999997</v>
      </c>
      <c r="AE405">
        <v>-5174.8482999999997</v>
      </c>
      <c r="AF405">
        <v>-5174.8482999999997</v>
      </c>
    </row>
    <row r="406" spans="2:32" x14ac:dyDescent="0.25">
      <c r="B406">
        <v>27</v>
      </c>
      <c r="C406">
        <v>1</v>
      </c>
      <c r="D406">
        <v>1</v>
      </c>
      <c r="E406">
        <v>1</v>
      </c>
      <c r="F406">
        <v>1</v>
      </c>
      <c r="G406">
        <v>1</v>
      </c>
      <c r="H406">
        <v>1</v>
      </c>
      <c r="J406">
        <v>27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R406">
        <v>27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AA406">
        <v>-5173.6036999999997</v>
      </c>
      <c r="AB406">
        <v>-5173.6036999999997</v>
      </c>
      <c r="AC406">
        <v>-5173.6036999999997</v>
      </c>
      <c r="AD406">
        <v>-5173.6036999999997</v>
      </c>
      <c r="AE406">
        <v>-5173.6036999999997</v>
      </c>
      <c r="AF406">
        <v>-5173.6036999999997</v>
      </c>
    </row>
    <row r="407" spans="2:32" x14ac:dyDescent="0.25">
      <c r="B407">
        <v>28</v>
      </c>
      <c r="C407">
        <v>1</v>
      </c>
      <c r="D407">
        <v>1</v>
      </c>
      <c r="E407">
        <v>1</v>
      </c>
      <c r="F407">
        <v>1</v>
      </c>
      <c r="G407">
        <v>1</v>
      </c>
      <c r="H407">
        <v>1</v>
      </c>
      <c r="J407">
        <v>28</v>
      </c>
      <c r="K407">
        <v>1</v>
      </c>
      <c r="L407">
        <v>1</v>
      </c>
      <c r="M407">
        <v>1</v>
      </c>
      <c r="N407">
        <v>1</v>
      </c>
      <c r="O407">
        <v>1</v>
      </c>
      <c r="P407">
        <v>1</v>
      </c>
      <c r="R407">
        <v>28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AA407">
        <v>-5172.1755999999996</v>
      </c>
      <c r="AB407">
        <v>-5172.1755999999996</v>
      </c>
      <c r="AC407">
        <v>-5172.1755999999996</v>
      </c>
      <c r="AD407">
        <v>-5172.1755999999996</v>
      </c>
      <c r="AE407">
        <v>-5172.1755999999996</v>
      </c>
      <c r="AF407">
        <v>-5172.1755999999996</v>
      </c>
    </row>
    <row r="408" spans="2:32" x14ac:dyDescent="0.25">
      <c r="B408">
        <v>29</v>
      </c>
      <c r="C408">
        <v>1</v>
      </c>
      <c r="D408">
        <v>1</v>
      </c>
      <c r="E408">
        <v>1</v>
      </c>
      <c r="F408">
        <v>1</v>
      </c>
      <c r="G408">
        <v>1</v>
      </c>
      <c r="H408">
        <v>1</v>
      </c>
      <c r="J408">
        <v>29</v>
      </c>
      <c r="K408">
        <v>1</v>
      </c>
      <c r="L408">
        <v>1</v>
      </c>
      <c r="M408">
        <v>1</v>
      </c>
      <c r="N408">
        <v>1</v>
      </c>
      <c r="O408">
        <v>1</v>
      </c>
      <c r="P408">
        <v>1</v>
      </c>
      <c r="R408">
        <v>29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AA408">
        <v>-5170.5482000000002</v>
      </c>
      <c r="AB408">
        <v>-5170.5482000000002</v>
      </c>
      <c r="AC408">
        <v>-5170.5482000000002</v>
      </c>
      <c r="AD408">
        <v>-5170.5482000000002</v>
      </c>
      <c r="AE408">
        <v>-5170.5482000000002</v>
      </c>
      <c r="AF408">
        <v>-5170.5482000000002</v>
      </c>
    </row>
    <row r="409" spans="2:32" x14ac:dyDescent="0.25">
      <c r="B409">
        <v>30</v>
      </c>
      <c r="C409">
        <v>1</v>
      </c>
      <c r="D409">
        <v>1</v>
      </c>
      <c r="E409">
        <v>1</v>
      </c>
      <c r="F409">
        <v>1</v>
      </c>
      <c r="G409">
        <v>1</v>
      </c>
      <c r="H409">
        <v>1</v>
      </c>
      <c r="J409">
        <v>30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R409">
        <v>30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AA409">
        <v>-5168.6908999999996</v>
      </c>
      <c r="AB409">
        <v>-5168.6908999999996</v>
      </c>
      <c r="AC409">
        <v>-5168.6908999999996</v>
      </c>
      <c r="AD409">
        <v>-5168.6908999999996</v>
      </c>
      <c r="AE409">
        <v>-5168.6908999999996</v>
      </c>
      <c r="AF409">
        <v>-5168.6908999999996</v>
      </c>
    </row>
    <row r="410" spans="2:32" x14ac:dyDescent="0.25">
      <c r="B410">
        <v>31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1</v>
      </c>
      <c r="J410">
        <v>31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R410">
        <v>31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AA410">
        <v>-5166.5891000000001</v>
      </c>
      <c r="AB410">
        <v>-5166.5891000000001</v>
      </c>
      <c r="AC410">
        <v>-5166.5891000000001</v>
      </c>
      <c r="AD410">
        <v>-5166.5891000000001</v>
      </c>
      <c r="AE410">
        <v>-5166.5891000000001</v>
      </c>
      <c r="AF410">
        <v>-5166.5891000000001</v>
      </c>
    </row>
    <row r="411" spans="2:32" x14ac:dyDescent="0.25">
      <c r="B411">
        <v>32</v>
      </c>
      <c r="C411">
        <v>1</v>
      </c>
      <c r="D411">
        <v>1</v>
      </c>
      <c r="E411">
        <v>1</v>
      </c>
      <c r="F411">
        <v>1</v>
      </c>
      <c r="G411">
        <v>1</v>
      </c>
      <c r="H411">
        <v>1</v>
      </c>
      <c r="J411">
        <v>32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R411">
        <v>32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AA411">
        <v>-5164.2407000000003</v>
      </c>
      <c r="AB411">
        <v>-5164.2407000000003</v>
      </c>
      <c r="AC411">
        <v>-5164.2407000000003</v>
      </c>
      <c r="AD411">
        <v>-5164.2407000000003</v>
      </c>
      <c r="AE411">
        <v>-5164.2407000000003</v>
      </c>
      <c r="AF411">
        <v>-5164.2407000000003</v>
      </c>
    </row>
    <row r="412" spans="2:32" x14ac:dyDescent="0.25">
      <c r="B412">
        <v>33</v>
      </c>
      <c r="C412">
        <v>1</v>
      </c>
      <c r="D412">
        <v>1</v>
      </c>
      <c r="E412">
        <v>1</v>
      </c>
      <c r="F412">
        <v>1</v>
      </c>
      <c r="G412">
        <v>1</v>
      </c>
      <c r="H412">
        <v>1</v>
      </c>
      <c r="J412">
        <v>33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R412">
        <v>33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AA412">
        <v>-5161.6318000000001</v>
      </c>
      <c r="AB412">
        <v>-5161.6318000000001</v>
      </c>
      <c r="AC412">
        <v>-5161.6318000000001</v>
      </c>
      <c r="AD412">
        <v>-5161.6318000000001</v>
      </c>
      <c r="AE412">
        <v>-5161.6318000000001</v>
      </c>
      <c r="AF412">
        <v>-5161.6318000000001</v>
      </c>
    </row>
    <row r="413" spans="2:32" x14ac:dyDescent="0.25">
      <c r="B413">
        <v>34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1</v>
      </c>
      <c r="J413">
        <v>34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R413">
        <v>34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AA413">
        <v>-5158.7194</v>
      </c>
      <c r="AB413">
        <v>-5158.7194</v>
      </c>
      <c r="AC413">
        <v>-5158.7194</v>
      </c>
      <c r="AD413">
        <v>-5158.7194</v>
      </c>
      <c r="AE413">
        <v>-5158.7194</v>
      </c>
      <c r="AF413">
        <v>-5158.7194</v>
      </c>
    </row>
    <row r="414" spans="2:32" x14ac:dyDescent="0.25">
      <c r="B414">
        <v>35</v>
      </c>
      <c r="C414">
        <v>1</v>
      </c>
      <c r="D414">
        <v>1</v>
      </c>
      <c r="E414">
        <v>1</v>
      </c>
      <c r="F414">
        <v>1</v>
      </c>
      <c r="G414">
        <v>1</v>
      </c>
      <c r="H414">
        <v>1</v>
      </c>
      <c r="J414">
        <v>35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R414">
        <v>35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AA414">
        <v>-5155.4901</v>
      </c>
      <c r="AB414">
        <v>-5155.4901</v>
      </c>
      <c r="AC414">
        <v>-5155.4901</v>
      </c>
      <c r="AD414">
        <v>-5155.4901</v>
      </c>
      <c r="AE414">
        <v>-5155.4901</v>
      </c>
      <c r="AF414">
        <v>-5155.4901</v>
      </c>
    </row>
    <row r="415" spans="2:32" x14ac:dyDescent="0.25">
      <c r="B415">
        <v>36</v>
      </c>
      <c r="C415">
        <v>1</v>
      </c>
      <c r="D415">
        <v>1</v>
      </c>
      <c r="E415">
        <v>1</v>
      </c>
      <c r="F415">
        <v>1</v>
      </c>
      <c r="G415">
        <v>1</v>
      </c>
      <c r="H415">
        <v>1</v>
      </c>
      <c r="J415">
        <v>36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R415">
        <v>36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AA415">
        <v>-5151.8950999999997</v>
      </c>
      <c r="AB415">
        <v>-5151.8950999999997</v>
      </c>
      <c r="AC415">
        <v>-5151.8950999999997</v>
      </c>
      <c r="AD415">
        <v>-5151.8950999999997</v>
      </c>
      <c r="AE415">
        <v>-5151.8950999999997</v>
      </c>
      <c r="AF415">
        <v>-5151.8950999999997</v>
      </c>
    </row>
    <row r="416" spans="2:32" x14ac:dyDescent="0.25">
      <c r="B416">
        <v>37</v>
      </c>
      <c r="C416">
        <v>1</v>
      </c>
      <c r="D416">
        <v>1</v>
      </c>
      <c r="E416">
        <v>1</v>
      </c>
      <c r="F416">
        <v>1</v>
      </c>
      <c r="G416">
        <v>1</v>
      </c>
      <c r="H416">
        <v>1</v>
      </c>
      <c r="J416">
        <v>37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R416">
        <v>37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AA416">
        <v>-5147.9106000000002</v>
      </c>
      <c r="AB416">
        <v>-5147.9106000000002</v>
      </c>
      <c r="AC416">
        <v>-5147.9106000000002</v>
      </c>
      <c r="AD416">
        <v>-5147.9106000000002</v>
      </c>
      <c r="AE416">
        <v>-5147.9106000000002</v>
      </c>
      <c r="AF416">
        <v>-5147.9106000000002</v>
      </c>
    </row>
    <row r="417" spans="2:32" x14ac:dyDescent="0.25">
      <c r="B417">
        <v>38</v>
      </c>
      <c r="C417">
        <v>1</v>
      </c>
      <c r="D417">
        <v>1</v>
      </c>
      <c r="E417">
        <v>1</v>
      </c>
      <c r="F417">
        <v>1</v>
      </c>
      <c r="G417">
        <v>1</v>
      </c>
      <c r="H417">
        <v>1</v>
      </c>
      <c r="J417">
        <v>38</v>
      </c>
      <c r="K417">
        <v>1</v>
      </c>
      <c r="L417">
        <v>1</v>
      </c>
      <c r="M417">
        <v>1</v>
      </c>
      <c r="N417">
        <v>1</v>
      </c>
      <c r="O417">
        <v>1</v>
      </c>
      <c r="P417">
        <v>1</v>
      </c>
      <c r="R417">
        <v>38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AA417">
        <v>-5143.5393999999997</v>
      </c>
      <c r="AB417">
        <v>-5143.5393999999997</v>
      </c>
      <c r="AC417">
        <v>-5143.5393999999997</v>
      </c>
      <c r="AD417">
        <v>-5143.5393999999997</v>
      </c>
      <c r="AE417">
        <v>-5143.5393999999997</v>
      </c>
      <c r="AF417">
        <v>-5143.5393999999997</v>
      </c>
    </row>
    <row r="418" spans="2:32" x14ac:dyDescent="0.25">
      <c r="B418">
        <v>39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1</v>
      </c>
      <c r="J418">
        <v>39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R418">
        <v>39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AA418">
        <v>-5138.76</v>
      </c>
      <c r="AB418">
        <v>-5138.76</v>
      </c>
      <c r="AC418">
        <v>-5138.76</v>
      </c>
      <c r="AD418">
        <v>-5138.76</v>
      </c>
      <c r="AE418">
        <v>-5138.76</v>
      </c>
      <c r="AF418">
        <v>-5138.76</v>
      </c>
    </row>
    <row r="419" spans="2:32" x14ac:dyDescent="0.25">
      <c r="B419">
        <v>40</v>
      </c>
      <c r="C419">
        <v>1</v>
      </c>
      <c r="D419">
        <v>1</v>
      </c>
      <c r="E419">
        <v>1</v>
      </c>
      <c r="F419">
        <v>1</v>
      </c>
      <c r="G419">
        <v>1</v>
      </c>
      <c r="H419">
        <v>1</v>
      </c>
      <c r="J419">
        <v>40</v>
      </c>
      <c r="K419">
        <v>1</v>
      </c>
      <c r="L419">
        <v>1</v>
      </c>
      <c r="M419">
        <v>1</v>
      </c>
      <c r="N419">
        <v>1</v>
      </c>
      <c r="O419">
        <v>1</v>
      </c>
      <c r="P419">
        <v>1</v>
      </c>
      <c r="R419">
        <v>40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AA419">
        <v>-5133.5084999999999</v>
      </c>
      <c r="AB419">
        <v>-5133.5084999999999</v>
      </c>
      <c r="AC419">
        <v>-5133.5084999999999</v>
      </c>
      <c r="AD419">
        <v>-5133.5084999999999</v>
      </c>
      <c r="AE419">
        <v>-5133.5084999999999</v>
      </c>
      <c r="AF419">
        <v>-5133.5084999999999</v>
      </c>
    </row>
    <row r="420" spans="2:32" x14ac:dyDescent="0.25">
      <c r="B420">
        <v>41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1</v>
      </c>
      <c r="J420">
        <v>41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R420">
        <v>41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AA420">
        <v>-5127.7236000000003</v>
      </c>
      <c r="AB420">
        <v>-5127.7236000000003</v>
      </c>
      <c r="AC420">
        <v>-5127.7236000000003</v>
      </c>
      <c r="AD420">
        <v>-5127.7236000000003</v>
      </c>
      <c r="AE420">
        <v>-5127.7236000000003</v>
      </c>
      <c r="AF420">
        <v>-5127.7236000000003</v>
      </c>
    </row>
    <row r="421" spans="2:32" x14ac:dyDescent="0.25">
      <c r="B421">
        <v>42</v>
      </c>
      <c r="C421">
        <v>1</v>
      </c>
      <c r="D421">
        <v>1</v>
      </c>
      <c r="E421">
        <v>1</v>
      </c>
      <c r="F421">
        <v>1</v>
      </c>
      <c r="G421">
        <v>1</v>
      </c>
      <c r="H421">
        <v>1</v>
      </c>
      <c r="J421">
        <v>42</v>
      </c>
      <c r="K421">
        <v>1</v>
      </c>
      <c r="L421">
        <v>1</v>
      </c>
      <c r="M421">
        <v>1</v>
      </c>
      <c r="N421">
        <v>1</v>
      </c>
      <c r="O421">
        <v>1</v>
      </c>
      <c r="P421">
        <v>1</v>
      </c>
      <c r="R421">
        <v>42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AA421">
        <v>-5121.3726999999999</v>
      </c>
      <c r="AB421">
        <v>-5121.3726999999999</v>
      </c>
      <c r="AC421">
        <v>-5121.3726999999999</v>
      </c>
      <c r="AD421">
        <v>-5121.3726999999999</v>
      </c>
      <c r="AE421">
        <v>-5121.3726999999999</v>
      </c>
      <c r="AF421">
        <v>-5121.3726999999999</v>
      </c>
    </row>
    <row r="422" spans="2:32" x14ac:dyDescent="0.25">
      <c r="B422">
        <v>43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1</v>
      </c>
      <c r="J422">
        <v>43</v>
      </c>
      <c r="K422">
        <v>1</v>
      </c>
      <c r="L422">
        <v>1</v>
      </c>
      <c r="M422">
        <v>1</v>
      </c>
      <c r="N422">
        <v>1</v>
      </c>
      <c r="O422">
        <v>1</v>
      </c>
      <c r="P422">
        <v>1</v>
      </c>
      <c r="R422">
        <v>43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AA422">
        <v>-5114.3449000000001</v>
      </c>
      <c r="AB422">
        <v>-5114.3449000000001</v>
      </c>
      <c r="AC422">
        <v>-5114.3449000000001</v>
      </c>
      <c r="AD422">
        <v>-5114.3449000000001</v>
      </c>
      <c r="AE422">
        <v>-5114.3449000000001</v>
      </c>
      <c r="AF422">
        <v>-5114.3449000000001</v>
      </c>
    </row>
    <row r="423" spans="2:32" x14ac:dyDescent="0.25">
      <c r="B423">
        <v>44</v>
      </c>
      <c r="C423">
        <v>1</v>
      </c>
      <c r="D423">
        <v>1</v>
      </c>
      <c r="E423">
        <v>1</v>
      </c>
      <c r="F423">
        <v>1</v>
      </c>
      <c r="G423">
        <v>1</v>
      </c>
      <c r="H423">
        <v>1</v>
      </c>
      <c r="J423">
        <v>44</v>
      </c>
      <c r="K423">
        <v>1</v>
      </c>
      <c r="L423">
        <v>1</v>
      </c>
      <c r="M423">
        <v>1</v>
      </c>
      <c r="N423">
        <v>1</v>
      </c>
      <c r="O423">
        <v>1</v>
      </c>
      <c r="P423">
        <v>1</v>
      </c>
      <c r="R423">
        <v>44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AA423">
        <v>-5106.5976000000001</v>
      </c>
      <c r="AB423">
        <v>-5106.5976000000001</v>
      </c>
      <c r="AC423">
        <v>-5106.5976000000001</v>
      </c>
      <c r="AD423">
        <v>-5106.5976000000001</v>
      </c>
      <c r="AE423">
        <v>-5106.5976000000001</v>
      </c>
      <c r="AF423">
        <v>-5106.5976000000001</v>
      </c>
    </row>
    <row r="424" spans="2:32" x14ac:dyDescent="0.25">
      <c r="B424">
        <v>45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1</v>
      </c>
      <c r="J424">
        <v>45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R424">
        <v>45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AA424">
        <v>-5098.0524999999998</v>
      </c>
      <c r="AB424">
        <v>-5098.0524999999998</v>
      </c>
      <c r="AC424">
        <v>-5098.0524999999998</v>
      </c>
      <c r="AD424">
        <v>-5098.0524999999998</v>
      </c>
      <c r="AE424">
        <v>-5098.0524999999998</v>
      </c>
      <c r="AF424">
        <v>-5098.0524999999998</v>
      </c>
    </row>
    <row r="425" spans="2:32" x14ac:dyDescent="0.25">
      <c r="B425">
        <v>46</v>
      </c>
      <c r="C425">
        <v>1</v>
      </c>
      <c r="D425">
        <v>1</v>
      </c>
      <c r="E425">
        <v>1</v>
      </c>
      <c r="F425">
        <v>1</v>
      </c>
      <c r="G425">
        <v>1</v>
      </c>
      <c r="H425">
        <v>1</v>
      </c>
      <c r="J425">
        <v>46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R425">
        <v>46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AA425">
        <v>-5088.6378000000004</v>
      </c>
      <c r="AB425">
        <v>-5088.6378000000004</v>
      </c>
      <c r="AC425">
        <v>-5088.6378000000004</v>
      </c>
      <c r="AD425">
        <v>-5088.6378000000004</v>
      </c>
      <c r="AE425">
        <v>-5088.6378000000004</v>
      </c>
      <c r="AF425">
        <v>-5088.6378000000004</v>
      </c>
    </row>
    <row r="426" spans="2:32" x14ac:dyDescent="0.25">
      <c r="B426">
        <v>47</v>
      </c>
      <c r="C426">
        <v>1</v>
      </c>
      <c r="D426">
        <v>1</v>
      </c>
      <c r="E426">
        <v>1</v>
      </c>
      <c r="F426">
        <v>1</v>
      </c>
      <c r="G426">
        <v>1</v>
      </c>
      <c r="H426">
        <v>1</v>
      </c>
      <c r="J426">
        <v>47</v>
      </c>
      <c r="K426">
        <v>1</v>
      </c>
      <c r="L426">
        <v>1</v>
      </c>
      <c r="M426">
        <v>1</v>
      </c>
      <c r="N426">
        <v>1</v>
      </c>
      <c r="O426">
        <v>1</v>
      </c>
      <c r="P426">
        <v>1</v>
      </c>
      <c r="R426">
        <v>47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AA426">
        <v>-5078.2593999999999</v>
      </c>
      <c r="AB426">
        <v>-5078.2593999999999</v>
      </c>
      <c r="AC426">
        <v>-5078.2593999999999</v>
      </c>
      <c r="AD426">
        <v>-5078.2593999999999</v>
      </c>
      <c r="AE426">
        <v>-5078.2593999999999</v>
      </c>
      <c r="AF426">
        <v>-5078.2593999999999</v>
      </c>
    </row>
    <row r="427" spans="2:32" x14ac:dyDescent="0.25">
      <c r="B427">
        <v>48</v>
      </c>
      <c r="C427">
        <v>1</v>
      </c>
      <c r="D427">
        <v>1</v>
      </c>
      <c r="E427">
        <v>1</v>
      </c>
      <c r="F427">
        <v>1</v>
      </c>
      <c r="G427">
        <v>1</v>
      </c>
      <c r="H427">
        <v>1</v>
      </c>
      <c r="J427">
        <v>48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R427">
        <v>48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AA427">
        <v>-5066.8732</v>
      </c>
      <c r="AB427">
        <v>-5066.8732</v>
      </c>
      <c r="AC427">
        <v>-5066.8732</v>
      </c>
      <c r="AD427">
        <v>-5066.8732</v>
      </c>
      <c r="AE427">
        <v>-5066.8732</v>
      </c>
      <c r="AF427">
        <v>-5066.8732</v>
      </c>
    </row>
    <row r="428" spans="2:32" x14ac:dyDescent="0.25">
      <c r="B428">
        <v>49</v>
      </c>
      <c r="C428">
        <v>1</v>
      </c>
      <c r="D428">
        <v>1</v>
      </c>
      <c r="E428">
        <v>1</v>
      </c>
      <c r="F428">
        <v>1</v>
      </c>
      <c r="G428">
        <v>1</v>
      </c>
      <c r="H428">
        <v>1</v>
      </c>
      <c r="J428">
        <v>49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R428">
        <v>49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AA428">
        <v>-5054.4124000000002</v>
      </c>
      <c r="AB428">
        <v>-5054.4124000000002</v>
      </c>
      <c r="AC428">
        <v>-5054.4124000000002</v>
      </c>
      <c r="AD428">
        <v>-5054.4124000000002</v>
      </c>
      <c r="AE428">
        <v>-5054.4124000000002</v>
      </c>
      <c r="AF428">
        <v>-5054.4124000000002</v>
      </c>
    </row>
    <row r="429" spans="2:32" x14ac:dyDescent="0.25">
      <c r="B429">
        <v>50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J429">
        <v>50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1</v>
      </c>
      <c r="R429">
        <v>50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AA429">
        <v>-5040.7671</v>
      </c>
      <c r="AB429">
        <v>-5040.7671</v>
      </c>
      <c r="AC429">
        <v>-5040.7671</v>
      </c>
      <c r="AD429">
        <v>-5040.7671</v>
      </c>
      <c r="AE429">
        <v>-5040.7671</v>
      </c>
      <c r="AF429">
        <v>-5040.7671</v>
      </c>
    </row>
    <row r="430" spans="2:32" x14ac:dyDescent="0.25">
      <c r="B430">
        <v>51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J430">
        <v>51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R430">
        <v>51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AA430">
        <v>-5025.8329000000003</v>
      </c>
      <c r="AB430">
        <v>-5025.8329000000003</v>
      </c>
      <c r="AC430">
        <v>-5025.8329000000003</v>
      </c>
      <c r="AD430">
        <v>-5025.8329000000003</v>
      </c>
      <c r="AE430">
        <v>-5025.8329000000003</v>
      </c>
      <c r="AF430">
        <v>-5025.8329000000003</v>
      </c>
    </row>
    <row r="431" spans="2:32" x14ac:dyDescent="0.25">
      <c r="B431">
        <v>52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1</v>
      </c>
      <c r="J431">
        <v>52</v>
      </c>
      <c r="K431">
        <v>1</v>
      </c>
      <c r="L431">
        <v>1</v>
      </c>
      <c r="M431">
        <v>1</v>
      </c>
      <c r="N431">
        <v>1</v>
      </c>
      <c r="O431">
        <v>1</v>
      </c>
      <c r="P431">
        <v>1</v>
      </c>
      <c r="R431">
        <v>52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AA431">
        <v>-5009.4771000000001</v>
      </c>
      <c r="AB431">
        <v>-5009.4771000000001</v>
      </c>
      <c r="AC431">
        <v>-5009.4771000000001</v>
      </c>
      <c r="AD431">
        <v>-5009.4771000000001</v>
      </c>
      <c r="AE431">
        <v>-5009.4771000000001</v>
      </c>
      <c r="AF431">
        <v>-5009.4771000000001</v>
      </c>
    </row>
    <row r="432" spans="2:32" x14ac:dyDescent="0.25">
      <c r="B432">
        <v>53</v>
      </c>
      <c r="C432">
        <v>1</v>
      </c>
      <c r="D432">
        <v>1</v>
      </c>
      <c r="E432">
        <v>1</v>
      </c>
      <c r="F432">
        <v>1</v>
      </c>
      <c r="G432">
        <v>1</v>
      </c>
      <c r="H432">
        <v>1</v>
      </c>
      <c r="J432">
        <v>53</v>
      </c>
      <c r="K432">
        <v>1</v>
      </c>
      <c r="L432">
        <v>1</v>
      </c>
      <c r="M432">
        <v>1</v>
      </c>
      <c r="N432">
        <v>1</v>
      </c>
      <c r="O432">
        <v>1</v>
      </c>
      <c r="P432">
        <v>1</v>
      </c>
      <c r="R432">
        <v>53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AA432">
        <v>-4991.6184000000003</v>
      </c>
      <c r="AB432">
        <v>-4991.6184000000003</v>
      </c>
      <c r="AC432">
        <v>-4991.6184000000003</v>
      </c>
      <c r="AD432">
        <v>-4991.6184000000003</v>
      </c>
      <c r="AE432">
        <v>-4991.6184000000003</v>
      </c>
      <c r="AF432">
        <v>-4991.6184000000003</v>
      </c>
    </row>
    <row r="433" spans="2:32" x14ac:dyDescent="0.25">
      <c r="B433">
        <v>54</v>
      </c>
      <c r="C433">
        <v>1</v>
      </c>
      <c r="D433">
        <v>1</v>
      </c>
      <c r="E433">
        <v>1</v>
      </c>
      <c r="F433">
        <v>1</v>
      </c>
      <c r="G433">
        <v>1</v>
      </c>
      <c r="H433">
        <v>1</v>
      </c>
      <c r="J433">
        <v>54</v>
      </c>
      <c r="K433">
        <v>1</v>
      </c>
      <c r="L433">
        <v>1</v>
      </c>
      <c r="M433">
        <v>1</v>
      </c>
      <c r="N433">
        <v>1</v>
      </c>
      <c r="O433">
        <v>1</v>
      </c>
      <c r="P433">
        <v>1</v>
      </c>
      <c r="R433">
        <v>54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AA433">
        <v>-4972.1588000000002</v>
      </c>
      <c r="AB433">
        <v>-4972.1588000000002</v>
      </c>
      <c r="AC433">
        <v>-4972.1588000000002</v>
      </c>
      <c r="AD433">
        <v>-4972.1588000000002</v>
      </c>
      <c r="AE433">
        <v>-4972.1588000000002</v>
      </c>
      <c r="AF433">
        <v>-4972.1588000000002</v>
      </c>
    </row>
    <row r="434" spans="2:32" x14ac:dyDescent="0.25">
      <c r="B434">
        <v>55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J434">
        <v>55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R434">
        <v>55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AA434">
        <v>-4950.9426000000003</v>
      </c>
      <c r="AB434">
        <v>-4950.9426000000003</v>
      </c>
      <c r="AC434">
        <v>-4950.9426000000003</v>
      </c>
      <c r="AD434">
        <v>-4950.9426000000003</v>
      </c>
      <c r="AE434">
        <v>-4950.9426000000003</v>
      </c>
      <c r="AF434">
        <v>-4950.9426000000003</v>
      </c>
    </row>
    <row r="437" spans="2:32" x14ac:dyDescent="0.25">
      <c r="B437" t="s">
        <v>46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32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48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2:32" x14ac:dyDescent="0.25">
      <c r="B438">
        <v>35</v>
      </c>
      <c r="C438">
        <v>1</v>
      </c>
      <c r="D438">
        <v>1</v>
      </c>
      <c r="E438">
        <v>1</v>
      </c>
      <c r="F438">
        <v>1</v>
      </c>
      <c r="G438">
        <v>1</v>
      </c>
      <c r="J438">
        <v>35</v>
      </c>
      <c r="K438">
        <v>1</v>
      </c>
      <c r="L438">
        <v>1</v>
      </c>
      <c r="M438">
        <v>1</v>
      </c>
      <c r="N438">
        <v>1</v>
      </c>
      <c r="O438">
        <v>1</v>
      </c>
      <c r="R438">
        <v>35</v>
      </c>
      <c r="S438">
        <v>1</v>
      </c>
      <c r="T438">
        <v>1</v>
      </c>
      <c r="U438">
        <v>1</v>
      </c>
      <c r="V438">
        <v>1</v>
      </c>
      <c r="W438">
        <v>1</v>
      </c>
      <c r="AA438">
        <v>-8996.1419000000005</v>
      </c>
      <c r="AB438">
        <v>-8996.1419000000005</v>
      </c>
      <c r="AC438">
        <v>-8996.1419000000005</v>
      </c>
      <c r="AD438">
        <v>-8996.1419000000005</v>
      </c>
      <c r="AE438">
        <v>-8996.1419000000005</v>
      </c>
      <c r="AF438">
        <v>-759112.79520000005</v>
      </c>
    </row>
    <row r="439" spans="2:32" x14ac:dyDescent="0.25">
      <c r="B439">
        <f t="shared" ref="B439:B468" si="18">B438+1</f>
        <v>36</v>
      </c>
      <c r="C439">
        <v>1</v>
      </c>
      <c r="D439">
        <v>1</v>
      </c>
      <c r="E439">
        <v>1</v>
      </c>
      <c r="F439">
        <v>1</v>
      </c>
      <c r="G439">
        <v>1</v>
      </c>
      <c r="J439">
        <f t="shared" ref="J439:J468" si="19">J438+1</f>
        <v>36</v>
      </c>
      <c r="K439">
        <v>1</v>
      </c>
      <c r="L439">
        <v>1</v>
      </c>
      <c r="M439">
        <v>1</v>
      </c>
      <c r="N439">
        <v>1</v>
      </c>
      <c r="O439">
        <v>1</v>
      </c>
      <c r="R439">
        <f t="shared" ref="R439:R468" si="20">R438+1</f>
        <v>36</v>
      </c>
      <c r="S439">
        <v>1</v>
      </c>
      <c r="T439">
        <v>1</v>
      </c>
      <c r="U439">
        <v>1</v>
      </c>
      <c r="V439">
        <v>1</v>
      </c>
      <c r="W439">
        <v>1</v>
      </c>
      <c r="AA439">
        <v>-8902.6679999999997</v>
      </c>
      <c r="AB439">
        <v>-8902.6679999999997</v>
      </c>
      <c r="AC439">
        <v>-8902.6679999999997</v>
      </c>
      <c r="AD439">
        <v>-8902.6679999999997</v>
      </c>
      <c r="AE439">
        <v>-8902.6679999999997</v>
      </c>
      <c r="AF439">
        <v>-737070.86179999996</v>
      </c>
    </row>
    <row r="440" spans="2:32" x14ac:dyDescent="0.25">
      <c r="B440">
        <f t="shared" si="18"/>
        <v>37</v>
      </c>
      <c r="C440">
        <v>1</v>
      </c>
      <c r="D440">
        <v>1</v>
      </c>
      <c r="E440">
        <v>1</v>
      </c>
      <c r="F440">
        <v>1</v>
      </c>
      <c r="G440">
        <v>1</v>
      </c>
      <c r="J440">
        <f t="shared" si="19"/>
        <v>37</v>
      </c>
      <c r="K440">
        <v>1</v>
      </c>
      <c r="L440">
        <v>1</v>
      </c>
      <c r="M440">
        <v>1</v>
      </c>
      <c r="N440">
        <v>1</v>
      </c>
      <c r="O440">
        <v>1</v>
      </c>
      <c r="R440">
        <f t="shared" si="20"/>
        <v>37</v>
      </c>
      <c r="S440">
        <v>1</v>
      </c>
      <c r="T440">
        <v>1</v>
      </c>
      <c r="U440">
        <v>1</v>
      </c>
      <c r="V440">
        <v>1</v>
      </c>
      <c r="W440">
        <v>1</v>
      </c>
      <c r="AA440">
        <v>-8806.7960000000003</v>
      </c>
      <c r="AB440">
        <v>-8806.7960000000003</v>
      </c>
      <c r="AC440">
        <v>-8806.7960000000003</v>
      </c>
      <c r="AD440">
        <v>-8806.7960000000003</v>
      </c>
      <c r="AE440">
        <v>-8806.7960000000003</v>
      </c>
      <c r="AF440">
        <v>-765978.91940000001</v>
      </c>
    </row>
    <row r="441" spans="2:32" x14ac:dyDescent="0.25">
      <c r="B441">
        <f t="shared" si="18"/>
        <v>38</v>
      </c>
      <c r="C441">
        <v>1</v>
      </c>
      <c r="D441">
        <v>1</v>
      </c>
      <c r="E441">
        <v>1</v>
      </c>
      <c r="F441">
        <v>1</v>
      </c>
      <c r="G441">
        <v>1</v>
      </c>
      <c r="J441">
        <f t="shared" si="19"/>
        <v>38</v>
      </c>
      <c r="K441">
        <v>1</v>
      </c>
      <c r="L441">
        <v>1</v>
      </c>
      <c r="M441">
        <v>1</v>
      </c>
      <c r="N441">
        <v>1</v>
      </c>
      <c r="O441">
        <v>1</v>
      </c>
      <c r="R441">
        <f t="shared" si="20"/>
        <v>38</v>
      </c>
      <c r="S441">
        <v>1</v>
      </c>
      <c r="T441">
        <v>1</v>
      </c>
      <c r="U441">
        <v>1</v>
      </c>
      <c r="V441">
        <v>1</v>
      </c>
      <c r="W441">
        <v>1</v>
      </c>
      <c r="AA441">
        <v>-8708.6234000000004</v>
      </c>
      <c r="AB441">
        <v>-8708.6234000000004</v>
      </c>
      <c r="AC441">
        <v>-8708.6234000000004</v>
      </c>
      <c r="AD441">
        <v>-8708.6234000000004</v>
      </c>
      <c r="AE441">
        <v>-8708.6234000000004</v>
      </c>
      <c r="AF441">
        <v>-783780.576</v>
      </c>
    </row>
    <row r="442" spans="2:32" x14ac:dyDescent="0.25">
      <c r="B442">
        <f t="shared" si="18"/>
        <v>39</v>
      </c>
      <c r="C442">
        <v>1</v>
      </c>
      <c r="D442">
        <v>1</v>
      </c>
      <c r="E442">
        <v>1</v>
      </c>
      <c r="F442">
        <v>1</v>
      </c>
      <c r="G442">
        <v>1</v>
      </c>
      <c r="J442">
        <f t="shared" si="19"/>
        <v>39</v>
      </c>
      <c r="K442">
        <v>1</v>
      </c>
      <c r="L442">
        <v>1</v>
      </c>
      <c r="M442">
        <v>1</v>
      </c>
      <c r="N442">
        <v>1</v>
      </c>
      <c r="O442">
        <v>1</v>
      </c>
      <c r="R442">
        <f t="shared" si="20"/>
        <v>39</v>
      </c>
      <c r="S442">
        <v>1</v>
      </c>
      <c r="T442">
        <v>1</v>
      </c>
      <c r="U442">
        <v>1</v>
      </c>
      <c r="V442">
        <v>1</v>
      </c>
      <c r="W442">
        <v>1</v>
      </c>
      <c r="AA442">
        <v>-8608.1594000000005</v>
      </c>
      <c r="AB442">
        <v>-8608.1594000000005</v>
      </c>
      <c r="AC442">
        <v>-8608.1594000000005</v>
      </c>
      <c r="AD442">
        <v>-8608.1594000000005</v>
      </c>
      <c r="AE442">
        <v>-8608.1594000000005</v>
      </c>
      <c r="AF442">
        <v>-769662.22069999995</v>
      </c>
    </row>
    <row r="443" spans="2:32" x14ac:dyDescent="0.25">
      <c r="B443">
        <f t="shared" si="18"/>
        <v>40</v>
      </c>
      <c r="C443">
        <v>1</v>
      </c>
      <c r="D443">
        <v>1</v>
      </c>
      <c r="E443">
        <v>1</v>
      </c>
      <c r="F443">
        <v>1</v>
      </c>
      <c r="G443">
        <v>1</v>
      </c>
      <c r="J443">
        <f t="shared" si="19"/>
        <v>40</v>
      </c>
      <c r="K443">
        <v>1</v>
      </c>
      <c r="L443">
        <v>1</v>
      </c>
      <c r="M443">
        <v>1</v>
      </c>
      <c r="N443">
        <v>1</v>
      </c>
      <c r="O443">
        <v>1</v>
      </c>
      <c r="R443">
        <f t="shared" si="20"/>
        <v>40</v>
      </c>
      <c r="S443">
        <v>1</v>
      </c>
      <c r="T443">
        <v>1</v>
      </c>
      <c r="U443">
        <v>1</v>
      </c>
      <c r="V443">
        <v>1</v>
      </c>
      <c r="W443">
        <v>1</v>
      </c>
      <c r="AA443">
        <v>-8505.3439999999991</v>
      </c>
      <c r="AB443">
        <v>-8505.3439999999991</v>
      </c>
      <c r="AC443">
        <v>-8505.3439999999991</v>
      </c>
      <c r="AD443">
        <v>-8505.3439999999991</v>
      </c>
      <c r="AE443">
        <v>-8505.3439999999991</v>
      </c>
      <c r="AF443">
        <v>-798570.41119999997</v>
      </c>
    </row>
    <row r="444" spans="2:32" x14ac:dyDescent="0.25">
      <c r="B444">
        <f t="shared" si="18"/>
        <v>41</v>
      </c>
      <c r="C444">
        <v>1</v>
      </c>
      <c r="D444">
        <v>1</v>
      </c>
      <c r="E444">
        <v>1</v>
      </c>
      <c r="F444">
        <v>1</v>
      </c>
      <c r="G444">
        <v>1</v>
      </c>
      <c r="J444">
        <f t="shared" si="19"/>
        <v>41</v>
      </c>
      <c r="K444">
        <v>1</v>
      </c>
      <c r="L444">
        <v>1</v>
      </c>
      <c r="M444">
        <v>1</v>
      </c>
      <c r="N444">
        <v>1</v>
      </c>
      <c r="O444">
        <v>1</v>
      </c>
      <c r="R444">
        <f t="shared" si="20"/>
        <v>41</v>
      </c>
      <c r="S444">
        <v>1</v>
      </c>
      <c r="T444">
        <v>1</v>
      </c>
      <c r="U444">
        <v>1</v>
      </c>
      <c r="V444">
        <v>1</v>
      </c>
      <c r="W444">
        <v>1</v>
      </c>
      <c r="AA444">
        <v>-8400.1087000000007</v>
      </c>
      <c r="AB444">
        <v>-8400.1087000000007</v>
      </c>
      <c r="AC444">
        <v>-8400.1087000000007</v>
      </c>
      <c r="AD444">
        <v>-8400.1087000000007</v>
      </c>
      <c r="AE444">
        <v>-8400.1087000000007</v>
      </c>
      <c r="AF444">
        <v>-803549.96459999995</v>
      </c>
    </row>
    <row r="445" spans="2:32" x14ac:dyDescent="0.25">
      <c r="B445">
        <f t="shared" si="18"/>
        <v>42</v>
      </c>
      <c r="C445">
        <v>1</v>
      </c>
      <c r="D445">
        <v>1</v>
      </c>
      <c r="E445">
        <v>1</v>
      </c>
      <c r="F445">
        <v>1</v>
      </c>
      <c r="G445">
        <v>1</v>
      </c>
      <c r="J445">
        <f t="shared" si="19"/>
        <v>42</v>
      </c>
      <c r="K445">
        <v>1</v>
      </c>
      <c r="L445">
        <v>1</v>
      </c>
      <c r="M445">
        <v>1</v>
      </c>
      <c r="N445">
        <v>1</v>
      </c>
      <c r="O445">
        <v>1</v>
      </c>
      <c r="R445">
        <f t="shared" si="20"/>
        <v>42</v>
      </c>
      <c r="S445">
        <v>1</v>
      </c>
      <c r="T445">
        <v>1</v>
      </c>
      <c r="U445">
        <v>1</v>
      </c>
      <c r="V445">
        <v>1</v>
      </c>
      <c r="W445">
        <v>1</v>
      </c>
      <c r="AA445">
        <v>-8292.4974999999995</v>
      </c>
      <c r="AB445">
        <v>-8292.4974999999995</v>
      </c>
      <c r="AC445">
        <v>-8292.4974999999995</v>
      </c>
      <c r="AD445">
        <v>-8292.4974999999995</v>
      </c>
      <c r="AE445">
        <v>-8292.4974999999995</v>
      </c>
      <c r="AF445">
        <v>-833551.75890000002</v>
      </c>
    </row>
    <row r="446" spans="2:32" x14ac:dyDescent="0.25">
      <c r="B446">
        <f t="shared" si="18"/>
        <v>43</v>
      </c>
      <c r="C446">
        <v>1</v>
      </c>
      <c r="D446">
        <v>1</v>
      </c>
      <c r="E446">
        <v>1</v>
      </c>
      <c r="F446">
        <v>1</v>
      </c>
      <c r="G446">
        <v>1</v>
      </c>
      <c r="J446">
        <f t="shared" si="19"/>
        <v>43</v>
      </c>
      <c r="K446">
        <v>1</v>
      </c>
      <c r="L446">
        <v>1</v>
      </c>
      <c r="M446">
        <v>1</v>
      </c>
      <c r="N446">
        <v>1</v>
      </c>
      <c r="O446">
        <v>1</v>
      </c>
      <c r="R446">
        <f t="shared" si="20"/>
        <v>43</v>
      </c>
      <c r="S446">
        <v>1</v>
      </c>
      <c r="T446">
        <v>1</v>
      </c>
      <c r="U446">
        <v>1</v>
      </c>
      <c r="V446">
        <v>1</v>
      </c>
      <c r="W446">
        <v>1</v>
      </c>
      <c r="AA446">
        <v>-8182.3909999999996</v>
      </c>
      <c r="AB446">
        <v>-8182.3909999999996</v>
      </c>
      <c r="AC446">
        <v>-8182.3909999999996</v>
      </c>
      <c r="AD446">
        <v>-8182.3909999999996</v>
      </c>
      <c r="AE446">
        <v>-8182.3909999999996</v>
      </c>
      <c r="AF446">
        <v>-844950.93949999998</v>
      </c>
    </row>
    <row r="447" spans="2:32" x14ac:dyDescent="0.25">
      <c r="B447">
        <f t="shared" si="18"/>
        <v>44</v>
      </c>
      <c r="C447">
        <v>1</v>
      </c>
      <c r="D447">
        <v>1</v>
      </c>
      <c r="E447">
        <v>1</v>
      </c>
      <c r="F447">
        <v>1</v>
      </c>
      <c r="G447">
        <v>1</v>
      </c>
      <c r="J447">
        <f t="shared" si="19"/>
        <v>44</v>
      </c>
      <c r="K447">
        <v>1</v>
      </c>
      <c r="L447">
        <v>1</v>
      </c>
      <c r="M447">
        <v>1</v>
      </c>
      <c r="N447">
        <v>1</v>
      </c>
      <c r="O447">
        <v>1</v>
      </c>
      <c r="R447">
        <f t="shared" si="20"/>
        <v>44</v>
      </c>
      <c r="S447">
        <v>1</v>
      </c>
      <c r="T447">
        <v>1</v>
      </c>
      <c r="U447">
        <v>1</v>
      </c>
      <c r="V447">
        <v>1</v>
      </c>
      <c r="W447">
        <v>1</v>
      </c>
      <c r="AA447">
        <v>-8069.8261000000002</v>
      </c>
      <c r="AB447">
        <v>-8069.8261000000002</v>
      </c>
      <c r="AC447">
        <v>-8069.8261000000002</v>
      </c>
      <c r="AD447">
        <v>-8069.8261000000002</v>
      </c>
      <c r="AE447">
        <v>-8069.8261000000002</v>
      </c>
      <c r="AF447">
        <v>-851265.64670000004</v>
      </c>
    </row>
    <row r="448" spans="2:32" x14ac:dyDescent="0.25">
      <c r="B448">
        <f t="shared" si="18"/>
        <v>45</v>
      </c>
      <c r="C448">
        <v>1</v>
      </c>
      <c r="D448">
        <v>1</v>
      </c>
      <c r="E448">
        <v>1</v>
      </c>
      <c r="F448">
        <v>1</v>
      </c>
      <c r="G448">
        <v>1</v>
      </c>
      <c r="J448">
        <f t="shared" si="19"/>
        <v>45</v>
      </c>
      <c r="K448">
        <v>1</v>
      </c>
      <c r="L448">
        <v>1</v>
      </c>
      <c r="M448">
        <v>1</v>
      </c>
      <c r="N448">
        <v>1</v>
      </c>
      <c r="O448">
        <v>1</v>
      </c>
      <c r="R448">
        <f t="shared" si="20"/>
        <v>45</v>
      </c>
      <c r="S448">
        <v>1</v>
      </c>
      <c r="T448">
        <v>1</v>
      </c>
      <c r="U448">
        <v>1</v>
      </c>
      <c r="V448">
        <v>1</v>
      </c>
      <c r="W448">
        <v>1</v>
      </c>
      <c r="AA448">
        <v>-7954.7533999999996</v>
      </c>
      <c r="AB448">
        <v>-7954.7533999999996</v>
      </c>
      <c r="AC448">
        <v>-7954.7533999999996</v>
      </c>
      <c r="AD448">
        <v>-7954.7533999999996</v>
      </c>
      <c r="AE448">
        <v>-7954.7533999999996</v>
      </c>
      <c r="AF448">
        <v>-870649.02139999997</v>
      </c>
    </row>
    <row r="449" spans="2:32" x14ac:dyDescent="0.25">
      <c r="B449">
        <f t="shared" si="18"/>
        <v>46</v>
      </c>
      <c r="C449">
        <v>1</v>
      </c>
      <c r="D449">
        <v>1</v>
      </c>
      <c r="E449">
        <v>1</v>
      </c>
      <c r="F449">
        <v>1</v>
      </c>
      <c r="G449">
        <v>1</v>
      </c>
      <c r="J449">
        <f t="shared" si="19"/>
        <v>46</v>
      </c>
      <c r="K449">
        <v>1</v>
      </c>
      <c r="L449">
        <v>1</v>
      </c>
      <c r="M449">
        <v>1</v>
      </c>
      <c r="N449">
        <v>1</v>
      </c>
      <c r="O449">
        <v>1</v>
      </c>
      <c r="R449">
        <f t="shared" si="20"/>
        <v>46</v>
      </c>
      <c r="S449">
        <v>1</v>
      </c>
      <c r="T449">
        <v>1</v>
      </c>
      <c r="U449">
        <v>1</v>
      </c>
      <c r="V449">
        <v>1</v>
      </c>
      <c r="W449">
        <v>1</v>
      </c>
      <c r="AA449">
        <v>-7837.1754000000001</v>
      </c>
      <c r="AB449">
        <v>-7837.1754000000001</v>
      </c>
      <c r="AC449">
        <v>-7837.1754000000001</v>
      </c>
      <c r="AD449">
        <v>-7837.1754000000001</v>
      </c>
      <c r="AE449">
        <v>-7837.1754000000001</v>
      </c>
      <c r="AF449">
        <v>-892550.54509999999</v>
      </c>
    </row>
    <row r="450" spans="2:32" x14ac:dyDescent="0.25">
      <c r="B450">
        <f t="shared" si="18"/>
        <v>47</v>
      </c>
      <c r="C450">
        <v>1</v>
      </c>
      <c r="D450">
        <v>1</v>
      </c>
      <c r="E450">
        <v>1</v>
      </c>
      <c r="F450">
        <v>1</v>
      </c>
      <c r="G450">
        <v>1</v>
      </c>
      <c r="J450">
        <f t="shared" si="19"/>
        <v>47</v>
      </c>
      <c r="K450">
        <v>1</v>
      </c>
      <c r="L450">
        <v>1</v>
      </c>
      <c r="M450">
        <v>1</v>
      </c>
      <c r="N450">
        <v>1</v>
      </c>
      <c r="O450">
        <v>1</v>
      </c>
      <c r="R450">
        <f t="shared" si="20"/>
        <v>47</v>
      </c>
      <c r="S450">
        <v>1</v>
      </c>
      <c r="T450">
        <v>1</v>
      </c>
      <c r="U450">
        <v>1</v>
      </c>
      <c r="V450">
        <v>1</v>
      </c>
      <c r="W450">
        <v>1</v>
      </c>
      <c r="AA450">
        <v>-7717.0294999999996</v>
      </c>
      <c r="AB450">
        <v>-7717.0294999999996</v>
      </c>
      <c r="AC450">
        <v>-7717.0294999999996</v>
      </c>
      <c r="AD450">
        <v>-7717.0294999999996</v>
      </c>
      <c r="AE450">
        <v>-7717.0294999999996</v>
      </c>
      <c r="AF450">
        <v>-910915.81969999999</v>
      </c>
    </row>
    <row r="451" spans="2:32" x14ac:dyDescent="0.25">
      <c r="B451">
        <f t="shared" si="18"/>
        <v>48</v>
      </c>
      <c r="C451">
        <v>1</v>
      </c>
      <c r="D451">
        <v>1</v>
      </c>
      <c r="E451">
        <v>1</v>
      </c>
      <c r="F451">
        <v>1</v>
      </c>
      <c r="G451">
        <v>1</v>
      </c>
      <c r="J451">
        <f t="shared" si="19"/>
        <v>48</v>
      </c>
      <c r="K451">
        <v>1</v>
      </c>
      <c r="L451">
        <v>1</v>
      </c>
      <c r="M451">
        <v>1</v>
      </c>
      <c r="N451">
        <v>1</v>
      </c>
      <c r="O451">
        <v>1</v>
      </c>
      <c r="R451">
        <f t="shared" si="20"/>
        <v>48</v>
      </c>
      <c r="S451">
        <v>1</v>
      </c>
      <c r="T451">
        <v>1</v>
      </c>
      <c r="U451">
        <v>1</v>
      </c>
      <c r="V451">
        <v>1</v>
      </c>
      <c r="W451">
        <v>1</v>
      </c>
      <c r="AA451">
        <v>-7594.4201000000003</v>
      </c>
      <c r="AB451">
        <v>-7594.4201000000003</v>
      </c>
      <c r="AC451">
        <v>-7594.4201000000003</v>
      </c>
      <c r="AD451">
        <v>-7594.4201000000003</v>
      </c>
      <c r="AE451">
        <v>-7594.4201000000003</v>
      </c>
      <c r="AF451">
        <v>-917891.87360000005</v>
      </c>
    </row>
    <row r="452" spans="2:32" x14ac:dyDescent="0.25">
      <c r="B452">
        <f t="shared" si="18"/>
        <v>49</v>
      </c>
      <c r="C452">
        <v>1</v>
      </c>
      <c r="D452">
        <v>1</v>
      </c>
      <c r="E452">
        <v>1</v>
      </c>
      <c r="F452">
        <v>1</v>
      </c>
      <c r="G452">
        <v>1</v>
      </c>
      <c r="J452">
        <f t="shared" si="19"/>
        <v>49</v>
      </c>
      <c r="K452">
        <v>1</v>
      </c>
      <c r="L452">
        <v>1</v>
      </c>
      <c r="M452">
        <v>1</v>
      </c>
      <c r="N452">
        <v>1</v>
      </c>
      <c r="O452">
        <v>1</v>
      </c>
      <c r="R452">
        <f t="shared" si="20"/>
        <v>49</v>
      </c>
      <c r="S452">
        <v>1</v>
      </c>
      <c r="T452">
        <v>1</v>
      </c>
      <c r="U452">
        <v>1</v>
      </c>
      <c r="V452">
        <v>1</v>
      </c>
      <c r="W452">
        <v>1</v>
      </c>
      <c r="AA452">
        <v>-7469.3995999999997</v>
      </c>
      <c r="AB452">
        <v>-7469.3995999999997</v>
      </c>
      <c r="AC452">
        <v>-7469.3995999999997</v>
      </c>
      <c r="AD452">
        <v>-7469.3995999999997</v>
      </c>
      <c r="AE452">
        <v>-7469.3995999999997</v>
      </c>
      <c r="AF452">
        <v>-944521.72470000002</v>
      </c>
    </row>
    <row r="453" spans="2:32" x14ac:dyDescent="0.25">
      <c r="B453">
        <f t="shared" si="18"/>
        <v>50</v>
      </c>
      <c r="C453">
        <v>1</v>
      </c>
      <c r="D453">
        <v>1</v>
      </c>
      <c r="E453">
        <v>1</v>
      </c>
      <c r="F453">
        <v>1</v>
      </c>
      <c r="G453">
        <v>1</v>
      </c>
      <c r="J453">
        <f t="shared" si="19"/>
        <v>50</v>
      </c>
      <c r="K453">
        <v>1</v>
      </c>
      <c r="L453">
        <v>1</v>
      </c>
      <c r="M453">
        <v>1</v>
      </c>
      <c r="N453">
        <v>1</v>
      </c>
      <c r="O453">
        <v>1</v>
      </c>
      <c r="R453">
        <f t="shared" si="20"/>
        <v>50</v>
      </c>
      <c r="S453">
        <v>1</v>
      </c>
      <c r="T453">
        <v>1</v>
      </c>
      <c r="U453">
        <v>1</v>
      </c>
      <c r="V453">
        <v>1</v>
      </c>
      <c r="W453">
        <v>1</v>
      </c>
      <c r="AA453">
        <v>-7341.9502000000002</v>
      </c>
      <c r="AB453">
        <v>-7341.9502000000002</v>
      </c>
      <c r="AC453">
        <v>-7341.9502000000002</v>
      </c>
      <c r="AD453">
        <v>-7341.9502000000002</v>
      </c>
      <c r="AE453">
        <v>-7341.9502000000002</v>
      </c>
      <c r="AF453">
        <v>-963257.14989999996</v>
      </c>
    </row>
    <row r="454" spans="2:32" x14ac:dyDescent="0.25">
      <c r="B454">
        <f t="shared" si="18"/>
        <v>51</v>
      </c>
      <c r="C454">
        <v>1</v>
      </c>
      <c r="D454">
        <v>1</v>
      </c>
      <c r="E454">
        <v>1</v>
      </c>
      <c r="F454">
        <v>1</v>
      </c>
      <c r="G454">
        <v>1</v>
      </c>
      <c r="J454">
        <f t="shared" si="19"/>
        <v>51</v>
      </c>
      <c r="K454">
        <v>1</v>
      </c>
      <c r="L454">
        <v>1</v>
      </c>
      <c r="M454">
        <v>1</v>
      </c>
      <c r="N454">
        <v>1</v>
      </c>
      <c r="O454">
        <v>1</v>
      </c>
      <c r="R454">
        <f t="shared" si="20"/>
        <v>51</v>
      </c>
      <c r="S454">
        <v>1</v>
      </c>
      <c r="T454">
        <v>1</v>
      </c>
      <c r="U454">
        <v>1</v>
      </c>
      <c r="V454">
        <v>1</v>
      </c>
      <c r="W454">
        <v>1</v>
      </c>
      <c r="AA454">
        <v>-7212.0646999999999</v>
      </c>
      <c r="AB454">
        <v>-7212.0646999999999</v>
      </c>
      <c r="AC454">
        <v>-7212.0646999999999</v>
      </c>
      <c r="AD454">
        <v>-7212.0646999999999</v>
      </c>
      <c r="AE454">
        <v>-7212.0646999999999</v>
      </c>
      <c r="AF454">
        <v>-981592.90729999996</v>
      </c>
    </row>
    <row r="455" spans="2:32" x14ac:dyDescent="0.25">
      <c r="B455">
        <f t="shared" si="18"/>
        <v>52</v>
      </c>
      <c r="C455">
        <v>1</v>
      </c>
      <c r="D455">
        <v>1</v>
      </c>
      <c r="E455">
        <v>1</v>
      </c>
      <c r="F455">
        <v>1</v>
      </c>
      <c r="G455">
        <v>1</v>
      </c>
      <c r="J455">
        <f t="shared" si="19"/>
        <v>52</v>
      </c>
      <c r="K455">
        <v>1</v>
      </c>
      <c r="L455">
        <v>1</v>
      </c>
      <c r="M455">
        <v>1</v>
      </c>
      <c r="N455">
        <v>1</v>
      </c>
      <c r="O455">
        <v>1</v>
      </c>
      <c r="R455">
        <f t="shared" si="20"/>
        <v>52</v>
      </c>
      <c r="S455">
        <v>1</v>
      </c>
      <c r="T455">
        <v>1</v>
      </c>
      <c r="U455">
        <v>1</v>
      </c>
      <c r="V455">
        <v>1</v>
      </c>
      <c r="W455">
        <v>1</v>
      </c>
      <c r="AA455">
        <v>-7079.7435999999998</v>
      </c>
      <c r="AB455">
        <v>-7079.7435999999998</v>
      </c>
      <c r="AC455">
        <v>-7079.7435999999998</v>
      </c>
      <c r="AD455">
        <v>-7079.7435999999998</v>
      </c>
      <c r="AE455">
        <v>-7079.7435999999998</v>
      </c>
      <c r="AF455">
        <v>-998556.10360000003</v>
      </c>
    </row>
    <row r="456" spans="2:32" x14ac:dyDescent="0.25">
      <c r="B456">
        <f t="shared" si="18"/>
        <v>53</v>
      </c>
      <c r="C456">
        <v>1</v>
      </c>
      <c r="D456">
        <v>1</v>
      </c>
      <c r="E456">
        <v>1</v>
      </c>
      <c r="F456">
        <v>1</v>
      </c>
      <c r="G456">
        <v>1</v>
      </c>
      <c r="J456">
        <f t="shared" si="19"/>
        <v>53</v>
      </c>
      <c r="K456">
        <v>1</v>
      </c>
      <c r="L456">
        <v>1</v>
      </c>
      <c r="M456">
        <v>1</v>
      </c>
      <c r="N456">
        <v>1</v>
      </c>
      <c r="O456">
        <v>1</v>
      </c>
      <c r="R456">
        <f t="shared" si="20"/>
        <v>53</v>
      </c>
      <c r="S456">
        <v>1</v>
      </c>
      <c r="T456">
        <v>1</v>
      </c>
      <c r="U456">
        <v>1</v>
      </c>
      <c r="V456">
        <v>1</v>
      </c>
      <c r="W456">
        <v>1</v>
      </c>
      <c r="AA456">
        <v>-6945.0875999999998</v>
      </c>
      <c r="AB456">
        <v>-6945.0875999999998</v>
      </c>
      <c r="AC456">
        <v>-6945.0875999999998</v>
      </c>
      <c r="AD456">
        <v>-6945.0875999999998</v>
      </c>
      <c r="AE456">
        <v>-6945.0875999999998</v>
      </c>
      <c r="AF456">
        <v>-1015461.3278</v>
      </c>
    </row>
    <row r="457" spans="2:32" x14ac:dyDescent="0.25">
      <c r="B457">
        <f t="shared" si="18"/>
        <v>54</v>
      </c>
      <c r="C457">
        <v>1</v>
      </c>
      <c r="D457">
        <v>1</v>
      </c>
      <c r="E457">
        <v>1</v>
      </c>
      <c r="F457">
        <v>1</v>
      </c>
      <c r="G457">
        <v>1</v>
      </c>
      <c r="J457">
        <f t="shared" si="19"/>
        <v>54</v>
      </c>
      <c r="K457">
        <v>1</v>
      </c>
      <c r="L457">
        <v>1</v>
      </c>
      <c r="M457">
        <v>1</v>
      </c>
      <c r="N457">
        <v>1</v>
      </c>
      <c r="O457">
        <v>1</v>
      </c>
      <c r="R457">
        <f t="shared" si="20"/>
        <v>54</v>
      </c>
      <c r="S457">
        <v>1</v>
      </c>
      <c r="T457">
        <v>1</v>
      </c>
      <c r="U457">
        <v>1</v>
      </c>
      <c r="V457">
        <v>1</v>
      </c>
      <c r="W457">
        <v>1</v>
      </c>
      <c r="AA457">
        <v>-6808.2438000000002</v>
      </c>
      <c r="AB457">
        <v>-6808.2438000000002</v>
      </c>
      <c r="AC457">
        <v>-6808.2438000000002</v>
      </c>
      <c r="AD457">
        <v>-6808.2438000000002</v>
      </c>
      <c r="AE457">
        <v>-6808.2438000000002</v>
      </c>
      <c r="AF457">
        <v>-1033869.6813000001</v>
      </c>
    </row>
    <row r="458" spans="2:32" x14ac:dyDescent="0.25">
      <c r="B458">
        <f t="shared" si="18"/>
        <v>55</v>
      </c>
      <c r="C458">
        <v>1</v>
      </c>
      <c r="D458">
        <v>1</v>
      </c>
      <c r="E458">
        <v>1</v>
      </c>
      <c r="F458">
        <v>1</v>
      </c>
      <c r="G458">
        <v>1</v>
      </c>
      <c r="J458">
        <f t="shared" si="19"/>
        <v>55</v>
      </c>
      <c r="K458">
        <v>1</v>
      </c>
      <c r="L458">
        <v>1</v>
      </c>
      <c r="M458">
        <v>1</v>
      </c>
      <c r="N458">
        <v>1</v>
      </c>
      <c r="O458">
        <v>1</v>
      </c>
      <c r="R458">
        <f t="shared" si="20"/>
        <v>55</v>
      </c>
      <c r="S458">
        <v>1</v>
      </c>
      <c r="T458">
        <v>1</v>
      </c>
      <c r="U458">
        <v>1</v>
      </c>
      <c r="V458">
        <v>1</v>
      </c>
      <c r="W458">
        <v>1</v>
      </c>
      <c r="AA458">
        <v>-6669.2525999999998</v>
      </c>
      <c r="AB458">
        <v>-6669.2525999999998</v>
      </c>
      <c r="AC458">
        <v>-6669.2525999999998</v>
      </c>
      <c r="AD458">
        <v>-6669.2525999999998</v>
      </c>
      <c r="AE458">
        <v>-6669.2525999999998</v>
      </c>
      <c r="AF458">
        <v>-1050810.2549999999</v>
      </c>
    </row>
    <row r="459" spans="2:32" x14ac:dyDescent="0.25">
      <c r="B459">
        <f t="shared" si="18"/>
        <v>56</v>
      </c>
      <c r="C459">
        <v>1</v>
      </c>
      <c r="D459">
        <v>1</v>
      </c>
      <c r="E459">
        <v>1</v>
      </c>
      <c r="F459">
        <v>1</v>
      </c>
      <c r="G459">
        <v>1</v>
      </c>
      <c r="J459">
        <f t="shared" si="19"/>
        <v>56</v>
      </c>
      <c r="K459">
        <v>1</v>
      </c>
      <c r="L459">
        <v>1</v>
      </c>
      <c r="M459">
        <v>1</v>
      </c>
      <c r="N459">
        <v>1</v>
      </c>
      <c r="O459">
        <v>1</v>
      </c>
      <c r="R459">
        <f t="shared" si="20"/>
        <v>56</v>
      </c>
      <c r="S459">
        <v>1</v>
      </c>
      <c r="T459">
        <v>1</v>
      </c>
      <c r="U459">
        <v>1</v>
      </c>
      <c r="V459">
        <v>1</v>
      </c>
      <c r="W459">
        <v>1</v>
      </c>
      <c r="AA459">
        <v>-6528.2992000000004</v>
      </c>
      <c r="AB459">
        <v>-6528.2992000000004</v>
      </c>
      <c r="AC459">
        <v>-6528.2992000000004</v>
      </c>
      <c r="AD459">
        <v>-6528.2992000000004</v>
      </c>
      <c r="AE459">
        <v>-6528.2992000000004</v>
      </c>
      <c r="AF459">
        <v>-1073295.8774000001</v>
      </c>
    </row>
    <row r="460" spans="2:32" x14ac:dyDescent="0.25">
      <c r="B460">
        <f t="shared" si="18"/>
        <v>57</v>
      </c>
      <c r="C460">
        <v>1</v>
      </c>
      <c r="D460">
        <v>1</v>
      </c>
      <c r="E460">
        <v>1</v>
      </c>
      <c r="F460">
        <v>1</v>
      </c>
      <c r="G460">
        <v>1</v>
      </c>
      <c r="J460">
        <f t="shared" si="19"/>
        <v>57</v>
      </c>
      <c r="K460">
        <v>1</v>
      </c>
      <c r="L460">
        <v>1</v>
      </c>
      <c r="M460">
        <v>1</v>
      </c>
      <c r="N460">
        <v>1</v>
      </c>
      <c r="O460">
        <v>1</v>
      </c>
      <c r="R460">
        <f t="shared" si="20"/>
        <v>57</v>
      </c>
      <c r="S460">
        <v>1</v>
      </c>
      <c r="T460">
        <v>1</v>
      </c>
      <c r="U460">
        <v>1</v>
      </c>
      <c r="V460">
        <v>1</v>
      </c>
      <c r="W460">
        <v>1</v>
      </c>
      <c r="AA460">
        <v>-6385.5230000000001</v>
      </c>
      <c r="AB460">
        <v>-6385.5230000000001</v>
      </c>
      <c r="AC460">
        <v>-6385.5230000000001</v>
      </c>
      <c r="AD460">
        <v>-6385.5230000000001</v>
      </c>
      <c r="AE460">
        <v>-6385.5230000000001</v>
      </c>
      <c r="AF460">
        <v>-1093242.6832999999</v>
      </c>
    </row>
    <row r="461" spans="2:32" x14ac:dyDescent="0.25">
      <c r="B461">
        <f t="shared" si="18"/>
        <v>58</v>
      </c>
      <c r="C461">
        <v>1</v>
      </c>
      <c r="D461">
        <v>1</v>
      </c>
      <c r="E461">
        <v>1</v>
      </c>
      <c r="F461">
        <v>1</v>
      </c>
      <c r="G461">
        <v>1</v>
      </c>
      <c r="J461">
        <f t="shared" si="19"/>
        <v>58</v>
      </c>
      <c r="K461">
        <v>1</v>
      </c>
      <c r="L461">
        <v>1</v>
      </c>
      <c r="M461">
        <v>1</v>
      </c>
      <c r="N461">
        <v>1</v>
      </c>
      <c r="O461">
        <v>1</v>
      </c>
      <c r="R461">
        <f t="shared" si="20"/>
        <v>58</v>
      </c>
      <c r="S461">
        <v>1</v>
      </c>
      <c r="T461">
        <v>1</v>
      </c>
      <c r="U461">
        <v>1</v>
      </c>
      <c r="V461">
        <v>1</v>
      </c>
      <c r="W461">
        <v>1</v>
      </c>
      <c r="AA461">
        <v>-6240.8730999999998</v>
      </c>
      <c r="AB461">
        <v>-6240.8730999999998</v>
      </c>
      <c r="AC461">
        <v>-6240.8730999999998</v>
      </c>
      <c r="AD461">
        <v>-6240.8730999999998</v>
      </c>
      <c r="AE461">
        <v>-6240.8730999999998</v>
      </c>
      <c r="AF461">
        <v>-1114366.6444000001</v>
      </c>
    </row>
    <row r="462" spans="2:32" x14ac:dyDescent="0.25">
      <c r="B462">
        <f t="shared" si="18"/>
        <v>59</v>
      </c>
      <c r="C462">
        <v>1</v>
      </c>
      <c r="D462">
        <v>1</v>
      </c>
      <c r="E462">
        <v>1</v>
      </c>
      <c r="F462">
        <v>1</v>
      </c>
      <c r="G462">
        <v>1</v>
      </c>
      <c r="J462">
        <f t="shared" si="19"/>
        <v>59</v>
      </c>
      <c r="K462">
        <v>1</v>
      </c>
      <c r="L462">
        <v>1</v>
      </c>
      <c r="M462">
        <v>1</v>
      </c>
      <c r="N462">
        <v>1</v>
      </c>
      <c r="O462">
        <v>1</v>
      </c>
      <c r="R462">
        <f t="shared" si="20"/>
        <v>59</v>
      </c>
      <c r="S462">
        <v>1</v>
      </c>
      <c r="T462">
        <v>1</v>
      </c>
      <c r="U462">
        <v>1</v>
      </c>
      <c r="V462">
        <v>1</v>
      </c>
      <c r="W462">
        <v>1</v>
      </c>
      <c r="AA462">
        <v>-6094.3262999999997</v>
      </c>
      <c r="AB462">
        <v>-6094.3262999999997</v>
      </c>
      <c r="AC462">
        <v>-6094.3262999999997</v>
      </c>
      <c r="AD462">
        <v>-6094.3262999999997</v>
      </c>
      <c r="AE462">
        <v>-6094.3262999999997</v>
      </c>
      <c r="AF462">
        <v>-1136284.0146999999</v>
      </c>
    </row>
    <row r="463" spans="2:32" x14ac:dyDescent="0.25">
      <c r="B463">
        <f t="shared" si="18"/>
        <v>60</v>
      </c>
      <c r="C463">
        <v>1</v>
      </c>
      <c r="D463">
        <v>1</v>
      </c>
      <c r="E463">
        <v>1</v>
      </c>
      <c r="F463">
        <v>1</v>
      </c>
      <c r="G463">
        <v>1</v>
      </c>
      <c r="J463">
        <f t="shared" si="19"/>
        <v>60</v>
      </c>
      <c r="K463">
        <v>1</v>
      </c>
      <c r="L463">
        <v>1</v>
      </c>
      <c r="M463">
        <v>1</v>
      </c>
      <c r="N463">
        <v>1</v>
      </c>
      <c r="O463">
        <v>1</v>
      </c>
      <c r="R463">
        <f t="shared" si="20"/>
        <v>60</v>
      </c>
      <c r="S463">
        <v>1</v>
      </c>
      <c r="T463">
        <v>1</v>
      </c>
      <c r="U463">
        <v>1</v>
      </c>
      <c r="V463">
        <v>1</v>
      </c>
      <c r="W463">
        <v>1</v>
      </c>
      <c r="AA463">
        <v>-5945.9960000000001</v>
      </c>
      <c r="AB463">
        <v>-5945.9960000000001</v>
      </c>
      <c r="AC463">
        <v>-5945.9960000000001</v>
      </c>
      <c r="AD463">
        <v>-5945.9960000000001</v>
      </c>
      <c r="AE463">
        <v>-5945.9960000000001</v>
      </c>
      <c r="AF463">
        <v>-1157801.6717999999</v>
      </c>
    </row>
    <row r="464" spans="2:32" x14ac:dyDescent="0.25">
      <c r="B464">
        <f t="shared" si="18"/>
        <v>61</v>
      </c>
      <c r="C464">
        <v>1</v>
      </c>
      <c r="D464">
        <v>1</v>
      </c>
      <c r="E464">
        <v>1</v>
      </c>
      <c r="F464">
        <v>1</v>
      </c>
      <c r="G464">
        <v>1</v>
      </c>
      <c r="J464">
        <f t="shared" si="19"/>
        <v>61</v>
      </c>
      <c r="K464">
        <v>1</v>
      </c>
      <c r="L464">
        <v>1</v>
      </c>
      <c r="M464">
        <v>1</v>
      </c>
      <c r="N464">
        <v>1</v>
      </c>
      <c r="O464">
        <v>1</v>
      </c>
      <c r="R464">
        <f t="shared" si="20"/>
        <v>61</v>
      </c>
      <c r="S464">
        <v>1</v>
      </c>
      <c r="T464">
        <v>1</v>
      </c>
      <c r="U464">
        <v>1</v>
      </c>
      <c r="V464">
        <v>1</v>
      </c>
      <c r="W464">
        <v>1</v>
      </c>
      <c r="AA464">
        <v>-5796.3015999999998</v>
      </c>
      <c r="AB464">
        <v>-5796.3015999999998</v>
      </c>
      <c r="AC464">
        <v>-5796.3015999999998</v>
      </c>
      <c r="AD464">
        <v>-5796.3015999999998</v>
      </c>
      <c r="AE464">
        <v>-5796.3015999999998</v>
      </c>
      <c r="AF464">
        <v>-1178581.4038</v>
      </c>
    </row>
    <row r="465" spans="2:32" x14ac:dyDescent="0.25">
      <c r="B465">
        <f t="shared" si="18"/>
        <v>62</v>
      </c>
      <c r="C465">
        <v>1</v>
      </c>
      <c r="D465">
        <v>1</v>
      </c>
      <c r="E465">
        <v>1</v>
      </c>
      <c r="F465">
        <v>1</v>
      </c>
      <c r="G465">
        <v>1</v>
      </c>
      <c r="J465">
        <f t="shared" si="19"/>
        <v>62</v>
      </c>
      <c r="K465">
        <v>1</v>
      </c>
      <c r="L465">
        <v>1</v>
      </c>
      <c r="M465">
        <v>1</v>
      </c>
      <c r="N465">
        <v>1</v>
      </c>
      <c r="O465">
        <v>1</v>
      </c>
      <c r="R465">
        <f t="shared" si="20"/>
        <v>62</v>
      </c>
      <c r="S465">
        <v>1</v>
      </c>
      <c r="T465">
        <v>1</v>
      </c>
      <c r="U465">
        <v>1</v>
      </c>
      <c r="V465">
        <v>1</v>
      </c>
      <c r="W465">
        <v>1</v>
      </c>
      <c r="AA465">
        <v>-5645.2415000000001</v>
      </c>
      <c r="AB465">
        <v>-5645.2415000000001</v>
      </c>
      <c r="AC465">
        <v>-5645.2415000000001</v>
      </c>
      <c r="AD465">
        <v>-5645.2415000000001</v>
      </c>
      <c r="AE465">
        <v>-5645.2415000000001</v>
      </c>
      <c r="AF465">
        <v>-1199521.5327000001</v>
      </c>
    </row>
    <row r="466" spans="2:32" x14ac:dyDescent="0.25">
      <c r="B466">
        <f t="shared" si="18"/>
        <v>63</v>
      </c>
      <c r="C466">
        <v>1</v>
      </c>
      <c r="D466">
        <v>1</v>
      </c>
      <c r="E466">
        <v>1</v>
      </c>
      <c r="F466">
        <v>1</v>
      </c>
      <c r="G466">
        <v>1</v>
      </c>
      <c r="J466">
        <f t="shared" si="19"/>
        <v>63</v>
      </c>
      <c r="K466">
        <v>1</v>
      </c>
      <c r="L466">
        <v>1</v>
      </c>
      <c r="M466">
        <v>1</v>
      </c>
      <c r="N466">
        <v>1</v>
      </c>
      <c r="O466">
        <v>1</v>
      </c>
      <c r="R466">
        <f t="shared" si="20"/>
        <v>63</v>
      </c>
      <c r="S466">
        <v>1</v>
      </c>
      <c r="T466">
        <v>1</v>
      </c>
      <c r="U466">
        <v>1</v>
      </c>
      <c r="V466">
        <v>1</v>
      </c>
      <c r="W466">
        <v>1</v>
      </c>
      <c r="AA466">
        <v>-5492.4920000000002</v>
      </c>
      <c r="AB466">
        <v>-5492.4920000000002</v>
      </c>
      <c r="AC466">
        <v>-5492.4920000000002</v>
      </c>
      <c r="AD466">
        <v>-5492.4920000000002</v>
      </c>
      <c r="AE466">
        <v>-5492.4920000000002</v>
      </c>
      <c r="AF466">
        <v>-1220461.6269</v>
      </c>
    </row>
    <row r="467" spans="2:32" x14ac:dyDescent="0.25">
      <c r="B467">
        <f t="shared" si="18"/>
        <v>64</v>
      </c>
      <c r="C467">
        <v>1</v>
      </c>
      <c r="D467">
        <v>1</v>
      </c>
      <c r="E467">
        <v>1</v>
      </c>
      <c r="F467">
        <v>1</v>
      </c>
      <c r="G467">
        <v>1</v>
      </c>
      <c r="J467">
        <f t="shared" si="19"/>
        <v>64</v>
      </c>
      <c r="K467">
        <v>1</v>
      </c>
      <c r="L467">
        <v>1</v>
      </c>
      <c r="M467">
        <v>1</v>
      </c>
      <c r="N467">
        <v>1</v>
      </c>
      <c r="O467">
        <v>1</v>
      </c>
      <c r="R467">
        <f t="shared" si="20"/>
        <v>64</v>
      </c>
      <c r="S467">
        <v>1</v>
      </c>
      <c r="T467">
        <v>1</v>
      </c>
      <c r="U467">
        <v>1</v>
      </c>
      <c r="V467">
        <v>1</v>
      </c>
      <c r="W467">
        <v>1</v>
      </c>
      <c r="AA467">
        <v>-5338.1817000000001</v>
      </c>
      <c r="AB467">
        <v>-5338.1817000000001</v>
      </c>
      <c r="AC467">
        <v>-5338.1817000000001</v>
      </c>
      <c r="AD467">
        <v>-5338.1817000000001</v>
      </c>
      <c r="AE467">
        <v>-5338.1817000000001</v>
      </c>
      <c r="AF467">
        <v>-1240652.2526</v>
      </c>
    </row>
    <row r="468" spans="2:32" x14ac:dyDescent="0.25">
      <c r="B468">
        <f t="shared" si="18"/>
        <v>65</v>
      </c>
      <c r="C468">
        <v>1</v>
      </c>
      <c r="D468">
        <v>1</v>
      </c>
      <c r="E468">
        <v>1</v>
      </c>
      <c r="F468">
        <v>1</v>
      </c>
      <c r="G468">
        <v>1</v>
      </c>
      <c r="J468">
        <f t="shared" si="19"/>
        <v>65</v>
      </c>
      <c r="K468">
        <v>1</v>
      </c>
      <c r="L468">
        <v>1</v>
      </c>
      <c r="M468">
        <v>1</v>
      </c>
      <c r="N468">
        <v>1</v>
      </c>
      <c r="O468">
        <v>1</v>
      </c>
      <c r="R468">
        <f t="shared" si="20"/>
        <v>65</v>
      </c>
      <c r="S468">
        <v>1</v>
      </c>
      <c r="T468">
        <v>1</v>
      </c>
      <c r="U468">
        <v>1</v>
      </c>
      <c r="V468">
        <v>1</v>
      </c>
      <c r="W468">
        <v>1</v>
      </c>
      <c r="AA468">
        <v>-5182.2268999999997</v>
      </c>
      <c r="AB468">
        <v>-5182.2268999999997</v>
      </c>
      <c r="AC468">
        <v>-5182.2268999999997</v>
      </c>
      <c r="AD468">
        <v>-5182.2268999999997</v>
      </c>
      <c r="AE468">
        <v>-5182.2268999999997</v>
      </c>
      <c r="AF468">
        <v>-1260049.8302</v>
      </c>
    </row>
    <row r="471" spans="2:32" x14ac:dyDescent="0.25">
      <c r="B471" t="s">
        <v>46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47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48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2:32" x14ac:dyDescent="0.25">
      <c r="B472">
        <v>26</v>
      </c>
      <c r="C472">
        <v>1</v>
      </c>
      <c r="D472">
        <v>1</v>
      </c>
      <c r="E472">
        <v>1</v>
      </c>
      <c r="F472">
        <v>1</v>
      </c>
      <c r="G472">
        <v>1</v>
      </c>
      <c r="H472">
        <v>1</v>
      </c>
      <c r="J472">
        <v>26</v>
      </c>
      <c r="K472">
        <v>1</v>
      </c>
      <c r="L472">
        <v>1</v>
      </c>
      <c r="M472">
        <v>1</v>
      </c>
      <c r="N472">
        <v>1</v>
      </c>
      <c r="O472">
        <v>1</v>
      </c>
      <c r="P472">
        <v>1</v>
      </c>
      <c r="R472">
        <v>26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AA472">
        <v>-5174.8482999999997</v>
      </c>
      <c r="AB472">
        <v>-5174.8482999999997</v>
      </c>
      <c r="AC472">
        <v>-5174.8482999999997</v>
      </c>
      <c r="AD472">
        <v>-5174.8482999999997</v>
      </c>
      <c r="AE472">
        <v>-5174.8482999999997</v>
      </c>
      <c r="AF472">
        <v>-5174.8482999999997</v>
      </c>
    </row>
    <row r="473" spans="2:32" x14ac:dyDescent="0.25">
      <c r="B473">
        <v>27</v>
      </c>
      <c r="C473">
        <v>1</v>
      </c>
      <c r="D473">
        <v>1</v>
      </c>
      <c r="E473">
        <v>1</v>
      </c>
      <c r="F473">
        <v>1</v>
      </c>
      <c r="G473">
        <v>1</v>
      </c>
      <c r="H473">
        <v>1</v>
      </c>
      <c r="J473">
        <v>27</v>
      </c>
      <c r="K473">
        <v>1</v>
      </c>
      <c r="L473">
        <v>1</v>
      </c>
      <c r="M473">
        <v>1</v>
      </c>
      <c r="N473">
        <v>1</v>
      </c>
      <c r="O473">
        <v>1</v>
      </c>
      <c r="P473">
        <v>1</v>
      </c>
      <c r="R473">
        <v>27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AA473">
        <v>-5173.6036999999997</v>
      </c>
      <c r="AB473">
        <v>-5173.6036999999997</v>
      </c>
      <c r="AC473">
        <v>-5173.6036999999997</v>
      </c>
      <c r="AD473">
        <v>-5173.6036999999997</v>
      </c>
      <c r="AE473">
        <v>-5173.6036999999997</v>
      </c>
      <c r="AF473">
        <v>-5173.6036999999997</v>
      </c>
    </row>
    <row r="474" spans="2:32" x14ac:dyDescent="0.25">
      <c r="B474">
        <v>28</v>
      </c>
      <c r="C474">
        <v>1</v>
      </c>
      <c r="D474">
        <v>1</v>
      </c>
      <c r="E474">
        <v>1</v>
      </c>
      <c r="F474">
        <v>1</v>
      </c>
      <c r="G474">
        <v>1</v>
      </c>
      <c r="H474">
        <v>1</v>
      </c>
      <c r="J474">
        <v>28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R474">
        <v>28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AA474">
        <v>-5172.1755999999996</v>
      </c>
      <c r="AB474">
        <v>-5172.1755999999996</v>
      </c>
      <c r="AC474">
        <v>-5172.1755999999996</v>
      </c>
      <c r="AD474">
        <v>-5172.1755999999996</v>
      </c>
      <c r="AE474">
        <v>-5172.1755999999996</v>
      </c>
      <c r="AF474">
        <v>-5172.1755999999996</v>
      </c>
    </row>
    <row r="475" spans="2:32" x14ac:dyDescent="0.25">
      <c r="B475">
        <v>29</v>
      </c>
      <c r="C475">
        <v>1</v>
      </c>
      <c r="D475">
        <v>1</v>
      </c>
      <c r="E475">
        <v>1</v>
      </c>
      <c r="F475">
        <v>1</v>
      </c>
      <c r="G475">
        <v>1</v>
      </c>
      <c r="H475">
        <v>1</v>
      </c>
      <c r="J475">
        <v>29</v>
      </c>
      <c r="K475">
        <v>1</v>
      </c>
      <c r="L475">
        <v>1</v>
      </c>
      <c r="M475">
        <v>1</v>
      </c>
      <c r="N475">
        <v>1</v>
      </c>
      <c r="O475">
        <v>1</v>
      </c>
      <c r="P475">
        <v>1</v>
      </c>
      <c r="R475">
        <v>29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AA475">
        <v>-5170.5482000000002</v>
      </c>
      <c r="AB475">
        <v>-5170.5482000000002</v>
      </c>
      <c r="AC475">
        <v>-5170.5482000000002</v>
      </c>
      <c r="AD475">
        <v>-5170.5482000000002</v>
      </c>
      <c r="AE475">
        <v>-5170.5482000000002</v>
      </c>
      <c r="AF475">
        <v>-5170.5482000000002</v>
      </c>
    </row>
    <row r="476" spans="2:32" x14ac:dyDescent="0.25">
      <c r="B476">
        <v>30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J476">
        <v>30</v>
      </c>
      <c r="K476">
        <v>1</v>
      </c>
      <c r="L476">
        <v>1</v>
      </c>
      <c r="M476">
        <v>1</v>
      </c>
      <c r="N476">
        <v>1</v>
      </c>
      <c r="O476">
        <v>1</v>
      </c>
      <c r="P476">
        <v>1</v>
      </c>
      <c r="R476">
        <v>30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AA476">
        <v>-5168.6908999999996</v>
      </c>
      <c r="AB476">
        <v>-5168.6908999999996</v>
      </c>
      <c r="AC476">
        <v>-5168.6908999999996</v>
      </c>
      <c r="AD476">
        <v>-5168.6908999999996</v>
      </c>
      <c r="AE476">
        <v>-5168.6908999999996</v>
      </c>
      <c r="AF476">
        <v>-5168.6908999999996</v>
      </c>
    </row>
    <row r="477" spans="2:32" x14ac:dyDescent="0.25">
      <c r="B477">
        <v>31</v>
      </c>
      <c r="C477">
        <v>1</v>
      </c>
      <c r="D477">
        <v>1</v>
      </c>
      <c r="E477">
        <v>1</v>
      </c>
      <c r="F477">
        <v>1</v>
      </c>
      <c r="G477">
        <v>1</v>
      </c>
      <c r="H477">
        <v>1</v>
      </c>
      <c r="J477">
        <v>31</v>
      </c>
      <c r="K477">
        <v>1</v>
      </c>
      <c r="L477">
        <v>1</v>
      </c>
      <c r="M477">
        <v>1</v>
      </c>
      <c r="N477">
        <v>1</v>
      </c>
      <c r="O477">
        <v>1</v>
      </c>
      <c r="P477">
        <v>1</v>
      </c>
      <c r="R477">
        <v>31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AA477">
        <v>-5166.5891000000001</v>
      </c>
      <c r="AB477">
        <v>-5166.5891000000001</v>
      </c>
      <c r="AC477">
        <v>-5166.5891000000001</v>
      </c>
      <c r="AD477">
        <v>-5166.5891000000001</v>
      </c>
      <c r="AE477">
        <v>-5166.5891000000001</v>
      </c>
      <c r="AF477">
        <v>-5166.5891000000001</v>
      </c>
    </row>
    <row r="478" spans="2:32" x14ac:dyDescent="0.25">
      <c r="B478">
        <v>32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1</v>
      </c>
      <c r="J478">
        <v>32</v>
      </c>
      <c r="K478">
        <v>1</v>
      </c>
      <c r="L478">
        <v>1</v>
      </c>
      <c r="M478">
        <v>1</v>
      </c>
      <c r="N478">
        <v>1</v>
      </c>
      <c r="O478">
        <v>1</v>
      </c>
      <c r="P478">
        <v>1</v>
      </c>
      <c r="R478">
        <v>32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AA478">
        <v>-5164.2407000000003</v>
      </c>
      <c r="AB478">
        <v>-5164.2407000000003</v>
      </c>
      <c r="AC478">
        <v>-5164.2407000000003</v>
      </c>
      <c r="AD478">
        <v>-5164.2407000000003</v>
      </c>
      <c r="AE478">
        <v>-5164.2407000000003</v>
      </c>
      <c r="AF478">
        <v>-5164.2407000000003</v>
      </c>
    </row>
    <row r="479" spans="2:32" x14ac:dyDescent="0.25">
      <c r="B479">
        <v>33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1</v>
      </c>
      <c r="J479">
        <v>33</v>
      </c>
      <c r="K479">
        <v>1</v>
      </c>
      <c r="L479">
        <v>1</v>
      </c>
      <c r="M479">
        <v>1</v>
      </c>
      <c r="N479">
        <v>1</v>
      </c>
      <c r="O479">
        <v>1</v>
      </c>
      <c r="P479">
        <v>1</v>
      </c>
      <c r="R479">
        <v>33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AA479">
        <v>-5161.6318000000001</v>
      </c>
      <c r="AB479">
        <v>-5161.6318000000001</v>
      </c>
      <c r="AC479">
        <v>-5161.6318000000001</v>
      </c>
      <c r="AD479">
        <v>-5161.6318000000001</v>
      </c>
      <c r="AE479">
        <v>-5161.6318000000001</v>
      </c>
      <c r="AF479">
        <v>-5161.6318000000001</v>
      </c>
    </row>
    <row r="480" spans="2:32" x14ac:dyDescent="0.25">
      <c r="B480">
        <v>34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J480">
        <v>34</v>
      </c>
      <c r="K480">
        <v>1</v>
      </c>
      <c r="L480">
        <v>1</v>
      </c>
      <c r="M480">
        <v>1</v>
      </c>
      <c r="N480">
        <v>1</v>
      </c>
      <c r="O480">
        <v>1</v>
      </c>
      <c r="P480">
        <v>1</v>
      </c>
      <c r="R480">
        <v>34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AA480">
        <v>-5158.7194</v>
      </c>
      <c r="AB480">
        <v>-5158.7194</v>
      </c>
      <c r="AC480">
        <v>-5158.7194</v>
      </c>
      <c r="AD480">
        <v>-5158.7194</v>
      </c>
      <c r="AE480">
        <v>-5158.7194</v>
      </c>
      <c r="AF480">
        <v>-5158.7194</v>
      </c>
    </row>
    <row r="481" spans="2:32" x14ac:dyDescent="0.25">
      <c r="B481">
        <v>35</v>
      </c>
      <c r="C481">
        <v>1</v>
      </c>
      <c r="D481">
        <v>1</v>
      </c>
      <c r="E481">
        <v>1</v>
      </c>
      <c r="F481">
        <v>1</v>
      </c>
      <c r="G481">
        <v>1</v>
      </c>
      <c r="H481">
        <v>1</v>
      </c>
      <c r="J481">
        <v>35</v>
      </c>
      <c r="K481">
        <v>1</v>
      </c>
      <c r="L481">
        <v>1</v>
      </c>
      <c r="M481">
        <v>1</v>
      </c>
      <c r="N481">
        <v>1</v>
      </c>
      <c r="O481">
        <v>1</v>
      </c>
      <c r="P481">
        <v>1</v>
      </c>
      <c r="R481">
        <v>35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AA481">
        <v>-5155.4901</v>
      </c>
      <c r="AB481">
        <v>-5155.4901</v>
      </c>
      <c r="AC481">
        <v>-5155.4901</v>
      </c>
      <c r="AD481">
        <v>-5155.4901</v>
      </c>
      <c r="AE481">
        <v>-5155.4901</v>
      </c>
      <c r="AF481">
        <v>-5155.4901</v>
      </c>
    </row>
    <row r="482" spans="2:32" x14ac:dyDescent="0.25">
      <c r="B482">
        <v>36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J482">
        <v>36</v>
      </c>
      <c r="K482">
        <v>1</v>
      </c>
      <c r="L482">
        <v>1</v>
      </c>
      <c r="M482">
        <v>1</v>
      </c>
      <c r="N482">
        <v>1</v>
      </c>
      <c r="O482">
        <v>1</v>
      </c>
      <c r="P482">
        <v>1</v>
      </c>
      <c r="R482">
        <v>36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AA482">
        <v>-5151.8950999999997</v>
      </c>
      <c r="AB482">
        <v>-5151.8950999999997</v>
      </c>
      <c r="AC482">
        <v>-5151.8950999999997</v>
      </c>
      <c r="AD482">
        <v>-5151.8950999999997</v>
      </c>
      <c r="AE482">
        <v>-5151.8950999999997</v>
      </c>
      <c r="AF482">
        <v>-5151.8950999999997</v>
      </c>
    </row>
    <row r="483" spans="2:32" x14ac:dyDescent="0.25">
      <c r="B483">
        <v>37</v>
      </c>
      <c r="C483">
        <v>1</v>
      </c>
      <c r="D483">
        <v>1</v>
      </c>
      <c r="E483">
        <v>1</v>
      </c>
      <c r="F483">
        <v>1</v>
      </c>
      <c r="G483">
        <v>1</v>
      </c>
      <c r="H483">
        <v>1</v>
      </c>
      <c r="J483">
        <v>37</v>
      </c>
      <c r="K483">
        <v>1</v>
      </c>
      <c r="L483">
        <v>1</v>
      </c>
      <c r="M483">
        <v>1</v>
      </c>
      <c r="N483">
        <v>1</v>
      </c>
      <c r="O483">
        <v>1</v>
      </c>
      <c r="P483">
        <v>1</v>
      </c>
      <c r="R483">
        <v>37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AA483">
        <v>-5147.9106000000002</v>
      </c>
      <c r="AB483">
        <v>-5147.9106000000002</v>
      </c>
      <c r="AC483">
        <v>-5147.9106000000002</v>
      </c>
      <c r="AD483">
        <v>-5147.9106000000002</v>
      </c>
      <c r="AE483">
        <v>-5147.9106000000002</v>
      </c>
      <c r="AF483">
        <v>-5147.9106000000002</v>
      </c>
    </row>
    <row r="484" spans="2:32" x14ac:dyDescent="0.25">
      <c r="B484">
        <v>38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1</v>
      </c>
      <c r="J484">
        <v>38</v>
      </c>
      <c r="K484">
        <v>1</v>
      </c>
      <c r="L484">
        <v>1</v>
      </c>
      <c r="M484">
        <v>1</v>
      </c>
      <c r="N484">
        <v>1</v>
      </c>
      <c r="O484">
        <v>1</v>
      </c>
      <c r="P484">
        <v>1</v>
      </c>
      <c r="R484">
        <v>38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AA484">
        <v>-5143.5393999999997</v>
      </c>
      <c r="AB484">
        <v>-5143.5393999999997</v>
      </c>
      <c r="AC484">
        <v>-5143.5393999999997</v>
      </c>
      <c r="AD484">
        <v>-5143.5393999999997</v>
      </c>
      <c r="AE484">
        <v>-5143.5393999999997</v>
      </c>
      <c r="AF484">
        <v>-5143.5393999999997</v>
      </c>
    </row>
    <row r="485" spans="2:32" x14ac:dyDescent="0.25">
      <c r="B485">
        <v>39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1</v>
      </c>
      <c r="J485">
        <v>39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1</v>
      </c>
      <c r="R485">
        <v>39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AA485">
        <v>-5138.76</v>
      </c>
      <c r="AB485">
        <v>-5138.76</v>
      </c>
      <c r="AC485">
        <v>-5138.76</v>
      </c>
      <c r="AD485">
        <v>-5138.76</v>
      </c>
      <c r="AE485">
        <v>-5138.76</v>
      </c>
      <c r="AF485">
        <v>-5138.76</v>
      </c>
    </row>
    <row r="486" spans="2:32" x14ac:dyDescent="0.25">
      <c r="B486">
        <v>40</v>
      </c>
      <c r="C486">
        <v>1</v>
      </c>
      <c r="D486">
        <v>1</v>
      </c>
      <c r="E486">
        <v>1</v>
      </c>
      <c r="F486">
        <v>1</v>
      </c>
      <c r="G486">
        <v>1</v>
      </c>
      <c r="H486">
        <v>1</v>
      </c>
      <c r="J486">
        <v>40</v>
      </c>
      <c r="K486">
        <v>1</v>
      </c>
      <c r="L486">
        <v>1</v>
      </c>
      <c r="M486">
        <v>1</v>
      </c>
      <c r="N486">
        <v>1</v>
      </c>
      <c r="O486">
        <v>1</v>
      </c>
      <c r="P486">
        <v>1</v>
      </c>
      <c r="R486">
        <v>40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AA486">
        <v>-5133.5084999999999</v>
      </c>
      <c r="AB486">
        <v>-5133.5084999999999</v>
      </c>
      <c r="AC486">
        <v>-5133.5084999999999</v>
      </c>
      <c r="AD486">
        <v>-5133.5084999999999</v>
      </c>
      <c r="AE486">
        <v>-5133.5084999999999</v>
      </c>
      <c r="AF486">
        <v>-5133.5084999999999</v>
      </c>
    </row>
    <row r="487" spans="2:32" x14ac:dyDescent="0.25">
      <c r="B487">
        <v>41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1</v>
      </c>
      <c r="J487">
        <v>41</v>
      </c>
      <c r="K487">
        <v>1</v>
      </c>
      <c r="L487">
        <v>1</v>
      </c>
      <c r="M487">
        <v>1</v>
      </c>
      <c r="N487">
        <v>1</v>
      </c>
      <c r="O487">
        <v>1</v>
      </c>
      <c r="P487">
        <v>1</v>
      </c>
      <c r="R487">
        <v>41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AA487">
        <v>-5127.7236000000003</v>
      </c>
      <c r="AB487">
        <v>-5127.7236000000003</v>
      </c>
      <c r="AC487">
        <v>-5127.7236000000003</v>
      </c>
      <c r="AD487">
        <v>-5127.7236000000003</v>
      </c>
      <c r="AE487">
        <v>-5127.7236000000003</v>
      </c>
      <c r="AF487">
        <v>-5127.7236000000003</v>
      </c>
    </row>
    <row r="488" spans="2:32" x14ac:dyDescent="0.25">
      <c r="B488">
        <v>42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1</v>
      </c>
      <c r="J488">
        <v>42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R488">
        <v>42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AA488">
        <v>-5121.3726999999999</v>
      </c>
      <c r="AB488">
        <v>-5121.3726999999999</v>
      </c>
      <c r="AC488">
        <v>-5121.3726999999999</v>
      </c>
      <c r="AD488">
        <v>-5121.3726999999999</v>
      </c>
      <c r="AE488">
        <v>-5121.3726999999999</v>
      </c>
      <c r="AF488">
        <v>-5121.3726999999999</v>
      </c>
    </row>
    <row r="489" spans="2:32" x14ac:dyDescent="0.25">
      <c r="B489">
        <v>43</v>
      </c>
      <c r="C489">
        <v>1</v>
      </c>
      <c r="D489">
        <v>1</v>
      </c>
      <c r="E489">
        <v>1</v>
      </c>
      <c r="F489">
        <v>1</v>
      </c>
      <c r="G489">
        <v>1</v>
      </c>
      <c r="H489">
        <v>1</v>
      </c>
      <c r="J489">
        <v>43</v>
      </c>
      <c r="K489">
        <v>1</v>
      </c>
      <c r="L489">
        <v>1</v>
      </c>
      <c r="M489">
        <v>1</v>
      </c>
      <c r="N489">
        <v>1</v>
      </c>
      <c r="O489">
        <v>1</v>
      </c>
      <c r="P489">
        <v>1</v>
      </c>
      <c r="R489">
        <v>43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AA489">
        <v>-5114.3449000000001</v>
      </c>
      <c r="AB489">
        <v>-5114.3449000000001</v>
      </c>
      <c r="AC489">
        <v>-5114.3449000000001</v>
      </c>
      <c r="AD489">
        <v>-5114.3449000000001</v>
      </c>
      <c r="AE489">
        <v>-5114.3449000000001</v>
      </c>
      <c r="AF489">
        <v>-5114.3449000000001</v>
      </c>
    </row>
    <row r="490" spans="2:32" x14ac:dyDescent="0.25">
      <c r="B490">
        <v>44</v>
      </c>
      <c r="C490">
        <v>1</v>
      </c>
      <c r="D490">
        <v>1</v>
      </c>
      <c r="E490">
        <v>1</v>
      </c>
      <c r="F490">
        <v>1</v>
      </c>
      <c r="G490">
        <v>1</v>
      </c>
      <c r="H490">
        <v>1</v>
      </c>
      <c r="J490">
        <v>44</v>
      </c>
      <c r="K490">
        <v>1</v>
      </c>
      <c r="L490">
        <v>1</v>
      </c>
      <c r="M490">
        <v>1</v>
      </c>
      <c r="N490">
        <v>1</v>
      </c>
      <c r="O490">
        <v>1</v>
      </c>
      <c r="P490">
        <v>1</v>
      </c>
      <c r="R490">
        <v>44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AA490">
        <v>-5106.5976000000001</v>
      </c>
      <c r="AB490">
        <v>-5106.5976000000001</v>
      </c>
      <c r="AC490">
        <v>-5106.5976000000001</v>
      </c>
      <c r="AD490">
        <v>-5106.5976000000001</v>
      </c>
      <c r="AE490">
        <v>-5106.5976000000001</v>
      </c>
      <c r="AF490">
        <v>-5106.5976000000001</v>
      </c>
    </row>
    <row r="491" spans="2:32" x14ac:dyDescent="0.25">
      <c r="B491">
        <v>45</v>
      </c>
      <c r="C491">
        <v>1</v>
      </c>
      <c r="D491">
        <v>1</v>
      </c>
      <c r="E491">
        <v>1</v>
      </c>
      <c r="F491">
        <v>1</v>
      </c>
      <c r="G491">
        <v>1</v>
      </c>
      <c r="H491">
        <v>1</v>
      </c>
      <c r="J491">
        <v>45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R491">
        <v>45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AA491">
        <v>-5098.0524999999998</v>
      </c>
      <c r="AB491">
        <v>-5098.0524999999998</v>
      </c>
      <c r="AC491">
        <v>-5098.0524999999998</v>
      </c>
      <c r="AD491">
        <v>-5098.0524999999998</v>
      </c>
      <c r="AE491">
        <v>-5098.0524999999998</v>
      </c>
      <c r="AF491">
        <v>-5098.0524999999998</v>
      </c>
    </row>
    <row r="492" spans="2:32" x14ac:dyDescent="0.25">
      <c r="B492">
        <v>46</v>
      </c>
      <c r="C492">
        <v>1</v>
      </c>
      <c r="D492">
        <v>1</v>
      </c>
      <c r="E492">
        <v>1</v>
      </c>
      <c r="F492">
        <v>1</v>
      </c>
      <c r="G492">
        <v>1</v>
      </c>
      <c r="H492">
        <v>1</v>
      </c>
      <c r="J492">
        <v>46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R492">
        <v>46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AA492">
        <v>-5088.6378000000004</v>
      </c>
      <c r="AB492">
        <v>-5088.6378000000004</v>
      </c>
      <c r="AC492">
        <v>-5088.6378000000004</v>
      </c>
      <c r="AD492">
        <v>-5088.6378000000004</v>
      </c>
      <c r="AE492">
        <v>-5088.6378000000004</v>
      </c>
      <c r="AF492">
        <v>-5088.6378000000004</v>
      </c>
    </row>
    <row r="493" spans="2:32" x14ac:dyDescent="0.25">
      <c r="B493">
        <v>47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1</v>
      </c>
      <c r="J493">
        <v>47</v>
      </c>
      <c r="K493">
        <v>1</v>
      </c>
      <c r="L493">
        <v>1</v>
      </c>
      <c r="M493">
        <v>1</v>
      </c>
      <c r="N493">
        <v>1</v>
      </c>
      <c r="O493">
        <v>1</v>
      </c>
      <c r="P493">
        <v>1</v>
      </c>
      <c r="R493">
        <v>47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AA493">
        <v>-5078.2593999999999</v>
      </c>
      <c r="AB493">
        <v>-5078.2593999999999</v>
      </c>
      <c r="AC493">
        <v>-5078.2593999999999</v>
      </c>
      <c r="AD493">
        <v>-5078.2593999999999</v>
      </c>
      <c r="AE493">
        <v>-5078.2593999999999</v>
      </c>
      <c r="AF493">
        <v>-5078.2593999999999</v>
      </c>
    </row>
    <row r="494" spans="2:32" x14ac:dyDescent="0.25">
      <c r="B494">
        <v>48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1</v>
      </c>
      <c r="J494">
        <v>48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1</v>
      </c>
      <c r="R494">
        <v>48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AA494">
        <v>-5066.8732</v>
      </c>
      <c r="AB494">
        <v>-5066.8732</v>
      </c>
      <c r="AC494">
        <v>-5066.8732</v>
      </c>
      <c r="AD494">
        <v>-5066.8732</v>
      </c>
      <c r="AE494">
        <v>-5066.8732</v>
      </c>
      <c r="AF494">
        <v>-5066.8732</v>
      </c>
    </row>
    <row r="495" spans="2:32" x14ac:dyDescent="0.25">
      <c r="B495">
        <v>49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1</v>
      </c>
      <c r="J495">
        <v>49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R495">
        <v>49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AA495">
        <v>-5054.4124000000002</v>
      </c>
      <c r="AB495">
        <v>-5054.4124000000002</v>
      </c>
      <c r="AC495">
        <v>-5054.4124000000002</v>
      </c>
      <c r="AD495">
        <v>-5054.4124000000002</v>
      </c>
      <c r="AE495">
        <v>-5054.4124000000002</v>
      </c>
      <c r="AF495">
        <v>-5054.4124000000002</v>
      </c>
    </row>
    <row r="496" spans="2:32" x14ac:dyDescent="0.25">
      <c r="B496">
        <v>50</v>
      </c>
      <c r="C496">
        <v>1</v>
      </c>
      <c r="D496">
        <v>1</v>
      </c>
      <c r="E496">
        <v>1</v>
      </c>
      <c r="F496">
        <v>1</v>
      </c>
      <c r="G496">
        <v>1</v>
      </c>
      <c r="H496">
        <v>1</v>
      </c>
      <c r="J496">
        <v>50</v>
      </c>
      <c r="K496">
        <v>1</v>
      </c>
      <c r="L496">
        <v>1</v>
      </c>
      <c r="M496">
        <v>1</v>
      </c>
      <c r="N496">
        <v>1</v>
      </c>
      <c r="O496">
        <v>1</v>
      </c>
      <c r="P496">
        <v>1</v>
      </c>
      <c r="R496">
        <v>50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AA496">
        <v>-5040.7671</v>
      </c>
      <c r="AB496">
        <v>-5040.7671</v>
      </c>
      <c r="AC496">
        <v>-5040.7671</v>
      </c>
      <c r="AD496">
        <v>-5040.7671</v>
      </c>
      <c r="AE496">
        <v>-5040.7671</v>
      </c>
      <c r="AF496">
        <v>-5040.7671</v>
      </c>
    </row>
    <row r="497" spans="2:32" x14ac:dyDescent="0.25">
      <c r="B497">
        <v>51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J497">
        <v>51</v>
      </c>
      <c r="K497">
        <v>1</v>
      </c>
      <c r="L497">
        <v>1</v>
      </c>
      <c r="M497">
        <v>1</v>
      </c>
      <c r="N497">
        <v>1</v>
      </c>
      <c r="O497">
        <v>1</v>
      </c>
      <c r="P497">
        <v>1</v>
      </c>
      <c r="R497">
        <v>51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AA497">
        <v>-5025.8329000000003</v>
      </c>
      <c r="AB497">
        <v>-5025.8329000000003</v>
      </c>
      <c r="AC497">
        <v>-5025.8329000000003</v>
      </c>
      <c r="AD497">
        <v>-5025.8329000000003</v>
      </c>
      <c r="AE497">
        <v>-5025.8329000000003</v>
      </c>
      <c r="AF497">
        <v>-5025.8329000000003</v>
      </c>
    </row>
    <row r="498" spans="2:32" x14ac:dyDescent="0.25">
      <c r="B498">
        <v>52</v>
      </c>
      <c r="C498">
        <v>1</v>
      </c>
      <c r="D498">
        <v>1</v>
      </c>
      <c r="E498">
        <v>1</v>
      </c>
      <c r="F498">
        <v>1</v>
      </c>
      <c r="G498">
        <v>1</v>
      </c>
      <c r="H498">
        <v>1</v>
      </c>
      <c r="J498">
        <v>52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R498">
        <v>52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AA498">
        <v>-5009.4771000000001</v>
      </c>
      <c r="AB498">
        <v>-5009.4771000000001</v>
      </c>
      <c r="AC498">
        <v>-5009.4771000000001</v>
      </c>
      <c r="AD498">
        <v>-5009.4771000000001</v>
      </c>
      <c r="AE498">
        <v>-5009.4771000000001</v>
      </c>
      <c r="AF498">
        <v>-5009.4771000000001</v>
      </c>
    </row>
    <row r="499" spans="2:32" x14ac:dyDescent="0.25">
      <c r="B499">
        <v>53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1</v>
      </c>
      <c r="J499">
        <v>53</v>
      </c>
      <c r="K499">
        <v>1</v>
      </c>
      <c r="L499">
        <v>1</v>
      </c>
      <c r="M499">
        <v>1</v>
      </c>
      <c r="N499">
        <v>1</v>
      </c>
      <c r="O499">
        <v>1</v>
      </c>
      <c r="P499">
        <v>1</v>
      </c>
      <c r="R499">
        <v>53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AA499">
        <v>-4991.6184000000003</v>
      </c>
      <c r="AB499">
        <v>-4991.6184000000003</v>
      </c>
      <c r="AC499">
        <v>-4991.6184000000003</v>
      </c>
      <c r="AD499">
        <v>-4991.6184000000003</v>
      </c>
      <c r="AE499">
        <v>-4991.6184000000003</v>
      </c>
      <c r="AF499">
        <v>-4991.6184000000003</v>
      </c>
    </row>
    <row r="500" spans="2:32" x14ac:dyDescent="0.25">
      <c r="B500">
        <v>54</v>
      </c>
      <c r="C500">
        <v>1</v>
      </c>
      <c r="D500">
        <v>1</v>
      </c>
      <c r="E500">
        <v>1</v>
      </c>
      <c r="F500">
        <v>1</v>
      </c>
      <c r="G500">
        <v>1</v>
      </c>
      <c r="H500">
        <v>1</v>
      </c>
      <c r="J500">
        <v>54</v>
      </c>
      <c r="K500">
        <v>1</v>
      </c>
      <c r="L500">
        <v>1</v>
      </c>
      <c r="M500">
        <v>1</v>
      </c>
      <c r="N500">
        <v>1</v>
      </c>
      <c r="O500">
        <v>1</v>
      </c>
      <c r="P500">
        <v>1</v>
      </c>
      <c r="R500">
        <v>54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AA500">
        <v>-4972.1588000000002</v>
      </c>
      <c r="AB500">
        <v>-4972.1588000000002</v>
      </c>
      <c r="AC500">
        <v>-4972.1588000000002</v>
      </c>
      <c r="AD500">
        <v>-4972.1588000000002</v>
      </c>
      <c r="AE500">
        <v>-4972.1588000000002</v>
      </c>
      <c r="AF500">
        <v>-4972.1588000000002</v>
      </c>
    </row>
    <row r="501" spans="2:32" x14ac:dyDescent="0.25">
      <c r="B501">
        <v>55</v>
      </c>
      <c r="C501">
        <v>1</v>
      </c>
      <c r="D501">
        <v>1</v>
      </c>
      <c r="E501">
        <v>1</v>
      </c>
      <c r="F501">
        <v>1</v>
      </c>
      <c r="G501">
        <v>1</v>
      </c>
      <c r="H501">
        <v>1</v>
      </c>
      <c r="J501">
        <v>55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R501">
        <v>55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AA501">
        <v>-4950.9426000000003</v>
      </c>
      <c r="AB501">
        <v>-4950.9426000000003</v>
      </c>
      <c r="AC501">
        <v>-4950.9426000000003</v>
      </c>
      <c r="AD501">
        <v>-4950.9426000000003</v>
      </c>
      <c r="AE501">
        <v>-4950.9426000000003</v>
      </c>
      <c r="AF501">
        <v>-4950.9426000000003</v>
      </c>
    </row>
    <row r="504" spans="2:32" x14ac:dyDescent="0.25">
      <c r="B504" t="s">
        <v>46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32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48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2:32" x14ac:dyDescent="0.25">
      <c r="B505">
        <v>35</v>
      </c>
      <c r="C505">
        <v>1</v>
      </c>
      <c r="D505">
        <v>1</v>
      </c>
      <c r="E505">
        <v>1</v>
      </c>
      <c r="F505">
        <v>1</v>
      </c>
      <c r="G505">
        <v>1</v>
      </c>
      <c r="J505">
        <v>35</v>
      </c>
      <c r="K505">
        <v>1</v>
      </c>
      <c r="L505">
        <v>1</v>
      </c>
      <c r="M505">
        <v>1</v>
      </c>
      <c r="N505">
        <v>1</v>
      </c>
      <c r="O505">
        <v>1</v>
      </c>
      <c r="R505">
        <v>35</v>
      </c>
      <c r="S505">
        <v>1</v>
      </c>
      <c r="T505">
        <v>1</v>
      </c>
      <c r="U505">
        <v>1</v>
      </c>
      <c r="V505">
        <v>1</v>
      </c>
      <c r="W505">
        <v>1</v>
      </c>
      <c r="AA505">
        <v>-8996.1419000000005</v>
      </c>
      <c r="AB505">
        <v>-8996.1419000000005</v>
      </c>
      <c r="AC505">
        <v>-8996.1419000000005</v>
      </c>
      <c r="AD505">
        <v>-8996.1419000000005</v>
      </c>
      <c r="AE505">
        <v>-8996.1419000000005</v>
      </c>
      <c r="AF505">
        <v>-759112.79520000005</v>
      </c>
    </row>
    <row r="506" spans="2:32" x14ac:dyDescent="0.25">
      <c r="B506">
        <f t="shared" ref="B506:B535" si="21">B505+1</f>
        <v>36</v>
      </c>
      <c r="C506">
        <v>1</v>
      </c>
      <c r="D506">
        <v>1</v>
      </c>
      <c r="E506">
        <v>1</v>
      </c>
      <c r="F506">
        <v>1</v>
      </c>
      <c r="G506">
        <v>1</v>
      </c>
      <c r="J506">
        <f t="shared" ref="J506:J535" si="22">J505+1</f>
        <v>36</v>
      </c>
      <c r="K506">
        <v>1</v>
      </c>
      <c r="L506">
        <v>1</v>
      </c>
      <c r="M506">
        <v>1</v>
      </c>
      <c r="N506">
        <v>1</v>
      </c>
      <c r="O506">
        <v>1</v>
      </c>
      <c r="R506">
        <f t="shared" ref="R506:R535" si="23">R505+1</f>
        <v>36</v>
      </c>
      <c r="S506">
        <v>1</v>
      </c>
      <c r="T506">
        <v>1</v>
      </c>
      <c r="U506">
        <v>1</v>
      </c>
      <c r="V506">
        <v>1</v>
      </c>
      <c r="W506">
        <v>1</v>
      </c>
      <c r="AA506">
        <v>-8902.6679999999997</v>
      </c>
      <c r="AB506">
        <v>-8902.6679999999997</v>
      </c>
      <c r="AC506">
        <v>-8902.6679999999997</v>
      </c>
      <c r="AD506">
        <v>-8902.6679999999997</v>
      </c>
      <c r="AE506">
        <v>-8902.6679999999997</v>
      </c>
      <c r="AF506">
        <v>-737070.86179999996</v>
      </c>
    </row>
    <row r="507" spans="2:32" x14ac:dyDescent="0.25">
      <c r="B507">
        <f t="shared" si="21"/>
        <v>37</v>
      </c>
      <c r="C507">
        <v>1</v>
      </c>
      <c r="D507">
        <v>1</v>
      </c>
      <c r="E507">
        <v>1</v>
      </c>
      <c r="F507">
        <v>1</v>
      </c>
      <c r="G507">
        <v>1</v>
      </c>
      <c r="J507">
        <f t="shared" si="22"/>
        <v>37</v>
      </c>
      <c r="K507">
        <v>1</v>
      </c>
      <c r="L507">
        <v>1</v>
      </c>
      <c r="M507">
        <v>1</v>
      </c>
      <c r="N507">
        <v>1</v>
      </c>
      <c r="O507">
        <v>1</v>
      </c>
      <c r="R507">
        <f t="shared" si="23"/>
        <v>37</v>
      </c>
      <c r="S507">
        <v>1</v>
      </c>
      <c r="T507">
        <v>1</v>
      </c>
      <c r="U507">
        <v>1</v>
      </c>
      <c r="V507">
        <v>1</v>
      </c>
      <c r="W507">
        <v>1</v>
      </c>
      <c r="AA507">
        <v>-8806.7960000000003</v>
      </c>
      <c r="AB507">
        <v>-8806.7960000000003</v>
      </c>
      <c r="AC507">
        <v>-8806.7960000000003</v>
      </c>
      <c r="AD507">
        <v>-8806.7960000000003</v>
      </c>
      <c r="AE507">
        <v>-8806.7960000000003</v>
      </c>
      <c r="AF507">
        <v>-765978.91940000001</v>
      </c>
    </row>
    <row r="508" spans="2:32" x14ac:dyDescent="0.25">
      <c r="B508">
        <f t="shared" si="21"/>
        <v>38</v>
      </c>
      <c r="C508">
        <v>1</v>
      </c>
      <c r="D508">
        <v>1</v>
      </c>
      <c r="E508">
        <v>1</v>
      </c>
      <c r="F508">
        <v>1</v>
      </c>
      <c r="G508">
        <v>1</v>
      </c>
      <c r="J508">
        <f t="shared" si="22"/>
        <v>38</v>
      </c>
      <c r="K508">
        <v>1</v>
      </c>
      <c r="L508">
        <v>1</v>
      </c>
      <c r="M508">
        <v>1</v>
      </c>
      <c r="N508">
        <v>1</v>
      </c>
      <c r="O508">
        <v>1</v>
      </c>
      <c r="R508">
        <f t="shared" si="23"/>
        <v>38</v>
      </c>
      <c r="S508">
        <v>1</v>
      </c>
      <c r="T508">
        <v>1</v>
      </c>
      <c r="U508">
        <v>1</v>
      </c>
      <c r="V508">
        <v>1</v>
      </c>
      <c r="W508">
        <v>1</v>
      </c>
      <c r="AA508">
        <v>-8708.6234000000004</v>
      </c>
      <c r="AB508">
        <v>-8708.6234000000004</v>
      </c>
      <c r="AC508">
        <v>-8708.6234000000004</v>
      </c>
      <c r="AD508">
        <v>-8708.6234000000004</v>
      </c>
      <c r="AE508">
        <v>-8708.6234000000004</v>
      </c>
      <c r="AF508">
        <v>-783780.576</v>
      </c>
    </row>
    <row r="509" spans="2:32" x14ac:dyDescent="0.25">
      <c r="B509">
        <f t="shared" si="21"/>
        <v>39</v>
      </c>
      <c r="C509">
        <v>1</v>
      </c>
      <c r="D509">
        <v>1</v>
      </c>
      <c r="E509">
        <v>1</v>
      </c>
      <c r="F509">
        <v>1</v>
      </c>
      <c r="G509">
        <v>1</v>
      </c>
      <c r="J509">
        <f t="shared" si="22"/>
        <v>39</v>
      </c>
      <c r="K509">
        <v>1</v>
      </c>
      <c r="L509">
        <v>1</v>
      </c>
      <c r="M509">
        <v>1</v>
      </c>
      <c r="N509">
        <v>1</v>
      </c>
      <c r="O509">
        <v>1</v>
      </c>
      <c r="R509">
        <f t="shared" si="23"/>
        <v>39</v>
      </c>
      <c r="S509">
        <v>1</v>
      </c>
      <c r="T509">
        <v>1</v>
      </c>
      <c r="U509">
        <v>1</v>
      </c>
      <c r="V509">
        <v>1</v>
      </c>
      <c r="W509">
        <v>1</v>
      </c>
      <c r="AA509">
        <v>-8608.1594000000005</v>
      </c>
      <c r="AB509">
        <v>-8608.1594000000005</v>
      </c>
      <c r="AC509">
        <v>-8608.1594000000005</v>
      </c>
      <c r="AD509">
        <v>-8608.1594000000005</v>
      </c>
      <c r="AE509">
        <v>-8608.1594000000005</v>
      </c>
      <c r="AF509">
        <v>-769662.22069999995</v>
      </c>
    </row>
    <row r="510" spans="2:32" x14ac:dyDescent="0.25">
      <c r="B510">
        <f t="shared" si="21"/>
        <v>40</v>
      </c>
      <c r="C510">
        <v>1</v>
      </c>
      <c r="D510">
        <v>1</v>
      </c>
      <c r="E510">
        <v>1</v>
      </c>
      <c r="F510">
        <v>1</v>
      </c>
      <c r="G510">
        <v>1</v>
      </c>
      <c r="J510">
        <f t="shared" si="22"/>
        <v>40</v>
      </c>
      <c r="K510">
        <v>1</v>
      </c>
      <c r="L510">
        <v>1</v>
      </c>
      <c r="M510">
        <v>1</v>
      </c>
      <c r="N510">
        <v>1</v>
      </c>
      <c r="O510">
        <v>1</v>
      </c>
      <c r="R510">
        <f t="shared" si="23"/>
        <v>40</v>
      </c>
      <c r="S510">
        <v>1</v>
      </c>
      <c r="T510">
        <v>1</v>
      </c>
      <c r="U510">
        <v>1</v>
      </c>
      <c r="V510">
        <v>1</v>
      </c>
      <c r="W510">
        <v>1</v>
      </c>
      <c r="AA510">
        <v>-8505.3439999999991</v>
      </c>
      <c r="AB510">
        <v>-8505.3439999999991</v>
      </c>
      <c r="AC510">
        <v>-8505.3439999999991</v>
      </c>
      <c r="AD510">
        <v>-8505.3439999999991</v>
      </c>
      <c r="AE510">
        <v>-8505.3439999999991</v>
      </c>
      <c r="AF510">
        <v>-798570.41119999997</v>
      </c>
    </row>
    <row r="511" spans="2:32" x14ac:dyDescent="0.25">
      <c r="B511">
        <f t="shared" si="21"/>
        <v>41</v>
      </c>
      <c r="C511">
        <v>1</v>
      </c>
      <c r="D511">
        <v>1</v>
      </c>
      <c r="E511">
        <v>1</v>
      </c>
      <c r="F511">
        <v>1</v>
      </c>
      <c r="G511">
        <v>1</v>
      </c>
      <c r="J511">
        <f t="shared" si="22"/>
        <v>41</v>
      </c>
      <c r="K511">
        <v>1</v>
      </c>
      <c r="L511">
        <v>1</v>
      </c>
      <c r="M511">
        <v>1</v>
      </c>
      <c r="N511">
        <v>1</v>
      </c>
      <c r="O511">
        <v>1</v>
      </c>
      <c r="R511">
        <f t="shared" si="23"/>
        <v>41</v>
      </c>
      <c r="S511">
        <v>1</v>
      </c>
      <c r="T511">
        <v>1</v>
      </c>
      <c r="U511">
        <v>1</v>
      </c>
      <c r="V511">
        <v>1</v>
      </c>
      <c r="W511">
        <v>1</v>
      </c>
      <c r="AA511">
        <v>-8400.1087000000007</v>
      </c>
      <c r="AB511">
        <v>-8400.1087000000007</v>
      </c>
      <c r="AC511">
        <v>-8400.1087000000007</v>
      </c>
      <c r="AD511">
        <v>-8400.1087000000007</v>
      </c>
      <c r="AE511">
        <v>-8400.1087000000007</v>
      </c>
      <c r="AF511">
        <v>-803549.96459999995</v>
      </c>
    </row>
    <row r="512" spans="2:32" x14ac:dyDescent="0.25">
      <c r="B512">
        <f t="shared" si="21"/>
        <v>42</v>
      </c>
      <c r="C512">
        <v>1</v>
      </c>
      <c r="D512">
        <v>1</v>
      </c>
      <c r="E512">
        <v>1</v>
      </c>
      <c r="F512">
        <v>1</v>
      </c>
      <c r="G512">
        <v>1</v>
      </c>
      <c r="J512">
        <f t="shared" si="22"/>
        <v>42</v>
      </c>
      <c r="K512">
        <v>1</v>
      </c>
      <c r="L512">
        <v>1</v>
      </c>
      <c r="M512">
        <v>1</v>
      </c>
      <c r="N512">
        <v>1</v>
      </c>
      <c r="O512">
        <v>1</v>
      </c>
      <c r="R512">
        <f t="shared" si="23"/>
        <v>42</v>
      </c>
      <c r="S512">
        <v>1</v>
      </c>
      <c r="T512">
        <v>1</v>
      </c>
      <c r="U512">
        <v>1</v>
      </c>
      <c r="V512">
        <v>1</v>
      </c>
      <c r="W512">
        <v>1</v>
      </c>
      <c r="AA512">
        <v>-8292.4974999999995</v>
      </c>
      <c r="AB512">
        <v>-8292.4974999999995</v>
      </c>
      <c r="AC512">
        <v>-8292.4974999999995</v>
      </c>
      <c r="AD512">
        <v>-8292.4974999999995</v>
      </c>
      <c r="AE512">
        <v>-8292.4974999999995</v>
      </c>
      <c r="AF512">
        <v>-833551.75890000002</v>
      </c>
    </row>
    <row r="513" spans="2:32" x14ac:dyDescent="0.25">
      <c r="B513">
        <f t="shared" si="21"/>
        <v>43</v>
      </c>
      <c r="C513">
        <v>1</v>
      </c>
      <c r="D513">
        <v>1</v>
      </c>
      <c r="E513">
        <v>1</v>
      </c>
      <c r="F513">
        <v>1</v>
      </c>
      <c r="G513">
        <v>1</v>
      </c>
      <c r="J513">
        <f t="shared" si="22"/>
        <v>43</v>
      </c>
      <c r="K513">
        <v>1</v>
      </c>
      <c r="L513">
        <v>1</v>
      </c>
      <c r="M513">
        <v>1</v>
      </c>
      <c r="N513">
        <v>1</v>
      </c>
      <c r="O513">
        <v>1</v>
      </c>
      <c r="R513">
        <f t="shared" si="23"/>
        <v>43</v>
      </c>
      <c r="S513">
        <v>1</v>
      </c>
      <c r="T513">
        <v>1</v>
      </c>
      <c r="U513">
        <v>1</v>
      </c>
      <c r="V513">
        <v>1</v>
      </c>
      <c r="W513">
        <v>1</v>
      </c>
      <c r="AA513">
        <v>-8182.3909999999996</v>
      </c>
      <c r="AB513">
        <v>-8182.3909999999996</v>
      </c>
      <c r="AC513">
        <v>-8182.3909999999996</v>
      </c>
      <c r="AD513">
        <v>-8182.3909999999996</v>
      </c>
      <c r="AE513">
        <v>-8182.3909999999996</v>
      </c>
      <c r="AF513">
        <v>-844950.93949999998</v>
      </c>
    </row>
    <row r="514" spans="2:32" x14ac:dyDescent="0.25">
      <c r="B514">
        <f t="shared" si="21"/>
        <v>44</v>
      </c>
      <c r="C514">
        <v>1</v>
      </c>
      <c r="D514">
        <v>1</v>
      </c>
      <c r="E514">
        <v>1</v>
      </c>
      <c r="F514">
        <v>1</v>
      </c>
      <c r="G514">
        <v>1</v>
      </c>
      <c r="J514">
        <f t="shared" si="22"/>
        <v>44</v>
      </c>
      <c r="K514">
        <v>1</v>
      </c>
      <c r="L514">
        <v>1</v>
      </c>
      <c r="M514">
        <v>1</v>
      </c>
      <c r="N514">
        <v>1</v>
      </c>
      <c r="O514">
        <v>1</v>
      </c>
      <c r="R514">
        <f t="shared" si="23"/>
        <v>44</v>
      </c>
      <c r="S514">
        <v>1</v>
      </c>
      <c r="T514">
        <v>1</v>
      </c>
      <c r="U514">
        <v>1</v>
      </c>
      <c r="V514">
        <v>1</v>
      </c>
      <c r="W514">
        <v>1</v>
      </c>
      <c r="AA514">
        <v>-8069.8261000000002</v>
      </c>
      <c r="AB514">
        <v>-8069.8261000000002</v>
      </c>
      <c r="AC514">
        <v>-8069.8261000000002</v>
      </c>
      <c r="AD514">
        <v>-8069.8261000000002</v>
      </c>
      <c r="AE514">
        <v>-8069.8261000000002</v>
      </c>
      <c r="AF514">
        <v>-851265.64670000004</v>
      </c>
    </row>
    <row r="515" spans="2:32" x14ac:dyDescent="0.25">
      <c r="B515">
        <f t="shared" si="21"/>
        <v>45</v>
      </c>
      <c r="C515">
        <v>1</v>
      </c>
      <c r="D515">
        <v>1</v>
      </c>
      <c r="E515">
        <v>1</v>
      </c>
      <c r="F515">
        <v>1</v>
      </c>
      <c r="G515">
        <v>1</v>
      </c>
      <c r="J515">
        <f t="shared" si="22"/>
        <v>45</v>
      </c>
      <c r="K515">
        <v>1</v>
      </c>
      <c r="L515">
        <v>1</v>
      </c>
      <c r="M515">
        <v>1</v>
      </c>
      <c r="N515">
        <v>1</v>
      </c>
      <c r="O515">
        <v>1</v>
      </c>
      <c r="R515">
        <f t="shared" si="23"/>
        <v>45</v>
      </c>
      <c r="S515">
        <v>1</v>
      </c>
      <c r="T515">
        <v>1</v>
      </c>
      <c r="U515">
        <v>1</v>
      </c>
      <c r="V515">
        <v>1</v>
      </c>
      <c r="W515">
        <v>1</v>
      </c>
      <c r="AA515">
        <v>-7954.7533999999996</v>
      </c>
      <c r="AB515">
        <v>-7954.7533999999996</v>
      </c>
      <c r="AC515">
        <v>-7954.7533999999996</v>
      </c>
      <c r="AD515">
        <v>-7954.7533999999996</v>
      </c>
      <c r="AE515">
        <v>-7954.7533999999996</v>
      </c>
      <c r="AF515">
        <v>-870649.02139999997</v>
      </c>
    </row>
    <row r="516" spans="2:32" x14ac:dyDescent="0.25">
      <c r="B516">
        <f t="shared" si="21"/>
        <v>46</v>
      </c>
      <c r="C516">
        <v>1</v>
      </c>
      <c r="D516">
        <v>1</v>
      </c>
      <c r="E516">
        <v>1</v>
      </c>
      <c r="F516">
        <v>1</v>
      </c>
      <c r="G516">
        <v>1</v>
      </c>
      <c r="J516">
        <f t="shared" si="22"/>
        <v>46</v>
      </c>
      <c r="K516">
        <v>1</v>
      </c>
      <c r="L516">
        <v>1</v>
      </c>
      <c r="M516">
        <v>1</v>
      </c>
      <c r="N516">
        <v>1</v>
      </c>
      <c r="O516">
        <v>1</v>
      </c>
      <c r="R516">
        <f t="shared" si="23"/>
        <v>46</v>
      </c>
      <c r="S516">
        <v>1</v>
      </c>
      <c r="T516">
        <v>1</v>
      </c>
      <c r="U516">
        <v>1</v>
      </c>
      <c r="V516">
        <v>1</v>
      </c>
      <c r="W516">
        <v>1</v>
      </c>
      <c r="AA516">
        <v>-7837.1754000000001</v>
      </c>
      <c r="AB516">
        <v>-7837.1754000000001</v>
      </c>
      <c r="AC516">
        <v>-7837.1754000000001</v>
      </c>
      <c r="AD516">
        <v>-7837.1754000000001</v>
      </c>
      <c r="AE516">
        <v>-7837.1754000000001</v>
      </c>
      <c r="AF516">
        <v>-892550.54509999999</v>
      </c>
    </row>
    <row r="517" spans="2:32" x14ac:dyDescent="0.25">
      <c r="B517">
        <f t="shared" si="21"/>
        <v>47</v>
      </c>
      <c r="C517">
        <v>1</v>
      </c>
      <c r="D517">
        <v>1</v>
      </c>
      <c r="E517">
        <v>1</v>
      </c>
      <c r="F517">
        <v>1</v>
      </c>
      <c r="G517">
        <v>1</v>
      </c>
      <c r="J517">
        <f t="shared" si="22"/>
        <v>47</v>
      </c>
      <c r="K517">
        <v>1</v>
      </c>
      <c r="L517">
        <v>1</v>
      </c>
      <c r="M517">
        <v>1</v>
      </c>
      <c r="N517">
        <v>1</v>
      </c>
      <c r="O517">
        <v>1</v>
      </c>
      <c r="R517">
        <f t="shared" si="23"/>
        <v>47</v>
      </c>
      <c r="S517">
        <v>1</v>
      </c>
      <c r="T517">
        <v>1</v>
      </c>
      <c r="U517">
        <v>1</v>
      </c>
      <c r="V517">
        <v>1</v>
      </c>
      <c r="W517">
        <v>1</v>
      </c>
      <c r="AA517">
        <v>-7717.0294999999996</v>
      </c>
      <c r="AB517">
        <v>-7717.0294999999996</v>
      </c>
      <c r="AC517">
        <v>-7717.0294999999996</v>
      </c>
      <c r="AD517">
        <v>-7717.0294999999996</v>
      </c>
      <c r="AE517">
        <v>-7717.0294999999996</v>
      </c>
      <c r="AF517">
        <v>-910915.81969999999</v>
      </c>
    </row>
    <row r="518" spans="2:32" x14ac:dyDescent="0.25">
      <c r="B518">
        <f t="shared" si="21"/>
        <v>48</v>
      </c>
      <c r="C518">
        <v>1</v>
      </c>
      <c r="D518">
        <v>1</v>
      </c>
      <c r="E518">
        <v>1</v>
      </c>
      <c r="F518">
        <v>1</v>
      </c>
      <c r="G518">
        <v>1</v>
      </c>
      <c r="J518">
        <f t="shared" si="22"/>
        <v>48</v>
      </c>
      <c r="K518">
        <v>1</v>
      </c>
      <c r="L518">
        <v>1</v>
      </c>
      <c r="M518">
        <v>1</v>
      </c>
      <c r="N518">
        <v>1</v>
      </c>
      <c r="O518">
        <v>1</v>
      </c>
      <c r="R518">
        <f t="shared" si="23"/>
        <v>48</v>
      </c>
      <c r="S518">
        <v>1</v>
      </c>
      <c r="T518">
        <v>1</v>
      </c>
      <c r="U518">
        <v>1</v>
      </c>
      <c r="V518">
        <v>1</v>
      </c>
      <c r="W518">
        <v>1</v>
      </c>
      <c r="AA518">
        <v>-7594.4201000000003</v>
      </c>
      <c r="AB518">
        <v>-7594.4201000000003</v>
      </c>
      <c r="AC518">
        <v>-7594.4201000000003</v>
      </c>
      <c r="AD518">
        <v>-7594.4201000000003</v>
      </c>
      <c r="AE518">
        <v>-7594.4201000000003</v>
      </c>
      <c r="AF518">
        <v>-917891.87360000005</v>
      </c>
    </row>
    <row r="519" spans="2:32" x14ac:dyDescent="0.25">
      <c r="B519">
        <f t="shared" si="21"/>
        <v>49</v>
      </c>
      <c r="C519">
        <v>1</v>
      </c>
      <c r="D519">
        <v>1</v>
      </c>
      <c r="E519">
        <v>1</v>
      </c>
      <c r="F519">
        <v>1</v>
      </c>
      <c r="G519">
        <v>1</v>
      </c>
      <c r="J519">
        <f t="shared" si="22"/>
        <v>49</v>
      </c>
      <c r="K519">
        <v>1</v>
      </c>
      <c r="L519">
        <v>1</v>
      </c>
      <c r="M519">
        <v>1</v>
      </c>
      <c r="N519">
        <v>1</v>
      </c>
      <c r="O519">
        <v>1</v>
      </c>
      <c r="R519">
        <f t="shared" si="23"/>
        <v>49</v>
      </c>
      <c r="S519">
        <v>1</v>
      </c>
      <c r="T519">
        <v>1</v>
      </c>
      <c r="U519">
        <v>1</v>
      </c>
      <c r="V519">
        <v>1</v>
      </c>
      <c r="W519">
        <v>1</v>
      </c>
      <c r="AA519">
        <v>-7469.3995999999997</v>
      </c>
      <c r="AB519">
        <v>-7469.3995999999997</v>
      </c>
      <c r="AC519">
        <v>-7469.3995999999997</v>
      </c>
      <c r="AD519">
        <v>-7469.3995999999997</v>
      </c>
      <c r="AE519">
        <v>-7469.3995999999997</v>
      </c>
      <c r="AF519">
        <v>-944521.72470000002</v>
      </c>
    </row>
    <row r="520" spans="2:32" x14ac:dyDescent="0.25">
      <c r="B520">
        <f t="shared" si="21"/>
        <v>50</v>
      </c>
      <c r="C520">
        <v>1</v>
      </c>
      <c r="D520">
        <v>1</v>
      </c>
      <c r="E520">
        <v>1</v>
      </c>
      <c r="F520">
        <v>1</v>
      </c>
      <c r="G520">
        <v>1</v>
      </c>
      <c r="J520">
        <f t="shared" si="22"/>
        <v>50</v>
      </c>
      <c r="K520">
        <v>1</v>
      </c>
      <c r="L520">
        <v>1</v>
      </c>
      <c r="M520">
        <v>1</v>
      </c>
      <c r="N520">
        <v>1</v>
      </c>
      <c r="O520">
        <v>1</v>
      </c>
      <c r="R520">
        <f t="shared" si="23"/>
        <v>50</v>
      </c>
      <c r="S520">
        <v>1</v>
      </c>
      <c r="T520">
        <v>1</v>
      </c>
      <c r="U520">
        <v>1</v>
      </c>
      <c r="V520">
        <v>1</v>
      </c>
      <c r="W520">
        <v>1</v>
      </c>
      <c r="AA520">
        <v>-7341.9502000000002</v>
      </c>
      <c r="AB520">
        <v>-7341.9502000000002</v>
      </c>
      <c r="AC520">
        <v>-7341.9502000000002</v>
      </c>
      <c r="AD520">
        <v>-7341.9502000000002</v>
      </c>
      <c r="AE520">
        <v>-7341.9502000000002</v>
      </c>
      <c r="AF520">
        <v>-963257.14989999996</v>
      </c>
    </row>
    <row r="521" spans="2:32" x14ac:dyDescent="0.25">
      <c r="B521">
        <f t="shared" si="21"/>
        <v>51</v>
      </c>
      <c r="C521">
        <v>1</v>
      </c>
      <c r="D521">
        <v>1</v>
      </c>
      <c r="E521">
        <v>1</v>
      </c>
      <c r="F521">
        <v>1</v>
      </c>
      <c r="G521">
        <v>1</v>
      </c>
      <c r="J521">
        <f t="shared" si="22"/>
        <v>51</v>
      </c>
      <c r="K521">
        <v>1</v>
      </c>
      <c r="L521">
        <v>1</v>
      </c>
      <c r="M521">
        <v>1</v>
      </c>
      <c r="N521">
        <v>1</v>
      </c>
      <c r="O521">
        <v>1</v>
      </c>
      <c r="R521">
        <f t="shared" si="23"/>
        <v>51</v>
      </c>
      <c r="S521">
        <v>1</v>
      </c>
      <c r="T521">
        <v>1</v>
      </c>
      <c r="U521">
        <v>1</v>
      </c>
      <c r="V521">
        <v>1</v>
      </c>
      <c r="W521">
        <v>1</v>
      </c>
      <c r="AA521">
        <v>-7212.0646999999999</v>
      </c>
      <c r="AB521">
        <v>-7212.0646999999999</v>
      </c>
      <c r="AC521">
        <v>-7212.0646999999999</v>
      </c>
      <c r="AD521">
        <v>-7212.0646999999999</v>
      </c>
      <c r="AE521">
        <v>-7212.0646999999999</v>
      </c>
      <c r="AF521">
        <v>-981592.90729999996</v>
      </c>
    </row>
    <row r="522" spans="2:32" x14ac:dyDescent="0.25">
      <c r="B522">
        <f t="shared" si="21"/>
        <v>52</v>
      </c>
      <c r="C522">
        <v>1</v>
      </c>
      <c r="D522">
        <v>1</v>
      </c>
      <c r="E522">
        <v>1</v>
      </c>
      <c r="F522">
        <v>1</v>
      </c>
      <c r="G522">
        <v>1</v>
      </c>
      <c r="J522">
        <f t="shared" si="22"/>
        <v>52</v>
      </c>
      <c r="K522">
        <v>1</v>
      </c>
      <c r="L522">
        <v>1</v>
      </c>
      <c r="M522">
        <v>1</v>
      </c>
      <c r="N522">
        <v>1</v>
      </c>
      <c r="O522">
        <v>1</v>
      </c>
      <c r="R522">
        <f t="shared" si="23"/>
        <v>52</v>
      </c>
      <c r="S522">
        <v>1</v>
      </c>
      <c r="T522">
        <v>1</v>
      </c>
      <c r="U522">
        <v>1</v>
      </c>
      <c r="V522">
        <v>1</v>
      </c>
      <c r="W522">
        <v>1</v>
      </c>
      <c r="AA522">
        <v>-7079.7435999999998</v>
      </c>
      <c r="AB522">
        <v>-7079.7435999999998</v>
      </c>
      <c r="AC522">
        <v>-7079.7435999999998</v>
      </c>
      <c r="AD522">
        <v>-7079.7435999999998</v>
      </c>
      <c r="AE522">
        <v>-7079.7435999999998</v>
      </c>
      <c r="AF522">
        <v>-998556.10360000003</v>
      </c>
    </row>
    <row r="523" spans="2:32" x14ac:dyDescent="0.25">
      <c r="B523">
        <f t="shared" si="21"/>
        <v>53</v>
      </c>
      <c r="C523">
        <v>1</v>
      </c>
      <c r="D523">
        <v>1</v>
      </c>
      <c r="E523">
        <v>1</v>
      </c>
      <c r="F523">
        <v>1</v>
      </c>
      <c r="G523">
        <v>1</v>
      </c>
      <c r="J523">
        <f t="shared" si="22"/>
        <v>53</v>
      </c>
      <c r="K523">
        <v>1</v>
      </c>
      <c r="L523">
        <v>1</v>
      </c>
      <c r="M523">
        <v>1</v>
      </c>
      <c r="N523">
        <v>1</v>
      </c>
      <c r="O523">
        <v>1</v>
      </c>
      <c r="R523">
        <f t="shared" si="23"/>
        <v>53</v>
      </c>
      <c r="S523">
        <v>1</v>
      </c>
      <c r="T523">
        <v>1</v>
      </c>
      <c r="U523">
        <v>1</v>
      </c>
      <c r="V523">
        <v>1</v>
      </c>
      <c r="W523">
        <v>1</v>
      </c>
      <c r="AA523">
        <v>-6945.0875999999998</v>
      </c>
      <c r="AB523">
        <v>-6945.0875999999998</v>
      </c>
      <c r="AC523">
        <v>-6945.0875999999998</v>
      </c>
      <c r="AD523">
        <v>-6945.0875999999998</v>
      </c>
      <c r="AE523">
        <v>-6945.0875999999998</v>
      </c>
      <c r="AF523">
        <v>-1015461.3278</v>
      </c>
    </row>
    <row r="524" spans="2:32" x14ac:dyDescent="0.25">
      <c r="B524">
        <f t="shared" si="21"/>
        <v>54</v>
      </c>
      <c r="C524">
        <v>1</v>
      </c>
      <c r="D524">
        <v>1</v>
      </c>
      <c r="E524">
        <v>1</v>
      </c>
      <c r="F524">
        <v>1</v>
      </c>
      <c r="G524">
        <v>1</v>
      </c>
      <c r="J524">
        <f t="shared" si="22"/>
        <v>54</v>
      </c>
      <c r="K524">
        <v>1</v>
      </c>
      <c r="L524">
        <v>1</v>
      </c>
      <c r="M524">
        <v>1</v>
      </c>
      <c r="N524">
        <v>1</v>
      </c>
      <c r="O524">
        <v>1</v>
      </c>
      <c r="R524">
        <f t="shared" si="23"/>
        <v>54</v>
      </c>
      <c r="S524">
        <v>1</v>
      </c>
      <c r="T524">
        <v>1</v>
      </c>
      <c r="U524">
        <v>1</v>
      </c>
      <c r="V524">
        <v>1</v>
      </c>
      <c r="W524">
        <v>1</v>
      </c>
      <c r="AA524">
        <v>-6808.2438000000002</v>
      </c>
      <c r="AB524">
        <v>-6808.2438000000002</v>
      </c>
      <c r="AC524">
        <v>-6808.2438000000002</v>
      </c>
      <c r="AD524">
        <v>-6808.2438000000002</v>
      </c>
      <c r="AE524">
        <v>-6808.2438000000002</v>
      </c>
      <c r="AF524">
        <v>-1033869.6813000001</v>
      </c>
    </row>
    <row r="525" spans="2:32" x14ac:dyDescent="0.25">
      <c r="B525">
        <f t="shared" si="21"/>
        <v>55</v>
      </c>
      <c r="C525">
        <v>1</v>
      </c>
      <c r="D525">
        <v>1</v>
      </c>
      <c r="E525">
        <v>1</v>
      </c>
      <c r="F525">
        <v>1</v>
      </c>
      <c r="G525">
        <v>1</v>
      </c>
      <c r="J525">
        <f t="shared" si="22"/>
        <v>55</v>
      </c>
      <c r="K525">
        <v>1</v>
      </c>
      <c r="L525">
        <v>1</v>
      </c>
      <c r="M525">
        <v>1</v>
      </c>
      <c r="N525">
        <v>1</v>
      </c>
      <c r="O525">
        <v>1</v>
      </c>
      <c r="R525">
        <f t="shared" si="23"/>
        <v>55</v>
      </c>
      <c r="S525">
        <v>1</v>
      </c>
      <c r="T525">
        <v>1</v>
      </c>
      <c r="U525">
        <v>1</v>
      </c>
      <c r="V525">
        <v>1</v>
      </c>
      <c r="W525">
        <v>1</v>
      </c>
      <c r="AA525">
        <v>-6669.2525999999998</v>
      </c>
      <c r="AB525">
        <v>-6669.2525999999998</v>
      </c>
      <c r="AC525">
        <v>-6669.2525999999998</v>
      </c>
      <c r="AD525">
        <v>-6669.2525999999998</v>
      </c>
      <c r="AE525">
        <v>-6669.2525999999998</v>
      </c>
      <c r="AF525">
        <v>-1050810.2549999999</v>
      </c>
    </row>
    <row r="526" spans="2:32" x14ac:dyDescent="0.25">
      <c r="B526">
        <f t="shared" si="21"/>
        <v>56</v>
      </c>
      <c r="C526">
        <v>1</v>
      </c>
      <c r="D526">
        <v>1</v>
      </c>
      <c r="E526">
        <v>1</v>
      </c>
      <c r="F526">
        <v>1</v>
      </c>
      <c r="G526">
        <v>1</v>
      </c>
      <c r="J526">
        <f t="shared" si="22"/>
        <v>56</v>
      </c>
      <c r="K526">
        <v>1</v>
      </c>
      <c r="L526">
        <v>1</v>
      </c>
      <c r="M526">
        <v>1</v>
      </c>
      <c r="N526">
        <v>1</v>
      </c>
      <c r="O526">
        <v>1</v>
      </c>
      <c r="R526">
        <f t="shared" si="23"/>
        <v>56</v>
      </c>
      <c r="S526">
        <v>1</v>
      </c>
      <c r="T526">
        <v>1</v>
      </c>
      <c r="U526">
        <v>1</v>
      </c>
      <c r="V526">
        <v>1</v>
      </c>
      <c r="W526">
        <v>1</v>
      </c>
      <c r="AA526">
        <v>-6528.2992000000004</v>
      </c>
      <c r="AB526">
        <v>-6528.2992000000004</v>
      </c>
      <c r="AC526">
        <v>-6528.2992000000004</v>
      </c>
      <c r="AD526">
        <v>-6528.2992000000004</v>
      </c>
      <c r="AE526">
        <v>-6528.2992000000004</v>
      </c>
      <c r="AF526">
        <v>-1073295.8774000001</v>
      </c>
    </row>
    <row r="527" spans="2:32" x14ac:dyDescent="0.25">
      <c r="B527">
        <f t="shared" si="21"/>
        <v>57</v>
      </c>
      <c r="C527">
        <v>1</v>
      </c>
      <c r="D527">
        <v>1</v>
      </c>
      <c r="E527">
        <v>1</v>
      </c>
      <c r="F527">
        <v>1</v>
      </c>
      <c r="G527">
        <v>1</v>
      </c>
      <c r="J527">
        <f t="shared" si="22"/>
        <v>57</v>
      </c>
      <c r="K527">
        <v>1</v>
      </c>
      <c r="L527">
        <v>1</v>
      </c>
      <c r="M527">
        <v>1</v>
      </c>
      <c r="N527">
        <v>1</v>
      </c>
      <c r="O527">
        <v>1</v>
      </c>
      <c r="R527">
        <f t="shared" si="23"/>
        <v>57</v>
      </c>
      <c r="S527">
        <v>1</v>
      </c>
      <c r="T527">
        <v>1</v>
      </c>
      <c r="U527">
        <v>1</v>
      </c>
      <c r="V527">
        <v>1</v>
      </c>
      <c r="W527">
        <v>1</v>
      </c>
      <c r="AA527">
        <v>-6385.5230000000001</v>
      </c>
      <c r="AB527">
        <v>-6385.5230000000001</v>
      </c>
      <c r="AC527">
        <v>-6385.5230000000001</v>
      </c>
      <c r="AD527">
        <v>-6385.5230000000001</v>
      </c>
      <c r="AE527">
        <v>-6385.5230000000001</v>
      </c>
      <c r="AF527">
        <v>-1093242.6832999999</v>
      </c>
    </row>
    <row r="528" spans="2:32" x14ac:dyDescent="0.25">
      <c r="B528">
        <f t="shared" si="21"/>
        <v>58</v>
      </c>
      <c r="C528">
        <v>1</v>
      </c>
      <c r="D528">
        <v>1</v>
      </c>
      <c r="E528">
        <v>1</v>
      </c>
      <c r="F528">
        <v>1</v>
      </c>
      <c r="G528">
        <v>1</v>
      </c>
      <c r="J528">
        <f t="shared" si="22"/>
        <v>58</v>
      </c>
      <c r="K528">
        <v>1</v>
      </c>
      <c r="L528">
        <v>1</v>
      </c>
      <c r="M528">
        <v>1</v>
      </c>
      <c r="N528">
        <v>1</v>
      </c>
      <c r="O528">
        <v>1</v>
      </c>
      <c r="R528">
        <f t="shared" si="23"/>
        <v>58</v>
      </c>
      <c r="S528">
        <v>1</v>
      </c>
      <c r="T528">
        <v>1</v>
      </c>
      <c r="U528">
        <v>1</v>
      </c>
      <c r="V528">
        <v>1</v>
      </c>
      <c r="W528">
        <v>1</v>
      </c>
      <c r="AA528">
        <v>-6240.8730999999998</v>
      </c>
      <c r="AB528">
        <v>-6240.8730999999998</v>
      </c>
      <c r="AC528">
        <v>-6240.8730999999998</v>
      </c>
      <c r="AD528">
        <v>-6240.8730999999998</v>
      </c>
      <c r="AE528">
        <v>-6240.8730999999998</v>
      </c>
      <c r="AF528">
        <v>-1114366.6444000001</v>
      </c>
    </row>
    <row r="529" spans="2:32" x14ac:dyDescent="0.25">
      <c r="B529">
        <f t="shared" si="21"/>
        <v>59</v>
      </c>
      <c r="C529">
        <v>1</v>
      </c>
      <c r="D529">
        <v>1</v>
      </c>
      <c r="E529">
        <v>1</v>
      </c>
      <c r="F529">
        <v>1</v>
      </c>
      <c r="G529">
        <v>1</v>
      </c>
      <c r="J529">
        <f t="shared" si="22"/>
        <v>59</v>
      </c>
      <c r="K529">
        <v>1</v>
      </c>
      <c r="L529">
        <v>1</v>
      </c>
      <c r="M529">
        <v>1</v>
      </c>
      <c r="N529">
        <v>1</v>
      </c>
      <c r="O529">
        <v>1</v>
      </c>
      <c r="R529">
        <f t="shared" si="23"/>
        <v>59</v>
      </c>
      <c r="S529">
        <v>1</v>
      </c>
      <c r="T529">
        <v>1</v>
      </c>
      <c r="U529">
        <v>1</v>
      </c>
      <c r="V529">
        <v>1</v>
      </c>
      <c r="W529">
        <v>1</v>
      </c>
      <c r="AA529">
        <v>-6094.3262999999997</v>
      </c>
      <c r="AB529">
        <v>-6094.3262999999997</v>
      </c>
      <c r="AC529">
        <v>-6094.3262999999997</v>
      </c>
      <c r="AD529">
        <v>-6094.3262999999997</v>
      </c>
      <c r="AE529">
        <v>-6094.3262999999997</v>
      </c>
      <c r="AF529">
        <v>-1136284.0146999999</v>
      </c>
    </row>
    <row r="530" spans="2:32" x14ac:dyDescent="0.25">
      <c r="B530">
        <f t="shared" si="21"/>
        <v>60</v>
      </c>
      <c r="C530">
        <v>1</v>
      </c>
      <c r="D530">
        <v>1</v>
      </c>
      <c r="E530">
        <v>1</v>
      </c>
      <c r="F530">
        <v>1</v>
      </c>
      <c r="G530">
        <v>1</v>
      </c>
      <c r="J530">
        <f t="shared" si="22"/>
        <v>60</v>
      </c>
      <c r="K530">
        <v>1</v>
      </c>
      <c r="L530">
        <v>1</v>
      </c>
      <c r="M530">
        <v>1</v>
      </c>
      <c r="N530">
        <v>1</v>
      </c>
      <c r="O530">
        <v>1</v>
      </c>
      <c r="R530">
        <f t="shared" si="23"/>
        <v>60</v>
      </c>
      <c r="S530">
        <v>1</v>
      </c>
      <c r="T530">
        <v>1</v>
      </c>
      <c r="U530">
        <v>1</v>
      </c>
      <c r="V530">
        <v>1</v>
      </c>
      <c r="W530">
        <v>1</v>
      </c>
      <c r="AA530">
        <v>-5945.9960000000001</v>
      </c>
      <c r="AB530">
        <v>-5945.9960000000001</v>
      </c>
      <c r="AC530">
        <v>-5945.9960000000001</v>
      </c>
      <c r="AD530">
        <v>-5945.9960000000001</v>
      </c>
      <c r="AE530">
        <v>-5945.9960000000001</v>
      </c>
      <c r="AF530">
        <v>-1157801.6717999999</v>
      </c>
    </row>
    <row r="531" spans="2:32" x14ac:dyDescent="0.25">
      <c r="B531">
        <f t="shared" si="21"/>
        <v>61</v>
      </c>
      <c r="C531">
        <v>1</v>
      </c>
      <c r="D531">
        <v>1</v>
      </c>
      <c r="E531">
        <v>1</v>
      </c>
      <c r="F531">
        <v>1</v>
      </c>
      <c r="G531">
        <v>1</v>
      </c>
      <c r="J531">
        <f t="shared" si="22"/>
        <v>61</v>
      </c>
      <c r="K531">
        <v>1</v>
      </c>
      <c r="L531">
        <v>1</v>
      </c>
      <c r="M531">
        <v>1</v>
      </c>
      <c r="N531">
        <v>1</v>
      </c>
      <c r="O531">
        <v>1</v>
      </c>
      <c r="R531">
        <f t="shared" si="23"/>
        <v>61</v>
      </c>
      <c r="S531">
        <v>1</v>
      </c>
      <c r="T531">
        <v>1</v>
      </c>
      <c r="U531">
        <v>1</v>
      </c>
      <c r="V531">
        <v>1</v>
      </c>
      <c r="W531">
        <v>1</v>
      </c>
      <c r="AA531">
        <v>-5796.3015999999998</v>
      </c>
      <c r="AB531">
        <v>-5796.3015999999998</v>
      </c>
      <c r="AC531">
        <v>-5796.3015999999998</v>
      </c>
      <c r="AD531">
        <v>-5796.3015999999998</v>
      </c>
      <c r="AE531">
        <v>-5796.3015999999998</v>
      </c>
      <c r="AF531">
        <v>-1178581.4038</v>
      </c>
    </row>
    <row r="532" spans="2:32" x14ac:dyDescent="0.25">
      <c r="B532">
        <f t="shared" si="21"/>
        <v>62</v>
      </c>
      <c r="C532">
        <v>1</v>
      </c>
      <c r="D532">
        <v>1</v>
      </c>
      <c r="E532">
        <v>1</v>
      </c>
      <c r="F532">
        <v>1</v>
      </c>
      <c r="G532">
        <v>1</v>
      </c>
      <c r="J532">
        <f t="shared" si="22"/>
        <v>62</v>
      </c>
      <c r="K532">
        <v>1</v>
      </c>
      <c r="L532">
        <v>1</v>
      </c>
      <c r="M532">
        <v>1</v>
      </c>
      <c r="N532">
        <v>1</v>
      </c>
      <c r="O532">
        <v>1</v>
      </c>
      <c r="R532">
        <f t="shared" si="23"/>
        <v>62</v>
      </c>
      <c r="S532">
        <v>1</v>
      </c>
      <c r="T532">
        <v>1</v>
      </c>
      <c r="U532">
        <v>1</v>
      </c>
      <c r="V532">
        <v>1</v>
      </c>
      <c r="W532">
        <v>1</v>
      </c>
      <c r="AA532">
        <v>-5645.2415000000001</v>
      </c>
      <c r="AB532">
        <v>-5645.2415000000001</v>
      </c>
      <c r="AC532">
        <v>-5645.2415000000001</v>
      </c>
      <c r="AD532">
        <v>-5645.2415000000001</v>
      </c>
      <c r="AE532">
        <v>-5645.2415000000001</v>
      </c>
      <c r="AF532">
        <v>-1199521.5327000001</v>
      </c>
    </row>
    <row r="533" spans="2:32" x14ac:dyDescent="0.25">
      <c r="B533">
        <f t="shared" si="21"/>
        <v>63</v>
      </c>
      <c r="C533">
        <v>1</v>
      </c>
      <c r="D533">
        <v>1</v>
      </c>
      <c r="E533">
        <v>1</v>
      </c>
      <c r="F533">
        <v>1</v>
      </c>
      <c r="G533">
        <v>1</v>
      </c>
      <c r="J533">
        <f t="shared" si="22"/>
        <v>63</v>
      </c>
      <c r="K533">
        <v>1</v>
      </c>
      <c r="L533">
        <v>1</v>
      </c>
      <c r="M533">
        <v>1</v>
      </c>
      <c r="N533">
        <v>1</v>
      </c>
      <c r="O533">
        <v>1</v>
      </c>
      <c r="R533">
        <f t="shared" si="23"/>
        <v>63</v>
      </c>
      <c r="S533">
        <v>1</v>
      </c>
      <c r="T533">
        <v>1</v>
      </c>
      <c r="U533">
        <v>1</v>
      </c>
      <c r="V533">
        <v>1</v>
      </c>
      <c r="W533">
        <v>1</v>
      </c>
      <c r="AA533">
        <v>-5492.4920000000002</v>
      </c>
      <c r="AB533">
        <v>-5492.4920000000002</v>
      </c>
      <c r="AC533">
        <v>-5492.4920000000002</v>
      </c>
      <c r="AD533">
        <v>-5492.4920000000002</v>
      </c>
      <c r="AE533">
        <v>-5492.4920000000002</v>
      </c>
      <c r="AF533">
        <v>-1220461.6269</v>
      </c>
    </row>
    <row r="534" spans="2:32" x14ac:dyDescent="0.25">
      <c r="B534">
        <f t="shared" si="21"/>
        <v>64</v>
      </c>
      <c r="C534">
        <v>1</v>
      </c>
      <c r="D534">
        <v>1</v>
      </c>
      <c r="E534">
        <v>1</v>
      </c>
      <c r="F534">
        <v>1</v>
      </c>
      <c r="G534">
        <v>1</v>
      </c>
      <c r="J534">
        <f t="shared" si="22"/>
        <v>64</v>
      </c>
      <c r="K534">
        <v>1</v>
      </c>
      <c r="L534">
        <v>1</v>
      </c>
      <c r="M534">
        <v>1</v>
      </c>
      <c r="N534">
        <v>1</v>
      </c>
      <c r="O534">
        <v>1</v>
      </c>
      <c r="R534">
        <f t="shared" si="23"/>
        <v>64</v>
      </c>
      <c r="S534">
        <v>1</v>
      </c>
      <c r="T534">
        <v>1</v>
      </c>
      <c r="U534">
        <v>1</v>
      </c>
      <c r="V534">
        <v>1</v>
      </c>
      <c r="W534">
        <v>1</v>
      </c>
      <c r="AA534">
        <v>-5338.1817000000001</v>
      </c>
      <c r="AB534">
        <v>-5338.1817000000001</v>
      </c>
      <c r="AC534">
        <v>-5338.1817000000001</v>
      </c>
      <c r="AD534">
        <v>-5338.1817000000001</v>
      </c>
      <c r="AE534">
        <v>-5338.1817000000001</v>
      </c>
      <c r="AF534">
        <v>-1240652.2526</v>
      </c>
    </row>
    <row r="535" spans="2:32" x14ac:dyDescent="0.25">
      <c r="B535">
        <f t="shared" si="21"/>
        <v>65</v>
      </c>
      <c r="C535">
        <v>1</v>
      </c>
      <c r="D535">
        <v>1</v>
      </c>
      <c r="E535">
        <v>1</v>
      </c>
      <c r="F535">
        <v>1</v>
      </c>
      <c r="G535">
        <v>1</v>
      </c>
      <c r="J535">
        <f t="shared" si="22"/>
        <v>65</v>
      </c>
      <c r="K535">
        <v>1</v>
      </c>
      <c r="L535">
        <v>1</v>
      </c>
      <c r="M535">
        <v>1</v>
      </c>
      <c r="N535">
        <v>1</v>
      </c>
      <c r="O535">
        <v>1</v>
      </c>
      <c r="R535">
        <f t="shared" si="23"/>
        <v>65</v>
      </c>
      <c r="S535">
        <v>1</v>
      </c>
      <c r="T535">
        <v>1</v>
      </c>
      <c r="U535">
        <v>1</v>
      </c>
      <c r="V535">
        <v>1</v>
      </c>
      <c r="W535">
        <v>1</v>
      </c>
      <c r="AA535">
        <v>-5182.2268999999997</v>
      </c>
      <c r="AB535">
        <v>-5182.2268999999997</v>
      </c>
      <c r="AC535">
        <v>-5182.2268999999997</v>
      </c>
      <c r="AD535">
        <v>-5182.2268999999997</v>
      </c>
      <c r="AE535">
        <v>-5182.2268999999997</v>
      </c>
      <c r="AF535">
        <v>-1260049.8302</v>
      </c>
    </row>
    <row r="538" spans="2:32" x14ac:dyDescent="0.25">
      <c r="B538" t="s">
        <v>46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47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48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2:32" x14ac:dyDescent="0.25">
      <c r="B539">
        <v>26</v>
      </c>
      <c r="C539">
        <v>1</v>
      </c>
      <c r="D539">
        <v>1</v>
      </c>
      <c r="E539">
        <v>1</v>
      </c>
      <c r="F539">
        <v>1</v>
      </c>
      <c r="G539">
        <v>1</v>
      </c>
      <c r="H539">
        <v>1</v>
      </c>
      <c r="J539">
        <v>26</v>
      </c>
      <c r="K539">
        <v>1</v>
      </c>
      <c r="L539">
        <v>1</v>
      </c>
      <c r="M539">
        <v>1</v>
      </c>
      <c r="N539">
        <v>1</v>
      </c>
      <c r="O539">
        <v>1</v>
      </c>
      <c r="P539">
        <v>1</v>
      </c>
      <c r="R539">
        <v>26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AA539">
        <v>-5174.8482999999997</v>
      </c>
      <c r="AB539">
        <v>-5174.8482999999997</v>
      </c>
      <c r="AC539">
        <v>-5174.8482999999997</v>
      </c>
      <c r="AD539">
        <v>-5174.8482999999997</v>
      </c>
      <c r="AE539">
        <v>-5174.8482999999997</v>
      </c>
      <c r="AF539">
        <v>-5174.8482999999997</v>
      </c>
    </row>
    <row r="540" spans="2:32" x14ac:dyDescent="0.25">
      <c r="B540">
        <v>27</v>
      </c>
      <c r="C540">
        <v>1</v>
      </c>
      <c r="D540">
        <v>1</v>
      </c>
      <c r="E540">
        <v>1</v>
      </c>
      <c r="F540">
        <v>1</v>
      </c>
      <c r="G540">
        <v>1</v>
      </c>
      <c r="H540">
        <v>1</v>
      </c>
      <c r="J540">
        <v>27</v>
      </c>
      <c r="K540">
        <v>1</v>
      </c>
      <c r="L540">
        <v>1</v>
      </c>
      <c r="M540">
        <v>1</v>
      </c>
      <c r="N540">
        <v>1</v>
      </c>
      <c r="O540">
        <v>1</v>
      </c>
      <c r="P540">
        <v>1</v>
      </c>
      <c r="R540">
        <v>27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AA540">
        <v>-5173.6036999999997</v>
      </c>
      <c r="AB540">
        <v>-5173.6036999999997</v>
      </c>
      <c r="AC540">
        <v>-5173.6036999999997</v>
      </c>
      <c r="AD540">
        <v>-5173.6036999999997</v>
      </c>
      <c r="AE540">
        <v>-5173.6036999999997</v>
      </c>
      <c r="AF540">
        <v>-5173.6036999999997</v>
      </c>
    </row>
    <row r="541" spans="2:32" x14ac:dyDescent="0.25">
      <c r="B541">
        <v>28</v>
      </c>
      <c r="C541">
        <v>1</v>
      </c>
      <c r="D541">
        <v>1</v>
      </c>
      <c r="E541">
        <v>1</v>
      </c>
      <c r="F541">
        <v>1</v>
      </c>
      <c r="G541">
        <v>1</v>
      </c>
      <c r="H541">
        <v>1</v>
      </c>
      <c r="J541">
        <v>28</v>
      </c>
      <c r="K541">
        <v>1</v>
      </c>
      <c r="L541">
        <v>1</v>
      </c>
      <c r="M541">
        <v>1</v>
      </c>
      <c r="N541">
        <v>1</v>
      </c>
      <c r="O541">
        <v>1</v>
      </c>
      <c r="P541">
        <v>1</v>
      </c>
      <c r="R541">
        <v>28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AA541">
        <v>-5172.1755999999996</v>
      </c>
      <c r="AB541">
        <v>-5172.1755999999996</v>
      </c>
      <c r="AC541">
        <v>-5172.1755999999996</v>
      </c>
      <c r="AD541">
        <v>-5172.1755999999996</v>
      </c>
      <c r="AE541">
        <v>-5172.1755999999996</v>
      </c>
      <c r="AF541">
        <v>-5172.1755999999996</v>
      </c>
    </row>
    <row r="542" spans="2:32" x14ac:dyDescent="0.25">
      <c r="B542">
        <v>29</v>
      </c>
      <c r="C542">
        <v>1</v>
      </c>
      <c r="D542">
        <v>1</v>
      </c>
      <c r="E542">
        <v>1</v>
      </c>
      <c r="F542">
        <v>1</v>
      </c>
      <c r="G542">
        <v>1</v>
      </c>
      <c r="H542">
        <v>1</v>
      </c>
      <c r="J542">
        <v>29</v>
      </c>
      <c r="K542">
        <v>1</v>
      </c>
      <c r="L542">
        <v>1</v>
      </c>
      <c r="M542">
        <v>1</v>
      </c>
      <c r="N542">
        <v>1</v>
      </c>
      <c r="O542">
        <v>1</v>
      </c>
      <c r="P542">
        <v>1</v>
      </c>
      <c r="R542">
        <v>29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AA542">
        <v>-5170.5482000000002</v>
      </c>
      <c r="AB542">
        <v>-5170.5482000000002</v>
      </c>
      <c r="AC542">
        <v>-5170.5482000000002</v>
      </c>
      <c r="AD542">
        <v>-5170.5482000000002</v>
      </c>
      <c r="AE542">
        <v>-5170.5482000000002</v>
      </c>
      <c r="AF542">
        <v>-5170.5482000000002</v>
      </c>
    </row>
    <row r="543" spans="2:32" x14ac:dyDescent="0.25">
      <c r="B543">
        <v>30</v>
      </c>
      <c r="C543">
        <v>1</v>
      </c>
      <c r="D543">
        <v>1</v>
      </c>
      <c r="E543">
        <v>1</v>
      </c>
      <c r="F543">
        <v>1</v>
      </c>
      <c r="G543">
        <v>1</v>
      </c>
      <c r="H543">
        <v>1</v>
      </c>
      <c r="J543">
        <v>30</v>
      </c>
      <c r="K543">
        <v>1</v>
      </c>
      <c r="L543">
        <v>1</v>
      </c>
      <c r="M543">
        <v>1</v>
      </c>
      <c r="N543">
        <v>1</v>
      </c>
      <c r="O543">
        <v>1</v>
      </c>
      <c r="P543">
        <v>1</v>
      </c>
      <c r="R543">
        <v>30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AA543">
        <v>-5168.6908999999996</v>
      </c>
      <c r="AB543">
        <v>-5168.6908999999996</v>
      </c>
      <c r="AC543">
        <v>-5168.6908999999996</v>
      </c>
      <c r="AD543">
        <v>-5168.6908999999996</v>
      </c>
      <c r="AE543">
        <v>-5168.6908999999996</v>
      </c>
      <c r="AF543">
        <v>-5168.6908999999996</v>
      </c>
    </row>
    <row r="544" spans="2:32" x14ac:dyDescent="0.25">
      <c r="B544">
        <v>31</v>
      </c>
      <c r="C544">
        <v>1</v>
      </c>
      <c r="D544">
        <v>1</v>
      </c>
      <c r="E544">
        <v>1</v>
      </c>
      <c r="F544">
        <v>1</v>
      </c>
      <c r="G544">
        <v>1</v>
      </c>
      <c r="H544">
        <v>1</v>
      </c>
      <c r="J544">
        <v>31</v>
      </c>
      <c r="K544">
        <v>1</v>
      </c>
      <c r="L544">
        <v>1</v>
      </c>
      <c r="M544">
        <v>1</v>
      </c>
      <c r="N544">
        <v>1</v>
      </c>
      <c r="O544">
        <v>1</v>
      </c>
      <c r="P544">
        <v>1</v>
      </c>
      <c r="R544">
        <v>31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AA544">
        <v>-5166.5891000000001</v>
      </c>
      <c r="AB544">
        <v>-5166.5891000000001</v>
      </c>
      <c r="AC544">
        <v>-5166.5891000000001</v>
      </c>
      <c r="AD544">
        <v>-5166.5891000000001</v>
      </c>
      <c r="AE544">
        <v>-5166.5891000000001</v>
      </c>
      <c r="AF544">
        <v>-5166.5891000000001</v>
      </c>
    </row>
    <row r="545" spans="2:32" x14ac:dyDescent="0.25">
      <c r="B545">
        <v>32</v>
      </c>
      <c r="C545">
        <v>1</v>
      </c>
      <c r="D545">
        <v>1</v>
      </c>
      <c r="E545">
        <v>1</v>
      </c>
      <c r="F545">
        <v>1</v>
      </c>
      <c r="G545">
        <v>1</v>
      </c>
      <c r="H545">
        <v>1</v>
      </c>
      <c r="J545">
        <v>32</v>
      </c>
      <c r="K545">
        <v>1</v>
      </c>
      <c r="L545">
        <v>1</v>
      </c>
      <c r="M545">
        <v>1</v>
      </c>
      <c r="N545">
        <v>1</v>
      </c>
      <c r="O545">
        <v>1</v>
      </c>
      <c r="P545">
        <v>1</v>
      </c>
      <c r="R545">
        <v>32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AA545">
        <v>-5164.2407000000003</v>
      </c>
      <c r="AB545">
        <v>-5164.2407000000003</v>
      </c>
      <c r="AC545">
        <v>-5164.2407000000003</v>
      </c>
      <c r="AD545">
        <v>-5164.2407000000003</v>
      </c>
      <c r="AE545">
        <v>-5164.2407000000003</v>
      </c>
      <c r="AF545">
        <v>-5164.2407000000003</v>
      </c>
    </row>
    <row r="546" spans="2:32" x14ac:dyDescent="0.25">
      <c r="B546">
        <v>33</v>
      </c>
      <c r="C546">
        <v>1</v>
      </c>
      <c r="D546">
        <v>1</v>
      </c>
      <c r="E546">
        <v>1</v>
      </c>
      <c r="F546">
        <v>1</v>
      </c>
      <c r="G546">
        <v>1</v>
      </c>
      <c r="H546">
        <v>1</v>
      </c>
      <c r="J546">
        <v>33</v>
      </c>
      <c r="K546">
        <v>1</v>
      </c>
      <c r="L546">
        <v>1</v>
      </c>
      <c r="M546">
        <v>1</v>
      </c>
      <c r="N546">
        <v>1</v>
      </c>
      <c r="O546">
        <v>1</v>
      </c>
      <c r="P546">
        <v>1</v>
      </c>
      <c r="R546">
        <v>33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AA546">
        <v>-5161.6318000000001</v>
      </c>
      <c r="AB546">
        <v>-5161.6318000000001</v>
      </c>
      <c r="AC546">
        <v>-5161.6318000000001</v>
      </c>
      <c r="AD546">
        <v>-5161.6318000000001</v>
      </c>
      <c r="AE546">
        <v>-5161.6318000000001</v>
      </c>
      <c r="AF546">
        <v>-5161.6318000000001</v>
      </c>
    </row>
    <row r="547" spans="2:32" x14ac:dyDescent="0.25">
      <c r="B547">
        <v>34</v>
      </c>
      <c r="C547">
        <v>1</v>
      </c>
      <c r="D547">
        <v>1</v>
      </c>
      <c r="E547">
        <v>1</v>
      </c>
      <c r="F547">
        <v>1</v>
      </c>
      <c r="G547">
        <v>1</v>
      </c>
      <c r="H547">
        <v>1</v>
      </c>
      <c r="J547">
        <v>34</v>
      </c>
      <c r="K547">
        <v>1</v>
      </c>
      <c r="L547">
        <v>1</v>
      </c>
      <c r="M547">
        <v>1</v>
      </c>
      <c r="N547">
        <v>1</v>
      </c>
      <c r="O547">
        <v>1</v>
      </c>
      <c r="P547">
        <v>1</v>
      </c>
      <c r="R547">
        <v>34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AA547">
        <v>-5158.7194</v>
      </c>
      <c r="AB547">
        <v>-5158.7194</v>
      </c>
      <c r="AC547">
        <v>-5158.7194</v>
      </c>
      <c r="AD547">
        <v>-5158.7194</v>
      </c>
      <c r="AE547">
        <v>-5158.7194</v>
      </c>
      <c r="AF547">
        <v>-5158.7194</v>
      </c>
    </row>
    <row r="548" spans="2:32" x14ac:dyDescent="0.25">
      <c r="B548">
        <v>35</v>
      </c>
      <c r="C548">
        <v>1</v>
      </c>
      <c r="D548">
        <v>1</v>
      </c>
      <c r="E548">
        <v>1</v>
      </c>
      <c r="F548">
        <v>1</v>
      </c>
      <c r="G548">
        <v>1</v>
      </c>
      <c r="H548">
        <v>1</v>
      </c>
      <c r="J548">
        <v>35</v>
      </c>
      <c r="K548">
        <v>1</v>
      </c>
      <c r="L548">
        <v>1</v>
      </c>
      <c r="M548">
        <v>1</v>
      </c>
      <c r="N548">
        <v>1</v>
      </c>
      <c r="O548">
        <v>1</v>
      </c>
      <c r="P548">
        <v>1</v>
      </c>
      <c r="R548">
        <v>35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AA548">
        <v>-5155.4901</v>
      </c>
      <c r="AB548">
        <v>-5155.4901</v>
      </c>
      <c r="AC548">
        <v>-5155.4901</v>
      </c>
      <c r="AD548">
        <v>-5155.4901</v>
      </c>
      <c r="AE548">
        <v>-5155.4901</v>
      </c>
      <c r="AF548">
        <v>-5155.4901</v>
      </c>
    </row>
    <row r="549" spans="2:32" x14ac:dyDescent="0.25">
      <c r="B549">
        <v>36</v>
      </c>
      <c r="C549">
        <v>1</v>
      </c>
      <c r="D549">
        <v>1</v>
      </c>
      <c r="E549">
        <v>1</v>
      </c>
      <c r="F549">
        <v>1</v>
      </c>
      <c r="G549">
        <v>1</v>
      </c>
      <c r="H549">
        <v>1</v>
      </c>
      <c r="J549">
        <v>36</v>
      </c>
      <c r="K549">
        <v>1</v>
      </c>
      <c r="L549">
        <v>1</v>
      </c>
      <c r="M549">
        <v>1</v>
      </c>
      <c r="N549">
        <v>1</v>
      </c>
      <c r="O549">
        <v>1</v>
      </c>
      <c r="P549">
        <v>1</v>
      </c>
      <c r="R549">
        <v>36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AA549">
        <v>-5151.8950999999997</v>
      </c>
      <c r="AB549">
        <v>-5151.8950999999997</v>
      </c>
      <c r="AC549">
        <v>-5151.8950999999997</v>
      </c>
      <c r="AD549">
        <v>-5151.8950999999997</v>
      </c>
      <c r="AE549">
        <v>-5151.8950999999997</v>
      </c>
      <c r="AF549">
        <v>-5151.8950999999997</v>
      </c>
    </row>
    <row r="550" spans="2:32" x14ac:dyDescent="0.25">
      <c r="B550">
        <v>37</v>
      </c>
      <c r="C550">
        <v>1</v>
      </c>
      <c r="D550">
        <v>1</v>
      </c>
      <c r="E550">
        <v>1</v>
      </c>
      <c r="F550">
        <v>1</v>
      </c>
      <c r="G550">
        <v>1</v>
      </c>
      <c r="H550">
        <v>1</v>
      </c>
      <c r="J550">
        <v>37</v>
      </c>
      <c r="K550">
        <v>1</v>
      </c>
      <c r="L550">
        <v>1</v>
      </c>
      <c r="M550">
        <v>1</v>
      </c>
      <c r="N550">
        <v>1</v>
      </c>
      <c r="O550">
        <v>1</v>
      </c>
      <c r="P550">
        <v>1</v>
      </c>
      <c r="R550">
        <v>37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AA550">
        <v>-5147.9106000000002</v>
      </c>
      <c r="AB550">
        <v>-5147.9106000000002</v>
      </c>
      <c r="AC550">
        <v>-5147.9106000000002</v>
      </c>
      <c r="AD550">
        <v>-5147.9106000000002</v>
      </c>
      <c r="AE550">
        <v>-5147.9106000000002</v>
      </c>
      <c r="AF550">
        <v>-5147.9106000000002</v>
      </c>
    </row>
    <row r="551" spans="2:32" x14ac:dyDescent="0.25">
      <c r="B551">
        <v>38</v>
      </c>
      <c r="C551">
        <v>1</v>
      </c>
      <c r="D551">
        <v>1</v>
      </c>
      <c r="E551">
        <v>1</v>
      </c>
      <c r="F551">
        <v>1</v>
      </c>
      <c r="G551">
        <v>1</v>
      </c>
      <c r="H551">
        <v>1</v>
      </c>
      <c r="J551">
        <v>38</v>
      </c>
      <c r="K551">
        <v>1</v>
      </c>
      <c r="L551">
        <v>1</v>
      </c>
      <c r="M551">
        <v>1</v>
      </c>
      <c r="N551">
        <v>1</v>
      </c>
      <c r="O551">
        <v>1</v>
      </c>
      <c r="P551">
        <v>1</v>
      </c>
      <c r="R551">
        <v>38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AA551">
        <v>-5143.5393999999997</v>
      </c>
      <c r="AB551">
        <v>-5143.5393999999997</v>
      </c>
      <c r="AC551">
        <v>-5143.5393999999997</v>
      </c>
      <c r="AD551">
        <v>-5143.5393999999997</v>
      </c>
      <c r="AE551">
        <v>-5143.5393999999997</v>
      </c>
      <c r="AF551">
        <v>-5143.5393999999997</v>
      </c>
    </row>
    <row r="552" spans="2:32" x14ac:dyDescent="0.25">
      <c r="B552">
        <v>39</v>
      </c>
      <c r="C552">
        <v>1</v>
      </c>
      <c r="D552">
        <v>1</v>
      </c>
      <c r="E552">
        <v>1</v>
      </c>
      <c r="F552">
        <v>1</v>
      </c>
      <c r="G552">
        <v>1</v>
      </c>
      <c r="H552">
        <v>1</v>
      </c>
      <c r="J552">
        <v>39</v>
      </c>
      <c r="K552">
        <v>1</v>
      </c>
      <c r="L552">
        <v>1</v>
      </c>
      <c r="M552">
        <v>1</v>
      </c>
      <c r="N552">
        <v>1</v>
      </c>
      <c r="O552">
        <v>1</v>
      </c>
      <c r="P552">
        <v>1</v>
      </c>
      <c r="R552">
        <v>39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AA552">
        <v>-5138.76</v>
      </c>
      <c r="AB552">
        <v>-5138.76</v>
      </c>
      <c r="AC552">
        <v>-5138.76</v>
      </c>
      <c r="AD552">
        <v>-5138.76</v>
      </c>
      <c r="AE552">
        <v>-5138.76</v>
      </c>
      <c r="AF552">
        <v>-5138.76</v>
      </c>
    </row>
    <row r="553" spans="2:32" x14ac:dyDescent="0.25">
      <c r="B553">
        <v>40</v>
      </c>
      <c r="C553">
        <v>1</v>
      </c>
      <c r="D553">
        <v>1</v>
      </c>
      <c r="E553">
        <v>1</v>
      </c>
      <c r="F553">
        <v>1</v>
      </c>
      <c r="G553">
        <v>1</v>
      </c>
      <c r="H553">
        <v>1</v>
      </c>
      <c r="J553">
        <v>40</v>
      </c>
      <c r="K553">
        <v>1</v>
      </c>
      <c r="L553">
        <v>1</v>
      </c>
      <c r="M553">
        <v>1</v>
      </c>
      <c r="N553">
        <v>1</v>
      </c>
      <c r="O553">
        <v>1</v>
      </c>
      <c r="P553">
        <v>1</v>
      </c>
      <c r="R553">
        <v>40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AA553">
        <v>-5133.5084999999999</v>
      </c>
      <c r="AB553">
        <v>-5133.5084999999999</v>
      </c>
      <c r="AC553">
        <v>-5133.5084999999999</v>
      </c>
      <c r="AD553">
        <v>-5133.5084999999999</v>
      </c>
      <c r="AE553">
        <v>-5133.5084999999999</v>
      </c>
      <c r="AF553">
        <v>-5133.5084999999999</v>
      </c>
    </row>
    <row r="554" spans="2:32" x14ac:dyDescent="0.25">
      <c r="B554">
        <v>41</v>
      </c>
      <c r="C554">
        <v>1</v>
      </c>
      <c r="D554">
        <v>1</v>
      </c>
      <c r="E554">
        <v>1</v>
      </c>
      <c r="F554">
        <v>1</v>
      </c>
      <c r="G554">
        <v>1</v>
      </c>
      <c r="H554">
        <v>1</v>
      </c>
      <c r="J554">
        <v>41</v>
      </c>
      <c r="K554">
        <v>1</v>
      </c>
      <c r="L554">
        <v>1</v>
      </c>
      <c r="M554">
        <v>1</v>
      </c>
      <c r="N554">
        <v>1</v>
      </c>
      <c r="O554">
        <v>1</v>
      </c>
      <c r="P554">
        <v>1</v>
      </c>
      <c r="R554">
        <v>41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AA554">
        <v>-5127.7236000000003</v>
      </c>
      <c r="AB554">
        <v>-5127.7236000000003</v>
      </c>
      <c r="AC554">
        <v>-5127.7236000000003</v>
      </c>
      <c r="AD554">
        <v>-5127.7236000000003</v>
      </c>
      <c r="AE554">
        <v>-5127.7236000000003</v>
      </c>
      <c r="AF554">
        <v>-5127.7236000000003</v>
      </c>
    </row>
    <row r="555" spans="2:32" x14ac:dyDescent="0.25">
      <c r="B555">
        <v>42</v>
      </c>
      <c r="C555">
        <v>1</v>
      </c>
      <c r="D555">
        <v>1</v>
      </c>
      <c r="E555">
        <v>1</v>
      </c>
      <c r="F555">
        <v>1</v>
      </c>
      <c r="G555">
        <v>1</v>
      </c>
      <c r="H555">
        <v>1</v>
      </c>
      <c r="J555">
        <v>42</v>
      </c>
      <c r="K555">
        <v>1</v>
      </c>
      <c r="L555">
        <v>1</v>
      </c>
      <c r="M555">
        <v>1</v>
      </c>
      <c r="N555">
        <v>1</v>
      </c>
      <c r="O555">
        <v>1</v>
      </c>
      <c r="P555">
        <v>1</v>
      </c>
      <c r="R555">
        <v>42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AA555">
        <v>-5121.3726999999999</v>
      </c>
      <c r="AB555">
        <v>-5121.3726999999999</v>
      </c>
      <c r="AC555">
        <v>-5121.3726999999999</v>
      </c>
      <c r="AD555">
        <v>-5121.3726999999999</v>
      </c>
      <c r="AE555">
        <v>-5121.3726999999999</v>
      </c>
      <c r="AF555">
        <v>-5121.3726999999999</v>
      </c>
    </row>
    <row r="556" spans="2:32" x14ac:dyDescent="0.25">
      <c r="B556">
        <v>43</v>
      </c>
      <c r="C556">
        <v>1</v>
      </c>
      <c r="D556">
        <v>1</v>
      </c>
      <c r="E556">
        <v>1</v>
      </c>
      <c r="F556">
        <v>1</v>
      </c>
      <c r="G556">
        <v>1</v>
      </c>
      <c r="H556">
        <v>1</v>
      </c>
      <c r="J556">
        <v>43</v>
      </c>
      <c r="K556">
        <v>1</v>
      </c>
      <c r="L556">
        <v>1</v>
      </c>
      <c r="M556">
        <v>1</v>
      </c>
      <c r="N556">
        <v>1</v>
      </c>
      <c r="O556">
        <v>1</v>
      </c>
      <c r="P556">
        <v>1</v>
      </c>
      <c r="R556">
        <v>43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AA556">
        <v>-5114.3449000000001</v>
      </c>
      <c r="AB556">
        <v>-5114.3449000000001</v>
      </c>
      <c r="AC556">
        <v>-5114.3449000000001</v>
      </c>
      <c r="AD556">
        <v>-5114.3449000000001</v>
      </c>
      <c r="AE556">
        <v>-5114.3449000000001</v>
      </c>
      <c r="AF556">
        <v>-5114.3449000000001</v>
      </c>
    </row>
    <row r="557" spans="2:32" x14ac:dyDescent="0.25">
      <c r="B557">
        <v>44</v>
      </c>
      <c r="C557">
        <v>1</v>
      </c>
      <c r="D557">
        <v>1</v>
      </c>
      <c r="E557">
        <v>1</v>
      </c>
      <c r="F557">
        <v>1</v>
      </c>
      <c r="G557">
        <v>1</v>
      </c>
      <c r="H557">
        <v>1</v>
      </c>
      <c r="J557">
        <v>44</v>
      </c>
      <c r="K557">
        <v>1</v>
      </c>
      <c r="L557">
        <v>1</v>
      </c>
      <c r="M557">
        <v>1</v>
      </c>
      <c r="N557">
        <v>1</v>
      </c>
      <c r="O557">
        <v>1</v>
      </c>
      <c r="P557">
        <v>1</v>
      </c>
      <c r="R557">
        <v>44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AA557">
        <v>-5106.5976000000001</v>
      </c>
      <c r="AB557">
        <v>-5106.5976000000001</v>
      </c>
      <c r="AC557">
        <v>-5106.5976000000001</v>
      </c>
      <c r="AD557">
        <v>-5106.5976000000001</v>
      </c>
      <c r="AE557">
        <v>-5106.5976000000001</v>
      </c>
      <c r="AF557">
        <v>-5106.5976000000001</v>
      </c>
    </row>
    <row r="558" spans="2:32" x14ac:dyDescent="0.25">
      <c r="B558">
        <v>45</v>
      </c>
      <c r="C558">
        <v>1</v>
      </c>
      <c r="D558">
        <v>1</v>
      </c>
      <c r="E558">
        <v>1</v>
      </c>
      <c r="F558">
        <v>1</v>
      </c>
      <c r="G558">
        <v>1</v>
      </c>
      <c r="H558">
        <v>1</v>
      </c>
      <c r="J558">
        <v>45</v>
      </c>
      <c r="K558">
        <v>1</v>
      </c>
      <c r="L558">
        <v>1</v>
      </c>
      <c r="M558">
        <v>1</v>
      </c>
      <c r="N558">
        <v>1</v>
      </c>
      <c r="O558">
        <v>1</v>
      </c>
      <c r="P558">
        <v>1</v>
      </c>
      <c r="R558">
        <v>45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AA558">
        <v>-5098.0524999999998</v>
      </c>
      <c r="AB558">
        <v>-5098.0524999999998</v>
      </c>
      <c r="AC558">
        <v>-5098.0524999999998</v>
      </c>
      <c r="AD558">
        <v>-5098.0524999999998</v>
      </c>
      <c r="AE558">
        <v>-5098.0524999999998</v>
      </c>
      <c r="AF558">
        <v>-5098.0524999999998</v>
      </c>
    </row>
    <row r="559" spans="2:32" x14ac:dyDescent="0.25">
      <c r="B559">
        <v>46</v>
      </c>
      <c r="C559">
        <v>1</v>
      </c>
      <c r="D559">
        <v>1</v>
      </c>
      <c r="E559">
        <v>1</v>
      </c>
      <c r="F559">
        <v>1</v>
      </c>
      <c r="G559">
        <v>1</v>
      </c>
      <c r="H559">
        <v>1</v>
      </c>
      <c r="J559">
        <v>46</v>
      </c>
      <c r="K559">
        <v>1</v>
      </c>
      <c r="L559">
        <v>1</v>
      </c>
      <c r="M559">
        <v>1</v>
      </c>
      <c r="N559">
        <v>1</v>
      </c>
      <c r="O559">
        <v>1</v>
      </c>
      <c r="P559">
        <v>1</v>
      </c>
      <c r="R559">
        <v>46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AA559">
        <v>-5088.6378000000004</v>
      </c>
      <c r="AB559">
        <v>-5088.6378000000004</v>
      </c>
      <c r="AC559">
        <v>-5088.6378000000004</v>
      </c>
      <c r="AD559">
        <v>-5088.6378000000004</v>
      </c>
      <c r="AE559">
        <v>-5088.6378000000004</v>
      </c>
      <c r="AF559">
        <v>-5088.6378000000004</v>
      </c>
    </row>
    <row r="560" spans="2:32" x14ac:dyDescent="0.25">
      <c r="B560">
        <v>47</v>
      </c>
      <c r="C560">
        <v>1</v>
      </c>
      <c r="D560">
        <v>1</v>
      </c>
      <c r="E560">
        <v>1</v>
      </c>
      <c r="F560">
        <v>1</v>
      </c>
      <c r="G560">
        <v>1</v>
      </c>
      <c r="H560">
        <v>1</v>
      </c>
      <c r="J560">
        <v>47</v>
      </c>
      <c r="K560">
        <v>1</v>
      </c>
      <c r="L560">
        <v>1</v>
      </c>
      <c r="M560">
        <v>1</v>
      </c>
      <c r="N560">
        <v>1</v>
      </c>
      <c r="O560">
        <v>1</v>
      </c>
      <c r="P560">
        <v>1</v>
      </c>
      <c r="R560">
        <v>47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AA560">
        <v>-5078.2593999999999</v>
      </c>
      <c r="AB560">
        <v>-5078.2593999999999</v>
      </c>
      <c r="AC560">
        <v>-5078.2593999999999</v>
      </c>
      <c r="AD560">
        <v>-5078.2593999999999</v>
      </c>
      <c r="AE560">
        <v>-5078.2593999999999</v>
      </c>
      <c r="AF560">
        <v>-5078.2593999999999</v>
      </c>
    </row>
    <row r="561" spans="2:32" x14ac:dyDescent="0.25">
      <c r="B561">
        <v>48</v>
      </c>
      <c r="C561">
        <v>1</v>
      </c>
      <c r="D561">
        <v>1</v>
      </c>
      <c r="E561">
        <v>1</v>
      </c>
      <c r="F561">
        <v>1</v>
      </c>
      <c r="G561">
        <v>1</v>
      </c>
      <c r="H561">
        <v>1</v>
      </c>
      <c r="J561">
        <v>48</v>
      </c>
      <c r="K561">
        <v>1</v>
      </c>
      <c r="L561">
        <v>1</v>
      </c>
      <c r="M561">
        <v>1</v>
      </c>
      <c r="N561">
        <v>1</v>
      </c>
      <c r="O561">
        <v>1</v>
      </c>
      <c r="P561">
        <v>1</v>
      </c>
      <c r="R561">
        <v>48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AA561">
        <v>-5066.8732</v>
      </c>
      <c r="AB561">
        <v>-5066.8732</v>
      </c>
      <c r="AC561">
        <v>-5066.8732</v>
      </c>
      <c r="AD561">
        <v>-5066.8732</v>
      </c>
      <c r="AE561">
        <v>-5066.8732</v>
      </c>
      <c r="AF561">
        <v>-5066.8732</v>
      </c>
    </row>
    <row r="562" spans="2:32" x14ac:dyDescent="0.25">
      <c r="B562">
        <v>49</v>
      </c>
      <c r="C562">
        <v>1</v>
      </c>
      <c r="D562">
        <v>1</v>
      </c>
      <c r="E562">
        <v>1</v>
      </c>
      <c r="F562">
        <v>1</v>
      </c>
      <c r="G562">
        <v>1</v>
      </c>
      <c r="H562">
        <v>1</v>
      </c>
      <c r="J562">
        <v>49</v>
      </c>
      <c r="K562">
        <v>1</v>
      </c>
      <c r="L562">
        <v>1</v>
      </c>
      <c r="M562">
        <v>1</v>
      </c>
      <c r="N562">
        <v>1</v>
      </c>
      <c r="O562">
        <v>1</v>
      </c>
      <c r="P562">
        <v>1</v>
      </c>
      <c r="R562">
        <v>49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AA562">
        <v>-5054.4124000000002</v>
      </c>
      <c r="AB562">
        <v>-5054.4124000000002</v>
      </c>
      <c r="AC562">
        <v>-5054.4124000000002</v>
      </c>
      <c r="AD562">
        <v>-5054.4124000000002</v>
      </c>
      <c r="AE562">
        <v>-5054.4124000000002</v>
      </c>
      <c r="AF562">
        <v>-5054.4124000000002</v>
      </c>
    </row>
    <row r="563" spans="2:32" x14ac:dyDescent="0.25">
      <c r="B563">
        <v>50</v>
      </c>
      <c r="C563">
        <v>1</v>
      </c>
      <c r="D563">
        <v>1</v>
      </c>
      <c r="E563">
        <v>1</v>
      </c>
      <c r="F563">
        <v>1</v>
      </c>
      <c r="G563">
        <v>1</v>
      </c>
      <c r="H563">
        <v>1</v>
      </c>
      <c r="J563">
        <v>50</v>
      </c>
      <c r="K563">
        <v>1</v>
      </c>
      <c r="L563">
        <v>1</v>
      </c>
      <c r="M563">
        <v>1</v>
      </c>
      <c r="N563">
        <v>1</v>
      </c>
      <c r="O563">
        <v>1</v>
      </c>
      <c r="P563">
        <v>1</v>
      </c>
      <c r="R563">
        <v>50</v>
      </c>
      <c r="S563">
        <v>1</v>
      </c>
      <c r="T563">
        <v>1</v>
      </c>
      <c r="U563">
        <v>1</v>
      </c>
      <c r="V563">
        <v>1</v>
      </c>
      <c r="W563">
        <v>1</v>
      </c>
      <c r="X563">
        <v>1</v>
      </c>
      <c r="AA563">
        <v>-5040.7671</v>
      </c>
      <c r="AB563">
        <v>-5040.7671</v>
      </c>
      <c r="AC563">
        <v>-5040.7671</v>
      </c>
      <c r="AD563">
        <v>-5040.7671</v>
      </c>
      <c r="AE563">
        <v>-5040.7671</v>
      </c>
      <c r="AF563">
        <v>-5040.7671</v>
      </c>
    </row>
    <row r="564" spans="2:32" x14ac:dyDescent="0.25">
      <c r="B564">
        <v>51</v>
      </c>
      <c r="C564">
        <v>1</v>
      </c>
      <c r="D564">
        <v>1</v>
      </c>
      <c r="E564">
        <v>1</v>
      </c>
      <c r="F564">
        <v>1</v>
      </c>
      <c r="G564">
        <v>1</v>
      </c>
      <c r="H564">
        <v>1</v>
      </c>
      <c r="J564">
        <v>51</v>
      </c>
      <c r="K564">
        <v>1</v>
      </c>
      <c r="L564">
        <v>1</v>
      </c>
      <c r="M564">
        <v>1</v>
      </c>
      <c r="N564">
        <v>1</v>
      </c>
      <c r="O564">
        <v>1</v>
      </c>
      <c r="P564">
        <v>1</v>
      </c>
      <c r="R564">
        <v>51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AA564">
        <v>-5025.8329000000003</v>
      </c>
      <c r="AB564">
        <v>-5025.8329000000003</v>
      </c>
      <c r="AC564">
        <v>-5025.8329000000003</v>
      </c>
      <c r="AD564">
        <v>-5025.8329000000003</v>
      </c>
      <c r="AE564">
        <v>-5025.8329000000003</v>
      </c>
      <c r="AF564">
        <v>-5025.8329000000003</v>
      </c>
    </row>
    <row r="565" spans="2:32" x14ac:dyDescent="0.25">
      <c r="B565">
        <v>52</v>
      </c>
      <c r="C565">
        <v>1</v>
      </c>
      <c r="D565">
        <v>1</v>
      </c>
      <c r="E565">
        <v>1</v>
      </c>
      <c r="F565">
        <v>1</v>
      </c>
      <c r="G565">
        <v>1</v>
      </c>
      <c r="H565">
        <v>1</v>
      </c>
      <c r="J565">
        <v>52</v>
      </c>
      <c r="K565">
        <v>1</v>
      </c>
      <c r="L565">
        <v>1</v>
      </c>
      <c r="M565">
        <v>1</v>
      </c>
      <c r="N565">
        <v>1</v>
      </c>
      <c r="O565">
        <v>1</v>
      </c>
      <c r="P565">
        <v>1</v>
      </c>
      <c r="R565">
        <v>52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AA565">
        <v>-5009.4771000000001</v>
      </c>
      <c r="AB565">
        <v>-5009.4771000000001</v>
      </c>
      <c r="AC565">
        <v>-5009.4771000000001</v>
      </c>
      <c r="AD565">
        <v>-5009.4771000000001</v>
      </c>
      <c r="AE565">
        <v>-5009.4771000000001</v>
      </c>
      <c r="AF565">
        <v>-5009.4771000000001</v>
      </c>
    </row>
    <row r="566" spans="2:32" x14ac:dyDescent="0.25">
      <c r="B566">
        <v>53</v>
      </c>
      <c r="C566">
        <v>1</v>
      </c>
      <c r="D566">
        <v>1</v>
      </c>
      <c r="E566">
        <v>1</v>
      </c>
      <c r="F566">
        <v>1</v>
      </c>
      <c r="G566">
        <v>1</v>
      </c>
      <c r="H566">
        <v>1</v>
      </c>
      <c r="J566">
        <v>53</v>
      </c>
      <c r="K566">
        <v>1</v>
      </c>
      <c r="L566">
        <v>1</v>
      </c>
      <c r="M566">
        <v>1</v>
      </c>
      <c r="N566">
        <v>1</v>
      </c>
      <c r="O566">
        <v>1</v>
      </c>
      <c r="P566">
        <v>1</v>
      </c>
      <c r="R566">
        <v>53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AA566">
        <v>-4991.6184000000003</v>
      </c>
      <c r="AB566">
        <v>-4991.6184000000003</v>
      </c>
      <c r="AC566">
        <v>-4991.6184000000003</v>
      </c>
      <c r="AD566">
        <v>-4991.6184000000003</v>
      </c>
      <c r="AE566">
        <v>-4991.6184000000003</v>
      </c>
      <c r="AF566">
        <v>-4991.6184000000003</v>
      </c>
    </row>
    <row r="567" spans="2:32" x14ac:dyDescent="0.25">
      <c r="B567">
        <v>54</v>
      </c>
      <c r="C567">
        <v>1</v>
      </c>
      <c r="D567">
        <v>1</v>
      </c>
      <c r="E567">
        <v>1</v>
      </c>
      <c r="F567">
        <v>1</v>
      </c>
      <c r="G567">
        <v>1</v>
      </c>
      <c r="H567">
        <v>1</v>
      </c>
      <c r="J567">
        <v>54</v>
      </c>
      <c r="K567">
        <v>1</v>
      </c>
      <c r="L567">
        <v>1</v>
      </c>
      <c r="M567">
        <v>1</v>
      </c>
      <c r="N567">
        <v>1</v>
      </c>
      <c r="O567">
        <v>1</v>
      </c>
      <c r="P567">
        <v>1</v>
      </c>
      <c r="R567">
        <v>54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AA567">
        <v>-4972.1588000000002</v>
      </c>
      <c r="AB567">
        <v>-4972.1588000000002</v>
      </c>
      <c r="AC567">
        <v>-4972.1588000000002</v>
      </c>
      <c r="AD567">
        <v>-4972.1588000000002</v>
      </c>
      <c r="AE567">
        <v>-4972.1588000000002</v>
      </c>
      <c r="AF567">
        <v>-4972.1588000000002</v>
      </c>
    </row>
    <row r="568" spans="2:32" x14ac:dyDescent="0.25">
      <c r="B568">
        <v>55</v>
      </c>
      <c r="C568">
        <v>1</v>
      </c>
      <c r="D568">
        <v>1</v>
      </c>
      <c r="E568">
        <v>1</v>
      </c>
      <c r="F568">
        <v>1</v>
      </c>
      <c r="G568">
        <v>1</v>
      </c>
      <c r="H568">
        <v>1</v>
      </c>
      <c r="J568">
        <v>55</v>
      </c>
      <c r="K568">
        <v>1</v>
      </c>
      <c r="L568">
        <v>1</v>
      </c>
      <c r="M568">
        <v>1</v>
      </c>
      <c r="N568">
        <v>1</v>
      </c>
      <c r="O568">
        <v>1</v>
      </c>
      <c r="P568">
        <v>1</v>
      </c>
      <c r="R568">
        <v>55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AA568">
        <v>-4950.9426000000003</v>
      </c>
      <c r="AB568">
        <v>-4950.9426000000003</v>
      </c>
      <c r="AC568">
        <v>-4950.9426000000003</v>
      </c>
      <c r="AD568">
        <v>-4950.9426000000003</v>
      </c>
      <c r="AE568">
        <v>-4950.9426000000003</v>
      </c>
      <c r="AF568">
        <v>-4950.9426000000003</v>
      </c>
    </row>
    <row r="571" spans="2:32" x14ac:dyDescent="0.25">
      <c r="B571" t="s">
        <v>46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32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48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2:32" x14ac:dyDescent="0.25">
      <c r="B572">
        <v>35</v>
      </c>
      <c r="C572">
        <v>1</v>
      </c>
      <c r="D572">
        <v>1</v>
      </c>
      <c r="E572">
        <v>1</v>
      </c>
      <c r="F572">
        <v>1</v>
      </c>
      <c r="G572">
        <v>1</v>
      </c>
      <c r="J572">
        <v>35</v>
      </c>
      <c r="K572">
        <v>1</v>
      </c>
      <c r="L572">
        <v>1</v>
      </c>
      <c r="M572">
        <v>1</v>
      </c>
      <c r="N572">
        <v>1</v>
      </c>
      <c r="O572">
        <v>1</v>
      </c>
      <c r="R572">
        <v>35</v>
      </c>
      <c r="S572">
        <v>1</v>
      </c>
      <c r="T572">
        <v>1</v>
      </c>
      <c r="U572">
        <v>1</v>
      </c>
      <c r="V572">
        <v>1</v>
      </c>
      <c r="W572">
        <v>1</v>
      </c>
      <c r="AA572">
        <v>-8996.1419000000005</v>
      </c>
      <c r="AB572">
        <v>-8996.1419000000005</v>
      </c>
      <c r="AC572">
        <v>-8996.1419000000005</v>
      </c>
      <c r="AD572">
        <v>-8996.1419000000005</v>
      </c>
      <c r="AE572">
        <v>-8996.1419000000005</v>
      </c>
      <c r="AF572">
        <v>-759112.79520000005</v>
      </c>
    </row>
    <row r="573" spans="2:32" x14ac:dyDescent="0.25">
      <c r="B573">
        <f t="shared" ref="B573:B602" si="24">B572+1</f>
        <v>36</v>
      </c>
      <c r="C573">
        <v>1</v>
      </c>
      <c r="D573">
        <v>1</v>
      </c>
      <c r="E573">
        <v>1</v>
      </c>
      <c r="F573">
        <v>1</v>
      </c>
      <c r="G573">
        <v>1</v>
      </c>
      <c r="J573">
        <f t="shared" ref="J573:J602" si="25">J572+1</f>
        <v>36</v>
      </c>
      <c r="K573">
        <v>1</v>
      </c>
      <c r="L573">
        <v>1</v>
      </c>
      <c r="M573">
        <v>1</v>
      </c>
      <c r="N573">
        <v>1</v>
      </c>
      <c r="O573">
        <v>1</v>
      </c>
      <c r="R573">
        <f t="shared" ref="R573:R602" si="26">R572+1</f>
        <v>36</v>
      </c>
      <c r="S573">
        <v>1</v>
      </c>
      <c r="T573">
        <v>1</v>
      </c>
      <c r="U573">
        <v>1</v>
      </c>
      <c r="V573">
        <v>1</v>
      </c>
      <c r="W573">
        <v>1</v>
      </c>
      <c r="AA573">
        <v>-8902.6679999999997</v>
      </c>
      <c r="AB573">
        <v>-8902.6679999999997</v>
      </c>
      <c r="AC573">
        <v>-8902.6679999999997</v>
      </c>
      <c r="AD573">
        <v>-8902.6679999999997</v>
      </c>
      <c r="AE573">
        <v>-8902.6679999999997</v>
      </c>
      <c r="AF573">
        <v>-737070.86179999996</v>
      </c>
    </row>
    <row r="574" spans="2:32" x14ac:dyDescent="0.25">
      <c r="B574">
        <f t="shared" si="24"/>
        <v>37</v>
      </c>
      <c r="C574">
        <v>1</v>
      </c>
      <c r="D574">
        <v>1</v>
      </c>
      <c r="E574">
        <v>1</v>
      </c>
      <c r="F574">
        <v>1</v>
      </c>
      <c r="G574">
        <v>1</v>
      </c>
      <c r="J574">
        <f t="shared" si="25"/>
        <v>37</v>
      </c>
      <c r="K574">
        <v>1</v>
      </c>
      <c r="L574">
        <v>1</v>
      </c>
      <c r="M574">
        <v>1</v>
      </c>
      <c r="N574">
        <v>1</v>
      </c>
      <c r="O574">
        <v>1</v>
      </c>
      <c r="R574">
        <f t="shared" si="26"/>
        <v>37</v>
      </c>
      <c r="S574">
        <v>1</v>
      </c>
      <c r="T574">
        <v>1</v>
      </c>
      <c r="U574">
        <v>1</v>
      </c>
      <c r="V574">
        <v>1</v>
      </c>
      <c r="W574">
        <v>1</v>
      </c>
      <c r="AA574">
        <v>-8806.7960000000003</v>
      </c>
      <c r="AB574">
        <v>-8806.7960000000003</v>
      </c>
      <c r="AC574">
        <v>-8806.7960000000003</v>
      </c>
      <c r="AD574">
        <v>-8806.7960000000003</v>
      </c>
      <c r="AE574">
        <v>-8806.7960000000003</v>
      </c>
      <c r="AF574">
        <v>-765978.91940000001</v>
      </c>
    </row>
    <row r="575" spans="2:32" x14ac:dyDescent="0.25">
      <c r="B575">
        <f t="shared" si="24"/>
        <v>38</v>
      </c>
      <c r="C575">
        <v>1</v>
      </c>
      <c r="D575">
        <v>1</v>
      </c>
      <c r="E575">
        <v>1</v>
      </c>
      <c r="F575">
        <v>1</v>
      </c>
      <c r="G575">
        <v>1</v>
      </c>
      <c r="J575">
        <f t="shared" si="25"/>
        <v>38</v>
      </c>
      <c r="K575">
        <v>1</v>
      </c>
      <c r="L575">
        <v>1</v>
      </c>
      <c r="M575">
        <v>1</v>
      </c>
      <c r="N575">
        <v>1</v>
      </c>
      <c r="O575">
        <v>1</v>
      </c>
      <c r="R575">
        <f t="shared" si="26"/>
        <v>38</v>
      </c>
      <c r="S575">
        <v>1</v>
      </c>
      <c r="T575">
        <v>1</v>
      </c>
      <c r="U575">
        <v>1</v>
      </c>
      <c r="V575">
        <v>1</v>
      </c>
      <c r="W575">
        <v>1</v>
      </c>
      <c r="AA575">
        <v>-8708.6234000000004</v>
      </c>
      <c r="AB575">
        <v>-8708.6234000000004</v>
      </c>
      <c r="AC575">
        <v>-8708.6234000000004</v>
      </c>
      <c r="AD575">
        <v>-8708.6234000000004</v>
      </c>
      <c r="AE575">
        <v>-8708.6234000000004</v>
      </c>
      <c r="AF575">
        <v>-783780.576</v>
      </c>
    </row>
    <row r="576" spans="2:32" x14ac:dyDescent="0.25">
      <c r="B576">
        <f t="shared" si="24"/>
        <v>39</v>
      </c>
      <c r="C576">
        <v>1</v>
      </c>
      <c r="D576">
        <v>1</v>
      </c>
      <c r="E576">
        <v>1</v>
      </c>
      <c r="F576">
        <v>1</v>
      </c>
      <c r="G576">
        <v>1</v>
      </c>
      <c r="J576">
        <f t="shared" si="25"/>
        <v>39</v>
      </c>
      <c r="K576">
        <v>1</v>
      </c>
      <c r="L576">
        <v>1</v>
      </c>
      <c r="M576">
        <v>1</v>
      </c>
      <c r="N576">
        <v>1</v>
      </c>
      <c r="O576">
        <v>1</v>
      </c>
      <c r="R576">
        <f t="shared" si="26"/>
        <v>39</v>
      </c>
      <c r="S576">
        <v>1</v>
      </c>
      <c r="T576">
        <v>1</v>
      </c>
      <c r="U576">
        <v>1</v>
      </c>
      <c r="V576">
        <v>1</v>
      </c>
      <c r="W576">
        <v>1</v>
      </c>
      <c r="AA576">
        <v>-8608.1594000000005</v>
      </c>
      <c r="AB576">
        <v>-8608.1594000000005</v>
      </c>
      <c r="AC576">
        <v>-8608.1594000000005</v>
      </c>
      <c r="AD576">
        <v>-8608.1594000000005</v>
      </c>
      <c r="AE576">
        <v>-8608.1594000000005</v>
      </c>
      <c r="AF576">
        <v>-769662.22069999995</v>
      </c>
    </row>
    <row r="577" spans="2:32" x14ac:dyDescent="0.25">
      <c r="B577">
        <f t="shared" si="24"/>
        <v>40</v>
      </c>
      <c r="C577">
        <v>1</v>
      </c>
      <c r="D577">
        <v>1</v>
      </c>
      <c r="E577">
        <v>1</v>
      </c>
      <c r="F577">
        <v>1</v>
      </c>
      <c r="G577">
        <v>1</v>
      </c>
      <c r="J577">
        <f t="shared" si="25"/>
        <v>40</v>
      </c>
      <c r="K577">
        <v>1</v>
      </c>
      <c r="L577">
        <v>1</v>
      </c>
      <c r="M577">
        <v>1</v>
      </c>
      <c r="N577">
        <v>1</v>
      </c>
      <c r="O577">
        <v>1</v>
      </c>
      <c r="R577">
        <f t="shared" si="26"/>
        <v>40</v>
      </c>
      <c r="S577">
        <v>1</v>
      </c>
      <c r="T577">
        <v>1</v>
      </c>
      <c r="U577">
        <v>1</v>
      </c>
      <c r="V577">
        <v>1</v>
      </c>
      <c r="W577">
        <v>1</v>
      </c>
      <c r="AA577">
        <v>-8505.3439999999991</v>
      </c>
      <c r="AB577">
        <v>-8505.3439999999991</v>
      </c>
      <c r="AC577">
        <v>-8505.3439999999991</v>
      </c>
      <c r="AD577">
        <v>-8505.3439999999991</v>
      </c>
      <c r="AE577">
        <v>-8505.3439999999991</v>
      </c>
      <c r="AF577">
        <v>-798570.41119999997</v>
      </c>
    </row>
    <row r="578" spans="2:32" x14ac:dyDescent="0.25">
      <c r="B578">
        <f t="shared" si="24"/>
        <v>41</v>
      </c>
      <c r="C578">
        <v>1</v>
      </c>
      <c r="D578">
        <v>1</v>
      </c>
      <c r="E578">
        <v>1</v>
      </c>
      <c r="F578">
        <v>1</v>
      </c>
      <c r="G578">
        <v>1</v>
      </c>
      <c r="J578">
        <f t="shared" si="25"/>
        <v>41</v>
      </c>
      <c r="K578">
        <v>1</v>
      </c>
      <c r="L578">
        <v>1</v>
      </c>
      <c r="M578">
        <v>1</v>
      </c>
      <c r="N578">
        <v>1</v>
      </c>
      <c r="O578">
        <v>1</v>
      </c>
      <c r="R578">
        <f t="shared" si="26"/>
        <v>41</v>
      </c>
      <c r="S578">
        <v>1</v>
      </c>
      <c r="T578">
        <v>1</v>
      </c>
      <c r="U578">
        <v>1</v>
      </c>
      <c r="V578">
        <v>1</v>
      </c>
      <c r="W578">
        <v>1</v>
      </c>
      <c r="AA578">
        <v>-8400.1087000000007</v>
      </c>
      <c r="AB578">
        <v>-8400.1087000000007</v>
      </c>
      <c r="AC578">
        <v>-8400.1087000000007</v>
      </c>
      <c r="AD578">
        <v>-8400.1087000000007</v>
      </c>
      <c r="AE578">
        <v>-8400.1087000000007</v>
      </c>
      <c r="AF578">
        <v>-803549.96459999995</v>
      </c>
    </row>
    <row r="579" spans="2:32" x14ac:dyDescent="0.25">
      <c r="B579">
        <f t="shared" si="24"/>
        <v>42</v>
      </c>
      <c r="C579">
        <v>1</v>
      </c>
      <c r="D579">
        <v>1</v>
      </c>
      <c r="E579">
        <v>1</v>
      </c>
      <c r="F579">
        <v>1</v>
      </c>
      <c r="G579">
        <v>1</v>
      </c>
      <c r="J579">
        <f t="shared" si="25"/>
        <v>42</v>
      </c>
      <c r="K579">
        <v>1</v>
      </c>
      <c r="L579">
        <v>1</v>
      </c>
      <c r="M579">
        <v>1</v>
      </c>
      <c r="N579">
        <v>1</v>
      </c>
      <c r="O579">
        <v>1</v>
      </c>
      <c r="R579">
        <f t="shared" si="26"/>
        <v>42</v>
      </c>
      <c r="S579">
        <v>1</v>
      </c>
      <c r="T579">
        <v>1</v>
      </c>
      <c r="U579">
        <v>1</v>
      </c>
      <c r="V579">
        <v>1</v>
      </c>
      <c r="W579">
        <v>1</v>
      </c>
      <c r="AA579">
        <v>-8292.4974999999995</v>
      </c>
      <c r="AB579">
        <v>-8292.4974999999995</v>
      </c>
      <c r="AC579">
        <v>-8292.4974999999995</v>
      </c>
      <c r="AD579">
        <v>-8292.4974999999995</v>
      </c>
      <c r="AE579">
        <v>-8292.4974999999995</v>
      </c>
      <c r="AF579">
        <v>-833551.75890000002</v>
      </c>
    </row>
    <row r="580" spans="2:32" x14ac:dyDescent="0.25">
      <c r="B580">
        <f t="shared" si="24"/>
        <v>43</v>
      </c>
      <c r="C580">
        <v>1</v>
      </c>
      <c r="D580">
        <v>1</v>
      </c>
      <c r="E580">
        <v>1</v>
      </c>
      <c r="F580">
        <v>1</v>
      </c>
      <c r="G580">
        <v>1</v>
      </c>
      <c r="J580">
        <f t="shared" si="25"/>
        <v>43</v>
      </c>
      <c r="K580">
        <v>1</v>
      </c>
      <c r="L580">
        <v>1</v>
      </c>
      <c r="M580">
        <v>1</v>
      </c>
      <c r="N580">
        <v>1</v>
      </c>
      <c r="O580">
        <v>1</v>
      </c>
      <c r="R580">
        <f t="shared" si="26"/>
        <v>43</v>
      </c>
      <c r="S580">
        <v>1</v>
      </c>
      <c r="T580">
        <v>1</v>
      </c>
      <c r="U580">
        <v>1</v>
      </c>
      <c r="V580">
        <v>1</v>
      </c>
      <c r="W580">
        <v>1</v>
      </c>
      <c r="AA580">
        <v>-8182.3909999999996</v>
      </c>
      <c r="AB580">
        <v>-8182.3909999999996</v>
      </c>
      <c r="AC580">
        <v>-8182.3909999999996</v>
      </c>
      <c r="AD580">
        <v>-8182.3909999999996</v>
      </c>
      <c r="AE580">
        <v>-8182.3909999999996</v>
      </c>
      <c r="AF580">
        <v>-844950.93949999998</v>
      </c>
    </row>
    <row r="581" spans="2:32" x14ac:dyDescent="0.25">
      <c r="B581">
        <f t="shared" si="24"/>
        <v>44</v>
      </c>
      <c r="C581">
        <v>1</v>
      </c>
      <c r="D581">
        <v>1</v>
      </c>
      <c r="E581">
        <v>1</v>
      </c>
      <c r="F581">
        <v>1</v>
      </c>
      <c r="G581">
        <v>1</v>
      </c>
      <c r="J581">
        <f t="shared" si="25"/>
        <v>44</v>
      </c>
      <c r="K581">
        <v>1</v>
      </c>
      <c r="L581">
        <v>1</v>
      </c>
      <c r="M581">
        <v>1</v>
      </c>
      <c r="N581">
        <v>1</v>
      </c>
      <c r="O581">
        <v>1</v>
      </c>
      <c r="R581">
        <f t="shared" si="26"/>
        <v>44</v>
      </c>
      <c r="S581">
        <v>1</v>
      </c>
      <c r="T581">
        <v>1</v>
      </c>
      <c r="U581">
        <v>1</v>
      </c>
      <c r="V581">
        <v>1</v>
      </c>
      <c r="W581">
        <v>1</v>
      </c>
      <c r="AA581">
        <v>-8069.8261000000002</v>
      </c>
      <c r="AB581">
        <v>-8069.8261000000002</v>
      </c>
      <c r="AC581">
        <v>-8069.8261000000002</v>
      </c>
      <c r="AD581">
        <v>-8069.8261000000002</v>
      </c>
      <c r="AE581">
        <v>-8069.8261000000002</v>
      </c>
      <c r="AF581">
        <v>-851265.64670000004</v>
      </c>
    </row>
    <row r="582" spans="2:32" x14ac:dyDescent="0.25">
      <c r="B582">
        <f t="shared" si="24"/>
        <v>45</v>
      </c>
      <c r="C582">
        <v>1</v>
      </c>
      <c r="D582">
        <v>1</v>
      </c>
      <c r="E582">
        <v>1</v>
      </c>
      <c r="F582">
        <v>1</v>
      </c>
      <c r="G582">
        <v>1</v>
      </c>
      <c r="J582">
        <f t="shared" si="25"/>
        <v>45</v>
      </c>
      <c r="K582">
        <v>1</v>
      </c>
      <c r="L582">
        <v>1</v>
      </c>
      <c r="M582">
        <v>1</v>
      </c>
      <c r="N582">
        <v>1</v>
      </c>
      <c r="O582">
        <v>1</v>
      </c>
      <c r="R582">
        <f t="shared" si="26"/>
        <v>45</v>
      </c>
      <c r="S582">
        <v>1</v>
      </c>
      <c r="T582">
        <v>1</v>
      </c>
      <c r="U582">
        <v>1</v>
      </c>
      <c r="V582">
        <v>1</v>
      </c>
      <c r="W582">
        <v>1</v>
      </c>
      <c r="AA582">
        <v>-7954.7533999999996</v>
      </c>
      <c r="AB582">
        <v>-7954.7533999999996</v>
      </c>
      <c r="AC582">
        <v>-7954.7533999999996</v>
      </c>
      <c r="AD582">
        <v>-7954.7533999999996</v>
      </c>
      <c r="AE582">
        <v>-7954.7533999999996</v>
      </c>
      <c r="AF582">
        <v>-870649.02139999997</v>
      </c>
    </row>
    <row r="583" spans="2:32" x14ac:dyDescent="0.25">
      <c r="B583">
        <f t="shared" si="24"/>
        <v>46</v>
      </c>
      <c r="C583">
        <v>1</v>
      </c>
      <c r="D583">
        <v>1</v>
      </c>
      <c r="E583">
        <v>1</v>
      </c>
      <c r="F583">
        <v>1</v>
      </c>
      <c r="G583">
        <v>1</v>
      </c>
      <c r="J583">
        <f t="shared" si="25"/>
        <v>46</v>
      </c>
      <c r="K583">
        <v>1</v>
      </c>
      <c r="L583">
        <v>1</v>
      </c>
      <c r="M583">
        <v>1</v>
      </c>
      <c r="N583">
        <v>1</v>
      </c>
      <c r="O583">
        <v>1</v>
      </c>
      <c r="R583">
        <f t="shared" si="26"/>
        <v>46</v>
      </c>
      <c r="S583">
        <v>1</v>
      </c>
      <c r="T583">
        <v>1</v>
      </c>
      <c r="U583">
        <v>1</v>
      </c>
      <c r="V583">
        <v>1</v>
      </c>
      <c r="W583">
        <v>1</v>
      </c>
      <c r="AA583">
        <v>-7837.1754000000001</v>
      </c>
      <c r="AB583">
        <v>-7837.1754000000001</v>
      </c>
      <c r="AC583">
        <v>-7837.1754000000001</v>
      </c>
      <c r="AD583">
        <v>-7837.1754000000001</v>
      </c>
      <c r="AE583">
        <v>-7837.1754000000001</v>
      </c>
      <c r="AF583">
        <v>-892550.54509999999</v>
      </c>
    </row>
    <row r="584" spans="2:32" x14ac:dyDescent="0.25">
      <c r="B584">
        <f t="shared" si="24"/>
        <v>47</v>
      </c>
      <c r="C584">
        <v>1</v>
      </c>
      <c r="D584">
        <v>1</v>
      </c>
      <c r="E584">
        <v>1</v>
      </c>
      <c r="F584">
        <v>1</v>
      </c>
      <c r="G584">
        <v>1</v>
      </c>
      <c r="J584">
        <f t="shared" si="25"/>
        <v>47</v>
      </c>
      <c r="K584">
        <v>1</v>
      </c>
      <c r="L584">
        <v>1</v>
      </c>
      <c r="M584">
        <v>1</v>
      </c>
      <c r="N584">
        <v>1</v>
      </c>
      <c r="O584">
        <v>1</v>
      </c>
      <c r="R584">
        <f t="shared" si="26"/>
        <v>47</v>
      </c>
      <c r="S584">
        <v>1</v>
      </c>
      <c r="T584">
        <v>1</v>
      </c>
      <c r="U584">
        <v>1</v>
      </c>
      <c r="V584">
        <v>1</v>
      </c>
      <c r="W584">
        <v>1</v>
      </c>
      <c r="AA584">
        <v>-7717.0294999999996</v>
      </c>
      <c r="AB584">
        <v>-7717.0294999999996</v>
      </c>
      <c r="AC584">
        <v>-7717.0294999999996</v>
      </c>
      <c r="AD584">
        <v>-7717.0294999999996</v>
      </c>
      <c r="AE584">
        <v>-7717.0294999999996</v>
      </c>
      <c r="AF584">
        <v>-910915.81969999999</v>
      </c>
    </row>
    <row r="585" spans="2:32" x14ac:dyDescent="0.25">
      <c r="B585">
        <f t="shared" si="24"/>
        <v>48</v>
      </c>
      <c r="C585">
        <v>1</v>
      </c>
      <c r="D585">
        <v>1</v>
      </c>
      <c r="E585">
        <v>1</v>
      </c>
      <c r="F585">
        <v>1</v>
      </c>
      <c r="G585">
        <v>1</v>
      </c>
      <c r="J585">
        <f t="shared" si="25"/>
        <v>48</v>
      </c>
      <c r="K585">
        <v>1</v>
      </c>
      <c r="L585">
        <v>1</v>
      </c>
      <c r="M585">
        <v>1</v>
      </c>
      <c r="N585">
        <v>1</v>
      </c>
      <c r="O585">
        <v>1</v>
      </c>
      <c r="R585">
        <f t="shared" si="26"/>
        <v>48</v>
      </c>
      <c r="S585">
        <v>1</v>
      </c>
      <c r="T585">
        <v>1</v>
      </c>
      <c r="U585">
        <v>1</v>
      </c>
      <c r="V585">
        <v>1</v>
      </c>
      <c r="W585">
        <v>1</v>
      </c>
      <c r="AA585">
        <v>-7594.4201000000003</v>
      </c>
      <c r="AB585">
        <v>-7594.4201000000003</v>
      </c>
      <c r="AC585">
        <v>-7594.4201000000003</v>
      </c>
      <c r="AD585">
        <v>-7594.4201000000003</v>
      </c>
      <c r="AE585">
        <v>-7594.4201000000003</v>
      </c>
      <c r="AF585">
        <v>-917891.87360000005</v>
      </c>
    </row>
    <row r="586" spans="2:32" x14ac:dyDescent="0.25">
      <c r="B586">
        <f t="shared" si="24"/>
        <v>49</v>
      </c>
      <c r="C586">
        <v>1</v>
      </c>
      <c r="D586">
        <v>1</v>
      </c>
      <c r="E586">
        <v>1</v>
      </c>
      <c r="F586">
        <v>1</v>
      </c>
      <c r="G586">
        <v>1</v>
      </c>
      <c r="J586">
        <f t="shared" si="25"/>
        <v>49</v>
      </c>
      <c r="K586">
        <v>1</v>
      </c>
      <c r="L586">
        <v>1</v>
      </c>
      <c r="M586">
        <v>1</v>
      </c>
      <c r="N586">
        <v>1</v>
      </c>
      <c r="O586">
        <v>1</v>
      </c>
      <c r="R586">
        <f t="shared" si="26"/>
        <v>49</v>
      </c>
      <c r="S586">
        <v>1</v>
      </c>
      <c r="T586">
        <v>1</v>
      </c>
      <c r="U586">
        <v>1</v>
      </c>
      <c r="V586">
        <v>1</v>
      </c>
      <c r="W586">
        <v>1</v>
      </c>
      <c r="AA586">
        <v>-7469.3995999999997</v>
      </c>
      <c r="AB586">
        <v>-7469.3995999999997</v>
      </c>
      <c r="AC586">
        <v>-7469.3995999999997</v>
      </c>
      <c r="AD586">
        <v>-7469.3995999999997</v>
      </c>
      <c r="AE586">
        <v>-7469.3995999999997</v>
      </c>
      <c r="AF586">
        <v>-944521.72470000002</v>
      </c>
    </row>
    <row r="587" spans="2:32" x14ac:dyDescent="0.25">
      <c r="B587">
        <f t="shared" si="24"/>
        <v>50</v>
      </c>
      <c r="C587">
        <v>1</v>
      </c>
      <c r="D587">
        <v>1</v>
      </c>
      <c r="E587">
        <v>1</v>
      </c>
      <c r="F587">
        <v>1</v>
      </c>
      <c r="G587">
        <v>1</v>
      </c>
      <c r="J587">
        <f t="shared" si="25"/>
        <v>50</v>
      </c>
      <c r="K587">
        <v>1</v>
      </c>
      <c r="L587">
        <v>1</v>
      </c>
      <c r="M587">
        <v>1</v>
      </c>
      <c r="N587">
        <v>1</v>
      </c>
      <c r="O587">
        <v>1</v>
      </c>
      <c r="R587">
        <f t="shared" si="26"/>
        <v>50</v>
      </c>
      <c r="S587">
        <v>1</v>
      </c>
      <c r="T587">
        <v>1</v>
      </c>
      <c r="U587">
        <v>1</v>
      </c>
      <c r="V587">
        <v>1</v>
      </c>
      <c r="W587">
        <v>1</v>
      </c>
      <c r="AA587">
        <v>-7341.9502000000002</v>
      </c>
      <c r="AB587">
        <v>-7341.9502000000002</v>
      </c>
      <c r="AC587">
        <v>-7341.9502000000002</v>
      </c>
      <c r="AD587">
        <v>-7341.9502000000002</v>
      </c>
      <c r="AE587">
        <v>-7341.9502000000002</v>
      </c>
      <c r="AF587">
        <v>-963257.14989999996</v>
      </c>
    </row>
    <row r="588" spans="2:32" x14ac:dyDescent="0.25">
      <c r="B588">
        <f t="shared" si="24"/>
        <v>51</v>
      </c>
      <c r="C588">
        <v>1</v>
      </c>
      <c r="D588">
        <v>1</v>
      </c>
      <c r="E588">
        <v>1</v>
      </c>
      <c r="F588">
        <v>1</v>
      </c>
      <c r="G588">
        <v>1</v>
      </c>
      <c r="J588">
        <f t="shared" si="25"/>
        <v>51</v>
      </c>
      <c r="K588">
        <v>1</v>
      </c>
      <c r="L588">
        <v>1</v>
      </c>
      <c r="M588">
        <v>1</v>
      </c>
      <c r="N588">
        <v>1</v>
      </c>
      <c r="O588">
        <v>1</v>
      </c>
      <c r="R588">
        <f t="shared" si="26"/>
        <v>51</v>
      </c>
      <c r="S588">
        <v>1</v>
      </c>
      <c r="T588">
        <v>1</v>
      </c>
      <c r="U588">
        <v>1</v>
      </c>
      <c r="V588">
        <v>1</v>
      </c>
      <c r="W588">
        <v>1</v>
      </c>
      <c r="AA588">
        <v>-7212.0646999999999</v>
      </c>
      <c r="AB588">
        <v>-7212.0646999999999</v>
      </c>
      <c r="AC588">
        <v>-7212.0646999999999</v>
      </c>
      <c r="AD588">
        <v>-7212.0646999999999</v>
      </c>
      <c r="AE588">
        <v>-7212.0646999999999</v>
      </c>
      <c r="AF588">
        <v>-981592.90729999996</v>
      </c>
    </row>
    <row r="589" spans="2:32" x14ac:dyDescent="0.25">
      <c r="B589">
        <f t="shared" si="24"/>
        <v>52</v>
      </c>
      <c r="C589">
        <v>1</v>
      </c>
      <c r="D589">
        <v>1</v>
      </c>
      <c r="E589">
        <v>1</v>
      </c>
      <c r="F589">
        <v>1</v>
      </c>
      <c r="G589">
        <v>1</v>
      </c>
      <c r="J589">
        <f t="shared" si="25"/>
        <v>52</v>
      </c>
      <c r="K589">
        <v>1</v>
      </c>
      <c r="L589">
        <v>1</v>
      </c>
      <c r="M589">
        <v>1</v>
      </c>
      <c r="N589">
        <v>1</v>
      </c>
      <c r="O589">
        <v>1</v>
      </c>
      <c r="R589">
        <f t="shared" si="26"/>
        <v>52</v>
      </c>
      <c r="S589">
        <v>1</v>
      </c>
      <c r="T589">
        <v>1</v>
      </c>
      <c r="U589">
        <v>1</v>
      </c>
      <c r="V589">
        <v>1</v>
      </c>
      <c r="W589">
        <v>1</v>
      </c>
      <c r="AA589">
        <v>-7079.7435999999998</v>
      </c>
      <c r="AB589">
        <v>-7079.7435999999998</v>
      </c>
      <c r="AC589">
        <v>-7079.7435999999998</v>
      </c>
      <c r="AD589">
        <v>-7079.7435999999998</v>
      </c>
      <c r="AE589">
        <v>-7079.7435999999998</v>
      </c>
      <c r="AF589">
        <v>-998556.10360000003</v>
      </c>
    </row>
    <row r="590" spans="2:32" x14ac:dyDescent="0.25">
      <c r="B590">
        <f t="shared" si="24"/>
        <v>53</v>
      </c>
      <c r="C590">
        <v>1</v>
      </c>
      <c r="D590">
        <v>1</v>
      </c>
      <c r="E590">
        <v>1</v>
      </c>
      <c r="F590">
        <v>1</v>
      </c>
      <c r="G590">
        <v>1</v>
      </c>
      <c r="J590">
        <f t="shared" si="25"/>
        <v>53</v>
      </c>
      <c r="K590">
        <v>1</v>
      </c>
      <c r="L590">
        <v>1</v>
      </c>
      <c r="M590">
        <v>1</v>
      </c>
      <c r="N590">
        <v>1</v>
      </c>
      <c r="O590">
        <v>1</v>
      </c>
      <c r="R590">
        <f t="shared" si="26"/>
        <v>53</v>
      </c>
      <c r="S590">
        <v>1</v>
      </c>
      <c r="T590">
        <v>1</v>
      </c>
      <c r="U590">
        <v>1</v>
      </c>
      <c r="V590">
        <v>1</v>
      </c>
      <c r="W590">
        <v>1</v>
      </c>
      <c r="AA590">
        <v>-6945.0875999999998</v>
      </c>
      <c r="AB590">
        <v>-6945.0875999999998</v>
      </c>
      <c r="AC590">
        <v>-6945.0875999999998</v>
      </c>
      <c r="AD590">
        <v>-6945.0875999999998</v>
      </c>
      <c r="AE590">
        <v>-6945.0875999999998</v>
      </c>
      <c r="AF590">
        <v>-1015461.3278</v>
      </c>
    </row>
    <row r="591" spans="2:32" x14ac:dyDescent="0.25">
      <c r="B591">
        <f t="shared" si="24"/>
        <v>54</v>
      </c>
      <c r="C591">
        <v>1</v>
      </c>
      <c r="D591">
        <v>1</v>
      </c>
      <c r="E591">
        <v>1</v>
      </c>
      <c r="F591">
        <v>1</v>
      </c>
      <c r="G591">
        <v>1</v>
      </c>
      <c r="J591">
        <f t="shared" si="25"/>
        <v>54</v>
      </c>
      <c r="K591">
        <v>1</v>
      </c>
      <c r="L591">
        <v>1</v>
      </c>
      <c r="M591">
        <v>1</v>
      </c>
      <c r="N591">
        <v>1</v>
      </c>
      <c r="O591">
        <v>1</v>
      </c>
      <c r="R591">
        <f t="shared" si="26"/>
        <v>54</v>
      </c>
      <c r="S591">
        <v>1</v>
      </c>
      <c r="T591">
        <v>1</v>
      </c>
      <c r="U591">
        <v>1</v>
      </c>
      <c r="V591">
        <v>1</v>
      </c>
      <c r="W591">
        <v>1</v>
      </c>
      <c r="AA591">
        <v>-6808.2438000000002</v>
      </c>
      <c r="AB591">
        <v>-6808.2438000000002</v>
      </c>
      <c r="AC591">
        <v>-6808.2438000000002</v>
      </c>
      <c r="AD591">
        <v>-6808.2438000000002</v>
      </c>
      <c r="AE591">
        <v>-6808.2438000000002</v>
      </c>
      <c r="AF591">
        <v>-1033869.6813000001</v>
      </c>
    </row>
    <row r="592" spans="2:32" x14ac:dyDescent="0.25">
      <c r="B592">
        <f t="shared" si="24"/>
        <v>55</v>
      </c>
      <c r="C592">
        <v>1</v>
      </c>
      <c r="D592">
        <v>1</v>
      </c>
      <c r="E592">
        <v>1</v>
      </c>
      <c r="F592">
        <v>1</v>
      </c>
      <c r="G592">
        <v>1</v>
      </c>
      <c r="J592">
        <f t="shared" si="25"/>
        <v>55</v>
      </c>
      <c r="K592">
        <v>1</v>
      </c>
      <c r="L592">
        <v>1</v>
      </c>
      <c r="M592">
        <v>1</v>
      </c>
      <c r="N592">
        <v>1</v>
      </c>
      <c r="O592">
        <v>1</v>
      </c>
      <c r="R592">
        <f t="shared" si="26"/>
        <v>55</v>
      </c>
      <c r="S592">
        <v>1</v>
      </c>
      <c r="T592">
        <v>1</v>
      </c>
      <c r="U592">
        <v>1</v>
      </c>
      <c r="V592">
        <v>1</v>
      </c>
      <c r="W592">
        <v>1</v>
      </c>
      <c r="AA592">
        <v>-6669.2525999999998</v>
      </c>
      <c r="AB592">
        <v>-6669.2525999999998</v>
      </c>
      <c r="AC592">
        <v>-6669.2525999999998</v>
      </c>
      <c r="AD592">
        <v>-6669.2525999999998</v>
      </c>
      <c r="AE592">
        <v>-6669.2525999999998</v>
      </c>
      <c r="AF592">
        <v>-1050810.2549999999</v>
      </c>
    </row>
    <row r="593" spans="2:32" x14ac:dyDescent="0.25">
      <c r="B593">
        <f t="shared" si="24"/>
        <v>56</v>
      </c>
      <c r="C593">
        <v>1</v>
      </c>
      <c r="D593">
        <v>1</v>
      </c>
      <c r="E593">
        <v>1</v>
      </c>
      <c r="F593">
        <v>1</v>
      </c>
      <c r="G593">
        <v>1</v>
      </c>
      <c r="J593">
        <f t="shared" si="25"/>
        <v>56</v>
      </c>
      <c r="K593">
        <v>1</v>
      </c>
      <c r="L593">
        <v>1</v>
      </c>
      <c r="M593">
        <v>1</v>
      </c>
      <c r="N593">
        <v>1</v>
      </c>
      <c r="O593">
        <v>1</v>
      </c>
      <c r="R593">
        <f t="shared" si="26"/>
        <v>56</v>
      </c>
      <c r="S593">
        <v>1</v>
      </c>
      <c r="T593">
        <v>1</v>
      </c>
      <c r="U593">
        <v>1</v>
      </c>
      <c r="V593">
        <v>1</v>
      </c>
      <c r="W593">
        <v>1</v>
      </c>
      <c r="AA593">
        <v>-6528.2992000000004</v>
      </c>
      <c r="AB593">
        <v>-6528.2992000000004</v>
      </c>
      <c r="AC593">
        <v>-6528.2992000000004</v>
      </c>
      <c r="AD593">
        <v>-6528.2992000000004</v>
      </c>
      <c r="AE593">
        <v>-6528.2992000000004</v>
      </c>
      <c r="AF593">
        <v>-1073295.8774000001</v>
      </c>
    </row>
    <row r="594" spans="2:32" x14ac:dyDescent="0.25">
      <c r="B594">
        <f t="shared" si="24"/>
        <v>57</v>
      </c>
      <c r="C594">
        <v>1</v>
      </c>
      <c r="D594">
        <v>1</v>
      </c>
      <c r="E594">
        <v>1</v>
      </c>
      <c r="F594">
        <v>1</v>
      </c>
      <c r="G594">
        <v>1</v>
      </c>
      <c r="J594">
        <f t="shared" si="25"/>
        <v>57</v>
      </c>
      <c r="K594">
        <v>1</v>
      </c>
      <c r="L594">
        <v>1</v>
      </c>
      <c r="M594">
        <v>1</v>
      </c>
      <c r="N594">
        <v>1</v>
      </c>
      <c r="O594">
        <v>1</v>
      </c>
      <c r="R594">
        <f t="shared" si="26"/>
        <v>57</v>
      </c>
      <c r="S594">
        <v>1</v>
      </c>
      <c r="T594">
        <v>1</v>
      </c>
      <c r="U594">
        <v>1</v>
      </c>
      <c r="V594">
        <v>1</v>
      </c>
      <c r="W594">
        <v>1</v>
      </c>
      <c r="AA594">
        <v>-6385.5230000000001</v>
      </c>
      <c r="AB594">
        <v>-6385.5230000000001</v>
      </c>
      <c r="AC594">
        <v>-6385.5230000000001</v>
      </c>
      <c r="AD594">
        <v>-6385.5230000000001</v>
      </c>
      <c r="AE594">
        <v>-6385.5230000000001</v>
      </c>
      <c r="AF594">
        <v>-1093242.6832999999</v>
      </c>
    </row>
    <row r="595" spans="2:32" x14ac:dyDescent="0.25">
      <c r="B595">
        <f t="shared" si="24"/>
        <v>58</v>
      </c>
      <c r="C595">
        <v>1</v>
      </c>
      <c r="D595">
        <v>1</v>
      </c>
      <c r="E595">
        <v>1</v>
      </c>
      <c r="F595">
        <v>1</v>
      </c>
      <c r="G595">
        <v>1</v>
      </c>
      <c r="J595">
        <f t="shared" si="25"/>
        <v>58</v>
      </c>
      <c r="K595">
        <v>1</v>
      </c>
      <c r="L595">
        <v>1</v>
      </c>
      <c r="M595">
        <v>1</v>
      </c>
      <c r="N595">
        <v>1</v>
      </c>
      <c r="O595">
        <v>1</v>
      </c>
      <c r="R595">
        <f t="shared" si="26"/>
        <v>58</v>
      </c>
      <c r="S595">
        <v>1</v>
      </c>
      <c r="T595">
        <v>1</v>
      </c>
      <c r="U595">
        <v>1</v>
      </c>
      <c r="V595">
        <v>1</v>
      </c>
      <c r="W595">
        <v>1</v>
      </c>
      <c r="AA595">
        <v>-6240.8730999999998</v>
      </c>
      <c r="AB595">
        <v>-6240.8730999999998</v>
      </c>
      <c r="AC595">
        <v>-6240.8730999999998</v>
      </c>
      <c r="AD595">
        <v>-6240.8730999999998</v>
      </c>
      <c r="AE595">
        <v>-6240.8730999999998</v>
      </c>
      <c r="AF595">
        <v>-1114366.6444000001</v>
      </c>
    </row>
    <row r="596" spans="2:32" x14ac:dyDescent="0.25">
      <c r="B596">
        <f t="shared" si="24"/>
        <v>59</v>
      </c>
      <c r="C596">
        <v>1</v>
      </c>
      <c r="D596">
        <v>1</v>
      </c>
      <c r="E596">
        <v>1</v>
      </c>
      <c r="F596">
        <v>1</v>
      </c>
      <c r="G596">
        <v>1</v>
      </c>
      <c r="J596">
        <f t="shared" si="25"/>
        <v>59</v>
      </c>
      <c r="K596">
        <v>1</v>
      </c>
      <c r="L596">
        <v>1</v>
      </c>
      <c r="M596">
        <v>1</v>
      </c>
      <c r="N596">
        <v>1</v>
      </c>
      <c r="O596">
        <v>1</v>
      </c>
      <c r="R596">
        <f t="shared" si="26"/>
        <v>59</v>
      </c>
      <c r="S596">
        <v>1</v>
      </c>
      <c r="T596">
        <v>1</v>
      </c>
      <c r="U596">
        <v>1</v>
      </c>
      <c r="V596">
        <v>1</v>
      </c>
      <c r="W596">
        <v>1</v>
      </c>
      <c r="AA596">
        <v>-6094.3262999999997</v>
      </c>
      <c r="AB596">
        <v>-6094.3262999999997</v>
      </c>
      <c r="AC596">
        <v>-6094.3262999999997</v>
      </c>
      <c r="AD596">
        <v>-6094.3262999999997</v>
      </c>
      <c r="AE596">
        <v>-6094.3262999999997</v>
      </c>
      <c r="AF596">
        <v>-1136284.0146999999</v>
      </c>
    </row>
    <row r="597" spans="2:32" x14ac:dyDescent="0.25">
      <c r="B597">
        <f t="shared" si="24"/>
        <v>60</v>
      </c>
      <c r="C597">
        <v>1</v>
      </c>
      <c r="D597">
        <v>1</v>
      </c>
      <c r="E597">
        <v>1</v>
      </c>
      <c r="F597">
        <v>1</v>
      </c>
      <c r="G597">
        <v>1</v>
      </c>
      <c r="J597">
        <f t="shared" si="25"/>
        <v>60</v>
      </c>
      <c r="K597">
        <v>1</v>
      </c>
      <c r="L597">
        <v>1</v>
      </c>
      <c r="M597">
        <v>1</v>
      </c>
      <c r="N597">
        <v>1</v>
      </c>
      <c r="O597">
        <v>1</v>
      </c>
      <c r="R597">
        <f t="shared" si="26"/>
        <v>60</v>
      </c>
      <c r="S597">
        <v>1</v>
      </c>
      <c r="T597">
        <v>1</v>
      </c>
      <c r="U597">
        <v>1</v>
      </c>
      <c r="V597">
        <v>1</v>
      </c>
      <c r="W597">
        <v>1</v>
      </c>
      <c r="AA597">
        <v>-5945.9960000000001</v>
      </c>
      <c r="AB597">
        <v>-5945.9960000000001</v>
      </c>
      <c r="AC597">
        <v>-5945.9960000000001</v>
      </c>
      <c r="AD597">
        <v>-5945.9960000000001</v>
      </c>
      <c r="AE597">
        <v>-5945.9960000000001</v>
      </c>
      <c r="AF597">
        <v>-1157801.6717999999</v>
      </c>
    </row>
    <row r="598" spans="2:32" x14ac:dyDescent="0.25">
      <c r="B598">
        <f t="shared" si="24"/>
        <v>61</v>
      </c>
      <c r="C598">
        <v>1</v>
      </c>
      <c r="D598">
        <v>1</v>
      </c>
      <c r="E598">
        <v>1</v>
      </c>
      <c r="F598">
        <v>1</v>
      </c>
      <c r="G598">
        <v>1</v>
      </c>
      <c r="J598">
        <f t="shared" si="25"/>
        <v>61</v>
      </c>
      <c r="K598">
        <v>1</v>
      </c>
      <c r="L598">
        <v>1</v>
      </c>
      <c r="M598">
        <v>1</v>
      </c>
      <c r="N598">
        <v>1</v>
      </c>
      <c r="O598">
        <v>1</v>
      </c>
      <c r="R598">
        <f t="shared" si="26"/>
        <v>61</v>
      </c>
      <c r="S598">
        <v>1</v>
      </c>
      <c r="T598">
        <v>1</v>
      </c>
      <c r="U598">
        <v>1</v>
      </c>
      <c r="V598">
        <v>1</v>
      </c>
      <c r="W598">
        <v>1</v>
      </c>
      <c r="AA598">
        <v>-5796.3015999999998</v>
      </c>
      <c r="AB598">
        <v>-5796.3015999999998</v>
      </c>
      <c r="AC598">
        <v>-5796.3015999999998</v>
      </c>
      <c r="AD598">
        <v>-5796.3015999999998</v>
      </c>
      <c r="AE598">
        <v>-5796.3015999999998</v>
      </c>
      <c r="AF598">
        <v>-1178581.4038</v>
      </c>
    </row>
    <row r="599" spans="2:32" x14ac:dyDescent="0.25">
      <c r="B599">
        <f t="shared" si="24"/>
        <v>62</v>
      </c>
      <c r="C599">
        <v>1</v>
      </c>
      <c r="D599">
        <v>1</v>
      </c>
      <c r="E599">
        <v>1</v>
      </c>
      <c r="F599">
        <v>1</v>
      </c>
      <c r="G599">
        <v>1</v>
      </c>
      <c r="J599">
        <f t="shared" si="25"/>
        <v>62</v>
      </c>
      <c r="K599">
        <v>1</v>
      </c>
      <c r="L599">
        <v>1</v>
      </c>
      <c r="M599">
        <v>1</v>
      </c>
      <c r="N599">
        <v>1</v>
      </c>
      <c r="O599">
        <v>1</v>
      </c>
      <c r="R599">
        <f t="shared" si="26"/>
        <v>62</v>
      </c>
      <c r="S599">
        <v>1</v>
      </c>
      <c r="T599">
        <v>1</v>
      </c>
      <c r="U599">
        <v>1</v>
      </c>
      <c r="V599">
        <v>1</v>
      </c>
      <c r="W599">
        <v>1</v>
      </c>
      <c r="AA599">
        <v>-5645.2415000000001</v>
      </c>
      <c r="AB599">
        <v>-5645.2415000000001</v>
      </c>
      <c r="AC599">
        <v>-5645.2415000000001</v>
      </c>
      <c r="AD599">
        <v>-5645.2415000000001</v>
      </c>
      <c r="AE599">
        <v>-5645.2415000000001</v>
      </c>
      <c r="AF599">
        <v>-1199521.5327000001</v>
      </c>
    </row>
    <row r="600" spans="2:32" x14ac:dyDescent="0.25">
      <c r="B600">
        <f t="shared" si="24"/>
        <v>63</v>
      </c>
      <c r="C600">
        <v>1</v>
      </c>
      <c r="D600">
        <v>1</v>
      </c>
      <c r="E600">
        <v>1</v>
      </c>
      <c r="F600">
        <v>1</v>
      </c>
      <c r="G600">
        <v>1</v>
      </c>
      <c r="J600">
        <f t="shared" si="25"/>
        <v>63</v>
      </c>
      <c r="K600">
        <v>1</v>
      </c>
      <c r="L600">
        <v>1</v>
      </c>
      <c r="M600">
        <v>1</v>
      </c>
      <c r="N600">
        <v>1</v>
      </c>
      <c r="O600">
        <v>1</v>
      </c>
      <c r="R600">
        <f t="shared" si="26"/>
        <v>63</v>
      </c>
      <c r="S600">
        <v>1</v>
      </c>
      <c r="T600">
        <v>1</v>
      </c>
      <c r="U600">
        <v>1</v>
      </c>
      <c r="V600">
        <v>1</v>
      </c>
      <c r="W600">
        <v>1</v>
      </c>
      <c r="AA600">
        <v>-5492.4920000000002</v>
      </c>
      <c r="AB600">
        <v>-5492.4920000000002</v>
      </c>
      <c r="AC600">
        <v>-5492.4920000000002</v>
      </c>
      <c r="AD600">
        <v>-5492.4920000000002</v>
      </c>
      <c r="AE600">
        <v>-5492.4920000000002</v>
      </c>
      <c r="AF600">
        <v>-1220461.6269</v>
      </c>
    </row>
    <row r="601" spans="2:32" x14ac:dyDescent="0.25">
      <c r="B601">
        <f t="shared" si="24"/>
        <v>64</v>
      </c>
      <c r="C601">
        <v>1</v>
      </c>
      <c r="D601">
        <v>1</v>
      </c>
      <c r="E601">
        <v>1</v>
      </c>
      <c r="F601">
        <v>1</v>
      </c>
      <c r="G601">
        <v>1</v>
      </c>
      <c r="J601">
        <f t="shared" si="25"/>
        <v>64</v>
      </c>
      <c r="K601">
        <v>1</v>
      </c>
      <c r="L601">
        <v>1</v>
      </c>
      <c r="M601">
        <v>1</v>
      </c>
      <c r="N601">
        <v>1</v>
      </c>
      <c r="O601">
        <v>1</v>
      </c>
      <c r="R601">
        <f t="shared" si="26"/>
        <v>64</v>
      </c>
      <c r="S601">
        <v>1</v>
      </c>
      <c r="T601">
        <v>1</v>
      </c>
      <c r="U601">
        <v>1</v>
      </c>
      <c r="V601">
        <v>1</v>
      </c>
      <c r="W601">
        <v>1</v>
      </c>
      <c r="AA601">
        <v>-5338.1817000000001</v>
      </c>
      <c r="AB601">
        <v>-5338.1817000000001</v>
      </c>
      <c r="AC601">
        <v>-5338.1817000000001</v>
      </c>
      <c r="AD601">
        <v>-5338.1817000000001</v>
      </c>
      <c r="AE601">
        <v>-5338.1817000000001</v>
      </c>
      <c r="AF601">
        <v>-1240652.2526</v>
      </c>
    </row>
    <row r="602" spans="2:32" x14ac:dyDescent="0.25">
      <c r="B602">
        <f t="shared" si="24"/>
        <v>65</v>
      </c>
      <c r="C602">
        <v>1</v>
      </c>
      <c r="D602">
        <v>1</v>
      </c>
      <c r="E602">
        <v>1</v>
      </c>
      <c r="F602">
        <v>1</v>
      </c>
      <c r="G602">
        <v>1</v>
      </c>
      <c r="J602">
        <f t="shared" si="25"/>
        <v>65</v>
      </c>
      <c r="K602">
        <v>1</v>
      </c>
      <c r="L602">
        <v>1</v>
      </c>
      <c r="M602">
        <v>1</v>
      </c>
      <c r="N602">
        <v>1</v>
      </c>
      <c r="O602">
        <v>1</v>
      </c>
      <c r="R602">
        <f t="shared" si="26"/>
        <v>65</v>
      </c>
      <c r="S602">
        <v>1</v>
      </c>
      <c r="T602">
        <v>1</v>
      </c>
      <c r="U602">
        <v>1</v>
      </c>
      <c r="V602">
        <v>1</v>
      </c>
      <c r="W602">
        <v>1</v>
      </c>
      <c r="AA602">
        <v>-5182.2268999999997</v>
      </c>
      <c r="AB602">
        <v>-5182.2268999999997</v>
      </c>
      <c r="AC602">
        <v>-5182.2268999999997</v>
      </c>
      <c r="AD602">
        <v>-5182.2268999999997</v>
      </c>
      <c r="AE602">
        <v>-5182.2268999999997</v>
      </c>
      <c r="AF602">
        <v>-1260049.8302</v>
      </c>
    </row>
    <row r="605" spans="2:32" x14ac:dyDescent="0.25">
      <c r="B605" t="s">
        <v>46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47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48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2:32" x14ac:dyDescent="0.25">
      <c r="B606">
        <v>26</v>
      </c>
      <c r="C606">
        <v>1</v>
      </c>
      <c r="D606">
        <v>1</v>
      </c>
      <c r="E606">
        <v>1</v>
      </c>
      <c r="F606">
        <v>1</v>
      </c>
      <c r="G606">
        <v>1</v>
      </c>
      <c r="H606">
        <v>1</v>
      </c>
      <c r="J606">
        <v>26</v>
      </c>
      <c r="K606">
        <v>1</v>
      </c>
      <c r="L606">
        <v>1</v>
      </c>
      <c r="M606">
        <v>1</v>
      </c>
      <c r="N606">
        <v>1</v>
      </c>
      <c r="O606">
        <v>1</v>
      </c>
      <c r="P606">
        <v>1</v>
      </c>
      <c r="R606">
        <v>26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AA606">
        <v>-5174.8482999999997</v>
      </c>
      <c r="AB606">
        <v>-5174.8482999999997</v>
      </c>
      <c r="AC606">
        <v>-5174.8482999999997</v>
      </c>
      <c r="AD606">
        <v>-5174.8482999999997</v>
      </c>
      <c r="AE606">
        <v>-5174.8482999999997</v>
      </c>
      <c r="AF606">
        <v>-5174.8482999999997</v>
      </c>
    </row>
    <row r="607" spans="2:32" x14ac:dyDescent="0.25">
      <c r="B607">
        <v>27</v>
      </c>
      <c r="C607">
        <v>1</v>
      </c>
      <c r="D607">
        <v>1</v>
      </c>
      <c r="E607">
        <v>1</v>
      </c>
      <c r="F607">
        <v>1</v>
      </c>
      <c r="G607">
        <v>1</v>
      </c>
      <c r="H607">
        <v>1</v>
      </c>
      <c r="J607">
        <v>27</v>
      </c>
      <c r="K607">
        <v>1</v>
      </c>
      <c r="L607">
        <v>1</v>
      </c>
      <c r="M607">
        <v>1</v>
      </c>
      <c r="N607">
        <v>1</v>
      </c>
      <c r="O607">
        <v>1</v>
      </c>
      <c r="P607">
        <v>1</v>
      </c>
      <c r="R607">
        <v>27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AA607">
        <v>-5173.6036999999997</v>
      </c>
      <c r="AB607">
        <v>-5173.6036999999997</v>
      </c>
      <c r="AC607">
        <v>-5173.6036999999997</v>
      </c>
      <c r="AD607">
        <v>-5173.6036999999997</v>
      </c>
      <c r="AE607">
        <v>-5173.6036999999997</v>
      </c>
      <c r="AF607">
        <v>-5173.6036999999997</v>
      </c>
    </row>
    <row r="608" spans="2:32" x14ac:dyDescent="0.25">
      <c r="B608">
        <v>28</v>
      </c>
      <c r="C608">
        <v>1</v>
      </c>
      <c r="D608">
        <v>1</v>
      </c>
      <c r="E608">
        <v>1</v>
      </c>
      <c r="F608">
        <v>1</v>
      </c>
      <c r="G608">
        <v>1</v>
      </c>
      <c r="H608">
        <v>1</v>
      </c>
      <c r="J608">
        <v>28</v>
      </c>
      <c r="K608">
        <v>1</v>
      </c>
      <c r="L608">
        <v>1</v>
      </c>
      <c r="M608">
        <v>1</v>
      </c>
      <c r="N608">
        <v>1</v>
      </c>
      <c r="O608">
        <v>1</v>
      </c>
      <c r="P608">
        <v>1</v>
      </c>
      <c r="R608">
        <v>28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AA608">
        <v>-5172.1755999999996</v>
      </c>
      <c r="AB608">
        <v>-5172.1755999999996</v>
      </c>
      <c r="AC608">
        <v>-5172.1755999999996</v>
      </c>
      <c r="AD608">
        <v>-5172.1755999999996</v>
      </c>
      <c r="AE608">
        <v>-5172.1755999999996</v>
      </c>
      <c r="AF608">
        <v>-5172.1755999999996</v>
      </c>
    </row>
    <row r="609" spans="2:32" x14ac:dyDescent="0.25">
      <c r="B609">
        <v>29</v>
      </c>
      <c r="C609">
        <v>1</v>
      </c>
      <c r="D609">
        <v>1</v>
      </c>
      <c r="E609">
        <v>1</v>
      </c>
      <c r="F609">
        <v>1</v>
      </c>
      <c r="G609">
        <v>1</v>
      </c>
      <c r="H609">
        <v>1</v>
      </c>
      <c r="J609">
        <v>29</v>
      </c>
      <c r="K609">
        <v>1</v>
      </c>
      <c r="L609">
        <v>1</v>
      </c>
      <c r="M609">
        <v>1</v>
      </c>
      <c r="N609">
        <v>1</v>
      </c>
      <c r="O609">
        <v>1</v>
      </c>
      <c r="P609">
        <v>1</v>
      </c>
      <c r="R609">
        <v>29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AA609">
        <v>-5170.5482000000002</v>
      </c>
      <c r="AB609">
        <v>-5170.5482000000002</v>
      </c>
      <c r="AC609">
        <v>-5170.5482000000002</v>
      </c>
      <c r="AD609">
        <v>-5170.5482000000002</v>
      </c>
      <c r="AE609">
        <v>-5170.5482000000002</v>
      </c>
      <c r="AF609">
        <v>-5170.5482000000002</v>
      </c>
    </row>
    <row r="610" spans="2:32" x14ac:dyDescent="0.25">
      <c r="B610">
        <v>30</v>
      </c>
      <c r="C610">
        <v>1</v>
      </c>
      <c r="D610">
        <v>1</v>
      </c>
      <c r="E610">
        <v>1</v>
      </c>
      <c r="F610">
        <v>1</v>
      </c>
      <c r="G610">
        <v>1</v>
      </c>
      <c r="H610">
        <v>1</v>
      </c>
      <c r="J610">
        <v>30</v>
      </c>
      <c r="K610">
        <v>1</v>
      </c>
      <c r="L610">
        <v>1</v>
      </c>
      <c r="M610">
        <v>1</v>
      </c>
      <c r="N610">
        <v>1</v>
      </c>
      <c r="O610">
        <v>1</v>
      </c>
      <c r="P610">
        <v>1</v>
      </c>
      <c r="R610">
        <v>30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AA610">
        <v>-5168.6908999999996</v>
      </c>
      <c r="AB610">
        <v>-5168.6908999999996</v>
      </c>
      <c r="AC610">
        <v>-5168.6908999999996</v>
      </c>
      <c r="AD610">
        <v>-5168.6908999999996</v>
      </c>
      <c r="AE610">
        <v>-5168.6908999999996</v>
      </c>
      <c r="AF610">
        <v>-5168.6908999999996</v>
      </c>
    </row>
    <row r="611" spans="2:32" x14ac:dyDescent="0.25">
      <c r="B611">
        <v>31</v>
      </c>
      <c r="C611">
        <v>1</v>
      </c>
      <c r="D611">
        <v>1</v>
      </c>
      <c r="E611">
        <v>1</v>
      </c>
      <c r="F611">
        <v>1</v>
      </c>
      <c r="G611">
        <v>1</v>
      </c>
      <c r="H611">
        <v>1</v>
      </c>
      <c r="J611">
        <v>31</v>
      </c>
      <c r="K611">
        <v>1</v>
      </c>
      <c r="L611">
        <v>1</v>
      </c>
      <c r="M611">
        <v>1</v>
      </c>
      <c r="N611">
        <v>1</v>
      </c>
      <c r="O611">
        <v>1</v>
      </c>
      <c r="P611">
        <v>1</v>
      </c>
      <c r="R611">
        <v>31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AA611">
        <v>-5166.5891000000001</v>
      </c>
      <c r="AB611">
        <v>-5166.5891000000001</v>
      </c>
      <c r="AC611">
        <v>-5166.5891000000001</v>
      </c>
      <c r="AD611">
        <v>-5166.5891000000001</v>
      </c>
      <c r="AE611">
        <v>-5166.5891000000001</v>
      </c>
      <c r="AF611">
        <v>-5166.5891000000001</v>
      </c>
    </row>
    <row r="612" spans="2:32" x14ac:dyDescent="0.25">
      <c r="B612">
        <v>32</v>
      </c>
      <c r="C612">
        <v>1</v>
      </c>
      <c r="D612">
        <v>1</v>
      </c>
      <c r="E612">
        <v>1</v>
      </c>
      <c r="F612">
        <v>1</v>
      </c>
      <c r="G612">
        <v>1</v>
      </c>
      <c r="H612">
        <v>1</v>
      </c>
      <c r="J612">
        <v>32</v>
      </c>
      <c r="K612">
        <v>1</v>
      </c>
      <c r="L612">
        <v>1</v>
      </c>
      <c r="M612">
        <v>1</v>
      </c>
      <c r="N612">
        <v>1</v>
      </c>
      <c r="O612">
        <v>1</v>
      </c>
      <c r="P612">
        <v>1</v>
      </c>
      <c r="R612">
        <v>32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AA612">
        <v>-5164.2407000000003</v>
      </c>
      <c r="AB612">
        <v>-5164.2407000000003</v>
      </c>
      <c r="AC612">
        <v>-5164.2407000000003</v>
      </c>
      <c r="AD612">
        <v>-5164.2407000000003</v>
      </c>
      <c r="AE612">
        <v>-5164.2407000000003</v>
      </c>
      <c r="AF612">
        <v>-5164.2407000000003</v>
      </c>
    </row>
    <row r="613" spans="2:32" x14ac:dyDescent="0.25">
      <c r="B613">
        <v>33</v>
      </c>
      <c r="C613">
        <v>1</v>
      </c>
      <c r="D613">
        <v>1</v>
      </c>
      <c r="E613">
        <v>1</v>
      </c>
      <c r="F613">
        <v>1</v>
      </c>
      <c r="G613">
        <v>1</v>
      </c>
      <c r="H613">
        <v>1</v>
      </c>
      <c r="J613">
        <v>33</v>
      </c>
      <c r="K613">
        <v>1</v>
      </c>
      <c r="L613">
        <v>1</v>
      </c>
      <c r="M613">
        <v>1</v>
      </c>
      <c r="N613">
        <v>1</v>
      </c>
      <c r="O613">
        <v>1</v>
      </c>
      <c r="P613">
        <v>1</v>
      </c>
      <c r="R613">
        <v>33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AA613">
        <v>-5161.6318000000001</v>
      </c>
      <c r="AB613">
        <v>-5161.6318000000001</v>
      </c>
      <c r="AC613">
        <v>-5161.6318000000001</v>
      </c>
      <c r="AD613">
        <v>-5161.6318000000001</v>
      </c>
      <c r="AE613">
        <v>-5161.6318000000001</v>
      </c>
      <c r="AF613">
        <v>-5161.6318000000001</v>
      </c>
    </row>
    <row r="614" spans="2:32" x14ac:dyDescent="0.25">
      <c r="B614">
        <v>34</v>
      </c>
      <c r="C614">
        <v>1</v>
      </c>
      <c r="D614">
        <v>1</v>
      </c>
      <c r="E614">
        <v>1</v>
      </c>
      <c r="F614">
        <v>1</v>
      </c>
      <c r="G614">
        <v>1</v>
      </c>
      <c r="H614">
        <v>1</v>
      </c>
      <c r="J614">
        <v>34</v>
      </c>
      <c r="K614">
        <v>1</v>
      </c>
      <c r="L614">
        <v>1</v>
      </c>
      <c r="M614">
        <v>1</v>
      </c>
      <c r="N614">
        <v>1</v>
      </c>
      <c r="O614">
        <v>1</v>
      </c>
      <c r="P614">
        <v>1</v>
      </c>
      <c r="R614">
        <v>34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AA614">
        <v>-5158.7194</v>
      </c>
      <c r="AB614">
        <v>-5158.7194</v>
      </c>
      <c r="AC614">
        <v>-5158.7194</v>
      </c>
      <c r="AD614">
        <v>-5158.7194</v>
      </c>
      <c r="AE614">
        <v>-5158.7194</v>
      </c>
      <c r="AF614">
        <v>-5158.7194</v>
      </c>
    </row>
    <row r="615" spans="2:32" x14ac:dyDescent="0.25">
      <c r="B615">
        <v>35</v>
      </c>
      <c r="C615">
        <v>1</v>
      </c>
      <c r="D615">
        <v>1</v>
      </c>
      <c r="E615">
        <v>1</v>
      </c>
      <c r="F615">
        <v>1</v>
      </c>
      <c r="G615">
        <v>1</v>
      </c>
      <c r="H615">
        <v>1</v>
      </c>
      <c r="J615">
        <v>35</v>
      </c>
      <c r="K615">
        <v>1</v>
      </c>
      <c r="L615">
        <v>1</v>
      </c>
      <c r="M615">
        <v>1</v>
      </c>
      <c r="N615">
        <v>1</v>
      </c>
      <c r="O615">
        <v>1</v>
      </c>
      <c r="P615">
        <v>1</v>
      </c>
      <c r="R615">
        <v>35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AA615">
        <v>-5155.4901</v>
      </c>
      <c r="AB615">
        <v>-5155.4901</v>
      </c>
      <c r="AC615">
        <v>-5155.4901</v>
      </c>
      <c r="AD615">
        <v>-5155.4901</v>
      </c>
      <c r="AE615">
        <v>-5155.4901</v>
      </c>
      <c r="AF615">
        <v>-5155.4901</v>
      </c>
    </row>
    <row r="616" spans="2:32" x14ac:dyDescent="0.25">
      <c r="B616">
        <v>36</v>
      </c>
      <c r="C616">
        <v>1</v>
      </c>
      <c r="D616">
        <v>1</v>
      </c>
      <c r="E616">
        <v>1</v>
      </c>
      <c r="F616">
        <v>1</v>
      </c>
      <c r="G616">
        <v>1</v>
      </c>
      <c r="H616">
        <v>1</v>
      </c>
      <c r="J616">
        <v>36</v>
      </c>
      <c r="K616">
        <v>1</v>
      </c>
      <c r="L616">
        <v>1</v>
      </c>
      <c r="M616">
        <v>1</v>
      </c>
      <c r="N616">
        <v>1</v>
      </c>
      <c r="O616">
        <v>1</v>
      </c>
      <c r="P616">
        <v>1</v>
      </c>
      <c r="R616">
        <v>36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AA616">
        <v>-5151.8950999999997</v>
      </c>
      <c r="AB616">
        <v>-5151.8950999999997</v>
      </c>
      <c r="AC616">
        <v>-5151.8950999999997</v>
      </c>
      <c r="AD616">
        <v>-5151.8950999999997</v>
      </c>
      <c r="AE616">
        <v>-5151.8950999999997</v>
      </c>
      <c r="AF616">
        <v>-5151.8950999999997</v>
      </c>
    </row>
    <row r="617" spans="2:32" x14ac:dyDescent="0.25">
      <c r="B617">
        <v>37</v>
      </c>
      <c r="C617">
        <v>1</v>
      </c>
      <c r="D617">
        <v>1</v>
      </c>
      <c r="E617">
        <v>1</v>
      </c>
      <c r="F617">
        <v>1</v>
      </c>
      <c r="G617">
        <v>1</v>
      </c>
      <c r="H617">
        <v>1</v>
      </c>
      <c r="J617">
        <v>37</v>
      </c>
      <c r="K617">
        <v>1</v>
      </c>
      <c r="L617">
        <v>1</v>
      </c>
      <c r="M617">
        <v>1</v>
      </c>
      <c r="N617">
        <v>1</v>
      </c>
      <c r="O617">
        <v>1</v>
      </c>
      <c r="P617">
        <v>1</v>
      </c>
      <c r="R617">
        <v>37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AA617">
        <v>-5147.9106000000002</v>
      </c>
      <c r="AB617">
        <v>-5147.9106000000002</v>
      </c>
      <c r="AC617">
        <v>-5147.9106000000002</v>
      </c>
      <c r="AD617">
        <v>-5147.9106000000002</v>
      </c>
      <c r="AE617">
        <v>-5147.9106000000002</v>
      </c>
      <c r="AF617">
        <v>-5147.9106000000002</v>
      </c>
    </row>
    <row r="618" spans="2:32" x14ac:dyDescent="0.25">
      <c r="B618">
        <v>38</v>
      </c>
      <c r="C618">
        <v>1</v>
      </c>
      <c r="D618">
        <v>1</v>
      </c>
      <c r="E618">
        <v>1</v>
      </c>
      <c r="F618">
        <v>1</v>
      </c>
      <c r="G618">
        <v>1</v>
      </c>
      <c r="H618">
        <v>1</v>
      </c>
      <c r="J618">
        <v>38</v>
      </c>
      <c r="K618">
        <v>1</v>
      </c>
      <c r="L618">
        <v>1</v>
      </c>
      <c r="M618">
        <v>1</v>
      </c>
      <c r="N618">
        <v>1</v>
      </c>
      <c r="O618">
        <v>1</v>
      </c>
      <c r="P618">
        <v>1</v>
      </c>
      <c r="R618">
        <v>38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AA618">
        <v>-5143.5393999999997</v>
      </c>
      <c r="AB618">
        <v>-5143.5393999999997</v>
      </c>
      <c r="AC618">
        <v>-5143.5393999999997</v>
      </c>
      <c r="AD618">
        <v>-5143.5393999999997</v>
      </c>
      <c r="AE618">
        <v>-5143.5393999999997</v>
      </c>
      <c r="AF618">
        <v>-5143.5393999999997</v>
      </c>
    </row>
    <row r="619" spans="2:32" x14ac:dyDescent="0.25">
      <c r="B619">
        <v>39</v>
      </c>
      <c r="C619">
        <v>1</v>
      </c>
      <c r="D619">
        <v>1</v>
      </c>
      <c r="E619">
        <v>1</v>
      </c>
      <c r="F619">
        <v>1</v>
      </c>
      <c r="G619">
        <v>1</v>
      </c>
      <c r="H619">
        <v>1</v>
      </c>
      <c r="J619">
        <v>39</v>
      </c>
      <c r="K619">
        <v>1</v>
      </c>
      <c r="L619">
        <v>1</v>
      </c>
      <c r="M619">
        <v>1</v>
      </c>
      <c r="N619">
        <v>1</v>
      </c>
      <c r="O619">
        <v>1</v>
      </c>
      <c r="P619">
        <v>1</v>
      </c>
      <c r="R619">
        <v>39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AA619">
        <v>-5138.76</v>
      </c>
      <c r="AB619">
        <v>-5138.76</v>
      </c>
      <c r="AC619">
        <v>-5138.76</v>
      </c>
      <c r="AD619">
        <v>-5138.76</v>
      </c>
      <c r="AE619">
        <v>-5138.76</v>
      </c>
      <c r="AF619">
        <v>-5138.76</v>
      </c>
    </row>
    <row r="620" spans="2:32" x14ac:dyDescent="0.25">
      <c r="B620">
        <v>40</v>
      </c>
      <c r="C620">
        <v>1</v>
      </c>
      <c r="D620">
        <v>1</v>
      </c>
      <c r="E620">
        <v>1</v>
      </c>
      <c r="F620">
        <v>1</v>
      </c>
      <c r="G620">
        <v>1</v>
      </c>
      <c r="H620">
        <v>1</v>
      </c>
      <c r="J620">
        <v>40</v>
      </c>
      <c r="K620">
        <v>1</v>
      </c>
      <c r="L620">
        <v>1</v>
      </c>
      <c r="M620">
        <v>1</v>
      </c>
      <c r="N620">
        <v>1</v>
      </c>
      <c r="O620">
        <v>1</v>
      </c>
      <c r="P620">
        <v>1</v>
      </c>
      <c r="R620">
        <v>40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AA620">
        <v>-5133.5084999999999</v>
      </c>
      <c r="AB620">
        <v>-5133.5084999999999</v>
      </c>
      <c r="AC620">
        <v>-5133.5084999999999</v>
      </c>
      <c r="AD620">
        <v>-5133.5084999999999</v>
      </c>
      <c r="AE620">
        <v>-5133.5084999999999</v>
      </c>
      <c r="AF620">
        <v>-5133.5084999999999</v>
      </c>
    </row>
    <row r="621" spans="2:32" x14ac:dyDescent="0.25">
      <c r="B621">
        <v>41</v>
      </c>
      <c r="C621">
        <v>1</v>
      </c>
      <c r="D621">
        <v>1</v>
      </c>
      <c r="E621">
        <v>1</v>
      </c>
      <c r="F621">
        <v>1</v>
      </c>
      <c r="G621">
        <v>1</v>
      </c>
      <c r="H621">
        <v>1</v>
      </c>
      <c r="J621">
        <v>41</v>
      </c>
      <c r="K621">
        <v>1</v>
      </c>
      <c r="L621">
        <v>1</v>
      </c>
      <c r="M621">
        <v>1</v>
      </c>
      <c r="N621">
        <v>1</v>
      </c>
      <c r="O621">
        <v>1</v>
      </c>
      <c r="P621">
        <v>1</v>
      </c>
      <c r="R621">
        <v>41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AA621">
        <v>-5127.7236000000003</v>
      </c>
      <c r="AB621">
        <v>-5127.7236000000003</v>
      </c>
      <c r="AC621">
        <v>-5127.7236000000003</v>
      </c>
      <c r="AD621">
        <v>-5127.7236000000003</v>
      </c>
      <c r="AE621">
        <v>-5127.7236000000003</v>
      </c>
      <c r="AF621">
        <v>-5127.7236000000003</v>
      </c>
    </row>
    <row r="622" spans="2:32" x14ac:dyDescent="0.25">
      <c r="B622">
        <v>42</v>
      </c>
      <c r="C622">
        <v>1</v>
      </c>
      <c r="D622">
        <v>1</v>
      </c>
      <c r="E622">
        <v>1</v>
      </c>
      <c r="F622">
        <v>1</v>
      </c>
      <c r="G622">
        <v>1</v>
      </c>
      <c r="H622">
        <v>1</v>
      </c>
      <c r="J622">
        <v>42</v>
      </c>
      <c r="K622">
        <v>1</v>
      </c>
      <c r="L622">
        <v>1</v>
      </c>
      <c r="M622">
        <v>1</v>
      </c>
      <c r="N622">
        <v>1</v>
      </c>
      <c r="O622">
        <v>1</v>
      </c>
      <c r="P622">
        <v>1</v>
      </c>
      <c r="R622">
        <v>42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AA622">
        <v>-5121.3726999999999</v>
      </c>
      <c r="AB622">
        <v>-5121.3726999999999</v>
      </c>
      <c r="AC622">
        <v>-5121.3726999999999</v>
      </c>
      <c r="AD622">
        <v>-5121.3726999999999</v>
      </c>
      <c r="AE622">
        <v>-5121.3726999999999</v>
      </c>
      <c r="AF622">
        <v>-5121.3726999999999</v>
      </c>
    </row>
    <row r="623" spans="2:32" x14ac:dyDescent="0.25">
      <c r="B623">
        <v>43</v>
      </c>
      <c r="C623">
        <v>1</v>
      </c>
      <c r="D623">
        <v>1</v>
      </c>
      <c r="E623">
        <v>1</v>
      </c>
      <c r="F623">
        <v>1</v>
      </c>
      <c r="G623">
        <v>1</v>
      </c>
      <c r="H623">
        <v>1</v>
      </c>
      <c r="J623">
        <v>43</v>
      </c>
      <c r="K623">
        <v>1</v>
      </c>
      <c r="L623">
        <v>1</v>
      </c>
      <c r="M623">
        <v>1</v>
      </c>
      <c r="N623">
        <v>1</v>
      </c>
      <c r="O623">
        <v>1</v>
      </c>
      <c r="P623">
        <v>1</v>
      </c>
      <c r="R623">
        <v>43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AA623">
        <v>-5114.3449000000001</v>
      </c>
      <c r="AB623">
        <v>-5114.3449000000001</v>
      </c>
      <c r="AC623">
        <v>-5114.3449000000001</v>
      </c>
      <c r="AD623">
        <v>-5114.3449000000001</v>
      </c>
      <c r="AE623">
        <v>-5114.3449000000001</v>
      </c>
      <c r="AF623">
        <v>-5114.3449000000001</v>
      </c>
    </row>
    <row r="624" spans="2:32" x14ac:dyDescent="0.25">
      <c r="B624">
        <v>44</v>
      </c>
      <c r="C624">
        <v>1</v>
      </c>
      <c r="D624">
        <v>1</v>
      </c>
      <c r="E624">
        <v>1</v>
      </c>
      <c r="F624">
        <v>1</v>
      </c>
      <c r="G624">
        <v>1</v>
      </c>
      <c r="H624">
        <v>1</v>
      </c>
      <c r="J624">
        <v>44</v>
      </c>
      <c r="K624">
        <v>1</v>
      </c>
      <c r="L624">
        <v>1</v>
      </c>
      <c r="M624">
        <v>1</v>
      </c>
      <c r="N624">
        <v>1</v>
      </c>
      <c r="O624">
        <v>1</v>
      </c>
      <c r="P624">
        <v>1</v>
      </c>
      <c r="R624">
        <v>44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AA624">
        <v>-5106.5976000000001</v>
      </c>
      <c r="AB624">
        <v>-5106.5976000000001</v>
      </c>
      <c r="AC624">
        <v>-5106.5976000000001</v>
      </c>
      <c r="AD624">
        <v>-5106.5976000000001</v>
      </c>
      <c r="AE624">
        <v>-5106.5976000000001</v>
      </c>
      <c r="AF624">
        <v>-5106.5976000000001</v>
      </c>
    </row>
    <row r="625" spans="2:32" x14ac:dyDescent="0.25">
      <c r="B625">
        <v>45</v>
      </c>
      <c r="C625">
        <v>1</v>
      </c>
      <c r="D625">
        <v>1</v>
      </c>
      <c r="E625">
        <v>1</v>
      </c>
      <c r="F625">
        <v>1</v>
      </c>
      <c r="G625">
        <v>1</v>
      </c>
      <c r="H625">
        <v>1</v>
      </c>
      <c r="J625">
        <v>45</v>
      </c>
      <c r="K625">
        <v>1</v>
      </c>
      <c r="L625">
        <v>1</v>
      </c>
      <c r="M625">
        <v>1</v>
      </c>
      <c r="N625">
        <v>1</v>
      </c>
      <c r="O625">
        <v>1</v>
      </c>
      <c r="P625">
        <v>1</v>
      </c>
      <c r="R625">
        <v>45</v>
      </c>
      <c r="S625">
        <v>1</v>
      </c>
      <c r="T625">
        <v>1</v>
      </c>
      <c r="U625">
        <v>1</v>
      </c>
      <c r="V625">
        <v>1</v>
      </c>
      <c r="W625">
        <v>1</v>
      </c>
      <c r="X625">
        <v>1</v>
      </c>
      <c r="AA625">
        <v>-5098.0524999999998</v>
      </c>
      <c r="AB625">
        <v>-5098.0524999999998</v>
      </c>
      <c r="AC625">
        <v>-5098.0524999999998</v>
      </c>
      <c r="AD625">
        <v>-5098.0524999999998</v>
      </c>
      <c r="AE625">
        <v>-5098.0524999999998</v>
      </c>
      <c r="AF625">
        <v>-5098.0524999999998</v>
      </c>
    </row>
    <row r="626" spans="2:32" x14ac:dyDescent="0.25">
      <c r="B626">
        <v>46</v>
      </c>
      <c r="C626">
        <v>1</v>
      </c>
      <c r="D626">
        <v>1</v>
      </c>
      <c r="E626">
        <v>1</v>
      </c>
      <c r="F626">
        <v>1</v>
      </c>
      <c r="G626">
        <v>1</v>
      </c>
      <c r="H626">
        <v>1</v>
      </c>
      <c r="J626">
        <v>46</v>
      </c>
      <c r="K626">
        <v>1</v>
      </c>
      <c r="L626">
        <v>1</v>
      </c>
      <c r="M626">
        <v>1</v>
      </c>
      <c r="N626">
        <v>1</v>
      </c>
      <c r="O626">
        <v>1</v>
      </c>
      <c r="P626">
        <v>1</v>
      </c>
      <c r="R626">
        <v>46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AA626">
        <v>-5088.6378000000004</v>
      </c>
      <c r="AB626">
        <v>-5088.6378000000004</v>
      </c>
      <c r="AC626">
        <v>-5088.6378000000004</v>
      </c>
      <c r="AD626">
        <v>-5088.6378000000004</v>
      </c>
      <c r="AE626">
        <v>-5088.6378000000004</v>
      </c>
      <c r="AF626">
        <v>-5088.6378000000004</v>
      </c>
    </row>
    <row r="627" spans="2:32" x14ac:dyDescent="0.25">
      <c r="B627">
        <v>47</v>
      </c>
      <c r="C627">
        <v>1</v>
      </c>
      <c r="D627">
        <v>1</v>
      </c>
      <c r="E627">
        <v>1</v>
      </c>
      <c r="F627">
        <v>1</v>
      </c>
      <c r="G627">
        <v>1</v>
      </c>
      <c r="H627">
        <v>1</v>
      </c>
      <c r="J627">
        <v>47</v>
      </c>
      <c r="K627">
        <v>1</v>
      </c>
      <c r="L627">
        <v>1</v>
      </c>
      <c r="M627">
        <v>1</v>
      </c>
      <c r="N627">
        <v>1</v>
      </c>
      <c r="O627">
        <v>1</v>
      </c>
      <c r="P627">
        <v>1</v>
      </c>
      <c r="R627">
        <v>47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AA627">
        <v>-5078.2593999999999</v>
      </c>
      <c r="AB627">
        <v>-5078.2593999999999</v>
      </c>
      <c r="AC627">
        <v>-5078.2593999999999</v>
      </c>
      <c r="AD627">
        <v>-5078.2593999999999</v>
      </c>
      <c r="AE627">
        <v>-5078.2593999999999</v>
      </c>
      <c r="AF627">
        <v>-5078.2593999999999</v>
      </c>
    </row>
    <row r="628" spans="2:32" x14ac:dyDescent="0.25">
      <c r="B628">
        <v>48</v>
      </c>
      <c r="C628">
        <v>1</v>
      </c>
      <c r="D628">
        <v>1</v>
      </c>
      <c r="E628">
        <v>1</v>
      </c>
      <c r="F628">
        <v>1</v>
      </c>
      <c r="G628">
        <v>1</v>
      </c>
      <c r="H628">
        <v>1</v>
      </c>
      <c r="J628">
        <v>48</v>
      </c>
      <c r="K628">
        <v>1</v>
      </c>
      <c r="L628">
        <v>1</v>
      </c>
      <c r="M628">
        <v>1</v>
      </c>
      <c r="N628">
        <v>1</v>
      </c>
      <c r="O628">
        <v>1</v>
      </c>
      <c r="P628">
        <v>1</v>
      </c>
      <c r="R628">
        <v>48</v>
      </c>
      <c r="S628">
        <v>1</v>
      </c>
      <c r="T628">
        <v>1</v>
      </c>
      <c r="U628">
        <v>1</v>
      </c>
      <c r="V628">
        <v>1</v>
      </c>
      <c r="W628">
        <v>1</v>
      </c>
      <c r="X628">
        <v>1</v>
      </c>
      <c r="AA628">
        <v>-5066.8732</v>
      </c>
      <c r="AB628">
        <v>-5066.8732</v>
      </c>
      <c r="AC628">
        <v>-5066.8732</v>
      </c>
      <c r="AD628">
        <v>-5066.8732</v>
      </c>
      <c r="AE628">
        <v>-5066.8732</v>
      </c>
      <c r="AF628">
        <v>-5066.8732</v>
      </c>
    </row>
    <row r="629" spans="2:32" x14ac:dyDescent="0.25">
      <c r="B629">
        <v>49</v>
      </c>
      <c r="C629">
        <v>1</v>
      </c>
      <c r="D629">
        <v>1</v>
      </c>
      <c r="E629">
        <v>1</v>
      </c>
      <c r="F629">
        <v>1</v>
      </c>
      <c r="G629">
        <v>1</v>
      </c>
      <c r="H629">
        <v>1</v>
      </c>
      <c r="J629">
        <v>49</v>
      </c>
      <c r="K629">
        <v>1</v>
      </c>
      <c r="L629">
        <v>1</v>
      </c>
      <c r="M629">
        <v>1</v>
      </c>
      <c r="N629">
        <v>1</v>
      </c>
      <c r="O629">
        <v>1</v>
      </c>
      <c r="P629">
        <v>1</v>
      </c>
      <c r="R629">
        <v>49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AA629">
        <v>-5054.4124000000002</v>
      </c>
      <c r="AB629">
        <v>-5054.4124000000002</v>
      </c>
      <c r="AC629">
        <v>-5054.4124000000002</v>
      </c>
      <c r="AD629">
        <v>-5054.4124000000002</v>
      </c>
      <c r="AE629">
        <v>-5054.4124000000002</v>
      </c>
      <c r="AF629">
        <v>-5054.4124000000002</v>
      </c>
    </row>
    <row r="630" spans="2:32" x14ac:dyDescent="0.25">
      <c r="B630">
        <v>50</v>
      </c>
      <c r="C630">
        <v>1</v>
      </c>
      <c r="D630">
        <v>1</v>
      </c>
      <c r="E630">
        <v>1</v>
      </c>
      <c r="F630">
        <v>1</v>
      </c>
      <c r="G630">
        <v>1</v>
      </c>
      <c r="H630">
        <v>1</v>
      </c>
      <c r="J630">
        <v>50</v>
      </c>
      <c r="K630">
        <v>1</v>
      </c>
      <c r="L630">
        <v>1</v>
      </c>
      <c r="M630">
        <v>1</v>
      </c>
      <c r="N630">
        <v>1</v>
      </c>
      <c r="O630">
        <v>1</v>
      </c>
      <c r="P630">
        <v>1</v>
      </c>
      <c r="R630">
        <v>50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AA630">
        <v>-5040.7671</v>
      </c>
      <c r="AB630">
        <v>-5040.7671</v>
      </c>
      <c r="AC630">
        <v>-5040.7671</v>
      </c>
      <c r="AD630">
        <v>-5040.7671</v>
      </c>
      <c r="AE630">
        <v>-5040.7671</v>
      </c>
      <c r="AF630">
        <v>-5040.7671</v>
      </c>
    </row>
    <row r="631" spans="2:32" x14ac:dyDescent="0.25">
      <c r="B631">
        <v>51</v>
      </c>
      <c r="C631">
        <v>1</v>
      </c>
      <c r="D631">
        <v>1</v>
      </c>
      <c r="E631">
        <v>1</v>
      </c>
      <c r="F631">
        <v>1</v>
      </c>
      <c r="G631">
        <v>1</v>
      </c>
      <c r="H631">
        <v>1</v>
      </c>
      <c r="J631">
        <v>51</v>
      </c>
      <c r="K631">
        <v>1</v>
      </c>
      <c r="L631">
        <v>1</v>
      </c>
      <c r="M631">
        <v>1</v>
      </c>
      <c r="N631">
        <v>1</v>
      </c>
      <c r="O631">
        <v>1</v>
      </c>
      <c r="P631">
        <v>1</v>
      </c>
      <c r="R631">
        <v>51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AA631">
        <v>-5025.8329000000003</v>
      </c>
      <c r="AB631">
        <v>-5025.8329000000003</v>
      </c>
      <c r="AC631">
        <v>-5025.8329000000003</v>
      </c>
      <c r="AD631">
        <v>-5025.8329000000003</v>
      </c>
      <c r="AE631">
        <v>-5025.8329000000003</v>
      </c>
      <c r="AF631">
        <v>-5025.8329000000003</v>
      </c>
    </row>
    <row r="632" spans="2:32" x14ac:dyDescent="0.25">
      <c r="B632">
        <v>52</v>
      </c>
      <c r="C632">
        <v>1</v>
      </c>
      <c r="D632">
        <v>1</v>
      </c>
      <c r="E632">
        <v>1</v>
      </c>
      <c r="F632">
        <v>1</v>
      </c>
      <c r="G632">
        <v>1</v>
      </c>
      <c r="H632">
        <v>1</v>
      </c>
      <c r="J632">
        <v>52</v>
      </c>
      <c r="K632">
        <v>1</v>
      </c>
      <c r="L632">
        <v>1</v>
      </c>
      <c r="M632">
        <v>1</v>
      </c>
      <c r="N632">
        <v>1</v>
      </c>
      <c r="O632">
        <v>1</v>
      </c>
      <c r="P632">
        <v>1</v>
      </c>
      <c r="R632">
        <v>52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AA632">
        <v>-5009.4771000000001</v>
      </c>
      <c r="AB632">
        <v>-5009.4771000000001</v>
      </c>
      <c r="AC632">
        <v>-5009.4771000000001</v>
      </c>
      <c r="AD632">
        <v>-5009.4771000000001</v>
      </c>
      <c r="AE632">
        <v>-5009.4771000000001</v>
      </c>
      <c r="AF632">
        <v>-5009.4771000000001</v>
      </c>
    </row>
    <row r="633" spans="2:32" x14ac:dyDescent="0.25">
      <c r="B633">
        <v>53</v>
      </c>
      <c r="C633">
        <v>1</v>
      </c>
      <c r="D633">
        <v>1</v>
      </c>
      <c r="E633">
        <v>1</v>
      </c>
      <c r="F633">
        <v>1</v>
      </c>
      <c r="G633">
        <v>1</v>
      </c>
      <c r="H633">
        <v>1</v>
      </c>
      <c r="J633">
        <v>53</v>
      </c>
      <c r="K633">
        <v>1</v>
      </c>
      <c r="L633">
        <v>1</v>
      </c>
      <c r="M633">
        <v>1</v>
      </c>
      <c r="N633">
        <v>1</v>
      </c>
      <c r="O633">
        <v>1</v>
      </c>
      <c r="P633">
        <v>1</v>
      </c>
      <c r="R633">
        <v>53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AA633">
        <v>-4991.6184000000003</v>
      </c>
      <c r="AB633">
        <v>-4991.6184000000003</v>
      </c>
      <c r="AC633">
        <v>-4991.6184000000003</v>
      </c>
      <c r="AD633">
        <v>-4991.6184000000003</v>
      </c>
      <c r="AE633">
        <v>-4991.6184000000003</v>
      </c>
      <c r="AF633">
        <v>-4991.6184000000003</v>
      </c>
    </row>
    <row r="634" spans="2:32" x14ac:dyDescent="0.25">
      <c r="B634">
        <v>54</v>
      </c>
      <c r="C634">
        <v>1</v>
      </c>
      <c r="D634">
        <v>1</v>
      </c>
      <c r="E634">
        <v>1</v>
      </c>
      <c r="F634">
        <v>1</v>
      </c>
      <c r="G634">
        <v>1</v>
      </c>
      <c r="H634">
        <v>1</v>
      </c>
      <c r="J634">
        <v>54</v>
      </c>
      <c r="K634">
        <v>1</v>
      </c>
      <c r="L634">
        <v>1</v>
      </c>
      <c r="M634">
        <v>1</v>
      </c>
      <c r="N634">
        <v>1</v>
      </c>
      <c r="O634">
        <v>1</v>
      </c>
      <c r="P634">
        <v>1</v>
      </c>
      <c r="R634">
        <v>54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AA634">
        <v>-4972.1588000000002</v>
      </c>
      <c r="AB634">
        <v>-4972.1588000000002</v>
      </c>
      <c r="AC634">
        <v>-4972.1588000000002</v>
      </c>
      <c r="AD634">
        <v>-4972.1588000000002</v>
      </c>
      <c r="AE634">
        <v>-4972.1588000000002</v>
      </c>
      <c r="AF634">
        <v>-4972.1588000000002</v>
      </c>
    </row>
    <row r="635" spans="2:32" x14ac:dyDescent="0.25">
      <c r="B635">
        <v>55</v>
      </c>
      <c r="C635">
        <v>1</v>
      </c>
      <c r="D635">
        <v>1</v>
      </c>
      <c r="E635">
        <v>1</v>
      </c>
      <c r="F635">
        <v>1</v>
      </c>
      <c r="G635">
        <v>1</v>
      </c>
      <c r="H635">
        <v>1</v>
      </c>
      <c r="J635">
        <v>55</v>
      </c>
      <c r="K635">
        <v>1</v>
      </c>
      <c r="L635">
        <v>1</v>
      </c>
      <c r="M635">
        <v>1</v>
      </c>
      <c r="N635">
        <v>1</v>
      </c>
      <c r="O635">
        <v>1</v>
      </c>
      <c r="P635">
        <v>1</v>
      </c>
      <c r="R635">
        <v>55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AA635">
        <v>-4950.9426000000003</v>
      </c>
      <c r="AB635">
        <v>-4950.9426000000003</v>
      </c>
      <c r="AC635">
        <v>-4950.9426000000003</v>
      </c>
      <c r="AD635">
        <v>-4950.9426000000003</v>
      </c>
      <c r="AE635">
        <v>-4950.9426000000003</v>
      </c>
      <c r="AF635">
        <v>-4950.9426000000003</v>
      </c>
    </row>
    <row r="638" spans="2:32" x14ac:dyDescent="0.25">
      <c r="B638" t="s">
        <v>46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32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48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2:32" x14ac:dyDescent="0.25">
      <c r="B639">
        <v>35</v>
      </c>
      <c r="C639">
        <v>1</v>
      </c>
      <c r="D639">
        <v>1</v>
      </c>
      <c r="E639">
        <v>1</v>
      </c>
      <c r="F639">
        <v>1</v>
      </c>
      <c r="G639">
        <v>1</v>
      </c>
      <c r="J639">
        <v>35</v>
      </c>
      <c r="K639">
        <v>1</v>
      </c>
      <c r="L639">
        <v>1</v>
      </c>
      <c r="M639">
        <v>1</v>
      </c>
      <c r="N639">
        <v>1</v>
      </c>
      <c r="O639">
        <v>1</v>
      </c>
      <c r="R639">
        <v>35</v>
      </c>
      <c r="S639">
        <v>1</v>
      </c>
      <c r="T639">
        <v>1</v>
      </c>
      <c r="U639">
        <v>1</v>
      </c>
      <c r="V639">
        <v>1</v>
      </c>
      <c r="W639">
        <v>1</v>
      </c>
      <c r="AA639">
        <v>-8996.1419000000005</v>
      </c>
      <c r="AB639">
        <v>-8996.1419000000005</v>
      </c>
      <c r="AC639">
        <v>-8996.1419000000005</v>
      </c>
      <c r="AD639">
        <v>-8996.1419000000005</v>
      </c>
      <c r="AE639">
        <v>-8996.1419000000005</v>
      </c>
      <c r="AF639">
        <v>-759112.79520000005</v>
      </c>
    </row>
    <row r="640" spans="2:32" x14ac:dyDescent="0.25">
      <c r="B640">
        <f t="shared" ref="B640:B669" si="27">B639+1</f>
        <v>36</v>
      </c>
      <c r="C640">
        <v>1</v>
      </c>
      <c r="D640">
        <v>1</v>
      </c>
      <c r="E640">
        <v>1</v>
      </c>
      <c r="F640">
        <v>1</v>
      </c>
      <c r="G640">
        <v>1</v>
      </c>
      <c r="J640">
        <f t="shared" ref="J640:J669" si="28">J639+1</f>
        <v>36</v>
      </c>
      <c r="K640">
        <v>1</v>
      </c>
      <c r="L640">
        <v>1</v>
      </c>
      <c r="M640">
        <v>1</v>
      </c>
      <c r="N640">
        <v>1</v>
      </c>
      <c r="O640">
        <v>1</v>
      </c>
      <c r="R640">
        <f t="shared" ref="R640:R669" si="29">R639+1</f>
        <v>36</v>
      </c>
      <c r="S640">
        <v>1</v>
      </c>
      <c r="T640">
        <v>1</v>
      </c>
      <c r="U640">
        <v>1</v>
      </c>
      <c r="V640">
        <v>1</v>
      </c>
      <c r="W640">
        <v>1</v>
      </c>
      <c r="AA640">
        <v>-8902.6679999999997</v>
      </c>
      <c r="AB640">
        <v>-8902.6679999999997</v>
      </c>
      <c r="AC640">
        <v>-8902.6679999999997</v>
      </c>
      <c r="AD640">
        <v>-8902.6679999999997</v>
      </c>
      <c r="AE640">
        <v>-8902.6679999999997</v>
      </c>
      <c r="AF640">
        <v>-737070.86179999996</v>
      </c>
    </row>
    <row r="641" spans="2:32" x14ac:dyDescent="0.25">
      <c r="B641">
        <f t="shared" si="27"/>
        <v>37</v>
      </c>
      <c r="C641">
        <v>1</v>
      </c>
      <c r="D641">
        <v>1</v>
      </c>
      <c r="E641">
        <v>1</v>
      </c>
      <c r="F641">
        <v>1</v>
      </c>
      <c r="G641">
        <v>1</v>
      </c>
      <c r="J641">
        <f t="shared" si="28"/>
        <v>37</v>
      </c>
      <c r="K641">
        <v>1</v>
      </c>
      <c r="L641">
        <v>1</v>
      </c>
      <c r="M641">
        <v>1</v>
      </c>
      <c r="N641">
        <v>1</v>
      </c>
      <c r="O641">
        <v>1</v>
      </c>
      <c r="R641">
        <f t="shared" si="29"/>
        <v>37</v>
      </c>
      <c r="S641">
        <v>1</v>
      </c>
      <c r="T641">
        <v>1</v>
      </c>
      <c r="U641">
        <v>1</v>
      </c>
      <c r="V641">
        <v>1</v>
      </c>
      <c r="W641">
        <v>1</v>
      </c>
      <c r="AA641">
        <v>-8806.7960000000003</v>
      </c>
      <c r="AB641">
        <v>-8806.7960000000003</v>
      </c>
      <c r="AC641">
        <v>-8806.7960000000003</v>
      </c>
      <c r="AD641">
        <v>-8806.7960000000003</v>
      </c>
      <c r="AE641">
        <v>-8806.7960000000003</v>
      </c>
      <c r="AF641">
        <v>-765978.91940000001</v>
      </c>
    </row>
    <row r="642" spans="2:32" x14ac:dyDescent="0.25">
      <c r="B642">
        <f t="shared" si="27"/>
        <v>38</v>
      </c>
      <c r="C642">
        <v>1</v>
      </c>
      <c r="D642">
        <v>1</v>
      </c>
      <c r="E642">
        <v>1</v>
      </c>
      <c r="F642">
        <v>1</v>
      </c>
      <c r="G642">
        <v>1</v>
      </c>
      <c r="J642">
        <f t="shared" si="28"/>
        <v>38</v>
      </c>
      <c r="K642">
        <v>1</v>
      </c>
      <c r="L642">
        <v>1</v>
      </c>
      <c r="M642">
        <v>1</v>
      </c>
      <c r="N642">
        <v>1</v>
      </c>
      <c r="O642">
        <v>1</v>
      </c>
      <c r="R642">
        <f t="shared" si="29"/>
        <v>38</v>
      </c>
      <c r="S642">
        <v>1</v>
      </c>
      <c r="T642">
        <v>1</v>
      </c>
      <c r="U642">
        <v>1</v>
      </c>
      <c r="V642">
        <v>1</v>
      </c>
      <c r="W642">
        <v>1</v>
      </c>
      <c r="AA642">
        <v>-8708.6234000000004</v>
      </c>
      <c r="AB642">
        <v>-8708.6234000000004</v>
      </c>
      <c r="AC642">
        <v>-8708.6234000000004</v>
      </c>
      <c r="AD642">
        <v>-8708.6234000000004</v>
      </c>
      <c r="AE642">
        <v>-8708.6234000000004</v>
      </c>
      <c r="AF642">
        <v>-783780.576</v>
      </c>
    </row>
    <row r="643" spans="2:32" x14ac:dyDescent="0.25">
      <c r="B643">
        <f t="shared" si="27"/>
        <v>39</v>
      </c>
      <c r="C643">
        <v>1</v>
      </c>
      <c r="D643">
        <v>1</v>
      </c>
      <c r="E643">
        <v>1</v>
      </c>
      <c r="F643">
        <v>1</v>
      </c>
      <c r="G643">
        <v>1</v>
      </c>
      <c r="J643">
        <f t="shared" si="28"/>
        <v>39</v>
      </c>
      <c r="K643">
        <v>1</v>
      </c>
      <c r="L643">
        <v>1</v>
      </c>
      <c r="M643">
        <v>1</v>
      </c>
      <c r="N643">
        <v>1</v>
      </c>
      <c r="O643">
        <v>1</v>
      </c>
      <c r="R643">
        <f t="shared" si="29"/>
        <v>39</v>
      </c>
      <c r="S643">
        <v>1</v>
      </c>
      <c r="T643">
        <v>1</v>
      </c>
      <c r="U643">
        <v>1</v>
      </c>
      <c r="V643">
        <v>1</v>
      </c>
      <c r="W643">
        <v>1</v>
      </c>
      <c r="AA643">
        <v>-8608.1594000000005</v>
      </c>
      <c r="AB643">
        <v>-8608.1594000000005</v>
      </c>
      <c r="AC643">
        <v>-8608.1594000000005</v>
      </c>
      <c r="AD643">
        <v>-8608.1594000000005</v>
      </c>
      <c r="AE643">
        <v>-8608.1594000000005</v>
      </c>
      <c r="AF643">
        <v>-769662.22069999995</v>
      </c>
    </row>
    <row r="644" spans="2:32" x14ac:dyDescent="0.25">
      <c r="B644">
        <f t="shared" si="27"/>
        <v>40</v>
      </c>
      <c r="C644">
        <v>1</v>
      </c>
      <c r="D644">
        <v>1</v>
      </c>
      <c r="E644">
        <v>1</v>
      </c>
      <c r="F644">
        <v>1</v>
      </c>
      <c r="G644">
        <v>1</v>
      </c>
      <c r="J644">
        <f t="shared" si="28"/>
        <v>40</v>
      </c>
      <c r="K644">
        <v>1</v>
      </c>
      <c r="L644">
        <v>1</v>
      </c>
      <c r="M644">
        <v>1</v>
      </c>
      <c r="N644">
        <v>1</v>
      </c>
      <c r="O644">
        <v>1</v>
      </c>
      <c r="R644">
        <f t="shared" si="29"/>
        <v>40</v>
      </c>
      <c r="S644">
        <v>1</v>
      </c>
      <c r="T644">
        <v>1</v>
      </c>
      <c r="U644">
        <v>1</v>
      </c>
      <c r="V644">
        <v>1</v>
      </c>
      <c r="W644">
        <v>1</v>
      </c>
      <c r="AA644">
        <v>-8505.3439999999991</v>
      </c>
      <c r="AB644">
        <v>-8505.3439999999991</v>
      </c>
      <c r="AC644">
        <v>-8505.3439999999991</v>
      </c>
      <c r="AD644">
        <v>-8505.3439999999991</v>
      </c>
      <c r="AE644">
        <v>-8505.3439999999991</v>
      </c>
      <c r="AF644">
        <v>-798570.41119999997</v>
      </c>
    </row>
    <row r="645" spans="2:32" x14ac:dyDescent="0.25">
      <c r="B645">
        <f t="shared" si="27"/>
        <v>41</v>
      </c>
      <c r="C645">
        <v>1</v>
      </c>
      <c r="D645">
        <v>1</v>
      </c>
      <c r="E645">
        <v>1</v>
      </c>
      <c r="F645">
        <v>1</v>
      </c>
      <c r="G645">
        <v>1</v>
      </c>
      <c r="J645">
        <f t="shared" si="28"/>
        <v>41</v>
      </c>
      <c r="K645">
        <v>1</v>
      </c>
      <c r="L645">
        <v>1</v>
      </c>
      <c r="M645">
        <v>1</v>
      </c>
      <c r="N645">
        <v>1</v>
      </c>
      <c r="O645">
        <v>1</v>
      </c>
      <c r="R645">
        <f t="shared" si="29"/>
        <v>41</v>
      </c>
      <c r="S645">
        <v>1</v>
      </c>
      <c r="T645">
        <v>1</v>
      </c>
      <c r="U645">
        <v>1</v>
      </c>
      <c r="V645">
        <v>1</v>
      </c>
      <c r="W645">
        <v>1</v>
      </c>
      <c r="AA645">
        <v>-8400.1087000000007</v>
      </c>
      <c r="AB645">
        <v>-8400.1087000000007</v>
      </c>
      <c r="AC645">
        <v>-8400.1087000000007</v>
      </c>
      <c r="AD645">
        <v>-8400.1087000000007</v>
      </c>
      <c r="AE645">
        <v>-8400.1087000000007</v>
      </c>
      <c r="AF645">
        <v>-803549.96459999995</v>
      </c>
    </row>
    <row r="646" spans="2:32" x14ac:dyDescent="0.25">
      <c r="B646">
        <f t="shared" si="27"/>
        <v>42</v>
      </c>
      <c r="C646">
        <v>1</v>
      </c>
      <c r="D646">
        <v>1</v>
      </c>
      <c r="E646">
        <v>1</v>
      </c>
      <c r="F646">
        <v>1</v>
      </c>
      <c r="G646">
        <v>1</v>
      </c>
      <c r="J646">
        <f t="shared" si="28"/>
        <v>42</v>
      </c>
      <c r="K646">
        <v>1</v>
      </c>
      <c r="L646">
        <v>1</v>
      </c>
      <c r="M646">
        <v>1</v>
      </c>
      <c r="N646">
        <v>1</v>
      </c>
      <c r="O646">
        <v>1</v>
      </c>
      <c r="R646">
        <f t="shared" si="29"/>
        <v>42</v>
      </c>
      <c r="S646">
        <v>1</v>
      </c>
      <c r="T646">
        <v>1</v>
      </c>
      <c r="U646">
        <v>1</v>
      </c>
      <c r="V646">
        <v>1</v>
      </c>
      <c r="W646">
        <v>1</v>
      </c>
      <c r="AA646">
        <v>-8292.4974999999995</v>
      </c>
      <c r="AB646">
        <v>-8292.4974999999995</v>
      </c>
      <c r="AC646">
        <v>-8292.4974999999995</v>
      </c>
      <c r="AD646">
        <v>-8292.4974999999995</v>
      </c>
      <c r="AE646">
        <v>-8292.4974999999995</v>
      </c>
      <c r="AF646">
        <v>-833551.75890000002</v>
      </c>
    </row>
    <row r="647" spans="2:32" x14ac:dyDescent="0.25">
      <c r="B647">
        <f t="shared" si="27"/>
        <v>43</v>
      </c>
      <c r="C647">
        <v>1</v>
      </c>
      <c r="D647">
        <v>1</v>
      </c>
      <c r="E647">
        <v>1</v>
      </c>
      <c r="F647">
        <v>1</v>
      </c>
      <c r="G647">
        <v>1</v>
      </c>
      <c r="J647">
        <f t="shared" si="28"/>
        <v>43</v>
      </c>
      <c r="K647">
        <v>1</v>
      </c>
      <c r="L647">
        <v>1</v>
      </c>
      <c r="M647">
        <v>1</v>
      </c>
      <c r="N647">
        <v>1</v>
      </c>
      <c r="O647">
        <v>1</v>
      </c>
      <c r="R647">
        <f t="shared" si="29"/>
        <v>43</v>
      </c>
      <c r="S647">
        <v>1</v>
      </c>
      <c r="T647">
        <v>1</v>
      </c>
      <c r="U647">
        <v>1</v>
      </c>
      <c r="V647">
        <v>1</v>
      </c>
      <c r="W647">
        <v>1</v>
      </c>
      <c r="AA647">
        <v>-8182.3909999999996</v>
      </c>
      <c r="AB647">
        <v>-8182.3909999999996</v>
      </c>
      <c r="AC647">
        <v>-8182.3909999999996</v>
      </c>
      <c r="AD647">
        <v>-8182.3909999999996</v>
      </c>
      <c r="AE647">
        <v>-8182.3909999999996</v>
      </c>
      <c r="AF647">
        <v>-844950.93949999998</v>
      </c>
    </row>
    <row r="648" spans="2:32" x14ac:dyDescent="0.25">
      <c r="B648">
        <f t="shared" si="27"/>
        <v>44</v>
      </c>
      <c r="C648">
        <v>1</v>
      </c>
      <c r="D648">
        <v>1</v>
      </c>
      <c r="E648">
        <v>1</v>
      </c>
      <c r="F648">
        <v>1</v>
      </c>
      <c r="G648">
        <v>1</v>
      </c>
      <c r="J648">
        <f t="shared" si="28"/>
        <v>44</v>
      </c>
      <c r="K648">
        <v>1</v>
      </c>
      <c r="L648">
        <v>1</v>
      </c>
      <c r="M648">
        <v>1</v>
      </c>
      <c r="N648">
        <v>1</v>
      </c>
      <c r="O648">
        <v>1</v>
      </c>
      <c r="R648">
        <f t="shared" si="29"/>
        <v>44</v>
      </c>
      <c r="S648">
        <v>1</v>
      </c>
      <c r="T648">
        <v>1</v>
      </c>
      <c r="U648">
        <v>1</v>
      </c>
      <c r="V648">
        <v>1</v>
      </c>
      <c r="W648">
        <v>1</v>
      </c>
      <c r="AA648">
        <v>-8069.8261000000002</v>
      </c>
      <c r="AB648">
        <v>-8069.8261000000002</v>
      </c>
      <c r="AC648">
        <v>-8069.8261000000002</v>
      </c>
      <c r="AD648">
        <v>-8069.8261000000002</v>
      </c>
      <c r="AE648">
        <v>-8069.8261000000002</v>
      </c>
      <c r="AF648">
        <v>-851265.64670000004</v>
      </c>
    </row>
    <row r="649" spans="2:32" x14ac:dyDescent="0.25">
      <c r="B649">
        <f t="shared" si="27"/>
        <v>45</v>
      </c>
      <c r="C649">
        <v>1</v>
      </c>
      <c r="D649">
        <v>1</v>
      </c>
      <c r="E649">
        <v>1</v>
      </c>
      <c r="F649">
        <v>1</v>
      </c>
      <c r="G649">
        <v>1</v>
      </c>
      <c r="J649">
        <f t="shared" si="28"/>
        <v>45</v>
      </c>
      <c r="K649">
        <v>1</v>
      </c>
      <c r="L649">
        <v>1</v>
      </c>
      <c r="M649">
        <v>1</v>
      </c>
      <c r="N649">
        <v>1</v>
      </c>
      <c r="O649">
        <v>1</v>
      </c>
      <c r="R649">
        <f t="shared" si="29"/>
        <v>45</v>
      </c>
      <c r="S649">
        <v>1</v>
      </c>
      <c r="T649">
        <v>1</v>
      </c>
      <c r="U649">
        <v>1</v>
      </c>
      <c r="V649">
        <v>1</v>
      </c>
      <c r="W649">
        <v>1</v>
      </c>
      <c r="AA649">
        <v>-7954.7533999999996</v>
      </c>
      <c r="AB649">
        <v>-7954.7533999999996</v>
      </c>
      <c r="AC649">
        <v>-7954.7533999999996</v>
      </c>
      <c r="AD649">
        <v>-7954.7533999999996</v>
      </c>
      <c r="AE649">
        <v>-7954.7533999999996</v>
      </c>
      <c r="AF649">
        <v>-870649.02139999997</v>
      </c>
    </row>
    <row r="650" spans="2:32" x14ac:dyDescent="0.25">
      <c r="B650">
        <f t="shared" si="27"/>
        <v>46</v>
      </c>
      <c r="C650">
        <v>1</v>
      </c>
      <c r="D650">
        <v>1</v>
      </c>
      <c r="E650">
        <v>1</v>
      </c>
      <c r="F650">
        <v>1</v>
      </c>
      <c r="G650">
        <v>1</v>
      </c>
      <c r="J650">
        <f t="shared" si="28"/>
        <v>46</v>
      </c>
      <c r="K650">
        <v>1</v>
      </c>
      <c r="L650">
        <v>1</v>
      </c>
      <c r="M650">
        <v>1</v>
      </c>
      <c r="N650">
        <v>1</v>
      </c>
      <c r="O650">
        <v>1</v>
      </c>
      <c r="R650">
        <f t="shared" si="29"/>
        <v>46</v>
      </c>
      <c r="S650">
        <v>1</v>
      </c>
      <c r="T650">
        <v>1</v>
      </c>
      <c r="U650">
        <v>1</v>
      </c>
      <c r="V650">
        <v>1</v>
      </c>
      <c r="W650">
        <v>1</v>
      </c>
      <c r="AA650">
        <v>-7837.1754000000001</v>
      </c>
      <c r="AB650">
        <v>-7837.1754000000001</v>
      </c>
      <c r="AC650">
        <v>-7837.1754000000001</v>
      </c>
      <c r="AD650">
        <v>-7837.1754000000001</v>
      </c>
      <c r="AE650">
        <v>-7837.1754000000001</v>
      </c>
      <c r="AF650">
        <v>-892550.54509999999</v>
      </c>
    </row>
    <row r="651" spans="2:32" x14ac:dyDescent="0.25">
      <c r="B651">
        <f t="shared" si="27"/>
        <v>47</v>
      </c>
      <c r="C651">
        <v>1</v>
      </c>
      <c r="D651">
        <v>1</v>
      </c>
      <c r="E651">
        <v>1</v>
      </c>
      <c r="F651">
        <v>1</v>
      </c>
      <c r="G651">
        <v>1</v>
      </c>
      <c r="J651">
        <f t="shared" si="28"/>
        <v>47</v>
      </c>
      <c r="K651">
        <v>1</v>
      </c>
      <c r="L651">
        <v>1</v>
      </c>
      <c r="M651">
        <v>1</v>
      </c>
      <c r="N651">
        <v>1</v>
      </c>
      <c r="O651">
        <v>1</v>
      </c>
      <c r="R651">
        <f t="shared" si="29"/>
        <v>47</v>
      </c>
      <c r="S651">
        <v>1</v>
      </c>
      <c r="T651">
        <v>1</v>
      </c>
      <c r="U651">
        <v>1</v>
      </c>
      <c r="V651">
        <v>1</v>
      </c>
      <c r="W651">
        <v>1</v>
      </c>
      <c r="AA651">
        <v>-7717.0294999999996</v>
      </c>
      <c r="AB651">
        <v>-7717.0294999999996</v>
      </c>
      <c r="AC651">
        <v>-7717.0294999999996</v>
      </c>
      <c r="AD651">
        <v>-7717.0294999999996</v>
      </c>
      <c r="AE651">
        <v>-7717.0294999999996</v>
      </c>
      <c r="AF651">
        <v>-910915.81969999999</v>
      </c>
    </row>
    <row r="652" spans="2:32" x14ac:dyDescent="0.25">
      <c r="B652">
        <f t="shared" si="27"/>
        <v>48</v>
      </c>
      <c r="C652">
        <v>1</v>
      </c>
      <c r="D652">
        <v>1</v>
      </c>
      <c r="E652">
        <v>1</v>
      </c>
      <c r="F652">
        <v>1</v>
      </c>
      <c r="G652">
        <v>1</v>
      </c>
      <c r="J652">
        <f t="shared" si="28"/>
        <v>48</v>
      </c>
      <c r="K652">
        <v>1</v>
      </c>
      <c r="L652">
        <v>1</v>
      </c>
      <c r="M652">
        <v>1</v>
      </c>
      <c r="N652">
        <v>1</v>
      </c>
      <c r="O652">
        <v>1</v>
      </c>
      <c r="R652">
        <f t="shared" si="29"/>
        <v>48</v>
      </c>
      <c r="S652">
        <v>1</v>
      </c>
      <c r="T652">
        <v>1</v>
      </c>
      <c r="U652">
        <v>1</v>
      </c>
      <c r="V652">
        <v>1</v>
      </c>
      <c r="W652">
        <v>1</v>
      </c>
      <c r="AA652">
        <v>-7594.4201000000003</v>
      </c>
      <c r="AB652">
        <v>-7594.4201000000003</v>
      </c>
      <c r="AC652">
        <v>-7594.4201000000003</v>
      </c>
      <c r="AD652">
        <v>-7594.4201000000003</v>
      </c>
      <c r="AE652">
        <v>-7594.4201000000003</v>
      </c>
      <c r="AF652">
        <v>-917891.87360000005</v>
      </c>
    </row>
    <row r="653" spans="2:32" x14ac:dyDescent="0.25">
      <c r="B653">
        <f t="shared" si="27"/>
        <v>49</v>
      </c>
      <c r="C653">
        <v>1</v>
      </c>
      <c r="D653">
        <v>1</v>
      </c>
      <c r="E653">
        <v>1</v>
      </c>
      <c r="F653">
        <v>1</v>
      </c>
      <c r="G653">
        <v>1</v>
      </c>
      <c r="J653">
        <f t="shared" si="28"/>
        <v>49</v>
      </c>
      <c r="K653">
        <v>1</v>
      </c>
      <c r="L653">
        <v>1</v>
      </c>
      <c r="M653">
        <v>1</v>
      </c>
      <c r="N653">
        <v>1</v>
      </c>
      <c r="O653">
        <v>1</v>
      </c>
      <c r="R653">
        <f t="shared" si="29"/>
        <v>49</v>
      </c>
      <c r="S653">
        <v>1</v>
      </c>
      <c r="T653">
        <v>1</v>
      </c>
      <c r="U653">
        <v>1</v>
      </c>
      <c r="V653">
        <v>1</v>
      </c>
      <c r="W653">
        <v>1</v>
      </c>
      <c r="AA653">
        <v>-7469.3995999999997</v>
      </c>
      <c r="AB653">
        <v>-7469.3995999999997</v>
      </c>
      <c r="AC653">
        <v>-7469.3995999999997</v>
      </c>
      <c r="AD653">
        <v>-7469.3995999999997</v>
      </c>
      <c r="AE653">
        <v>-7469.3995999999997</v>
      </c>
      <c r="AF653">
        <v>-944521.72470000002</v>
      </c>
    </row>
    <row r="654" spans="2:32" x14ac:dyDescent="0.25">
      <c r="B654">
        <f t="shared" si="27"/>
        <v>50</v>
      </c>
      <c r="C654">
        <v>1</v>
      </c>
      <c r="D654">
        <v>1</v>
      </c>
      <c r="E654">
        <v>1</v>
      </c>
      <c r="F654">
        <v>1</v>
      </c>
      <c r="G654">
        <v>1</v>
      </c>
      <c r="J654">
        <f t="shared" si="28"/>
        <v>50</v>
      </c>
      <c r="K654">
        <v>1</v>
      </c>
      <c r="L654">
        <v>1</v>
      </c>
      <c r="M654">
        <v>1</v>
      </c>
      <c r="N654">
        <v>1</v>
      </c>
      <c r="O654">
        <v>1</v>
      </c>
      <c r="R654">
        <f t="shared" si="29"/>
        <v>50</v>
      </c>
      <c r="S654">
        <v>1</v>
      </c>
      <c r="T654">
        <v>1</v>
      </c>
      <c r="U654">
        <v>1</v>
      </c>
      <c r="V654">
        <v>1</v>
      </c>
      <c r="W654">
        <v>1</v>
      </c>
      <c r="AA654">
        <v>-7341.9502000000002</v>
      </c>
      <c r="AB654">
        <v>-7341.9502000000002</v>
      </c>
      <c r="AC654">
        <v>-7341.9502000000002</v>
      </c>
      <c r="AD654">
        <v>-7341.9502000000002</v>
      </c>
      <c r="AE654">
        <v>-7341.9502000000002</v>
      </c>
      <c r="AF654">
        <v>-963257.14989999996</v>
      </c>
    </row>
    <row r="655" spans="2:32" x14ac:dyDescent="0.25">
      <c r="B655">
        <f t="shared" si="27"/>
        <v>51</v>
      </c>
      <c r="C655">
        <v>1</v>
      </c>
      <c r="D655">
        <v>1</v>
      </c>
      <c r="E655">
        <v>1</v>
      </c>
      <c r="F655">
        <v>1</v>
      </c>
      <c r="G655">
        <v>1</v>
      </c>
      <c r="J655">
        <f t="shared" si="28"/>
        <v>51</v>
      </c>
      <c r="K655">
        <v>1</v>
      </c>
      <c r="L655">
        <v>1</v>
      </c>
      <c r="M655">
        <v>1</v>
      </c>
      <c r="N655">
        <v>1</v>
      </c>
      <c r="O655">
        <v>1</v>
      </c>
      <c r="R655">
        <f t="shared" si="29"/>
        <v>51</v>
      </c>
      <c r="S655">
        <v>1</v>
      </c>
      <c r="T655">
        <v>1</v>
      </c>
      <c r="U655">
        <v>1</v>
      </c>
      <c r="V655">
        <v>1</v>
      </c>
      <c r="W655">
        <v>1</v>
      </c>
      <c r="AA655">
        <v>-7212.0646999999999</v>
      </c>
      <c r="AB655">
        <v>-7212.0646999999999</v>
      </c>
      <c r="AC655">
        <v>-7212.0646999999999</v>
      </c>
      <c r="AD655">
        <v>-7212.0646999999999</v>
      </c>
      <c r="AE655">
        <v>-7212.0646999999999</v>
      </c>
      <c r="AF655">
        <v>-981592.90729999996</v>
      </c>
    </row>
    <row r="656" spans="2:32" x14ac:dyDescent="0.25">
      <c r="B656">
        <f t="shared" si="27"/>
        <v>52</v>
      </c>
      <c r="C656">
        <v>1</v>
      </c>
      <c r="D656">
        <v>1</v>
      </c>
      <c r="E656">
        <v>1</v>
      </c>
      <c r="F656">
        <v>1</v>
      </c>
      <c r="G656">
        <v>1</v>
      </c>
      <c r="J656">
        <f t="shared" si="28"/>
        <v>52</v>
      </c>
      <c r="K656">
        <v>1</v>
      </c>
      <c r="L656">
        <v>1</v>
      </c>
      <c r="M656">
        <v>1</v>
      </c>
      <c r="N656">
        <v>1</v>
      </c>
      <c r="O656">
        <v>1</v>
      </c>
      <c r="R656">
        <f t="shared" si="29"/>
        <v>52</v>
      </c>
      <c r="S656">
        <v>1</v>
      </c>
      <c r="T656">
        <v>1</v>
      </c>
      <c r="U656">
        <v>1</v>
      </c>
      <c r="V656">
        <v>1</v>
      </c>
      <c r="W656">
        <v>1</v>
      </c>
      <c r="AA656">
        <v>-7079.7435999999998</v>
      </c>
      <c r="AB656">
        <v>-7079.7435999999998</v>
      </c>
      <c r="AC656">
        <v>-7079.7435999999998</v>
      </c>
      <c r="AD656">
        <v>-7079.7435999999998</v>
      </c>
      <c r="AE656">
        <v>-7079.7435999999998</v>
      </c>
      <c r="AF656">
        <v>-998556.10360000003</v>
      </c>
    </row>
    <row r="657" spans="2:32" x14ac:dyDescent="0.25">
      <c r="B657">
        <f t="shared" si="27"/>
        <v>53</v>
      </c>
      <c r="C657">
        <v>1</v>
      </c>
      <c r="D657">
        <v>1</v>
      </c>
      <c r="E657">
        <v>1</v>
      </c>
      <c r="F657">
        <v>1</v>
      </c>
      <c r="G657">
        <v>1</v>
      </c>
      <c r="J657">
        <f t="shared" si="28"/>
        <v>53</v>
      </c>
      <c r="K657">
        <v>1</v>
      </c>
      <c r="L657">
        <v>1</v>
      </c>
      <c r="M657">
        <v>1</v>
      </c>
      <c r="N657">
        <v>1</v>
      </c>
      <c r="O657">
        <v>1</v>
      </c>
      <c r="R657">
        <f t="shared" si="29"/>
        <v>53</v>
      </c>
      <c r="S657">
        <v>1</v>
      </c>
      <c r="T657">
        <v>1</v>
      </c>
      <c r="U657">
        <v>1</v>
      </c>
      <c r="V657">
        <v>1</v>
      </c>
      <c r="W657">
        <v>1</v>
      </c>
      <c r="AA657">
        <v>-6945.0875999999998</v>
      </c>
      <c r="AB657">
        <v>-6945.0875999999998</v>
      </c>
      <c r="AC657">
        <v>-6945.0875999999998</v>
      </c>
      <c r="AD657">
        <v>-6945.0875999999998</v>
      </c>
      <c r="AE657">
        <v>-6945.0875999999998</v>
      </c>
      <c r="AF657">
        <v>-1015461.3278</v>
      </c>
    </row>
    <row r="658" spans="2:32" x14ac:dyDescent="0.25">
      <c r="B658">
        <f t="shared" si="27"/>
        <v>54</v>
      </c>
      <c r="C658">
        <v>1</v>
      </c>
      <c r="D658">
        <v>1</v>
      </c>
      <c r="E658">
        <v>1</v>
      </c>
      <c r="F658">
        <v>1</v>
      </c>
      <c r="G658">
        <v>1</v>
      </c>
      <c r="J658">
        <f t="shared" si="28"/>
        <v>54</v>
      </c>
      <c r="K658">
        <v>1</v>
      </c>
      <c r="L658">
        <v>1</v>
      </c>
      <c r="M658">
        <v>1</v>
      </c>
      <c r="N658">
        <v>1</v>
      </c>
      <c r="O658">
        <v>1</v>
      </c>
      <c r="R658">
        <f t="shared" si="29"/>
        <v>54</v>
      </c>
      <c r="S658">
        <v>1</v>
      </c>
      <c r="T658">
        <v>1</v>
      </c>
      <c r="U658">
        <v>1</v>
      </c>
      <c r="V658">
        <v>1</v>
      </c>
      <c r="W658">
        <v>1</v>
      </c>
      <c r="AA658">
        <v>-6808.2438000000002</v>
      </c>
      <c r="AB658">
        <v>-6808.2438000000002</v>
      </c>
      <c r="AC658">
        <v>-6808.2438000000002</v>
      </c>
      <c r="AD658">
        <v>-6808.2438000000002</v>
      </c>
      <c r="AE658">
        <v>-6808.2438000000002</v>
      </c>
      <c r="AF658">
        <v>-1033869.6813000001</v>
      </c>
    </row>
    <row r="659" spans="2:32" x14ac:dyDescent="0.25">
      <c r="B659">
        <f t="shared" si="27"/>
        <v>55</v>
      </c>
      <c r="C659">
        <v>1</v>
      </c>
      <c r="D659">
        <v>1</v>
      </c>
      <c r="E659">
        <v>1</v>
      </c>
      <c r="F659">
        <v>1</v>
      </c>
      <c r="G659">
        <v>1</v>
      </c>
      <c r="J659">
        <f t="shared" si="28"/>
        <v>55</v>
      </c>
      <c r="K659">
        <v>1</v>
      </c>
      <c r="L659">
        <v>1</v>
      </c>
      <c r="M659">
        <v>1</v>
      </c>
      <c r="N659">
        <v>1</v>
      </c>
      <c r="O659">
        <v>1</v>
      </c>
      <c r="R659">
        <f t="shared" si="29"/>
        <v>55</v>
      </c>
      <c r="S659">
        <v>1</v>
      </c>
      <c r="T659">
        <v>1</v>
      </c>
      <c r="U659">
        <v>1</v>
      </c>
      <c r="V659">
        <v>1</v>
      </c>
      <c r="W659">
        <v>1</v>
      </c>
      <c r="AA659">
        <v>-6669.2525999999998</v>
      </c>
      <c r="AB659">
        <v>-6669.2525999999998</v>
      </c>
      <c r="AC659">
        <v>-6669.2525999999998</v>
      </c>
      <c r="AD659">
        <v>-6669.2525999999998</v>
      </c>
      <c r="AE659">
        <v>-6669.2525999999998</v>
      </c>
      <c r="AF659">
        <v>-1050810.2549999999</v>
      </c>
    </row>
    <row r="660" spans="2:32" x14ac:dyDescent="0.25">
      <c r="B660">
        <f t="shared" si="27"/>
        <v>56</v>
      </c>
      <c r="C660">
        <v>1</v>
      </c>
      <c r="D660">
        <v>1</v>
      </c>
      <c r="E660">
        <v>1</v>
      </c>
      <c r="F660">
        <v>1</v>
      </c>
      <c r="G660">
        <v>1</v>
      </c>
      <c r="J660">
        <f t="shared" si="28"/>
        <v>56</v>
      </c>
      <c r="K660">
        <v>1</v>
      </c>
      <c r="L660">
        <v>1</v>
      </c>
      <c r="M660">
        <v>1</v>
      </c>
      <c r="N660">
        <v>1</v>
      </c>
      <c r="O660">
        <v>1</v>
      </c>
      <c r="R660">
        <f t="shared" si="29"/>
        <v>56</v>
      </c>
      <c r="S660">
        <v>1</v>
      </c>
      <c r="T660">
        <v>1</v>
      </c>
      <c r="U660">
        <v>1</v>
      </c>
      <c r="V660">
        <v>1</v>
      </c>
      <c r="W660">
        <v>1</v>
      </c>
      <c r="AA660">
        <v>-6528.2992000000004</v>
      </c>
      <c r="AB660">
        <v>-6528.2992000000004</v>
      </c>
      <c r="AC660">
        <v>-6528.2992000000004</v>
      </c>
      <c r="AD660">
        <v>-6528.2992000000004</v>
      </c>
      <c r="AE660">
        <v>-6528.2992000000004</v>
      </c>
      <c r="AF660">
        <v>-1073295.8774000001</v>
      </c>
    </row>
    <row r="661" spans="2:32" x14ac:dyDescent="0.25">
      <c r="B661">
        <f t="shared" si="27"/>
        <v>57</v>
      </c>
      <c r="C661">
        <v>1</v>
      </c>
      <c r="D661">
        <v>1</v>
      </c>
      <c r="E661">
        <v>1</v>
      </c>
      <c r="F661">
        <v>1</v>
      </c>
      <c r="G661">
        <v>1</v>
      </c>
      <c r="J661">
        <f t="shared" si="28"/>
        <v>57</v>
      </c>
      <c r="K661">
        <v>1</v>
      </c>
      <c r="L661">
        <v>1</v>
      </c>
      <c r="M661">
        <v>1</v>
      </c>
      <c r="N661">
        <v>1</v>
      </c>
      <c r="O661">
        <v>1</v>
      </c>
      <c r="R661">
        <f t="shared" si="29"/>
        <v>57</v>
      </c>
      <c r="S661">
        <v>1</v>
      </c>
      <c r="T661">
        <v>1</v>
      </c>
      <c r="U661">
        <v>1</v>
      </c>
      <c r="V661">
        <v>1</v>
      </c>
      <c r="W661">
        <v>1</v>
      </c>
      <c r="AA661">
        <v>-6385.5230000000001</v>
      </c>
      <c r="AB661">
        <v>-6385.5230000000001</v>
      </c>
      <c r="AC661">
        <v>-6385.5230000000001</v>
      </c>
      <c r="AD661">
        <v>-6385.5230000000001</v>
      </c>
      <c r="AE661">
        <v>-6385.5230000000001</v>
      </c>
      <c r="AF661">
        <v>-1093242.6832999999</v>
      </c>
    </row>
    <row r="662" spans="2:32" x14ac:dyDescent="0.25">
      <c r="B662">
        <f t="shared" si="27"/>
        <v>58</v>
      </c>
      <c r="C662">
        <v>1</v>
      </c>
      <c r="D662">
        <v>1</v>
      </c>
      <c r="E662">
        <v>1</v>
      </c>
      <c r="F662">
        <v>1</v>
      </c>
      <c r="G662">
        <v>1</v>
      </c>
      <c r="J662">
        <f t="shared" si="28"/>
        <v>58</v>
      </c>
      <c r="K662">
        <v>1</v>
      </c>
      <c r="L662">
        <v>1</v>
      </c>
      <c r="M662">
        <v>1</v>
      </c>
      <c r="N662">
        <v>1</v>
      </c>
      <c r="O662">
        <v>1</v>
      </c>
      <c r="R662">
        <f t="shared" si="29"/>
        <v>58</v>
      </c>
      <c r="S662">
        <v>1</v>
      </c>
      <c r="T662">
        <v>1</v>
      </c>
      <c r="U662">
        <v>1</v>
      </c>
      <c r="V662">
        <v>1</v>
      </c>
      <c r="W662">
        <v>1</v>
      </c>
      <c r="AA662">
        <v>-6240.8730999999998</v>
      </c>
      <c r="AB662">
        <v>-6240.8730999999998</v>
      </c>
      <c r="AC662">
        <v>-6240.8730999999998</v>
      </c>
      <c r="AD662">
        <v>-6240.8730999999998</v>
      </c>
      <c r="AE662">
        <v>-6240.8730999999998</v>
      </c>
      <c r="AF662">
        <v>-1114366.6444000001</v>
      </c>
    </row>
    <row r="663" spans="2:32" x14ac:dyDescent="0.25">
      <c r="B663">
        <f t="shared" si="27"/>
        <v>59</v>
      </c>
      <c r="C663">
        <v>1</v>
      </c>
      <c r="D663">
        <v>1</v>
      </c>
      <c r="E663">
        <v>1</v>
      </c>
      <c r="F663">
        <v>1</v>
      </c>
      <c r="G663">
        <v>1</v>
      </c>
      <c r="J663">
        <f t="shared" si="28"/>
        <v>59</v>
      </c>
      <c r="K663">
        <v>1</v>
      </c>
      <c r="L663">
        <v>1</v>
      </c>
      <c r="M663">
        <v>1</v>
      </c>
      <c r="N663">
        <v>1</v>
      </c>
      <c r="O663">
        <v>1</v>
      </c>
      <c r="R663">
        <f t="shared" si="29"/>
        <v>59</v>
      </c>
      <c r="S663">
        <v>1</v>
      </c>
      <c r="T663">
        <v>1</v>
      </c>
      <c r="U663">
        <v>1</v>
      </c>
      <c r="V663">
        <v>1</v>
      </c>
      <c r="W663">
        <v>1</v>
      </c>
      <c r="AA663">
        <v>-6094.3262999999997</v>
      </c>
      <c r="AB663">
        <v>-6094.3262999999997</v>
      </c>
      <c r="AC663">
        <v>-6094.3262999999997</v>
      </c>
      <c r="AD663">
        <v>-6094.3262999999997</v>
      </c>
      <c r="AE663">
        <v>-6094.3262999999997</v>
      </c>
      <c r="AF663">
        <v>-1136284.0146999999</v>
      </c>
    </row>
    <row r="664" spans="2:32" x14ac:dyDescent="0.25">
      <c r="B664">
        <f t="shared" si="27"/>
        <v>60</v>
      </c>
      <c r="C664">
        <v>1</v>
      </c>
      <c r="D664">
        <v>1</v>
      </c>
      <c r="E664">
        <v>1</v>
      </c>
      <c r="F664">
        <v>1</v>
      </c>
      <c r="G664">
        <v>1</v>
      </c>
      <c r="J664">
        <f t="shared" si="28"/>
        <v>60</v>
      </c>
      <c r="K664">
        <v>1</v>
      </c>
      <c r="L664">
        <v>1</v>
      </c>
      <c r="M664">
        <v>1</v>
      </c>
      <c r="N664">
        <v>1</v>
      </c>
      <c r="O664">
        <v>1</v>
      </c>
      <c r="R664">
        <f t="shared" si="29"/>
        <v>60</v>
      </c>
      <c r="S664">
        <v>1</v>
      </c>
      <c r="T664">
        <v>1</v>
      </c>
      <c r="U664">
        <v>1</v>
      </c>
      <c r="V664">
        <v>1</v>
      </c>
      <c r="W664">
        <v>1</v>
      </c>
      <c r="AA664">
        <v>-5945.9960000000001</v>
      </c>
      <c r="AB664">
        <v>-5945.9960000000001</v>
      </c>
      <c r="AC664">
        <v>-5945.9960000000001</v>
      </c>
      <c r="AD664">
        <v>-5945.9960000000001</v>
      </c>
      <c r="AE664">
        <v>-5945.9960000000001</v>
      </c>
      <c r="AF664">
        <v>-1157801.6717999999</v>
      </c>
    </row>
    <row r="665" spans="2:32" x14ac:dyDescent="0.25">
      <c r="B665">
        <f t="shared" si="27"/>
        <v>61</v>
      </c>
      <c r="C665">
        <v>1</v>
      </c>
      <c r="D665">
        <v>1</v>
      </c>
      <c r="E665">
        <v>1</v>
      </c>
      <c r="F665">
        <v>1</v>
      </c>
      <c r="G665">
        <v>1</v>
      </c>
      <c r="J665">
        <f t="shared" si="28"/>
        <v>61</v>
      </c>
      <c r="K665">
        <v>1</v>
      </c>
      <c r="L665">
        <v>1</v>
      </c>
      <c r="M665">
        <v>1</v>
      </c>
      <c r="N665">
        <v>1</v>
      </c>
      <c r="O665">
        <v>1</v>
      </c>
      <c r="R665">
        <f t="shared" si="29"/>
        <v>61</v>
      </c>
      <c r="S665">
        <v>1</v>
      </c>
      <c r="T665">
        <v>1</v>
      </c>
      <c r="U665">
        <v>1</v>
      </c>
      <c r="V665">
        <v>1</v>
      </c>
      <c r="W665">
        <v>1</v>
      </c>
      <c r="AA665">
        <v>-5796.3015999999998</v>
      </c>
      <c r="AB665">
        <v>-5796.3015999999998</v>
      </c>
      <c r="AC665">
        <v>-5796.3015999999998</v>
      </c>
      <c r="AD665">
        <v>-5796.3015999999998</v>
      </c>
      <c r="AE665">
        <v>-5796.3015999999998</v>
      </c>
      <c r="AF665">
        <v>-1178581.4038</v>
      </c>
    </row>
    <row r="666" spans="2:32" x14ac:dyDescent="0.25">
      <c r="B666">
        <f t="shared" si="27"/>
        <v>62</v>
      </c>
      <c r="C666">
        <v>1</v>
      </c>
      <c r="D666">
        <v>1</v>
      </c>
      <c r="E666">
        <v>1</v>
      </c>
      <c r="F666">
        <v>1</v>
      </c>
      <c r="G666">
        <v>1</v>
      </c>
      <c r="J666">
        <f t="shared" si="28"/>
        <v>62</v>
      </c>
      <c r="K666">
        <v>1</v>
      </c>
      <c r="L666">
        <v>1</v>
      </c>
      <c r="M666">
        <v>1</v>
      </c>
      <c r="N666">
        <v>1</v>
      </c>
      <c r="O666">
        <v>1</v>
      </c>
      <c r="R666">
        <f t="shared" si="29"/>
        <v>62</v>
      </c>
      <c r="S666">
        <v>1</v>
      </c>
      <c r="T666">
        <v>1</v>
      </c>
      <c r="U666">
        <v>1</v>
      </c>
      <c r="V666">
        <v>1</v>
      </c>
      <c r="W666">
        <v>1</v>
      </c>
      <c r="AA666">
        <v>-5645.2415000000001</v>
      </c>
      <c r="AB666">
        <v>-5645.2415000000001</v>
      </c>
      <c r="AC666">
        <v>-5645.2415000000001</v>
      </c>
      <c r="AD666">
        <v>-5645.2415000000001</v>
      </c>
      <c r="AE666">
        <v>-5645.2415000000001</v>
      </c>
      <c r="AF666">
        <v>-1199521.5327000001</v>
      </c>
    </row>
    <row r="667" spans="2:32" x14ac:dyDescent="0.25">
      <c r="B667">
        <f t="shared" si="27"/>
        <v>63</v>
      </c>
      <c r="C667">
        <v>1</v>
      </c>
      <c r="D667">
        <v>1</v>
      </c>
      <c r="E667">
        <v>1</v>
      </c>
      <c r="F667">
        <v>1</v>
      </c>
      <c r="G667">
        <v>1</v>
      </c>
      <c r="J667">
        <f t="shared" si="28"/>
        <v>63</v>
      </c>
      <c r="K667">
        <v>1</v>
      </c>
      <c r="L667">
        <v>1</v>
      </c>
      <c r="M667">
        <v>1</v>
      </c>
      <c r="N667">
        <v>1</v>
      </c>
      <c r="O667">
        <v>1</v>
      </c>
      <c r="R667">
        <f t="shared" si="29"/>
        <v>63</v>
      </c>
      <c r="S667">
        <v>1</v>
      </c>
      <c r="T667">
        <v>1</v>
      </c>
      <c r="U667">
        <v>1</v>
      </c>
      <c r="V667">
        <v>1</v>
      </c>
      <c r="W667">
        <v>1</v>
      </c>
      <c r="AA667">
        <v>-5492.4920000000002</v>
      </c>
      <c r="AB667">
        <v>-5492.4920000000002</v>
      </c>
      <c r="AC667">
        <v>-5492.4920000000002</v>
      </c>
      <c r="AD667">
        <v>-5492.4920000000002</v>
      </c>
      <c r="AE667">
        <v>-5492.4920000000002</v>
      </c>
      <c r="AF667">
        <v>-1220461.6269</v>
      </c>
    </row>
    <row r="668" spans="2:32" x14ac:dyDescent="0.25">
      <c r="B668">
        <f t="shared" si="27"/>
        <v>64</v>
      </c>
      <c r="C668">
        <v>1</v>
      </c>
      <c r="D668">
        <v>1</v>
      </c>
      <c r="E668">
        <v>1</v>
      </c>
      <c r="F668">
        <v>1</v>
      </c>
      <c r="G668">
        <v>1</v>
      </c>
      <c r="J668">
        <f t="shared" si="28"/>
        <v>64</v>
      </c>
      <c r="K668">
        <v>1</v>
      </c>
      <c r="L668">
        <v>1</v>
      </c>
      <c r="M668">
        <v>1</v>
      </c>
      <c r="N668">
        <v>1</v>
      </c>
      <c r="O668">
        <v>1</v>
      </c>
      <c r="R668">
        <f t="shared" si="29"/>
        <v>64</v>
      </c>
      <c r="S668">
        <v>1</v>
      </c>
      <c r="T668">
        <v>1</v>
      </c>
      <c r="U668">
        <v>1</v>
      </c>
      <c r="V668">
        <v>1</v>
      </c>
      <c r="W668">
        <v>1</v>
      </c>
      <c r="AA668">
        <v>-5338.1817000000001</v>
      </c>
      <c r="AB668">
        <v>-5338.1817000000001</v>
      </c>
      <c r="AC668">
        <v>-5338.1817000000001</v>
      </c>
      <c r="AD668">
        <v>-5338.1817000000001</v>
      </c>
      <c r="AE668">
        <v>-5338.1817000000001</v>
      </c>
      <c r="AF668">
        <v>-1240652.2526</v>
      </c>
    </row>
    <row r="669" spans="2:32" x14ac:dyDescent="0.25">
      <c r="B669">
        <f t="shared" si="27"/>
        <v>65</v>
      </c>
      <c r="C669">
        <v>1</v>
      </c>
      <c r="D669">
        <v>1</v>
      </c>
      <c r="E669">
        <v>1</v>
      </c>
      <c r="F669">
        <v>1</v>
      </c>
      <c r="G669">
        <v>1</v>
      </c>
      <c r="J669">
        <f t="shared" si="28"/>
        <v>65</v>
      </c>
      <c r="K669">
        <v>1</v>
      </c>
      <c r="L669">
        <v>1</v>
      </c>
      <c r="M669">
        <v>1</v>
      </c>
      <c r="N669">
        <v>1</v>
      </c>
      <c r="O669">
        <v>1</v>
      </c>
      <c r="R669">
        <f t="shared" si="29"/>
        <v>65</v>
      </c>
      <c r="S669">
        <v>1</v>
      </c>
      <c r="T669">
        <v>1</v>
      </c>
      <c r="U669">
        <v>1</v>
      </c>
      <c r="V669">
        <v>1</v>
      </c>
      <c r="W669">
        <v>1</v>
      </c>
      <c r="AA669">
        <v>-5182.2268999999997</v>
      </c>
      <c r="AB669">
        <v>-5182.2268999999997</v>
      </c>
      <c r="AC669">
        <v>-5182.2268999999997</v>
      </c>
      <c r="AD669">
        <v>-5182.2268999999997</v>
      </c>
      <c r="AE669">
        <v>-5182.2268999999997</v>
      </c>
      <c r="AF669">
        <v>-1260049.8302</v>
      </c>
    </row>
    <row r="672" spans="2:32" x14ac:dyDescent="0.25">
      <c r="B672" t="s">
        <v>46</v>
      </c>
      <c r="C672">
        <v>50000</v>
      </c>
      <c r="D672">
        <v>100000</v>
      </c>
      <c r="E672">
        <v>250000</v>
      </c>
      <c r="F672">
        <v>500000</v>
      </c>
      <c r="G672">
        <v>1000000</v>
      </c>
      <c r="H672">
        <v>2000000</v>
      </c>
      <c r="J672" t="s">
        <v>47</v>
      </c>
      <c r="K672">
        <v>50000</v>
      </c>
      <c r="L672">
        <v>100000</v>
      </c>
      <c r="M672">
        <v>250000</v>
      </c>
      <c r="N672">
        <v>500000</v>
      </c>
      <c r="O672">
        <v>1000000</v>
      </c>
      <c r="P672">
        <v>2000000</v>
      </c>
      <c r="R672" t="s">
        <v>48</v>
      </c>
      <c r="S672">
        <v>50000</v>
      </c>
      <c r="T672">
        <v>100000</v>
      </c>
      <c r="U672">
        <v>250000</v>
      </c>
      <c r="V672">
        <v>500000</v>
      </c>
      <c r="W672">
        <v>1000000</v>
      </c>
      <c r="X672">
        <v>2000000</v>
      </c>
    </row>
    <row r="673" spans="2:32" x14ac:dyDescent="0.25">
      <c r="B673">
        <v>26</v>
      </c>
      <c r="C673">
        <v>1</v>
      </c>
      <c r="D673">
        <v>1</v>
      </c>
      <c r="E673">
        <v>1</v>
      </c>
      <c r="F673">
        <v>1</v>
      </c>
      <c r="G673">
        <v>1</v>
      </c>
      <c r="H673">
        <v>1</v>
      </c>
      <c r="J673">
        <v>26</v>
      </c>
      <c r="K673">
        <v>1</v>
      </c>
      <c r="L673">
        <v>1</v>
      </c>
      <c r="M673">
        <v>1</v>
      </c>
      <c r="N673">
        <v>1</v>
      </c>
      <c r="O673">
        <v>1</v>
      </c>
      <c r="P673">
        <v>1</v>
      </c>
      <c r="R673">
        <v>26</v>
      </c>
      <c r="S673">
        <v>1</v>
      </c>
      <c r="T673">
        <v>1</v>
      </c>
      <c r="U673">
        <v>1</v>
      </c>
      <c r="V673">
        <v>1</v>
      </c>
      <c r="W673">
        <v>1</v>
      </c>
      <c r="X673">
        <v>1</v>
      </c>
      <c r="AA673">
        <v>-5174.8482999999997</v>
      </c>
      <c r="AB673">
        <v>-5174.8482999999997</v>
      </c>
      <c r="AC673">
        <v>-5174.8482999999997</v>
      </c>
      <c r="AD673">
        <v>-5174.8482999999997</v>
      </c>
      <c r="AE673">
        <v>-5174.8482999999997</v>
      </c>
      <c r="AF673">
        <v>-5174.8482999999997</v>
      </c>
    </row>
    <row r="674" spans="2:32" x14ac:dyDescent="0.25">
      <c r="B674">
        <v>27</v>
      </c>
      <c r="C674">
        <v>1</v>
      </c>
      <c r="D674">
        <v>1</v>
      </c>
      <c r="E674">
        <v>1</v>
      </c>
      <c r="F674">
        <v>1</v>
      </c>
      <c r="G674">
        <v>1</v>
      </c>
      <c r="H674">
        <v>1</v>
      </c>
      <c r="J674">
        <v>27</v>
      </c>
      <c r="K674">
        <v>1</v>
      </c>
      <c r="L674">
        <v>1</v>
      </c>
      <c r="M674">
        <v>1</v>
      </c>
      <c r="N674">
        <v>1</v>
      </c>
      <c r="O674">
        <v>1</v>
      </c>
      <c r="P674">
        <v>1</v>
      </c>
      <c r="R674">
        <v>27</v>
      </c>
      <c r="S674">
        <v>1</v>
      </c>
      <c r="T674">
        <v>1</v>
      </c>
      <c r="U674">
        <v>1</v>
      </c>
      <c r="V674">
        <v>1</v>
      </c>
      <c r="W674">
        <v>1</v>
      </c>
      <c r="X674">
        <v>1</v>
      </c>
      <c r="AA674">
        <v>-5173.6036999999997</v>
      </c>
      <c r="AB674">
        <v>-5173.6036999999997</v>
      </c>
      <c r="AC674">
        <v>-5173.6036999999997</v>
      </c>
      <c r="AD674">
        <v>-5173.6036999999997</v>
      </c>
      <c r="AE674">
        <v>-5173.6036999999997</v>
      </c>
      <c r="AF674">
        <v>-5173.6036999999997</v>
      </c>
    </row>
    <row r="675" spans="2:32" x14ac:dyDescent="0.25">
      <c r="B675">
        <v>28</v>
      </c>
      <c r="C675">
        <v>1</v>
      </c>
      <c r="D675">
        <v>1</v>
      </c>
      <c r="E675">
        <v>1</v>
      </c>
      <c r="F675">
        <v>1</v>
      </c>
      <c r="G675">
        <v>1</v>
      </c>
      <c r="H675">
        <v>1</v>
      </c>
      <c r="J675">
        <v>28</v>
      </c>
      <c r="K675">
        <v>1</v>
      </c>
      <c r="L675">
        <v>1</v>
      </c>
      <c r="M675">
        <v>1</v>
      </c>
      <c r="N675">
        <v>1</v>
      </c>
      <c r="O675">
        <v>1</v>
      </c>
      <c r="P675">
        <v>1</v>
      </c>
      <c r="R675">
        <v>28</v>
      </c>
      <c r="S675">
        <v>1</v>
      </c>
      <c r="T675">
        <v>1</v>
      </c>
      <c r="U675">
        <v>1</v>
      </c>
      <c r="V675">
        <v>1</v>
      </c>
      <c r="W675">
        <v>1</v>
      </c>
      <c r="X675">
        <v>1</v>
      </c>
      <c r="AA675">
        <v>-5172.1755999999996</v>
      </c>
      <c r="AB675">
        <v>-5172.1755999999996</v>
      </c>
      <c r="AC675">
        <v>-5172.1755999999996</v>
      </c>
      <c r="AD675">
        <v>-5172.1755999999996</v>
      </c>
      <c r="AE675">
        <v>-5172.1755999999996</v>
      </c>
      <c r="AF675">
        <v>-5172.1755999999996</v>
      </c>
    </row>
    <row r="676" spans="2:32" x14ac:dyDescent="0.25">
      <c r="B676">
        <v>29</v>
      </c>
      <c r="C676">
        <v>1</v>
      </c>
      <c r="D676">
        <v>1</v>
      </c>
      <c r="E676">
        <v>1</v>
      </c>
      <c r="F676">
        <v>1</v>
      </c>
      <c r="G676">
        <v>1</v>
      </c>
      <c r="H676">
        <v>1</v>
      </c>
      <c r="J676">
        <v>29</v>
      </c>
      <c r="K676">
        <v>1</v>
      </c>
      <c r="L676">
        <v>1</v>
      </c>
      <c r="M676">
        <v>1</v>
      </c>
      <c r="N676">
        <v>1</v>
      </c>
      <c r="O676">
        <v>1</v>
      </c>
      <c r="P676">
        <v>1</v>
      </c>
      <c r="R676">
        <v>29</v>
      </c>
      <c r="S676">
        <v>1</v>
      </c>
      <c r="T676">
        <v>1</v>
      </c>
      <c r="U676">
        <v>1</v>
      </c>
      <c r="V676">
        <v>1</v>
      </c>
      <c r="W676">
        <v>1</v>
      </c>
      <c r="X676">
        <v>1</v>
      </c>
      <c r="AA676">
        <v>-5170.5482000000002</v>
      </c>
      <c r="AB676">
        <v>-5170.5482000000002</v>
      </c>
      <c r="AC676">
        <v>-5170.5482000000002</v>
      </c>
      <c r="AD676">
        <v>-5170.5482000000002</v>
      </c>
      <c r="AE676">
        <v>-5170.5482000000002</v>
      </c>
      <c r="AF676">
        <v>-5170.5482000000002</v>
      </c>
    </row>
    <row r="677" spans="2:32" x14ac:dyDescent="0.25">
      <c r="B677">
        <v>30</v>
      </c>
      <c r="C677">
        <v>1</v>
      </c>
      <c r="D677">
        <v>1</v>
      </c>
      <c r="E677">
        <v>1</v>
      </c>
      <c r="F677">
        <v>1</v>
      </c>
      <c r="G677">
        <v>1</v>
      </c>
      <c r="H677">
        <v>1</v>
      </c>
      <c r="J677">
        <v>30</v>
      </c>
      <c r="K677">
        <v>1</v>
      </c>
      <c r="L677">
        <v>1</v>
      </c>
      <c r="M677">
        <v>1</v>
      </c>
      <c r="N677">
        <v>1</v>
      </c>
      <c r="O677">
        <v>1</v>
      </c>
      <c r="P677">
        <v>1</v>
      </c>
      <c r="R677">
        <v>30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AA677">
        <v>-5168.6908999999996</v>
      </c>
      <c r="AB677">
        <v>-5168.6908999999996</v>
      </c>
      <c r="AC677">
        <v>-5168.6908999999996</v>
      </c>
      <c r="AD677">
        <v>-5168.6908999999996</v>
      </c>
      <c r="AE677">
        <v>-5168.6908999999996</v>
      </c>
      <c r="AF677">
        <v>-5168.6908999999996</v>
      </c>
    </row>
    <row r="678" spans="2:32" x14ac:dyDescent="0.25">
      <c r="B678">
        <v>31</v>
      </c>
      <c r="C678">
        <v>1</v>
      </c>
      <c r="D678">
        <v>1</v>
      </c>
      <c r="E678">
        <v>1</v>
      </c>
      <c r="F678">
        <v>1</v>
      </c>
      <c r="G678">
        <v>1</v>
      </c>
      <c r="H678">
        <v>1</v>
      </c>
      <c r="J678">
        <v>31</v>
      </c>
      <c r="K678">
        <v>1</v>
      </c>
      <c r="L678">
        <v>1</v>
      </c>
      <c r="M678">
        <v>1</v>
      </c>
      <c r="N678">
        <v>1</v>
      </c>
      <c r="O678">
        <v>1</v>
      </c>
      <c r="P678">
        <v>1</v>
      </c>
      <c r="R678">
        <v>31</v>
      </c>
      <c r="S678">
        <v>1</v>
      </c>
      <c r="T678">
        <v>1</v>
      </c>
      <c r="U678">
        <v>1</v>
      </c>
      <c r="V678">
        <v>1</v>
      </c>
      <c r="W678">
        <v>1</v>
      </c>
      <c r="X678">
        <v>1</v>
      </c>
      <c r="AA678">
        <v>-5166.5891000000001</v>
      </c>
      <c r="AB678">
        <v>-5166.5891000000001</v>
      </c>
      <c r="AC678">
        <v>-5166.5891000000001</v>
      </c>
      <c r="AD678">
        <v>-5166.5891000000001</v>
      </c>
      <c r="AE678">
        <v>-5166.5891000000001</v>
      </c>
      <c r="AF678">
        <v>-5166.5891000000001</v>
      </c>
    </row>
    <row r="679" spans="2:32" x14ac:dyDescent="0.25">
      <c r="B679">
        <v>32</v>
      </c>
      <c r="C679">
        <v>1</v>
      </c>
      <c r="D679">
        <v>1</v>
      </c>
      <c r="E679">
        <v>1</v>
      </c>
      <c r="F679">
        <v>1</v>
      </c>
      <c r="G679">
        <v>1</v>
      </c>
      <c r="H679">
        <v>1</v>
      </c>
      <c r="J679">
        <v>32</v>
      </c>
      <c r="K679">
        <v>1</v>
      </c>
      <c r="L679">
        <v>1</v>
      </c>
      <c r="M679">
        <v>1</v>
      </c>
      <c r="N679">
        <v>1</v>
      </c>
      <c r="O679">
        <v>1</v>
      </c>
      <c r="P679">
        <v>1</v>
      </c>
      <c r="R679">
        <v>32</v>
      </c>
      <c r="S679">
        <v>1</v>
      </c>
      <c r="T679">
        <v>1</v>
      </c>
      <c r="U679">
        <v>1</v>
      </c>
      <c r="V679">
        <v>1</v>
      </c>
      <c r="W679">
        <v>1</v>
      </c>
      <c r="X679">
        <v>1</v>
      </c>
      <c r="AA679">
        <v>-5164.2407000000003</v>
      </c>
      <c r="AB679">
        <v>-5164.2407000000003</v>
      </c>
      <c r="AC679">
        <v>-5164.2407000000003</v>
      </c>
      <c r="AD679">
        <v>-5164.2407000000003</v>
      </c>
      <c r="AE679">
        <v>-5164.2407000000003</v>
      </c>
      <c r="AF679">
        <v>-5164.2407000000003</v>
      </c>
    </row>
    <row r="680" spans="2:32" x14ac:dyDescent="0.25">
      <c r="B680">
        <v>33</v>
      </c>
      <c r="C680">
        <v>1</v>
      </c>
      <c r="D680">
        <v>1</v>
      </c>
      <c r="E680">
        <v>1</v>
      </c>
      <c r="F680">
        <v>1</v>
      </c>
      <c r="G680">
        <v>1</v>
      </c>
      <c r="H680">
        <v>1</v>
      </c>
      <c r="J680">
        <v>33</v>
      </c>
      <c r="K680">
        <v>1</v>
      </c>
      <c r="L680">
        <v>1</v>
      </c>
      <c r="M680">
        <v>1</v>
      </c>
      <c r="N680">
        <v>1</v>
      </c>
      <c r="O680">
        <v>1</v>
      </c>
      <c r="P680">
        <v>1</v>
      </c>
      <c r="R680">
        <v>33</v>
      </c>
      <c r="S680">
        <v>1</v>
      </c>
      <c r="T680">
        <v>1</v>
      </c>
      <c r="U680">
        <v>1</v>
      </c>
      <c r="V680">
        <v>1</v>
      </c>
      <c r="W680">
        <v>1</v>
      </c>
      <c r="X680">
        <v>1</v>
      </c>
      <c r="AA680">
        <v>-5161.6318000000001</v>
      </c>
      <c r="AB680">
        <v>-5161.6318000000001</v>
      </c>
      <c r="AC680">
        <v>-5161.6318000000001</v>
      </c>
      <c r="AD680">
        <v>-5161.6318000000001</v>
      </c>
      <c r="AE680">
        <v>-5161.6318000000001</v>
      </c>
      <c r="AF680">
        <v>-5161.6318000000001</v>
      </c>
    </row>
    <row r="681" spans="2:32" x14ac:dyDescent="0.25">
      <c r="B681">
        <v>34</v>
      </c>
      <c r="C681">
        <v>1</v>
      </c>
      <c r="D681">
        <v>1</v>
      </c>
      <c r="E681">
        <v>1</v>
      </c>
      <c r="F681">
        <v>1</v>
      </c>
      <c r="G681">
        <v>1</v>
      </c>
      <c r="H681">
        <v>1</v>
      </c>
      <c r="J681">
        <v>34</v>
      </c>
      <c r="K681">
        <v>1</v>
      </c>
      <c r="L681">
        <v>1</v>
      </c>
      <c r="M681">
        <v>1</v>
      </c>
      <c r="N681">
        <v>1</v>
      </c>
      <c r="O681">
        <v>1</v>
      </c>
      <c r="P681">
        <v>1</v>
      </c>
      <c r="R681">
        <v>34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AA681">
        <v>-5158.7194</v>
      </c>
      <c r="AB681">
        <v>-5158.7194</v>
      </c>
      <c r="AC681">
        <v>-5158.7194</v>
      </c>
      <c r="AD681">
        <v>-5158.7194</v>
      </c>
      <c r="AE681">
        <v>-5158.7194</v>
      </c>
      <c r="AF681">
        <v>-5158.7194</v>
      </c>
    </row>
    <row r="682" spans="2:32" x14ac:dyDescent="0.25">
      <c r="B682">
        <v>35</v>
      </c>
      <c r="C682">
        <v>1</v>
      </c>
      <c r="D682">
        <v>1</v>
      </c>
      <c r="E682">
        <v>1</v>
      </c>
      <c r="F682">
        <v>1</v>
      </c>
      <c r="G682">
        <v>1</v>
      </c>
      <c r="H682">
        <v>1</v>
      </c>
      <c r="J682">
        <v>35</v>
      </c>
      <c r="K682">
        <v>1</v>
      </c>
      <c r="L682">
        <v>1</v>
      </c>
      <c r="M682">
        <v>1</v>
      </c>
      <c r="N682">
        <v>1</v>
      </c>
      <c r="O682">
        <v>1</v>
      </c>
      <c r="P682">
        <v>1</v>
      </c>
      <c r="R682">
        <v>35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AA682">
        <v>-5155.4901</v>
      </c>
      <c r="AB682">
        <v>-5155.4901</v>
      </c>
      <c r="AC682">
        <v>-5155.4901</v>
      </c>
      <c r="AD682">
        <v>-5155.4901</v>
      </c>
      <c r="AE682">
        <v>-5155.4901</v>
      </c>
      <c r="AF682">
        <v>-5155.4901</v>
      </c>
    </row>
    <row r="683" spans="2:32" x14ac:dyDescent="0.25">
      <c r="B683">
        <v>36</v>
      </c>
      <c r="C683">
        <v>1</v>
      </c>
      <c r="D683">
        <v>1</v>
      </c>
      <c r="E683">
        <v>1</v>
      </c>
      <c r="F683">
        <v>1</v>
      </c>
      <c r="G683">
        <v>1</v>
      </c>
      <c r="H683">
        <v>1</v>
      </c>
      <c r="J683">
        <v>36</v>
      </c>
      <c r="K683">
        <v>1</v>
      </c>
      <c r="L683">
        <v>1</v>
      </c>
      <c r="M683">
        <v>1</v>
      </c>
      <c r="N683">
        <v>1</v>
      </c>
      <c r="O683">
        <v>1</v>
      </c>
      <c r="P683">
        <v>1</v>
      </c>
      <c r="R683">
        <v>36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AA683">
        <v>-5151.8950999999997</v>
      </c>
      <c r="AB683">
        <v>-5151.8950999999997</v>
      </c>
      <c r="AC683">
        <v>-5151.8950999999997</v>
      </c>
      <c r="AD683">
        <v>-5151.8950999999997</v>
      </c>
      <c r="AE683">
        <v>-5151.8950999999997</v>
      </c>
      <c r="AF683">
        <v>-5151.8950999999997</v>
      </c>
    </row>
    <row r="684" spans="2:32" x14ac:dyDescent="0.25">
      <c r="B684">
        <v>37</v>
      </c>
      <c r="C684">
        <v>1</v>
      </c>
      <c r="D684">
        <v>1</v>
      </c>
      <c r="E684">
        <v>1</v>
      </c>
      <c r="F684">
        <v>1</v>
      </c>
      <c r="G684">
        <v>1</v>
      </c>
      <c r="H684">
        <v>1</v>
      </c>
      <c r="J684">
        <v>37</v>
      </c>
      <c r="K684">
        <v>1</v>
      </c>
      <c r="L684">
        <v>1</v>
      </c>
      <c r="M684">
        <v>1</v>
      </c>
      <c r="N684">
        <v>1</v>
      </c>
      <c r="O684">
        <v>1</v>
      </c>
      <c r="P684">
        <v>1</v>
      </c>
      <c r="R684">
        <v>37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AA684">
        <v>-5147.9106000000002</v>
      </c>
      <c r="AB684">
        <v>-5147.9106000000002</v>
      </c>
      <c r="AC684">
        <v>-5147.9106000000002</v>
      </c>
      <c r="AD684">
        <v>-5147.9106000000002</v>
      </c>
      <c r="AE684">
        <v>-5147.9106000000002</v>
      </c>
      <c r="AF684">
        <v>-5147.9106000000002</v>
      </c>
    </row>
    <row r="685" spans="2:32" x14ac:dyDescent="0.25">
      <c r="B685">
        <v>38</v>
      </c>
      <c r="C685">
        <v>1</v>
      </c>
      <c r="D685">
        <v>1</v>
      </c>
      <c r="E685">
        <v>1</v>
      </c>
      <c r="F685">
        <v>1</v>
      </c>
      <c r="G685">
        <v>1</v>
      </c>
      <c r="H685">
        <v>1</v>
      </c>
      <c r="J685">
        <v>38</v>
      </c>
      <c r="K685">
        <v>1</v>
      </c>
      <c r="L685">
        <v>1</v>
      </c>
      <c r="M685">
        <v>1</v>
      </c>
      <c r="N685">
        <v>1</v>
      </c>
      <c r="O685">
        <v>1</v>
      </c>
      <c r="P685">
        <v>1</v>
      </c>
      <c r="R685">
        <v>38</v>
      </c>
      <c r="S685">
        <v>1</v>
      </c>
      <c r="T685">
        <v>1</v>
      </c>
      <c r="U685">
        <v>1</v>
      </c>
      <c r="V685">
        <v>1</v>
      </c>
      <c r="W685">
        <v>1</v>
      </c>
      <c r="X685">
        <v>1</v>
      </c>
      <c r="AA685">
        <v>-5143.5393999999997</v>
      </c>
      <c r="AB685">
        <v>-5143.5393999999997</v>
      </c>
      <c r="AC685">
        <v>-5143.5393999999997</v>
      </c>
      <c r="AD685">
        <v>-5143.5393999999997</v>
      </c>
      <c r="AE685">
        <v>-5143.5393999999997</v>
      </c>
      <c r="AF685">
        <v>-5143.5393999999997</v>
      </c>
    </row>
    <row r="686" spans="2:32" x14ac:dyDescent="0.25">
      <c r="B686">
        <v>39</v>
      </c>
      <c r="C686">
        <v>1</v>
      </c>
      <c r="D686">
        <v>1</v>
      </c>
      <c r="E686">
        <v>1</v>
      </c>
      <c r="F686">
        <v>1</v>
      </c>
      <c r="G686">
        <v>1</v>
      </c>
      <c r="H686">
        <v>1</v>
      </c>
      <c r="J686">
        <v>39</v>
      </c>
      <c r="K686">
        <v>1</v>
      </c>
      <c r="L686">
        <v>1</v>
      </c>
      <c r="M686">
        <v>1</v>
      </c>
      <c r="N686">
        <v>1</v>
      </c>
      <c r="O686">
        <v>1</v>
      </c>
      <c r="P686">
        <v>1</v>
      </c>
      <c r="R686">
        <v>39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AA686">
        <v>-5138.76</v>
      </c>
      <c r="AB686">
        <v>-5138.76</v>
      </c>
      <c r="AC686">
        <v>-5138.76</v>
      </c>
      <c r="AD686">
        <v>-5138.76</v>
      </c>
      <c r="AE686">
        <v>-5138.76</v>
      </c>
      <c r="AF686">
        <v>-5138.76</v>
      </c>
    </row>
    <row r="687" spans="2:32" x14ac:dyDescent="0.25">
      <c r="B687">
        <v>40</v>
      </c>
      <c r="C687">
        <v>1</v>
      </c>
      <c r="D687">
        <v>1</v>
      </c>
      <c r="E687">
        <v>1</v>
      </c>
      <c r="F687">
        <v>1</v>
      </c>
      <c r="G687">
        <v>1</v>
      </c>
      <c r="H687">
        <v>1</v>
      </c>
      <c r="J687">
        <v>40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1</v>
      </c>
      <c r="R687">
        <v>40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AA687">
        <v>-5133.5084999999999</v>
      </c>
      <c r="AB687">
        <v>-5133.5084999999999</v>
      </c>
      <c r="AC687">
        <v>-5133.5084999999999</v>
      </c>
      <c r="AD687">
        <v>-5133.5084999999999</v>
      </c>
      <c r="AE687">
        <v>-5133.5084999999999</v>
      </c>
      <c r="AF687">
        <v>-5133.5084999999999</v>
      </c>
    </row>
    <row r="688" spans="2:32" x14ac:dyDescent="0.25">
      <c r="B688">
        <v>41</v>
      </c>
      <c r="C688">
        <v>1</v>
      </c>
      <c r="D688">
        <v>1</v>
      </c>
      <c r="E688">
        <v>1</v>
      </c>
      <c r="F688">
        <v>1</v>
      </c>
      <c r="G688">
        <v>1</v>
      </c>
      <c r="H688">
        <v>1</v>
      </c>
      <c r="J688">
        <v>41</v>
      </c>
      <c r="K688">
        <v>1</v>
      </c>
      <c r="L688">
        <v>1</v>
      </c>
      <c r="M688">
        <v>1</v>
      </c>
      <c r="N688">
        <v>1</v>
      </c>
      <c r="O688">
        <v>1</v>
      </c>
      <c r="P688">
        <v>1</v>
      </c>
      <c r="R688">
        <v>41</v>
      </c>
      <c r="S688">
        <v>1</v>
      </c>
      <c r="T688">
        <v>1</v>
      </c>
      <c r="U688">
        <v>1</v>
      </c>
      <c r="V688">
        <v>1</v>
      </c>
      <c r="W688">
        <v>1</v>
      </c>
      <c r="X688">
        <v>1</v>
      </c>
      <c r="AA688">
        <v>-5127.7236000000003</v>
      </c>
      <c r="AB688">
        <v>-5127.7236000000003</v>
      </c>
      <c r="AC688">
        <v>-5127.7236000000003</v>
      </c>
      <c r="AD688">
        <v>-5127.7236000000003</v>
      </c>
      <c r="AE688">
        <v>-5127.7236000000003</v>
      </c>
      <c r="AF688">
        <v>-5127.7236000000003</v>
      </c>
    </row>
    <row r="689" spans="2:32" x14ac:dyDescent="0.25">
      <c r="B689">
        <v>42</v>
      </c>
      <c r="C689">
        <v>1</v>
      </c>
      <c r="D689">
        <v>1</v>
      </c>
      <c r="E689">
        <v>1</v>
      </c>
      <c r="F689">
        <v>1</v>
      </c>
      <c r="G689">
        <v>1</v>
      </c>
      <c r="H689">
        <v>1</v>
      </c>
      <c r="J689">
        <v>42</v>
      </c>
      <c r="K689">
        <v>1</v>
      </c>
      <c r="L689">
        <v>1</v>
      </c>
      <c r="M689">
        <v>1</v>
      </c>
      <c r="N689">
        <v>1</v>
      </c>
      <c r="O689">
        <v>1</v>
      </c>
      <c r="P689">
        <v>1</v>
      </c>
      <c r="R689">
        <v>42</v>
      </c>
      <c r="S689">
        <v>1</v>
      </c>
      <c r="T689">
        <v>1</v>
      </c>
      <c r="U689">
        <v>1</v>
      </c>
      <c r="V689">
        <v>1</v>
      </c>
      <c r="W689">
        <v>1</v>
      </c>
      <c r="X689">
        <v>1</v>
      </c>
      <c r="AA689">
        <v>-5121.3726999999999</v>
      </c>
      <c r="AB689">
        <v>-5121.3726999999999</v>
      </c>
      <c r="AC689">
        <v>-5121.3726999999999</v>
      </c>
      <c r="AD689">
        <v>-5121.3726999999999</v>
      </c>
      <c r="AE689">
        <v>-5121.3726999999999</v>
      </c>
      <c r="AF689">
        <v>-5121.3726999999999</v>
      </c>
    </row>
    <row r="690" spans="2:32" x14ac:dyDescent="0.25">
      <c r="B690">
        <v>43</v>
      </c>
      <c r="C690">
        <v>1</v>
      </c>
      <c r="D690">
        <v>1</v>
      </c>
      <c r="E690">
        <v>1</v>
      </c>
      <c r="F690">
        <v>1</v>
      </c>
      <c r="G690">
        <v>1</v>
      </c>
      <c r="H690">
        <v>1</v>
      </c>
      <c r="J690">
        <v>43</v>
      </c>
      <c r="K690">
        <v>1</v>
      </c>
      <c r="L690">
        <v>1</v>
      </c>
      <c r="M690">
        <v>1</v>
      </c>
      <c r="N690">
        <v>1</v>
      </c>
      <c r="O690">
        <v>1</v>
      </c>
      <c r="P690">
        <v>1</v>
      </c>
      <c r="R690">
        <v>43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AA690">
        <v>-5114.3449000000001</v>
      </c>
      <c r="AB690">
        <v>-5114.3449000000001</v>
      </c>
      <c r="AC690">
        <v>-5114.3449000000001</v>
      </c>
      <c r="AD690">
        <v>-5114.3449000000001</v>
      </c>
      <c r="AE690">
        <v>-5114.3449000000001</v>
      </c>
      <c r="AF690">
        <v>-5114.3449000000001</v>
      </c>
    </row>
    <row r="691" spans="2:32" x14ac:dyDescent="0.25">
      <c r="B691">
        <v>44</v>
      </c>
      <c r="C691">
        <v>1</v>
      </c>
      <c r="D691">
        <v>1</v>
      </c>
      <c r="E691">
        <v>1</v>
      </c>
      <c r="F691">
        <v>1</v>
      </c>
      <c r="G691">
        <v>1</v>
      </c>
      <c r="H691">
        <v>1</v>
      </c>
      <c r="J691">
        <v>44</v>
      </c>
      <c r="K691">
        <v>1</v>
      </c>
      <c r="L691">
        <v>1</v>
      </c>
      <c r="M691">
        <v>1</v>
      </c>
      <c r="N691">
        <v>1</v>
      </c>
      <c r="O691">
        <v>1</v>
      </c>
      <c r="P691">
        <v>1</v>
      </c>
      <c r="R691">
        <v>44</v>
      </c>
      <c r="S691">
        <v>1</v>
      </c>
      <c r="T691">
        <v>1</v>
      </c>
      <c r="U691">
        <v>1</v>
      </c>
      <c r="V691">
        <v>1</v>
      </c>
      <c r="W691">
        <v>1</v>
      </c>
      <c r="X691">
        <v>1</v>
      </c>
      <c r="AA691">
        <v>-5106.5976000000001</v>
      </c>
      <c r="AB691">
        <v>-5106.5976000000001</v>
      </c>
      <c r="AC691">
        <v>-5106.5976000000001</v>
      </c>
      <c r="AD691">
        <v>-5106.5976000000001</v>
      </c>
      <c r="AE691">
        <v>-5106.5976000000001</v>
      </c>
      <c r="AF691">
        <v>-5106.5976000000001</v>
      </c>
    </row>
    <row r="692" spans="2:32" x14ac:dyDescent="0.25">
      <c r="B692">
        <v>45</v>
      </c>
      <c r="C692">
        <v>1</v>
      </c>
      <c r="D692">
        <v>1</v>
      </c>
      <c r="E692">
        <v>1</v>
      </c>
      <c r="F692">
        <v>1</v>
      </c>
      <c r="G692">
        <v>1</v>
      </c>
      <c r="H692">
        <v>1</v>
      </c>
      <c r="J692">
        <v>45</v>
      </c>
      <c r="K692">
        <v>1</v>
      </c>
      <c r="L692">
        <v>1</v>
      </c>
      <c r="M692">
        <v>1</v>
      </c>
      <c r="N692">
        <v>1</v>
      </c>
      <c r="O692">
        <v>1</v>
      </c>
      <c r="P692">
        <v>1</v>
      </c>
      <c r="R692">
        <v>45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AA692">
        <v>-5098.0524999999998</v>
      </c>
      <c r="AB692">
        <v>-5098.0524999999998</v>
      </c>
      <c r="AC692">
        <v>-5098.0524999999998</v>
      </c>
      <c r="AD692">
        <v>-5098.0524999999998</v>
      </c>
      <c r="AE692">
        <v>-5098.0524999999998</v>
      </c>
      <c r="AF692">
        <v>-5098.0524999999998</v>
      </c>
    </row>
    <row r="693" spans="2:32" x14ac:dyDescent="0.25">
      <c r="B693">
        <v>46</v>
      </c>
      <c r="C693">
        <v>1</v>
      </c>
      <c r="D693">
        <v>1</v>
      </c>
      <c r="E693">
        <v>1</v>
      </c>
      <c r="F693">
        <v>1</v>
      </c>
      <c r="G693">
        <v>1</v>
      </c>
      <c r="H693">
        <v>1</v>
      </c>
      <c r="J693">
        <v>46</v>
      </c>
      <c r="K693">
        <v>1</v>
      </c>
      <c r="L693">
        <v>1</v>
      </c>
      <c r="M693">
        <v>1</v>
      </c>
      <c r="N693">
        <v>1</v>
      </c>
      <c r="O693">
        <v>1</v>
      </c>
      <c r="P693">
        <v>1</v>
      </c>
      <c r="R693">
        <v>46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AA693">
        <v>-5088.6378000000004</v>
      </c>
      <c r="AB693">
        <v>-5088.6378000000004</v>
      </c>
      <c r="AC693">
        <v>-5088.6378000000004</v>
      </c>
      <c r="AD693">
        <v>-5088.6378000000004</v>
      </c>
      <c r="AE693">
        <v>-5088.6378000000004</v>
      </c>
      <c r="AF693">
        <v>-5088.6378000000004</v>
      </c>
    </row>
    <row r="694" spans="2:32" x14ac:dyDescent="0.25">
      <c r="B694">
        <v>47</v>
      </c>
      <c r="C694">
        <v>1</v>
      </c>
      <c r="D694">
        <v>1</v>
      </c>
      <c r="E694">
        <v>1</v>
      </c>
      <c r="F694">
        <v>1</v>
      </c>
      <c r="G694">
        <v>1</v>
      </c>
      <c r="H694">
        <v>1</v>
      </c>
      <c r="J694">
        <v>47</v>
      </c>
      <c r="K694">
        <v>1</v>
      </c>
      <c r="L694">
        <v>1</v>
      </c>
      <c r="M694">
        <v>1</v>
      </c>
      <c r="N694">
        <v>1</v>
      </c>
      <c r="O694">
        <v>1</v>
      </c>
      <c r="P694">
        <v>1</v>
      </c>
      <c r="R694">
        <v>47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AA694">
        <v>-5078.2593999999999</v>
      </c>
      <c r="AB694">
        <v>-5078.2593999999999</v>
      </c>
      <c r="AC694">
        <v>-5078.2593999999999</v>
      </c>
      <c r="AD694">
        <v>-5078.2593999999999</v>
      </c>
      <c r="AE694">
        <v>-5078.2593999999999</v>
      </c>
      <c r="AF694">
        <v>-5078.2593999999999</v>
      </c>
    </row>
    <row r="695" spans="2:32" x14ac:dyDescent="0.25">
      <c r="B695">
        <v>48</v>
      </c>
      <c r="C695">
        <v>1</v>
      </c>
      <c r="D695">
        <v>1</v>
      </c>
      <c r="E695">
        <v>1</v>
      </c>
      <c r="F695">
        <v>1</v>
      </c>
      <c r="G695">
        <v>1</v>
      </c>
      <c r="H695">
        <v>1</v>
      </c>
      <c r="J695">
        <v>48</v>
      </c>
      <c r="K695">
        <v>1</v>
      </c>
      <c r="L695">
        <v>1</v>
      </c>
      <c r="M695">
        <v>1</v>
      </c>
      <c r="N695">
        <v>1</v>
      </c>
      <c r="O695">
        <v>1</v>
      </c>
      <c r="P695">
        <v>1</v>
      </c>
      <c r="R695">
        <v>48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AA695">
        <v>-5066.8732</v>
      </c>
      <c r="AB695">
        <v>-5066.8732</v>
      </c>
      <c r="AC695">
        <v>-5066.8732</v>
      </c>
      <c r="AD695">
        <v>-5066.8732</v>
      </c>
      <c r="AE695">
        <v>-5066.8732</v>
      </c>
      <c r="AF695">
        <v>-5066.8732</v>
      </c>
    </row>
    <row r="696" spans="2:32" x14ac:dyDescent="0.25">
      <c r="B696">
        <v>49</v>
      </c>
      <c r="C696">
        <v>1</v>
      </c>
      <c r="D696">
        <v>1</v>
      </c>
      <c r="E696">
        <v>1</v>
      </c>
      <c r="F696">
        <v>1</v>
      </c>
      <c r="G696">
        <v>1</v>
      </c>
      <c r="H696">
        <v>1</v>
      </c>
      <c r="J696">
        <v>49</v>
      </c>
      <c r="K696">
        <v>1</v>
      </c>
      <c r="L696">
        <v>1</v>
      </c>
      <c r="M696">
        <v>1</v>
      </c>
      <c r="N696">
        <v>1</v>
      </c>
      <c r="O696">
        <v>1</v>
      </c>
      <c r="P696">
        <v>1</v>
      </c>
      <c r="R696">
        <v>49</v>
      </c>
      <c r="S696">
        <v>1</v>
      </c>
      <c r="T696">
        <v>1</v>
      </c>
      <c r="U696">
        <v>1</v>
      </c>
      <c r="V696">
        <v>1</v>
      </c>
      <c r="W696">
        <v>1</v>
      </c>
      <c r="X696">
        <v>1</v>
      </c>
      <c r="AA696">
        <v>-5054.4124000000002</v>
      </c>
      <c r="AB696">
        <v>-5054.4124000000002</v>
      </c>
      <c r="AC696">
        <v>-5054.4124000000002</v>
      </c>
      <c r="AD696">
        <v>-5054.4124000000002</v>
      </c>
      <c r="AE696">
        <v>-5054.4124000000002</v>
      </c>
      <c r="AF696">
        <v>-5054.4124000000002</v>
      </c>
    </row>
    <row r="697" spans="2:32" x14ac:dyDescent="0.25">
      <c r="B697">
        <v>50</v>
      </c>
      <c r="C697">
        <v>1</v>
      </c>
      <c r="D697">
        <v>1</v>
      </c>
      <c r="E697">
        <v>1</v>
      </c>
      <c r="F697">
        <v>1</v>
      </c>
      <c r="G697">
        <v>1</v>
      </c>
      <c r="H697">
        <v>1</v>
      </c>
      <c r="J697">
        <v>50</v>
      </c>
      <c r="K697">
        <v>1</v>
      </c>
      <c r="L697">
        <v>1</v>
      </c>
      <c r="M697">
        <v>1</v>
      </c>
      <c r="N697">
        <v>1</v>
      </c>
      <c r="O697">
        <v>1</v>
      </c>
      <c r="P697">
        <v>1</v>
      </c>
      <c r="R697">
        <v>50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AA697">
        <v>-5040.7671</v>
      </c>
      <c r="AB697">
        <v>-5040.7671</v>
      </c>
      <c r="AC697">
        <v>-5040.7671</v>
      </c>
      <c r="AD697">
        <v>-5040.7671</v>
      </c>
      <c r="AE697">
        <v>-5040.7671</v>
      </c>
      <c r="AF697">
        <v>-5040.7671</v>
      </c>
    </row>
    <row r="698" spans="2:32" x14ac:dyDescent="0.25">
      <c r="B698">
        <v>51</v>
      </c>
      <c r="C698">
        <v>1</v>
      </c>
      <c r="D698">
        <v>1</v>
      </c>
      <c r="E698">
        <v>1</v>
      </c>
      <c r="F698">
        <v>1</v>
      </c>
      <c r="G698">
        <v>1</v>
      </c>
      <c r="H698">
        <v>1</v>
      </c>
      <c r="J698">
        <v>51</v>
      </c>
      <c r="K698">
        <v>1</v>
      </c>
      <c r="L698">
        <v>1</v>
      </c>
      <c r="M698">
        <v>1</v>
      </c>
      <c r="N698">
        <v>1</v>
      </c>
      <c r="O698">
        <v>1</v>
      </c>
      <c r="P698">
        <v>1</v>
      </c>
      <c r="R698">
        <v>51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AA698">
        <v>-5025.8329000000003</v>
      </c>
      <c r="AB698">
        <v>-5025.8329000000003</v>
      </c>
      <c r="AC698">
        <v>-5025.8329000000003</v>
      </c>
      <c r="AD698">
        <v>-5025.8329000000003</v>
      </c>
      <c r="AE698">
        <v>-5025.8329000000003</v>
      </c>
      <c r="AF698">
        <v>-5025.8329000000003</v>
      </c>
    </row>
    <row r="699" spans="2:32" x14ac:dyDescent="0.25">
      <c r="B699">
        <v>52</v>
      </c>
      <c r="C699">
        <v>1</v>
      </c>
      <c r="D699">
        <v>1</v>
      </c>
      <c r="E699">
        <v>1</v>
      </c>
      <c r="F699">
        <v>1</v>
      </c>
      <c r="G699">
        <v>1</v>
      </c>
      <c r="H699">
        <v>1</v>
      </c>
      <c r="J699">
        <v>52</v>
      </c>
      <c r="K699">
        <v>1</v>
      </c>
      <c r="L699">
        <v>1</v>
      </c>
      <c r="M699">
        <v>1</v>
      </c>
      <c r="N699">
        <v>1</v>
      </c>
      <c r="O699">
        <v>1</v>
      </c>
      <c r="P699">
        <v>1</v>
      </c>
      <c r="R699">
        <v>52</v>
      </c>
      <c r="S699">
        <v>1</v>
      </c>
      <c r="T699">
        <v>1</v>
      </c>
      <c r="U699">
        <v>1</v>
      </c>
      <c r="V699">
        <v>1</v>
      </c>
      <c r="W699">
        <v>1</v>
      </c>
      <c r="X699">
        <v>1</v>
      </c>
      <c r="AA699">
        <v>-5009.4771000000001</v>
      </c>
      <c r="AB699">
        <v>-5009.4771000000001</v>
      </c>
      <c r="AC699">
        <v>-5009.4771000000001</v>
      </c>
      <c r="AD699">
        <v>-5009.4771000000001</v>
      </c>
      <c r="AE699">
        <v>-5009.4771000000001</v>
      </c>
      <c r="AF699">
        <v>-5009.4771000000001</v>
      </c>
    </row>
    <row r="700" spans="2:32" x14ac:dyDescent="0.25">
      <c r="B700">
        <v>53</v>
      </c>
      <c r="C700">
        <v>1</v>
      </c>
      <c r="D700">
        <v>1</v>
      </c>
      <c r="E700">
        <v>1</v>
      </c>
      <c r="F700">
        <v>1</v>
      </c>
      <c r="G700">
        <v>1</v>
      </c>
      <c r="H700">
        <v>1</v>
      </c>
      <c r="J700">
        <v>53</v>
      </c>
      <c r="K700">
        <v>1</v>
      </c>
      <c r="L700">
        <v>1</v>
      </c>
      <c r="M700">
        <v>1</v>
      </c>
      <c r="N700">
        <v>1</v>
      </c>
      <c r="O700">
        <v>1</v>
      </c>
      <c r="P700">
        <v>1</v>
      </c>
      <c r="R700">
        <v>53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AA700">
        <v>-4991.6184000000003</v>
      </c>
      <c r="AB700">
        <v>-4991.6184000000003</v>
      </c>
      <c r="AC700">
        <v>-4991.6184000000003</v>
      </c>
      <c r="AD700">
        <v>-4991.6184000000003</v>
      </c>
      <c r="AE700">
        <v>-4991.6184000000003</v>
      </c>
      <c r="AF700">
        <v>-4991.6184000000003</v>
      </c>
    </row>
    <row r="701" spans="2:32" x14ac:dyDescent="0.25">
      <c r="B701">
        <v>54</v>
      </c>
      <c r="C701">
        <v>1</v>
      </c>
      <c r="D701">
        <v>1</v>
      </c>
      <c r="E701">
        <v>1</v>
      </c>
      <c r="F701">
        <v>1</v>
      </c>
      <c r="G701">
        <v>1</v>
      </c>
      <c r="H701">
        <v>1</v>
      </c>
      <c r="J701">
        <v>54</v>
      </c>
      <c r="K701">
        <v>1</v>
      </c>
      <c r="L701">
        <v>1</v>
      </c>
      <c r="M701">
        <v>1</v>
      </c>
      <c r="N701">
        <v>1</v>
      </c>
      <c r="O701">
        <v>1</v>
      </c>
      <c r="P701">
        <v>1</v>
      </c>
      <c r="R701">
        <v>54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AA701">
        <v>-4972.1588000000002</v>
      </c>
      <c r="AB701">
        <v>-4972.1588000000002</v>
      </c>
      <c r="AC701">
        <v>-4972.1588000000002</v>
      </c>
      <c r="AD701">
        <v>-4972.1588000000002</v>
      </c>
      <c r="AE701">
        <v>-4972.1588000000002</v>
      </c>
      <c r="AF701">
        <v>-4972.1588000000002</v>
      </c>
    </row>
    <row r="702" spans="2:32" x14ac:dyDescent="0.25">
      <c r="B702">
        <v>55</v>
      </c>
      <c r="C702">
        <v>1</v>
      </c>
      <c r="D702">
        <v>1</v>
      </c>
      <c r="E702">
        <v>1</v>
      </c>
      <c r="F702">
        <v>1</v>
      </c>
      <c r="G702">
        <v>1</v>
      </c>
      <c r="H702">
        <v>1</v>
      </c>
      <c r="J702">
        <v>55</v>
      </c>
      <c r="K702">
        <v>1</v>
      </c>
      <c r="L702">
        <v>1</v>
      </c>
      <c r="M702">
        <v>1</v>
      </c>
      <c r="N702">
        <v>1</v>
      </c>
      <c r="O702">
        <v>1</v>
      </c>
      <c r="P702">
        <v>1</v>
      </c>
      <c r="R702">
        <v>55</v>
      </c>
      <c r="S702">
        <v>1</v>
      </c>
      <c r="T702">
        <v>1</v>
      </c>
      <c r="U702">
        <v>1</v>
      </c>
      <c r="V702">
        <v>1</v>
      </c>
      <c r="W702">
        <v>1</v>
      </c>
      <c r="X702">
        <v>1</v>
      </c>
      <c r="AA702">
        <v>-4950.9426000000003</v>
      </c>
      <c r="AB702">
        <v>-4950.9426000000003</v>
      </c>
      <c r="AC702">
        <v>-4950.9426000000003</v>
      </c>
      <c r="AD702">
        <v>-4950.9426000000003</v>
      </c>
      <c r="AE702">
        <v>-4950.9426000000003</v>
      </c>
      <c r="AF702">
        <v>-4950.9426000000003</v>
      </c>
    </row>
    <row r="705" spans="2:32" x14ac:dyDescent="0.25">
      <c r="B705" t="s">
        <v>46</v>
      </c>
      <c r="C705">
        <v>100000</v>
      </c>
      <c r="D705">
        <v>250000</v>
      </c>
      <c r="E705">
        <v>500000</v>
      </c>
      <c r="F705">
        <v>1000000</v>
      </c>
      <c r="G705">
        <v>2000000</v>
      </c>
      <c r="J705" t="s">
        <v>32</v>
      </c>
      <c r="K705">
        <v>100000</v>
      </c>
      <c r="L705">
        <v>250000</v>
      </c>
      <c r="M705">
        <v>500000</v>
      </c>
      <c r="N705">
        <v>1000000</v>
      </c>
      <c r="O705">
        <v>2000000</v>
      </c>
      <c r="R705" t="s">
        <v>48</v>
      </c>
      <c r="S705">
        <v>100000</v>
      </c>
      <c r="T705">
        <v>250000</v>
      </c>
      <c r="U705">
        <v>500000</v>
      </c>
      <c r="V705">
        <v>1000000</v>
      </c>
      <c r="W705">
        <v>2000000</v>
      </c>
    </row>
    <row r="706" spans="2:32" x14ac:dyDescent="0.25">
      <c r="B706">
        <v>35</v>
      </c>
      <c r="C706">
        <v>1</v>
      </c>
      <c r="D706">
        <v>1</v>
      </c>
      <c r="E706">
        <v>1</v>
      </c>
      <c r="F706">
        <v>1</v>
      </c>
      <c r="G706">
        <v>1</v>
      </c>
      <c r="J706">
        <v>35</v>
      </c>
      <c r="K706">
        <v>1</v>
      </c>
      <c r="L706">
        <v>1</v>
      </c>
      <c r="M706">
        <v>1</v>
      </c>
      <c r="N706">
        <v>1</v>
      </c>
      <c r="O706">
        <v>1</v>
      </c>
      <c r="R706">
        <v>35</v>
      </c>
      <c r="S706">
        <v>1</v>
      </c>
      <c r="T706">
        <v>1</v>
      </c>
      <c r="U706">
        <v>1</v>
      </c>
      <c r="V706">
        <v>1</v>
      </c>
      <c r="W706">
        <v>1</v>
      </c>
      <c r="AA706">
        <v>-8996.1419000000005</v>
      </c>
      <c r="AB706">
        <v>-8996.1419000000005</v>
      </c>
      <c r="AC706">
        <v>-8996.1419000000005</v>
      </c>
      <c r="AD706">
        <v>-8996.1419000000005</v>
      </c>
      <c r="AE706">
        <v>-8996.1419000000005</v>
      </c>
      <c r="AF706">
        <v>-759112.79520000005</v>
      </c>
    </row>
    <row r="707" spans="2:32" x14ac:dyDescent="0.25">
      <c r="B707">
        <f t="shared" ref="B707:B736" si="30">B706+1</f>
        <v>36</v>
      </c>
      <c r="C707">
        <v>1</v>
      </c>
      <c r="D707">
        <v>1</v>
      </c>
      <c r="E707">
        <v>1</v>
      </c>
      <c r="F707">
        <v>1</v>
      </c>
      <c r="G707">
        <v>1</v>
      </c>
      <c r="J707">
        <f t="shared" ref="J707:J736" si="31">J706+1</f>
        <v>36</v>
      </c>
      <c r="K707">
        <v>1</v>
      </c>
      <c r="L707">
        <v>1</v>
      </c>
      <c r="M707">
        <v>1</v>
      </c>
      <c r="N707">
        <v>1</v>
      </c>
      <c r="O707">
        <v>1</v>
      </c>
      <c r="R707">
        <f t="shared" ref="R707:R736" si="32">R706+1</f>
        <v>36</v>
      </c>
      <c r="S707">
        <v>1</v>
      </c>
      <c r="T707">
        <v>1</v>
      </c>
      <c r="U707">
        <v>1</v>
      </c>
      <c r="V707">
        <v>1</v>
      </c>
      <c r="W707">
        <v>1</v>
      </c>
      <c r="AA707">
        <v>-8902.6679999999997</v>
      </c>
      <c r="AB707">
        <v>-8902.6679999999997</v>
      </c>
      <c r="AC707">
        <v>-8902.6679999999997</v>
      </c>
      <c r="AD707">
        <v>-8902.6679999999997</v>
      </c>
      <c r="AE707">
        <v>-8902.6679999999997</v>
      </c>
      <c r="AF707">
        <v>-759112.79520000005</v>
      </c>
    </row>
    <row r="708" spans="2:32" x14ac:dyDescent="0.25">
      <c r="B708">
        <f t="shared" si="30"/>
        <v>37</v>
      </c>
      <c r="C708">
        <v>1</v>
      </c>
      <c r="D708">
        <v>1</v>
      </c>
      <c r="E708">
        <v>1</v>
      </c>
      <c r="F708">
        <v>1</v>
      </c>
      <c r="G708">
        <v>1</v>
      </c>
      <c r="J708">
        <f t="shared" si="31"/>
        <v>37</v>
      </c>
      <c r="K708">
        <v>1</v>
      </c>
      <c r="L708">
        <v>1</v>
      </c>
      <c r="M708">
        <v>1</v>
      </c>
      <c r="N708">
        <v>1</v>
      </c>
      <c r="O708">
        <v>1</v>
      </c>
      <c r="R708">
        <f t="shared" si="32"/>
        <v>37</v>
      </c>
      <c r="S708">
        <v>1</v>
      </c>
      <c r="T708">
        <v>1</v>
      </c>
      <c r="U708">
        <v>1</v>
      </c>
      <c r="V708">
        <v>1</v>
      </c>
      <c r="W708">
        <v>1</v>
      </c>
      <c r="AA708">
        <v>-8806.7960000000003</v>
      </c>
      <c r="AB708">
        <v>-8806.7960000000003</v>
      </c>
      <c r="AC708">
        <v>-8806.7960000000003</v>
      </c>
      <c r="AD708">
        <v>-8806.7960000000003</v>
      </c>
      <c r="AE708">
        <v>-8806.7960000000003</v>
      </c>
      <c r="AF708">
        <v>-765978.91940000001</v>
      </c>
    </row>
    <row r="709" spans="2:32" x14ac:dyDescent="0.25">
      <c r="B709">
        <f t="shared" si="30"/>
        <v>38</v>
      </c>
      <c r="C709">
        <v>1</v>
      </c>
      <c r="D709">
        <v>1</v>
      </c>
      <c r="E709">
        <v>1</v>
      </c>
      <c r="F709">
        <v>1</v>
      </c>
      <c r="G709">
        <v>1</v>
      </c>
      <c r="J709">
        <f t="shared" si="31"/>
        <v>38</v>
      </c>
      <c r="K709">
        <v>1</v>
      </c>
      <c r="L709">
        <v>1</v>
      </c>
      <c r="M709">
        <v>1</v>
      </c>
      <c r="N709">
        <v>1</v>
      </c>
      <c r="O709">
        <v>1</v>
      </c>
      <c r="R709">
        <f t="shared" si="32"/>
        <v>38</v>
      </c>
      <c r="S709">
        <v>1</v>
      </c>
      <c r="T709">
        <v>1</v>
      </c>
      <c r="U709">
        <v>1</v>
      </c>
      <c r="V709">
        <v>1</v>
      </c>
      <c r="W709">
        <v>1</v>
      </c>
      <c r="AA709">
        <v>-8708.6234000000004</v>
      </c>
      <c r="AB709">
        <v>-8708.6234000000004</v>
      </c>
      <c r="AC709">
        <v>-8708.6234000000004</v>
      </c>
      <c r="AD709">
        <v>-8708.6234000000004</v>
      </c>
      <c r="AE709">
        <v>-8708.6234000000004</v>
      </c>
      <c r="AF709">
        <v>-783780.576</v>
      </c>
    </row>
    <row r="710" spans="2:32" x14ac:dyDescent="0.25">
      <c r="B710">
        <f t="shared" si="30"/>
        <v>39</v>
      </c>
      <c r="C710">
        <v>1</v>
      </c>
      <c r="D710">
        <v>1</v>
      </c>
      <c r="E710">
        <v>1</v>
      </c>
      <c r="F710">
        <v>1</v>
      </c>
      <c r="G710">
        <v>1</v>
      </c>
      <c r="J710">
        <f t="shared" si="31"/>
        <v>39</v>
      </c>
      <c r="K710">
        <v>1</v>
      </c>
      <c r="L710">
        <v>1</v>
      </c>
      <c r="M710">
        <v>1</v>
      </c>
      <c r="N710">
        <v>1</v>
      </c>
      <c r="O710">
        <v>1</v>
      </c>
      <c r="R710">
        <f t="shared" si="32"/>
        <v>39</v>
      </c>
      <c r="S710">
        <v>1</v>
      </c>
      <c r="T710">
        <v>1</v>
      </c>
      <c r="U710">
        <v>1</v>
      </c>
      <c r="V710">
        <v>1</v>
      </c>
      <c r="W710">
        <v>1</v>
      </c>
      <c r="AA710">
        <v>-8608.1594000000005</v>
      </c>
      <c r="AB710">
        <v>-8608.1594000000005</v>
      </c>
      <c r="AC710">
        <v>-8608.1594000000005</v>
      </c>
      <c r="AD710">
        <v>-8608.1594000000005</v>
      </c>
      <c r="AE710">
        <v>-8608.1594000000005</v>
      </c>
      <c r="AF710">
        <v>-769662.22069999995</v>
      </c>
    </row>
    <row r="711" spans="2:32" x14ac:dyDescent="0.25">
      <c r="B711">
        <f t="shared" si="30"/>
        <v>40</v>
      </c>
      <c r="C711">
        <v>1</v>
      </c>
      <c r="D711">
        <v>1</v>
      </c>
      <c r="E711">
        <v>1</v>
      </c>
      <c r="F711">
        <v>1</v>
      </c>
      <c r="G711">
        <v>1</v>
      </c>
      <c r="J711">
        <f t="shared" si="31"/>
        <v>40</v>
      </c>
      <c r="K711">
        <v>1</v>
      </c>
      <c r="L711">
        <v>1</v>
      </c>
      <c r="M711">
        <v>1</v>
      </c>
      <c r="N711">
        <v>1</v>
      </c>
      <c r="O711">
        <v>1</v>
      </c>
      <c r="R711">
        <f t="shared" si="32"/>
        <v>40</v>
      </c>
      <c r="S711">
        <v>1</v>
      </c>
      <c r="T711">
        <v>1</v>
      </c>
      <c r="U711">
        <v>1</v>
      </c>
      <c r="V711">
        <v>1</v>
      </c>
      <c r="W711">
        <v>1</v>
      </c>
      <c r="AA711">
        <v>-8505.3439999999991</v>
      </c>
      <c r="AB711">
        <v>-8505.3439999999991</v>
      </c>
      <c r="AC711">
        <v>-8505.3439999999991</v>
      </c>
      <c r="AD711">
        <v>-8505.3439999999991</v>
      </c>
      <c r="AE711">
        <v>-8505.3439999999991</v>
      </c>
      <c r="AF711">
        <v>-798570.41119999997</v>
      </c>
    </row>
    <row r="712" spans="2:32" x14ac:dyDescent="0.25">
      <c r="B712">
        <f t="shared" si="30"/>
        <v>41</v>
      </c>
      <c r="C712">
        <v>1</v>
      </c>
      <c r="D712">
        <v>1</v>
      </c>
      <c r="E712">
        <v>1</v>
      </c>
      <c r="F712">
        <v>1</v>
      </c>
      <c r="G712">
        <v>1</v>
      </c>
      <c r="J712">
        <f t="shared" si="31"/>
        <v>41</v>
      </c>
      <c r="K712">
        <v>1</v>
      </c>
      <c r="L712">
        <v>1</v>
      </c>
      <c r="M712">
        <v>1</v>
      </c>
      <c r="N712">
        <v>1</v>
      </c>
      <c r="O712">
        <v>1</v>
      </c>
      <c r="R712">
        <f t="shared" si="32"/>
        <v>41</v>
      </c>
      <c r="S712">
        <v>1</v>
      </c>
      <c r="T712">
        <v>1</v>
      </c>
      <c r="U712">
        <v>1</v>
      </c>
      <c r="V712">
        <v>1</v>
      </c>
      <c r="W712">
        <v>1</v>
      </c>
      <c r="AA712">
        <v>-8400.1087000000007</v>
      </c>
      <c r="AB712">
        <v>-8400.1087000000007</v>
      </c>
      <c r="AC712">
        <v>-8400.1087000000007</v>
      </c>
      <c r="AD712">
        <v>-8400.1087000000007</v>
      </c>
      <c r="AE712">
        <v>-8400.1087000000007</v>
      </c>
      <c r="AF712">
        <v>-803549.96459999995</v>
      </c>
    </row>
    <row r="713" spans="2:32" x14ac:dyDescent="0.25">
      <c r="B713">
        <f t="shared" si="30"/>
        <v>42</v>
      </c>
      <c r="C713">
        <v>1</v>
      </c>
      <c r="D713">
        <v>1</v>
      </c>
      <c r="E713">
        <v>1</v>
      </c>
      <c r="F713">
        <v>1</v>
      </c>
      <c r="G713">
        <v>1</v>
      </c>
      <c r="J713">
        <f t="shared" si="31"/>
        <v>42</v>
      </c>
      <c r="K713">
        <v>1</v>
      </c>
      <c r="L713">
        <v>1</v>
      </c>
      <c r="M713">
        <v>1</v>
      </c>
      <c r="N713">
        <v>1</v>
      </c>
      <c r="O713">
        <v>1</v>
      </c>
      <c r="R713">
        <f t="shared" si="32"/>
        <v>42</v>
      </c>
      <c r="S713">
        <v>1</v>
      </c>
      <c r="T713">
        <v>1</v>
      </c>
      <c r="U713">
        <v>1</v>
      </c>
      <c r="V713">
        <v>1</v>
      </c>
      <c r="W713">
        <v>1</v>
      </c>
      <c r="AA713">
        <v>-8292.4974999999995</v>
      </c>
      <c r="AB713">
        <v>-8292.4974999999995</v>
      </c>
      <c r="AC713">
        <v>-8292.4974999999995</v>
      </c>
      <c r="AD713">
        <v>-8292.4974999999995</v>
      </c>
      <c r="AE713">
        <v>-8292.4974999999995</v>
      </c>
      <c r="AF713">
        <v>-833551.75890000002</v>
      </c>
    </row>
    <row r="714" spans="2:32" x14ac:dyDescent="0.25">
      <c r="B714">
        <f t="shared" si="30"/>
        <v>43</v>
      </c>
      <c r="C714">
        <v>1</v>
      </c>
      <c r="D714">
        <v>1</v>
      </c>
      <c r="E714">
        <v>1</v>
      </c>
      <c r="F714">
        <v>1</v>
      </c>
      <c r="G714">
        <v>1</v>
      </c>
      <c r="J714">
        <f t="shared" si="31"/>
        <v>43</v>
      </c>
      <c r="K714">
        <v>1</v>
      </c>
      <c r="L714">
        <v>1</v>
      </c>
      <c r="M714">
        <v>1</v>
      </c>
      <c r="N714">
        <v>1</v>
      </c>
      <c r="O714">
        <v>1</v>
      </c>
      <c r="R714">
        <f t="shared" si="32"/>
        <v>43</v>
      </c>
      <c r="S714">
        <v>1</v>
      </c>
      <c r="T714">
        <v>1</v>
      </c>
      <c r="U714">
        <v>1</v>
      </c>
      <c r="V714">
        <v>1</v>
      </c>
      <c r="W714">
        <v>1</v>
      </c>
      <c r="AA714">
        <v>-8182.3909999999996</v>
      </c>
      <c r="AB714">
        <v>-8182.3909999999996</v>
      </c>
      <c r="AC714">
        <v>-8182.3909999999996</v>
      </c>
      <c r="AD714">
        <v>-8182.3909999999996</v>
      </c>
      <c r="AE714">
        <v>-8182.3909999999996</v>
      </c>
      <c r="AF714">
        <v>-844950.93949999998</v>
      </c>
    </row>
    <row r="715" spans="2:32" x14ac:dyDescent="0.25">
      <c r="B715">
        <f t="shared" si="30"/>
        <v>44</v>
      </c>
      <c r="C715">
        <v>1</v>
      </c>
      <c r="D715">
        <v>1</v>
      </c>
      <c r="E715">
        <v>1</v>
      </c>
      <c r="F715">
        <v>1</v>
      </c>
      <c r="G715">
        <v>1</v>
      </c>
      <c r="J715">
        <f t="shared" si="31"/>
        <v>44</v>
      </c>
      <c r="K715">
        <v>1</v>
      </c>
      <c r="L715">
        <v>1</v>
      </c>
      <c r="M715">
        <v>1</v>
      </c>
      <c r="N715">
        <v>1</v>
      </c>
      <c r="O715">
        <v>1</v>
      </c>
      <c r="R715">
        <f t="shared" si="32"/>
        <v>44</v>
      </c>
      <c r="S715">
        <v>1</v>
      </c>
      <c r="T715">
        <v>1</v>
      </c>
      <c r="U715">
        <v>1</v>
      </c>
      <c r="V715">
        <v>1</v>
      </c>
      <c r="W715">
        <v>1</v>
      </c>
      <c r="AA715">
        <v>-8069.8261000000002</v>
      </c>
      <c r="AB715">
        <v>-8069.8261000000002</v>
      </c>
      <c r="AC715">
        <v>-8069.8261000000002</v>
      </c>
      <c r="AD715">
        <v>-8069.8261000000002</v>
      </c>
      <c r="AE715">
        <v>-8069.8261000000002</v>
      </c>
      <c r="AF715">
        <v>-851265.64670000004</v>
      </c>
    </row>
    <row r="716" spans="2:32" x14ac:dyDescent="0.25">
      <c r="B716">
        <f t="shared" si="30"/>
        <v>45</v>
      </c>
      <c r="C716">
        <v>1</v>
      </c>
      <c r="D716">
        <v>1</v>
      </c>
      <c r="E716">
        <v>1</v>
      </c>
      <c r="F716">
        <v>1</v>
      </c>
      <c r="G716">
        <v>1</v>
      </c>
      <c r="J716">
        <f t="shared" si="31"/>
        <v>45</v>
      </c>
      <c r="K716">
        <v>1</v>
      </c>
      <c r="L716">
        <v>1</v>
      </c>
      <c r="M716">
        <v>1</v>
      </c>
      <c r="N716">
        <v>1</v>
      </c>
      <c r="O716">
        <v>1</v>
      </c>
      <c r="R716">
        <f t="shared" si="32"/>
        <v>45</v>
      </c>
      <c r="S716">
        <v>1</v>
      </c>
      <c r="T716">
        <v>1</v>
      </c>
      <c r="U716">
        <v>1</v>
      </c>
      <c r="V716">
        <v>1</v>
      </c>
      <c r="W716">
        <v>1</v>
      </c>
      <c r="AA716">
        <v>-7954.7533999999996</v>
      </c>
      <c r="AB716">
        <v>-7954.7533999999996</v>
      </c>
      <c r="AC716">
        <v>-7954.7533999999996</v>
      </c>
      <c r="AD716">
        <v>-7954.7533999999996</v>
      </c>
      <c r="AE716">
        <v>-7954.7533999999996</v>
      </c>
      <c r="AF716">
        <v>-870649.02139999997</v>
      </c>
    </row>
    <row r="717" spans="2:32" x14ac:dyDescent="0.25">
      <c r="B717">
        <f t="shared" si="30"/>
        <v>46</v>
      </c>
      <c r="C717">
        <v>1</v>
      </c>
      <c r="D717">
        <v>1</v>
      </c>
      <c r="E717">
        <v>1</v>
      </c>
      <c r="F717">
        <v>1</v>
      </c>
      <c r="G717">
        <v>1</v>
      </c>
      <c r="J717">
        <f t="shared" si="31"/>
        <v>46</v>
      </c>
      <c r="K717">
        <v>1</v>
      </c>
      <c r="L717">
        <v>1</v>
      </c>
      <c r="M717">
        <v>1</v>
      </c>
      <c r="N717">
        <v>1</v>
      </c>
      <c r="O717">
        <v>1</v>
      </c>
      <c r="R717">
        <f t="shared" si="32"/>
        <v>46</v>
      </c>
      <c r="S717">
        <v>1</v>
      </c>
      <c r="T717">
        <v>1</v>
      </c>
      <c r="U717">
        <v>1</v>
      </c>
      <c r="V717">
        <v>1</v>
      </c>
      <c r="W717">
        <v>1</v>
      </c>
      <c r="AA717">
        <v>-7837.1754000000001</v>
      </c>
      <c r="AB717">
        <v>-7837.1754000000001</v>
      </c>
      <c r="AC717">
        <v>-7837.1754000000001</v>
      </c>
      <c r="AD717">
        <v>-7837.1754000000001</v>
      </c>
      <c r="AE717">
        <v>-7837.1754000000001</v>
      </c>
      <c r="AF717">
        <v>-892550.54509999999</v>
      </c>
    </row>
    <row r="718" spans="2:32" x14ac:dyDescent="0.25">
      <c r="B718">
        <f t="shared" si="30"/>
        <v>47</v>
      </c>
      <c r="C718">
        <v>1</v>
      </c>
      <c r="D718">
        <v>1</v>
      </c>
      <c r="E718">
        <v>1</v>
      </c>
      <c r="F718">
        <v>1</v>
      </c>
      <c r="G718">
        <v>1</v>
      </c>
      <c r="J718">
        <f t="shared" si="31"/>
        <v>47</v>
      </c>
      <c r="K718">
        <v>1</v>
      </c>
      <c r="L718">
        <v>1</v>
      </c>
      <c r="M718">
        <v>1</v>
      </c>
      <c r="N718">
        <v>1</v>
      </c>
      <c r="O718">
        <v>1</v>
      </c>
      <c r="R718">
        <f t="shared" si="32"/>
        <v>47</v>
      </c>
      <c r="S718">
        <v>1</v>
      </c>
      <c r="T718">
        <v>1</v>
      </c>
      <c r="U718">
        <v>1</v>
      </c>
      <c r="V718">
        <v>1</v>
      </c>
      <c r="W718">
        <v>1</v>
      </c>
      <c r="AA718">
        <v>-7717.0294999999996</v>
      </c>
      <c r="AB718">
        <v>-7717.0294999999996</v>
      </c>
      <c r="AC718">
        <v>-7717.0294999999996</v>
      </c>
      <c r="AD718">
        <v>-7717.0294999999996</v>
      </c>
      <c r="AE718">
        <v>-7717.0294999999996</v>
      </c>
      <c r="AF718">
        <v>-910915.81969999999</v>
      </c>
    </row>
    <row r="719" spans="2:32" x14ac:dyDescent="0.25">
      <c r="B719">
        <f t="shared" si="30"/>
        <v>48</v>
      </c>
      <c r="C719">
        <v>1</v>
      </c>
      <c r="D719">
        <v>1</v>
      </c>
      <c r="E719">
        <v>1</v>
      </c>
      <c r="F719">
        <v>1</v>
      </c>
      <c r="G719">
        <v>1</v>
      </c>
      <c r="J719">
        <f t="shared" si="31"/>
        <v>48</v>
      </c>
      <c r="K719">
        <v>1</v>
      </c>
      <c r="L719">
        <v>1</v>
      </c>
      <c r="M719">
        <v>1</v>
      </c>
      <c r="N719">
        <v>1</v>
      </c>
      <c r="O719">
        <v>1</v>
      </c>
      <c r="R719">
        <f t="shared" si="32"/>
        <v>48</v>
      </c>
      <c r="S719">
        <v>1</v>
      </c>
      <c r="T719">
        <v>1</v>
      </c>
      <c r="U719">
        <v>1</v>
      </c>
      <c r="V719">
        <v>1</v>
      </c>
      <c r="W719">
        <v>1</v>
      </c>
      <c r="AA719">
        <v>-7594.4201000000003</v>
      </c>
      <c r="AB719">
        <v>-7594.4201000000003</v>
      </c>
      <c r="AC719">
        <v>-7594.4201000000003</v>
      </c>
      <c r="AD719">
        <v>-7594.4201000000003</v>
      </c>
      <c r="AE719">
        <v>-7594.4201000000003</v>
      </c>
      <c r="AF719">
        <v>-917891.87360000005</v>
      </c>
    </row>
    <row r="720" spans="2:32" x14ac:dyDescent="0.25">
      <c r="B720">
        <f t="shared" si="30"/>
        <v>49</v>
      </c>
      <c r="C720">
        <v>1</v>
      </c>
      <c r="D720">
        <v>1</v>
      </c>
      <c r="E720">
        <v>1</v>
      </c>
      <c r="F720">
        <v>1</v>
      </c>
      <c r="G720">
        <v>1</v>
      </c>
      <c r="J720">
        <f t="shared" si="31"/>
        <v>49</v>
      </c>
      <c r="K720">
        <v>1</v>
      </c>
      <c r="L720">
        <v>1</v>
      </c>
      <c r="M720">
        <v>1</v>
      </c>
      <c r="N720">
        <v>1</v>
      </c>
      <c r="O720">
        <v>1</v>
      </c>
      <c r="R720">
        <f t="shared" si="32"/>
        <v>49</v>
      </c>
      <c r="S720">
        <v>1</v>
      </c>
      <c r="T720">
        <v>1</v>
      </c>
      <c r="U720">
        <v>1</v>
      </c>
      <c r="V720">
        <v>1</v>
      </c>
      <c r="W720">
        <v>1</v>
      </c>
      <c r="AA720">
        <v>-7469.3995999999997</v>
      </c>
      <c r="AB720">
        <v>-7469.3995999999997</v>
      </c>
      <c r="AC720">
        <v>-7469.3995999999997</v>
      </c>
      <c r="AD720">
        <v>-7469.3995999999997</v>
      </c>
      <c r="AE720">
        <v>-7469.3995999999997</v>
      </c>
      <c r="AF720">
        <v>-944521.72470000002</v>
      </c>
    </row>
    <row r="721" spans="2:32" x14ac:dyDescent="0.25">
      <c r="B721">
        <f t="shared" si="30"/>
        <v>50</v>
      </c>
      <c r="C721">
        <v>1</v>
      </c>
      <c r="D721">
        <v>1</v>
      </c>
      <c r="E721">
        <v>1</v>
      </c>
      <c r="F721">
        <v>1</v>
      </c>
      <c r="G721">
        <v>1</v>
      </c>
      <c r="J721">
        <f t="shared" si="31"/>
        <v>50</v>
      </c>
      <c r="K721">
        <v>1</v>
      </c>
      <c r="L721">
        <v>1</v>
      </c>
      <c r="M721">
        <v>1</v>
      </c>
      <c r="N721">
        <v>1</v>
      </c>
      <c r="O721">
        <v>1</v>
      </c>
      <c r="R721">
        <f t="shared" si="32"/>
        <v>50</v>
      </c>
      <c r="S721">
        <v>1</v>
      </c>
      <c r="T721">
        <v>1</v>
      </c>
      <c r="U721">
        <v>1</v>
      </c>
      <c r="V721">
        <v>1</v>
      </c>
      <c r="W721">
        <v>1</v>
      </c>
      <c r="AA721">
        <v>-7341.9502000000002</v>
      </c>
      <c r="AB721">
        <v>-7341.9502000000002</v>
      </c>
      <c r="AC721">
        <v>-7341.9502000000002</v>
      </c>
      <c r="AD721">
        <v>-7341.9502000000002</v>
      </c>
      <c r="AE721">
        <v>-7341.9502000000002</v>
      </c>
      <c r="AF721">
        <v>-963257.14989999996</v>
      </c>
    </row>
    <row r="722" spans="2:32" x14ac:dyDescent="0.25">
      <c r="B722">
        <f t="shared" si="30"/>
        <v>51</v>
      </c>
      <c r="C722">
        <v>1</v>
      </c>
      <c r="D722">
        <v>1</v>
      </c>
      <c r="E722">
        <v>1</v>
      </c>
      <c r="F722">
        <v>1</v>
      </c>
      <c r="G722">
        <v>1</v>
      </c>
      <c r="J722">
        <f t="shared" si="31"/>
        <v>51</v>
      </c>
      <c r="K722">
        <v>1</v>
      </c>
      <c r="L722">
        <v>1</v>
      </c>
      <c r="M722">
        <v>1</v>
      </c>
      <c r="N722">
        <v>1</v>
      </c>
      <c r="O722">
        <v>1</v>
      </c>
      <c r="R722">
        <f t="shared" si="32"/>
        <v>51</v>
      </c>
      <c r="S722">
        <v>1</v>
      </c>
      <c r="T722">
        <v>1</v>
      </c>
      <c r="U722">
        <v>1</v>
      </c>
      <c r="V722">
        <v>1</v>
      </c>
      <c r="W722">
        <v>1</v>
      </c>
      <c r="AA722">
        <v>-7212.0646999999999</v>
      </c>
      <c r="AB722">
        <v>-7212.0646999999999</v>
      </c>
      <c r="AC722">
        <v>-7212.0646999999999</v>
      </c>
      <c r="AD722">
        <v>-7212.0646999999999</v>
      </c>
      <c r="AE722">
        <v>-7212.0646999999999</v>
      </c>
      <c r="AF722">
        <v>-981592.90729999996</v>
      </c>
    </row>
    <row r="723" spans="2:32" x14ac:dyDescent="0.25">
      <c r="B723">
        <f t="shared" si="30"/>
        <v>52</v>
      </c>
      <c r="C723">
        <v>1</v>
      </c>
      <c r="D723">
        <v>1</v>
      </c>
      <c r="E723">
        <v>1</v>
      </c>
      <c r="F723">
        <v>1</v>
      </c>
      <c r="G723">
        <v>1</v>
      </c>
      <c r="J723">
        <f t="shared" si="31"/>
        <v>52</v>
      </c>
      <c r="K723">
        <v>1</v>
      </c>
      <c r="L723">
        <v>1</v>
      </c>
      <c r="M723">
        <v>1</v>
      </c>
      <c r="N723">
        <v>1</v>
      </c>
      <c r="O723">
        <v>1</v>
      </c>
      <c r="R723">
        <f t="shared" si="32"/>
        <v>52</v>
      </c>
      <c r="S723">
        <v>1</v>
      </c>
      <c r="T723">
        <v>1</v>
      </c>
      <c r="U723">
        <v>1</v>
      </c>
      <c r="V723">
        <v>1</v>
      </c>
      <c r="W723">
        <v>1</v>
      </c>
      <c r="AA723">
        <v>-7079.7435999999998</v>
      </c>
      <c r="AB723">
        <v>-7079.7435999999998</v>
      </c>
      <c r="AC723">
        <v>-7079.7435999999998</v>
      </c>
      <c r="AD723">
        <v>-7079.7435999999998</v>
      </c>
      <c r="AE723">
        <v>-7079.7435999999998</v>
      </c>
      <c r="AF723">
        <v>-998556.10360000003</v>
      </c>
    </row>
    <row r="724" spans="2:32" x14ac:dyDescent="0.25">
      <c r="B724">
        <f t="shared" si="30"/>
        <v>53</v>
      </c>
      <c r="C724">
        <v>1</v>
      </c>
      <c r="D724">
        <v>1</v>
      </c>
      <c r="E724">
        <v>1</v>
      </c>
      <c r="F724">
        <v>1</v>
      </c>
      <c r="G724">
        <v>1</v>
      </c>
      <c r="J724">
        <f t="shared" si="31"/>
        <v>53</v>
      </c>
      <c r="K724">
        <v>1</v>
      </c>
      <c r="L724">
        <v>1</v>
      </c>
      <c r="M724">
        <v>1</v>
      </c>
      <c r="N724">
        <v>1</v>
      </c>
      <c r="O724">
        <v>1</v>
      </c>
      <c r="R724">
        <f t="shared" si="32"/>
        <v>53</v>
      </c>
      <c r="S724">
        <v>1</v>
      </c>
      <c r="T724">
        <v>1</v>
      </c>
      <c r="U724">
        <v>1</v>
      </c>
      <c r="V724">
        <v>1</v>
      </c>
      <c r="W724">
        <v>1</v>
      </c>
      <c r="AA724">
        <v>-6945.0875999999998</v>
      </c>
      <c r="AB724">
        <v>-6945.0875999999998</v>
      </c>
      <c r="AC724">
        <v>-6945.0875999999998</v>
      </c>
      <c r="AD724">
        <v>-6945.0875999999998</v>
      </c>
      <c r="AE724">
        <v>-6945.0875999999998</v>
      </c>
      <c r="AF724">
        <v>-1015461.3278</v>
      </c>
    </row>
    <row r="725" spans="2:32" x14ac:dyDescent="0.25">
      <c r="B725">
        <f t="shared" si="30"/>
        <v>54</v>
      </c>
      <c r="C725">
        <v>1</v>
      </c>
      <c r="D725">
        <v>1</v>
      </c>
      <c r="E725">
        <v>1</v>
      </c>
      <c r="F725">
        <v>1</v>
      </c>
      <c r="G725">
        <v>1</v>
      </c>
      <c r="J725">
        <f t="shared" si="31"/>
        <v>54</v>
      </c>
      <c r="K725">
        <v>1</v>
      </c>
      <c r="L725">
        <v>1</v>
      </c>
      <c r="M725">
        <v>1</v>
      </c>
      <c r="N725">
        <v>1</v>
      </c>
      <c r="O725">
        <v>1</v>
      </c>
      <c r="R725">
        <f t="shared" si="32"/>
        <v>54</v>
      </c>
      <c r="S725">
        <v>1</v>
      </c>
      <c r="T725">
        <v>1</v>
      </c>
      <c r="U725">
        <v>1</v>
      </c>
      <c r="V725">
        <v>1</v>
      </c>
      <c r="W725">
        <v>1</v>
      </c>
      <c r="AA725">
        <v>-6808.2438000000002</v>
      </c>
      <c r="AB725">
        <v>-6808.2438000000002</v>
      </c>
      <c r="AC725">
        <v>-6808.2438000000002</v>
      </c>
      <c r="AD725">
        <v>-6808.2438000000002</v>
      </c>
      <c r="AE725">
        <v>-6808.2438000000002</v>
      </c>
      <c r="AF725">
        <v>-1033869.6813000001</v>
      </c>
    </row>
    <row r="726" spans="2:32" x14ac:dyDescent="0.25">
      <c r="B726">
        <f t="shared" si="30"/>
        <v>55</v>
      </c>
      <c r="C726">
        <v>1</v>
      </c>
      <c r="D726">
        <v>1</v>
      </c>
      <c r="E726">
        <v>1</v>
      </c>
      <c r="F726">
        <v>1</v>
      </c>
      <c r="G726">
        <v>1</v>
      </c>
      <c r="J726">
        <f t="shared" si="31"/>
        <v>55</v>
      </c>
      <c r="K726">
        <v>1</v>
      </c>
      <c r="L726">
        <v>1</v>
      </c>
      <c r="M726">
        <v>1</v>
      </c>
      <c r="N726">
        <v>1</v>
      </c>
      <c r="O726">
        <v>1</v>
      </c>
      <c r="R726">
        <f t="shared" si="32"/>
        <v>55</v>
      </c>
      <c r="S726">
        <v>1</v>
      </c>
      <c r="T726">
        <v>1</v>
      </c>
      <c r="U726">
        <v>1</v>
      </c>
      <c r="V726">
        <v>1</v>
      </c>
      <c r="W726">
        <v>1</v>
      </c>
      <c r="AA726">
        <v>-6669.2525999999998</v>
      </c>
      <c r="AB726">
        <v>-6669.2525999999998</v>
      </c>
      <c r="AC726">
        <v>-6669.2525999999998</v>
      </c>
      <c r="AD726">
        <v>-6669.2525999999998</v>
      </c>
      <c r="AE726">
        <v>-6669.2525999999998</v>
      </c>
      <c r="AF726">
        <v>-1050810.2549999999</v>
      </c>
    </row>
    <row r="727" spans="2:32" x14ac:dyDescent="0.25">
      <c r="B727">
        <f t="shared" si="30"/>
        <v>56</v>
      </c>
      <c r="C727">
        <v>1</v>
      </c>
      <c r="D727">
        <v>1</v>
      </c>
      <c r="E727">
        <v>1</v>
      </c>
      <c r="F727">
        <v>1</v>
      </c>
      <c r="G727">
        <v>1</v>
      </c>
      <c r="J727">
        <f t="shared" si="31"/>
        <v>56</v>
      </c>
      <c r="K727">
        <v>1</v>
      </c>
      <c r="L727">
        <v>1</v>
      </c>
      <c r="M727">
        <v>1</v>
      </c>
      <c r="N727">
        <v>1</v>
      </c>
      <c r="O727">
        <v>1</v>
      </c>
      <c r="R727">
        <f t="shared" si="32"/>
        <v>56</v>
      </c>
      <c r="S727">
        <v>1</v>
      </c>
      <c r="T727">
        <v>1</v>
      </c>
      <c r="U727">
        <v>1</v>
      </c>
      <c r="V727">
        <v>1</v>
      </c>
      <c r="W727">
        <v>1</v>
      </c>
      <c r="AA727">
        <v>-6528.2992000000004</v>
      </c>
      <c r="AB727">
        <v>-6528.2992000000004</v>
      </c>
      <c r="AC727">
        <v>-6528.2992000000004</v>
      </c>
      <c r="AD727">
        <v>-6528.2992000000004</v>
      </c>
      <c r="AE727">
        <v>-6528.2992000000004</v>
      </c>
      <c r="AF727">
        <v>-1073295.8774000001</v>
      </c>
    </row>
    <row r="728" spans="2:32" x14ac:dyDescent="0.25">
      <c r="B728">
        <f t="shared" si="30"/>
        <v>57</v>
      </c>
      <c r="C728">
        <v>1</v>
      </c>
      <c r="D728">
        <v>1</v>
      </c>
      <c r="E728">
        <v>1</v>
      </c>
      <c r="F728">
        <v>1</v>
      </c>
      <c r="G728">
        <v>1</v>
      </c>
      <c r="J728">
        <f t="shared" si="31"/>
        <v>57</v>
      </c>
      <c r="K728">
        <v>1</v>
      </c>
      <c r="L728">
        <v>1</v>
      </c>
      <c r="M728">
        <v>1</v>
      </c>
      <c r="N728">
        <v>1</v>
      </c>
      <c r="O728">
        <v>1</v>
      </c>
      <c r="R728">
        <f t="shared" si="32"/>
        <v>57</v>
      </c>
      <c r="S728">
        <v>1</v>
      </c>
      <c r="T728">
        <v>1</v>
      </c>
      <c r="U728">
        <v>1</v>
      </c>
      <c r="V728">
        <v>1</v>
      </c>
      <c r="W728">
        <v>1</v>
      </c>
      <c r="AA728">
        <v>-6385.5230000000001</v>
      </c>
      <c r="AB728">
        <v>-6385.5230000000001</v>
      </c>
      <c r="AC728">
        <v>-6385.5230000000001</v>
      </c>
      <c r="AD728">
        <v>-6385.5230000000001</v>
      </c>
      <c r="AE728">
        <v>-6385.5230000000001</v>
      </c>
      <c r="AF728">
        <v>-1093242.6832999999</v>
      </c>
    </row>
    <row r="729" spans="2:32" x14ac:dyDescent="0.25">
      <c r="B729">
        <f t="shared" si="30"/>
        <v>58</v>
      </c>
      <c r="C729">
        <v>1</v>
      </c>
      <c r="D729">
        <v>1</v>
      </c>
      <c r="E729">
        <v>1</v>
      </c>
      <c r="F729">
        <v>1</v>
      </c>
      <c r="G729">
        <v>1</v>
      </c>
      <c r="J729">
        <f t="shared" si="31"/>
        <v>58</v>
      </c>
      <c r="K729">
        <v>1</v>
      </c>
      <c r="L729">
        <v>1</v>
      </c>
      <c r="M729">
        <v>1</v>
      </c>
      <c r="N729">
        <v>1</v>
      </c>
      <c r="O729">
        <v>1</v>
      </c>
      <c r="R729">
        <f t="shared" si="32"/>
        <v>58</v>
      </c>
      <c r="S729">
        <v>1</v>
      </c>
      <c r="T729">
        <v>1</v>
      </c>
      <c r="U729">
        <v>1</v>
      </c>
      <c r="V729">
        <v>1</v>
      </c>
      <c r="W729">
        <v>1</v>
      </c>
      <c r="AA729">
        <v>-6240.8730999999998</v>
      </c>
      <c r="AB729">
        <v>-6240.8730999999998</v>
      </c>
      <c r="AC729">
        <v>-6240.8730999999998</v>
      </c>
      <c r="AD729">
        <v>-6240.8730999999998</v>
      </c>
      <c r="AE729">
        <v>-6240.8730999999998</v>
      </c>
      <c r="AF729">
        <v>-1114366.6444000001</v>
      </c>
    </row>
    <row r="730" spans="2:32" x14ac:dyDescent="0.25">
      <c r="B730">
        <f t="shared" si="30"/>
        <v>59</v>
      </c>
      <c r="C730">
        <v>1</v>
      </c>
      <c r="D730">
        <v>1</v>
      </c>
      <c r="E730">
        <v>1</v>
      </c>
      <c r="F730">
        <v>1</v>
      </c>
      <c r="G730">
        <v>1</v>
      </c>
      <c r="J730">
        <f t="shared" si="31"/>
        <v>59</v>
      </c>
      <c r="K730">
        <v>1</v>
      </c>
      <c r="L730">
        <v>1</v>
      </c>
      <c r="M730">
        <v>1</v>
      </c>
      <c r="N730">
        <v>1</v>
      </c>
      <c r="O730">
        <v>1</v>
      </c>
      <c r="R730">
        <f t="shared" si="32"/>
        <v>59</v>
      </c>
      <c r="S730">
        <v>1</v>
      </c>
      <c r="T730">
        <v>1</v>
      </c>
      <c r="U730">
        <v>1</v>
      </c>
      <c r="V730">
        <v>1</v>
      </c>
      <c r="W730">
        <v>1</v>
      </c>
      <c r="AA730">
        <v>-6094.3262999999997</v>
      </c>
      <c r="AB730">
        <v>-6094.3262999999997</v>
      </c>
      <c r="AC730">
        <v>-6094.3262999999997</v>
      </c>
      <c r="AD730">
        <v>-6094.3262999999997</v>
      </c>
      <c r="AE730">
        <v>-6094.3262999999997</v>
      </c>
      <c r="AF730">
        <v>-1136284.0146999999</v>
      </c>
    </row>
    <row r="731" spans="2:32" x14ac:dyDescent="0.25">
      <c r="B731">
        <f t="shared" si="30"/>
        <v>60</v>
      </c>
      <c r="C731">
        <v>1</v>
      </c>
      <c r="D731">
        <v>1</v>
      </c>
      <c r="E731">
        <v>1</v>
      </c>
      <c r="F731">
        <v>1</v>
      </c>
      <c r="G731">
        <v>1</v>
      </c>
      <c r="J731">
        <f t="shared" si="31"/>
        <v>60</v>
      </c>
      <c r="K731">
        <v>1</v>
      </c>
      <c r="L731">
        <v>1</v>
      </c>
      <c r="M731">
        <v>1</v>
      </c>
      <c r="N731">
        <v>1</v>
      </c>
      <c r="O731">
        <v>1</v>
      </c>
      <c r="R731">
        <f t="shared" si="32"/>
        <v>60</v>
      </c>
      <c r="S731">
        <v>1</v>
      </c>
      <c r="T731">
        <v>1</v>
      </c>
      <c r="U731">
        <v>1</v>
      </c>
      <c r="V731">
        <v>1</v>
      </c>
      <c r="W731">
        <v>1</v>
      </c>
      <c r="AA731">
        <v>-5945.9960000000001</v>
      </c>
      <c r="AB731">
        <v>-5945.9960000000001</v>
      </c>
      <c r="AC731">
        <v>-5945.9960000000001</v>
      </c>
      <c r="AD731">
        <v>-5945.9960000000001</v>
      </c>
      <c r="AE731">
        <v>-5945.9960000000001</v>
      </c>
      <c r="AF731">
        <v>-1136284.0146999999</v>
      </c>
    </row>
    <row r="732" spans="2:32" x14ac:dyDescent="0.25">
      <c r="B732">
        <f t="shared" si="30"/>
        <v>61</v>
      </c>
      <c r="C732">
        <v>1</v>
      </c>
      <c r="D732">
        <v>1</v>
      </c>
      <c r="E732">
        <v>1</v>
      </c>
      <c r="F732">
        <v>1</v>
      </c>
      <c r="G732">
        <v>1</v>
      </c>
      <c r="J732">
        <f t="shared" si="31"/>
        <v>61</v>
      </c>
      <c r="K732">
        <v>1</v>
      </c>
      <c r="L732">
        <v>1</v>
      </c>
      <c r="M732">
        <v>1</v>
      </c>
      <c r="N732">
        <v>1</v>
      </c>
      <c r="O732">
        <v>1</v>
      </c>
      <c r="R732">
        <f t="shared" si="32"/>
        <v>61</v>
      </c>
      <c r="S732">
        <v>1</v>
      </c>
      <c r="T732">
        <v>1</v>
      </c>
      <c r="U732">
        <v>1</v>
      </c>
      <c r="V732">
        <v>1</v>
      </c>
      <c r="W732">
        <v>1</v>
      </c>
      <c r="AA732">
        <v>-5796.3015999999998</v>
      </c>
      <c r="AB732">
        <v>-5796.3015999999998</v>
      </c>
      <c r="AC732">
        <v>-5796.3015999999998</v>
      </c>
      <c r="AD732">
        <v>-5796.3015999999998</v>
      </c>
      <c r="AE732">
        <v>-5796.3015999999998</v>
      </c>
      <c r="AF732">
        <v>-1178581.4038</v>
      </c>
    </row>
    <row r="733" spans="2:32" x14ac:dyDescent="0.25">
      <c r="B733">
        <f t="shared" si="30"/>
        <v>62</v>
      </c>
      <c r="C733">
        <v>1</v>
      </c>
      <c r="D733">
        <v>1</v>
      </c>
      <c r="E733">
        <v>1</v>
      </c>
      <c r="F733">
        <v>1</v>
      </c>
      <c r="G733">
        <v>1</v>
      </c>
      <c r="J733">
        <f t="shared" si="31"/>
        <v>62</v>
      </c>
      <c r="K733">
        <v>1</v>
      </c>
      <c r="L733">
        <v>1</v>
      </c>
      <c r="M733">
        <v>1</v>
      </c>
      <c r="N733">
        <v>1</v>
      </c>
      <c r="O733">
        <v>1</v>
      </c>
      <c r="R733">
        <f t="shared" si="32"/>
        <v>62</v>
      </c>
      <c r="S733">
        <v>1</v>
      </c>
      <c r="T733">
        <v>1</v>
      </c>
      <c r="U733">
        <v>1</v>
      </c>
      <c r="V733">
        <v>1</v>
      </c>
      <c r="W733">
        <v>1</v>
      </c>
      <c r="AA733">
        <v>-5645.2415000000001</v>
      </c>
      <c r="AB733">
        <v>-5645.2415000000001</v>
      </c>
      <c r="AC733">
        <v>-5645.2415000000001</v>
      </c>
      <c r="AD733">
        <v>-5645.2415000000001</v>
      </c>
      <c r="AE733">
        <v>-5645.2415000000001</v>
      </c>
      <c r="AF733">
        <v>-1199521.5327000001</v>
      </c>
    </row>
    <row r="734" spans="2:32" x14ac:dyDescent="0.25">
      <c r="B734">
        <f t="shared" si="30"/>
        <v>63</v>
      </c>
      <c r="C734">
        <v>1</v>
      </c>
      <c r="D734">
        <v>1</v>
      </c>
      <c r="E734">
        <v>1</v>
      </c>
      <c r="F734">
        <v>1</v>
      </c>
      <c r="G734">
        <v>1</v>
      </c>
      <c r="J734">
        <f t="shared" si="31"/>
        <v>63</v>
      </c>
      <c r="K734">
        <v>1</v>
      </c>
      <c r="L734">
        <v>1</v>
      </c>
      <c r="M734">
        <v>1</v>
      </c>
      <c r="N734">
        <v>1</v>
      </c>
      <c r="O734">
        <v>1</v>
      </c>
      <c r="R734">
        <f t="shared" si="32"/>
        <v>63</v>
      </c>
      <c r="S734">
        <v>1</v>
      </c>
      <c r="T734">
        <v>1</v>
      </c>
      <c r="U734">
        <v>1</v>
      </c>
      <c r="V734">
        <v>1</v>
      </c>
      <c r="W734">
        <v>1</v>
      </c>
      <c r="AA734">
        <v>-5492.4920000000002</v>
      </c>
      <c r="AB734">
        <v>-5492.4920000000002</v>
      </c>
      <c r="AC734">
        <v>-5492.4920000000002</v>
      </c>
      <c r="AD734">
        <v>-5492.4920000000002</v>
      </c>
      <c r="AE734">
        <v>-5492.4920000000002</v>
      </c>
      <c r="AF734">
        <v>-1220461.6269</v>
      </c>
    </row>
    <row r="735" spans="2:32" x14ac:dyDescent="0.25">
      <c r="B735">
        <f t="shared" si="30"/>
        <v>64</v>
      </c>
      <c r="C735">
        <v>1</v>
      </c>
      <c r="D735">
        <v>1</v>
      </c>
      <c r="E735">
        <v>1</v>
      </c>
      <c r="F735">
        <v>1</v>
      </c>
      <c r="G735">
        <v>1</v>
      </c>
      <c r="J735">
        <f t="shared" si="31"/>
        <v>64</v>
      </c>
      <c r="K735">
        <v>1</v>
      </c>
      <c r="L735">
        <v>1</v>
      </c>
      <c r="M735">
        <v>1</v>
      </c>
      <c r="N735">
        <v>1</v>
      </c>
      <c r="O735">
        <v>1</v>
      </c>
      <c r="R735">
        <f t="shared" si="32"/>
        <v>64</v>
      </c>
      <c r="S735">
        <v>1</v>
      </c>
      <c r="T735">
        <v>1</v>
      </c>
      <c r="U735">
        <v>1</v>
      </c>
      <c r="V735">
        <v>1</v>
      </c>
      <c r="W735">
        <v>1</v>
      </c>
      <c r="AA735">
        <v>-5338.1817000000001</v>
      </c>
      <c r="AB735">
        <v>-5338.1817000000001</v>
      </c>
      <c r="AC735">
        <v>-5338.1817000000001</v>
      </c>
      <c r="AD735">
        <v>-5338.1817000000001</v>
      </c>
      <c r="AE735">
        <v>-5338.1817000000001</v>
      </c>
      <c r="AF735">
        <v>-1240652.2526</v>
      </c>
    </row>
    <row r="736" spans="2:32" x14ac:dyDescent="0.25">
      <c r="B736">
        <f t="shared" si="30"/>
        <v>65</v>
      </c>
      <c r="C736">
        <v>1</v>
      </c>
      <c r="D736">
        <v>1</v>
      </c>
      <c r="E736">
        <v>1</v>
      </c>
      <c r="F736">
        <v>1</v>
      </c>
      <c r="G736">
        <v>1</v>
      </c>
      <c r="J736">
        <f t="shared" si="31"/>
        <v>65</v>
      </c>
      <c r="K736">
        <v>1</v>
      </c>
      <c r="L736">
        <v>1</v>
      </c>
      <c r="M736">
        <v>1</v>
      </c>
      <c r="N736">
        <v>1</v>
      </c>
      <c r="O736">
        <v>1</v>
      </c>
      <c r="R736">
        <f t="shared" si="32"/>
        <v>65</v>
      </c>
      <c r="S736">
        <v>1</v>
      </c>
      <c r="T736">
        <v>1</v>
      </c>
      <c r="U736">
        <v>1</v>
      </c>
      <c r="V736">
        <v>1</v>
      </c>
      <c r="W736">
        <v>1</v>
      </c>
      <c r="AA736">
        <v>-5182.2268999999997</v>
      </c>
      <c r="AB736">
        <v>-5182.2268999999997</v>
      </c>
      <c r="AC736">
        <v>-5182.2268999999997</v>
      </c>
      <c r="AD736">
        <v>-5182.2268999999997</v>
      </c>
      <c r="AE736">
        <v>-5182.2268999999997</v>
      </c>
      <c r="AF736">
        <v>-1260049.8302</v>
      </c>
    </row>
    <row r="739" spans="2:32" x14ac:dyDescent="0.25">
      <c r="B739" t="s">
        <v>46</v>
      </c>
      <c r="C739">
        <v>50000</v>
      </c>
      <c r="D739">
        <v>100000</v>
      </c>
      <c r="E739">
        <v>250000</v>
      </c>
      <c r="F739">
        <v>500000</v>
      </c>
      <c r="G739">
        <v>1000000</v>
      </c>
      <c r="H739">
        <v>2000000</v>
      </c>
      <c r="J739" t="s">
        <v>47</v>
      </c>
      <c r="K739">
        <v>50000</v>
      </c>
      <c r="L739">
        <v>100000</v>
      </c>
      <c r="M739">
        <v>250000</v>
      </c>
      <c r="N739">
        <v>500000</v>
      </c>
      <c r="O739">
        <v>1000000</v>
      </c>
      <c r="P739">
        <v>2000000</v>
      </c>
      <c r="R739" t="s">
        <v>48</v>
      </c>
      <c r="S739">
        <v>50000</v>
      </c>
      <c r="T739">
        <v>100000</v>
      </c>
      <c r="U739">
        <v>250000</v>
      </c>
      <c r="V739">
        <v>500000</v>
      </c>
      <c r="W739">
        <v>1000000</v>
      </c>
      <c r="X739">
        <v>2000000</v>
      </c>
    </row>
    <row r="740" spans="2:32" x14ac:dyDescent="0.25">
      <c r="B740">
        <v>26</v>
      </c>
      <c r="C740">
        <v>1</v>
      </c>
      <c r="D740">
        <v>1</v>
      </c>
      <c r="E740">
        <v>1</v>
      </c>
      <c r="F740">
        <v>1</v>
      </c>
      <c r="G740">
        <v>1</v>
      </c>
      <c r="H740">
        <v>1</v>
      </c>
      <c r="J740">
        <v>26</v>
      </c>
      <c r="K740">
        <v>1</v>
      </c>
      <c r="L740">
        <v>1</v>
      </c>
      <c r="M740">
        <v>1</v>
      </c>
      <c r="N740">
        <v>1</v>
      </c>
      <c r="O740">
        <v>1</v>
      </c>
      <c r="P740">
        <v>1</v>
      </c>
      <c r="R740">
        <v>26</v>
      </c>
      <c r="S740">
        <v>1</v>
      </c>
      <c r="T740">
        <v>1</v>
      </c>
      <c r="U740">
        <v>1</v>
      </c>
      <c r="V740">
        <v>1</v>
      </c>
      <c r="W740">
        <v>1</v>
      </c>
      <c r="X740">
        <v>1</v>
      </c>
      <c r="AA740">
        <v>-5174.8482999999997</v>
      </c>
      <c r="AB740">
        <v>-5174.8482999999997</v>
      </c>
      <c r="AC740">
        <v>-5174.8482999999997</v>
      </c>
      <c r="AD740">
        <v>-5174.8482999999997</v>
      </c>
      <c r="AE740">
        <v>-5174.8482999999997</v>
      </c>
      <c r="AF740">
        <v>-5174.8482999999997</v>
      </c>
    </row>
    <row r="741" spans="2:32" x14ac:dyDescent="0.25">
      <c r="B741">
        <v>27</v>
      </c>
      <c r="C741">
        <v>1</v>
      </c>
      <c r="D741">
        <v>1</v>
      </c>
      <c r="E741">
        <v>1</v>
      </c>
      <c r="F741">
        <v>1</v>
      </c>
      <c r="G741">
        <v>1</v>
      </c>
      <c r="H741">
        <v>1</v>
      </c>
      <c r="J741">
        <v>27</v>
      </c>
      <c r="K741">
        <v>1</v>
      </c>
      <c r="L741">
        <v>1</v>
      </c>
      <c r="M741">
        <v>1</v>
      </c>
      <c r="N741">
        <v>1</v>
      </c>
      <c r="O741">
        <v>1</v>
      </c>
      <c r="P741">
        <v>1</v>
      </c>
      <c r="R741">
        <v>27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AA741">
        <v>-5173.6036999999997</v>
      </c>
      <c r="AB741">
        <v>-5173.6036999999997</v>
      </c>
      <c r="AC741">
        <v>-5173.6036999999997</v>
      </c>
      <c r="AD741">
        <v>-5173.6036999999997</v>
      </c>
      <c r="AE741">
        <v>-5173.6036999999997</v>
      </c>
      <c r="AF741">
        <v>-5173.6036999999997</v>
      </c>
    </row>
    <row r="742" spans="2:32" x14ac:dyDescent="0.25">
      <c r="B742">
        <v>28</v>
      </c>
      <c r="C742">
        <v>1</v>
      </c>
      <c r="D742">
        <v>1</v>
      </c>
      <c r="E742">
        <v>1</v>
      </c>
      <c r="F742">
        <v>1</v>
      </c>
      <c r="G742">
        <v>1</v>
      </c>
      <c r="H742">
        <v>1</v>
      </c>
      <c r="J742">
        <v>28</v>
      </c>
      <c r="K742">
        <v>1</v>
      </c>
      <c r="L742">
        <v>1</v>
      </c>
      <c r="M742">
        <v>1</v>
      </c>
      <c r="N742">
        <v>1</v>
      </c>
      <c r="O742">
        <v>1</v>
      </c>
      <c r="P742">
        <v>1</v>
      </c>
      <c r="R742">
        <v>28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AA742">
        <v>-5172.1755999999996</v>
      </c>
      <c r="AB742">
        <v>-5172.1755999999996</v>
      </c>
      <c r="AC742">
        <v>-5172.1755999999996</v>
      </c>
      <c r="AD742">
        <v>-5172.1755999999996</v>
      </c>
      <c r="AE742">
        <v>-5172.1755999999996</v>
      </c>
      <c r="AF742">
        <v>-5172.1755999999996</v>
      </c>
    </row>
    <row r="743" spans="2:32" x14ac:dyDescent="0.25">
      <c r="B743">
        <v>29</v>
      </c>
      <c r="C743">
        <v>1</v>
      </c>
      <c r="D743">
        <v>1</v>
      </c>
      <c r="E743">
        <v>1</v>
      </c>
      <c r="F743">
        <v>1</v>
      </c>
      <c r="G743">
        <v>1</v>
      </c>
      <c r="H743">
        <v>1</v>
      </c>
      <c r="J743">
        <v>29</v>
      </c>
      <c r="K743">
        <v>1</v>
      </c>
      <c r="L743">
        <v>1</v>
      </c>
      <c r="M743">
        <v>1</v>
      </c>
      <c r="N743">
        <v>1</v>
      </c>
      <c r="O743">
        <v>1</v>
      </c>
      <c r="P743">
        <v>1</v>
      </c>
      <c r="R743">
        <v>29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1</v>
      </c>
      <c r="AA743">
        <v>-5170.5482000000002</v>
      </c>
      <c r="AB743">
        <v>-5170.5482000000002</v>
      </c>
      <c r="AC743">
        <v>-5170.5482000000002</v>
      </c>
      <c r="AD743">
        <v>-5170.5482000000002</v>
      </c>
      <c r="AE743">
        <v>-5170.5482000000002</v>
      </c>
      <c r="AF743">
        <v>-5170.5482000000002</v>
      </c>
    </row>
    <row r="744" spans="2:32" x14ac:dyDescent="0.25">
      <c r="B744">
        <v>30</v>
      </c>
      <c r="C744">
        <v>1</v>
      </c>
      <c r="D744">
        <v>1</v>
      </c>
      <c r="E744">
        <v>1</v>
      </c>
      <c r="F744">
        <v>1</v>
      </c>
      <c r="G744">
        <v>1</v>
      </c>
      <c r="H744">
        <v>1</v>
      </c>
      <c r="J744">
        <v>30</v>
      </c>
      <c r="K744">
        <v>1</v>
      </c>
      <c r="L744">
        <v>1</v>
      </c>
      <c r="M744">
        <v>1</v>
      </c>
      <c r="N744">
        <v>1</v>
      </c>
      <c r="O744">
        <v>1</v>
      </c>
      <c r="P744">
        <v>1</v>
      </c>
      <c r="R744">
        <v>30</v>
      </c>
      <c r="S744">
        <v>1</v>
      </c>
      <c r="T744">
        <v>1</v>
      </c>
      <c r="U744">
        <v>1</v>
      </c>
      <c r="V744">
        <v>1</v>
      </c>
      <c r="W744">
        <v>1</v>
      </c>
      <c r="X744">
        <v>1</v>
      </c>
      <c r="AA744">
        <v>-5168.6908999999996</v>
      </c>
      <c r="AB744">
        <v>-5168.6908999999996</v>
      </c>
      <c r="AC744">
        <v>-5168.6908999999996</v>
      </c>
      <c r="AD744">
        <v>-5168.6908999999996</v>
      </c>
      <c r="AE744">
        <v>-5168.6908999999996</v>
      </c>
      <c r="AF744">
        <v>-5168.6908999999996</v>
      </c>
    </row>
    <row r="745" spans="2:32" x14ac:dyDescent="0.25">
      <c r="B745">
        <v>31</v>
      </c>
      <c r="C745">
        <v>1</v>
      </c>
      <c r="D745">
        <v>1</v>
      </c>
      <c r="E745">
        <v>1</v>
      </c>
      <c r="F745">
        <v>1</v>
      </c>
      <c r="G745">
        <v>1</v>
      </c>
      <c r="H745">
        <v>1</v>
      </c>
      <c r="J745">
        <v>31</v>
      </c>
      <c r="K745">
        <v>1</v>
      </c>
      <c r="L745">
        <v>1</v>
      </c>
      <c r="M745">
        <v>1</v>
      </c>
      <c r="N745">
        <v>1</v>
      </c>
      <c r="O745">
        <v>1</v>
      </c>
      <c r="P745">
        <v>1</v>
      </c>
      <c r="R745">
        <v>31</v>
      </c>
      <c r="S745">
        <v>1</v>
      </c>
      <c r="T745">
        <v>1</v>
      </c>
      <c r="U745">
        <v>1</v>
      </c>
      <c r="V745">
        <v>1</v>
      </c>
      <c r="W745">
        <v>1</v>
      </c>
      <c r="X745">
        <v>1</v>
      </c>
      <c r="AA745">
        <v>-5166.5891000000001</v>
      </c>
      <c r="AB745">
        <v>-5166.5891000000001</v>
      </c>
      <c r="AC745">
        <v>-5166.5891000000001</v>
      </c>
      <c r="AD745">
        <v>-5166.5891000000001</v>
      </c>
      <c r="AE745">
        <v>-5166.5891000000001</v>
      </c>
      <c r="AF745">
        <v>-5166.5891000000001</v>
      </c>
    </row>
    <row r="746" spans="2:32" x14ac:dyDescent="0.25">
      <c r="B746">
        <v>32</v>
      </c>
      <c r="C746">
        <v>1</v>
      </c>
      <c r="D746">
        <v>1</v>
      </c>
      <c r="E746">
        <v>1</v>
      </c>
      <c r="F746">
        <v>1</v>
      </c>
      <c r="G746">
        <v>1</v>
      </c>
      <c r="H746">
        <v>1</v>
      </c>
      <c r="J746">
        <v>32</v>
      </c>
      <c r="K746">
        <v>1</v>
      </c>
      <c r="L746">
        <v>1</v>
      </c>
      <c r="M746">
        <v>1</v>
      </c>
      <c r="N746">
        <v>1</v>
      </c>
      <c r="O746">
        <v>1</v>
      </c>
      <c r="P746">
        <v>1</v>
      </c>
      <c r="R746">
        <v>32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AA746">
        <v>-5164.2407000000003</v>
      </c>
      <c r="AB746">
        <v>-5164.2407000000003</v>
      </c>
      <c r="AC746">
        <v>-5164.2407000000003</v>
      </c>
      <c r="AD746">
        <v>-5164.2407000000003</v>
      </c>
      <c r="AE746">
        <v>-5164.2407000000003</v>
      </c>
      <c r="AF746">
        <v>-5164.2407000000003</v>
      </c>
    </row>
    <row r="747" spans="2:32" x14ac:dyDescent="0.25">
      <c r="B747">
        <v>33</v>
      </c>
      <c r="C747">
        <v>1</v>
      </c>
      <c r="D747">
        <v>1</v>
      </c>
      <c r="E747">
        <v>1</v>
      </c>
      <c r="F747">
        <v>1</v>
      </c>
      <c r="G747">
        <v>1</v>
      </c>
      <c r="H747">
        <v>1</v>
      </c>
      <c r="J747">
        <v>33</v>
      </c>
      <c r="K747">
        <v>1</v>
      </c>
      <c r="L747">
        <v>1</v>
      </c>
      <c r="M747">
        <v>1</v>
      </c>
      <c r="N747">
        <v>1</v>
      </c>
      <c r="O747">
        <v>1</v>
      </c>
      <c r="P747">
        <v>1</v>
      </c>
      <c r="R747">
        <v>33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AA747">
        <v>-5161.6318000000001</v>
      </c>
      <c r="AB747">
        <v>-5161.6318000000001</v>
      </c>
      <c r="AC747">
        <v>-5161.6318000000001</v>
      </c>
      <c r="AD747">
        <v>-5161.6318000000001</v>
      </c>
      <c r="AE747">
        <v>-5161.6318000000001</v>
      </c>
      <c r="AF747">
        <v>-5161.6318000000001</v>
      </c>
    </row>
    <row r="748" spans="2:32" x14ac:dyDescent="0.25">
      <c r="B748">
        <v>34</v>
      </c>
      <c r="C748">
        <v>1</v>
      </c>
      <c r="D748">
        <v>1</v>
      </c>
      <c r="E748">
        <v>1</v>
      </c>
      <c r="F748">
        <v>1</v>
      </c>
      <c r="G748">
        <v>1</v>
      </c>
      <c r="H748">
        <v>1</v>
      </c>
      <c r="J748">
        <v>34</v>
      </c>
      <c r="K748">
        <v>1</v>
      </c>
      <c r="L748">
        <v>1</v>
      </c>
      <c r="M748">
        <v>1</v>
      </c>
      <c r="N748">
        <v>1</v>
      </c>
      <c r="O748">
        <v>1</v>
      </c>
      <c r="P748">
        <v>1</v>
      </c>
      <c r="R748">
        <v>34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AA748">
        <v>-5158.7194</v>
      </c>
      <c r="AB748">
        <v>-5158.7194</v>
      </c>
      <c r="AC748">
        <v>-5158.7194</v>
      </c>
      <c r="AD748">
        <v>-5158.7194</v>
      </c>
      <c r="AE748">
        <v>-5158.7194</v>
      </c>
      <c r="AF748">
        <v>-5158.7194</v>
      </c>
    </row>
    <row r="749" spans="2:32" x14ac:dyDescent="0.25">
      <c r="B749">
        <v>35</v>
      </c>
      <c r="C749">
        <v>1</v>
      </c>
      <c r="D749">
        <v>1</v>
      </c>
      <c r="E749">
        <v>1</v>
      </c>
      <c r="F749">
        <v>1</v>
      </c>
      <c r="G749">
        <v>1</v>
      </c>
      <c r="H749">
        <v>1</v>
      </c>
      <c r="J749">
        <v>35</v>
      </c>
      <c r="K749">
        <v>1</v>
      </c>
      <c r="L749">
        <v>1</v>
      </c>
      <c r="M749">
        <v>1</v>
      </c>
      <c r="N749">
        <v>1</v>
      </c>
      <c r="O749">
        <v>1</v>
      </c>
      <c r="P749">
        <v>1</v>
      </c>
      <c r="R749">
        <v>35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AA749">
        <v>-5155.4901</v>
      </c>
      <c r="AB749">
        <v>-5155.4901</v>
      </c>
      <c r="AC749">
        <v>-5155.4901</v>
      </c>
      <c r="AD749">
        <v>-5155.4901</v>
      </c>
      <c r="AE749">
        <v>-5155.4901</v>
      </c>
      <c r="AF749">
        <v>-5155.4901</v>
      </c>
    </row>
    <row r="750" spans="2:32" x14ac:dyDescent="0.25">
      <c r="B750">
        <v>36</v>
      </c>
      <c r="C750">
        <v>1</v>
      </c>
      <c r="D750">
        <v>1</v>
      </c>
      <c r="E750">
        <v>1</v>
      </c>
      <c r="F750">
        <v>1</v>
      </c>
      <c r="G750">
        <v>1</v>
      </c>
      <c r="H750">
        <v>1</v>
      </c>
      <c r="J750">
        <v>36</v>
      </c>
      <c r="K750">
        <v>1</v>
      </c>
      <c r="L750">
        <v>1</v>
      </c>
      <c r="M750">
        <v>1</v>
      </c>
      <c r="N750">
        <v>1</v>
      </c>
      <c r="O750">
        <v>1</v>
      </c>
      <c r="P750">
        <v>1</v>
      </c>
      <c r="R750">
        <v>36</v>
      </c>
      <c r="S750">
        <v>1</v>
      </c>
      <c r="T750">
        <v>1</v>
      </c>
      <c r="U750">
        <v>1</v>
      </c>
      <c r="V750">
        <v>1</v>
      </c>
      <c r="W750">
        <v>1</v>
      </c>
      <c r="X750">
        <v>1</v>
      </c>
      <c r="AA750">
        <v>-5151.8950999999997</v>
      </c>
      <c r="AB750">
        <v>-5151.8950999999997</v>
      </c>
      <c r="AC750">
        <v>-5151.8950999999997</v>
      </c>
      <c r="AD750">
        <v>-5151.8950999999997</v>
      </c>
      <c r="AE750">
        <v>-5151.8950999999997</v>
      </c>
      <c r="AF750">
        <v>-5151.8950999999997</v>
      </c>
    </row>
    <row r="751" spans="2:32" x14ac:dyDescent="0.25">
      <c r="B751">
        <v>37</v>
      </c>
      <c r="C751">
        <v>1</v>
      </c>
      <c r="D751">
        <v>1</v>
      </c>
      <c r="E751">
        <v>1</v>
      </c>
      <c r="F751">
        <v>1</v>
      </c>
      <c r="G751">
        <v>1</v>
      </c>
      <c r="H751">
        <v>1</v>
      </c>
      <c r="J751">
        <v>37</v>
      </c>
      <c r="K751">
        <v>1</v>
      </c>
      <c r="L751">
        <v>1</v>
      </c>
      <c r="M751">
        <v>1</v>
      </c>
      <c r="N751">
        <v>1</v>
      </c>
      <c r="O751">
        <v>1</v>
      </c>
      <c r="P751">
        <v>1</v>
      </c>
      <c r="R751">
        <v>37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AA751">
        <v>-5147.9106000000002</v>
      </c>
      <c r="AB751">
        <v>-5147.9106000000002</v>
      </c>
      <c r="AC751">
        <v>-5147.9106000000002</v>
      </c>
      <c r="AD751">
        <v>-5147.9106000000002</v>
      </c>
      <c r="AE751">
        <v>-5147.9106000000002</v>
      </c>
      <c r="AF751">
        <v>-5147.9106000000002</v>
      </c>
    </row>
    <row r="752" spans="2:32" x14ac:dyDescent="0.25">
      <c r="B752">
        <v>38</v>
      </c>
      <c r="C752">
        <v>1</v>
      </c>
      <c r="D752">
        <v>1</v>
      </c>
      <c r="E752">
        <v>1</v>
      </c>
      <c r="F752">
        <v>1</v>
      </c>
      <c r="G752">
        <v>1</v>
      </c>
      <c r="H752">
        <v>1</v>
      </c>
      <c r="J752">
        <v>38</v>
      </c>
      <c r="K752">
        <v>1</v>
      </c>
      <c r="L752">
        <v>1</v>
      </c>
      <c r="M752">
        <v>1</v>
      </c>
      <c r="N752">
        <v>1</v>
      </c>
      <c r="O752">
        <v>1</v>
      </c>
      <c r="P752">
        <v>1</v>
      </c>
      <c r="R752">
        <v>38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AA752">
        <v>-5143.5393999999997</v>
      </c>
      <c r="AB752">
        <v>-5143.5393999999997</v>
      </c>
      <c r="AC752">
        <v>-5143.5393999999997</v>
      </c>
      <c r="AD752">
        <v>-5143.5393999999997</v>
      </c>
      <c r="AE752">
        <v>-5143.5393999999997</v>
      </c>
      <c r="AF752">
        <v>-5143.5393999999997</v>
      </c>
    </row>
    <row r="753" spans="2:32" x14ac:dyDescent="0.25">
      <c r="B753">
        <v>39</v>
      </c>
      <c r="C753">
        <v>1</v>
      </c>
      <c r="D753">
        <v>1</v>
      </c>
      <c r="E753">
        <v>1</v>
      </c>
      <c r="F753">
        <v>1</v>
      </c>
      <c r="G753">
        <v>1</v>
      </c>
      <c r="H753">
        <v>1</v>
      </c>
      <c r="J753">
        <v>39</v>
      </c>
      <c r="K753">
        <v>1</v>
      </c>
      <c r="L753">
        <v>1</v>
      </c>
      <c r="M753">
        <v>1</v>
      </c>
      <c r="N753">
        <v>1</v>
      </c>
      <c r="O753">
        <v>1</v>
      </c>
      <c r="P753">
        <v>1</v>
      </c>
      <c r="R753">
        <v>39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AA753">
        <v>-5138.76</v>
      </c>
      <c r="AB753">
        <v>-5138.76</v>
      </c>
      <c r="AC753">
        <v>-5138.76</v>
      </c>
      <c r="AD753">
        <v>-5138.76</v>
      </c>
      <c r="AE753">
        <v>-5138.76</v>
      </c>
      <c r="AF753">
        <v>-5138.76</v>
      </c>
    </row>
    <row r="754" spans="2:32" x14ac:dyDescent="0.25">
      <c r="B754">
        <v>40</v>
      </c>
      <c r="C754">
        <v>1</v>
      </c>
      <c r="D754">
        <v>1</v>
      </c>
      <c r="E754">
        <v>1</v>
      </c>
      <c r="F754">
        <v>1</v>
      </c>
      <c r="G754">
        <v>1</v>
      </c>
      <c r="H754">
        <v>1</v>
      </c>
      <c r="J754">
        <v>40</v>
      </c>
      <c r="K754">
        <v>1</v>
      </c>
      <c r="L754">
        <v>1</v>
      </c>
      <c r="M754">
        <v>1</v>
      </c>
      <c r="N754">
        <v>1</v>
      </c>
      <c r="O754">
        <v>1</v>
      </c>
      <c r="P754">
        <v>1</v>
      </c>
      <c r="R754">
        <v>40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AA754">
        <v>-5133.5084999999999</v>
      </c>
      <c r="AB754">
        <v>-5133.5084999999999</v>
      </c>
      <c r="AC754">
        <v>-5133.5084999999999</v>
      </c>
      <c r="AD754">
        <v>-5133.5084999999999</v>
      </c>
      <c r="AE754">
        <v>-5133.5084999999999</v>
      </c>
      <c r="AF754">
        <v>-5133.5084999999999</v>
      </c>
    </row>
    <row r="755" spans="2:32" x14ac:dyDescent="0.25">
      <c r="B755">
        <v>41</v>
      </c>
      <c r="C755">
        <v>1</v>
      </c>
      <c r="D755">
        <v>1</v>
      </c>
      <c r="E755">
        <v>1</v>
      </c>
      <c r="F755">
        <v>1</v>
      </c>
      <c r="G755">
        <v>1</v>
      </c>
      <c r="H755">
        <v>1</v>
      </c>
      <c r="J755">
        <v>41</v>
      </c>
      <c r="K755">
        <v>1</v>
      </c>
      <c r="L755">
        <v>1</v>
      </c>
      <c r="M755">
        <v>1</v>
      </c>
      <c r="N755">
        <v>1</v>
      </c>
      <c r="O755">
        <v>1</v>
      </c>
      <c r="P755">
        <v>1</v>
      </c>
      <c r="R755">
        <v>41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AA755">
        <v>-5127.7236000000003</v>
      </c>
      <c r="AB755">
        <v>-5127.7236000000003</v>
      </c>
      <c r="AC755">
        <v>-5127.7236000000003</v>
      </c>
      <c r="AD755">
        <v>-5127.7236000000003</v>
      </c>
      <c r="AE755">
        <v>-5127.7236000000003</v>
      </c>
      <c r="AF755">
        <v>-5127.7236000000003</v>
      </c>
    </row>
    <row r="756" spans="2:32" x14ac:dyDescent="0.25">
      <c r="B756">
        <v>42</v>
      </c>
      <c r="C756">
        <v>1</v>
      </c>
      <c r="D756">
        <v>1</v>
      </c>
      <c r="E756">
        <v>1</v>
      </c>
      <c r="F756">
        <v>1</v>
      </c>
      <c r="G756">
        <v>1</v>
      </c>
      <c r="H756">
        <v>1</v>
      </c>
      <c r="J756">
        <v>42</v>
      </c>
      <c r="K756">
        <v>1</v>
      </c>
      <c r="L756">
        <v>1</v>
      </c>
      <c r="M756">
        <v>1</v>
      </c>
      <c r="N756">
        <v>1</v>
      </c>
      <c r="O756">
        <v>1</v>
      </c>
      <c r="P756">
        <v>1</v>
      </c>
      <c r="R756">
        <v>42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AA756">
        <v>-5121.3726999999999</v>
      </c>
      <c r="AB756">
        <v>-5121.3726999999999</v>
      </c>
      <c r="AC756">
        <v>-5121.3726999999999</v>
      </c>
      <c r="AD756">
        <v>-5121.3726999999999</v>
      </c>
      <c r="AE756">
        <v>-5121.3726999999999</v>
      </c>
      <c r="AF756">
        <v>-5121.3726999999999</v>
      </c>
    </row>
    <row r="757" spans="2:32" x14ac:dyDescent="0.25">
      <c r="B757">
        <v>43</v>
      </c>
      <c r="C757">
        <v>1</v>
      </c>
      <c r="D757">
        <v>1</v>
      </c>
      <c r="E757">
        <v>1</v>
      </c>
      <c r="F757">
        <v>1</v>
      </c>
      <c r="G757">
        <v>1</v>
      </c>
      <c r="H757">
        <v>1</v>
      </c>
      <c r="J757">
        <v>43</v>
      </c>
      <c r="K757">
        <v>1</v>
      </c>
      <c r="L757">
        <v>1</v>
      </c>
      <c r="M757">
        <v>1</v>
      </c>
      <c r="N757">
        <v>1</v>
      </c>
      <c r="O757">
        <v>1</v>
      </c>
      <c r="P757">
        <v>1</v>
      </c>
      <c r="R757">
        <v>43</v>
      </c>
      <c r="S757">
        <v>1</v>
      </c>
      <c r="T757">
        <v>1</v>
      </c>
      <c r="U757">
        <v>1</v>
      </c>
      <c r="V757">
        <v>1</v>
      </c>
      <c r="W757">
        <v>1</v>
      </c>
      <c r="X757">
        <v>1</v>
      </c>
      <c r="AA757">
        <v>-5114.3449000000001</v>
      </c>
      <c r="AB757">
        <v>-5114.3449000000001</v>
      </c>
      <c r="AC757">
        <v>-5114.3449000000001</v>
      </c>
      <c r="AD757">
        <v>-5114.3449000000001</v>
      </c>
      <c r="AE757">
        <v>-5114.3449000000001</v>
      </c>
      <c r="AF757">
        <v>-5114.3449000000001</v>
      </c>
    </row>
    <row r="758" spans="2:32" x14ac:dyDescent="0.25">
      <c r="B758">
        <v>44</v>
      </c>
      <c r="C758">
        <v>1</v>
      </c>
      <c r="D758">
        <v>1</v>
      </c>
      <c r="E758">
        <v>1</v>
      </c>
      <c r="F758">
        <v>1</v>
      </c>
      <c r="G758">
        <v>1</v>
      </c>
      <c r="H758">
        <v>1</v>
      </c>
      <c r="J758">
        <v>44</v>
      </c>
      <c r="K758">
        <v>1</v>
      </c>
      <c r="L758">
        <v>1</v>
      </c>
      <c r="M758">
        <v>1</v>
      </c>
      <c r="N758">
        <v>1</v>
      </c>
      <c r="O758">
        <v>1</v>
      </c>
      <c r="P758">
        <v>1</v>
      </c>
      <c r="R758">
        <v>44</v>
      </c>
      <c r="S758">
        <v>1</v>
      </c>
      <c r="T758">
        <v>1</v>
      </c>
      <c r="U758">
        <v>1</v>
      </c>
      <c r="V758">
        <v>1</v>
      </c>
      <c r="W758">
        <v>1</v>
      </c>
      <c r="X758">
        <v>1</v>
      </c>
      <c r="AA758">
        <v>-5106.5976000000001</v>
      </c>
      <c r="AB758">
        <v>-5106.5976000000001</v>
      </c>
      <c r="AC758">
        <v>-5106.5976000000001</v>
      </c>
      <c r="AD758">
        <v>-5106.5976000000001</v>
      </c>
      <c r="AE758">
        <v>-5106.5976000000001</v>
      </c>
      <c r="AF758">
        <v>-5106.5976000000001</v>
      </c>
    </row>
    <row r="759" spans="2:32" x14ac:dyDescent="0.25">
      <c r="B759">
        <v>45</v>
      </c>
      <c r="C759">
        <v>1</v>
      </c>
      <c r="D759">
        <v>1</v>
      </c>
      <c r="E759">
        <v>1</v>
      </c>
      <c r="F759">
        <v>1</v>
      </c>
      <c r="G759">
        <v>1</v>
      </c>
      <c r="H759">
        <v>1</v>
      </c>
      <c r="J759">
        <v>45</v>
      </c>
      <c r="K759">
        <v>1</v>
      </c>
      <c r="L759">
        <v>1</v>
      </c>
      <c r="M759">
        <v>1</v>
      </c>
      <c r="N759">
        <v>1</v>
      </c>
      <c r="O759">
        <v>1</v>
      </c>
      <c r="P759">
        <v>1</v>
      </c>
      <c r="R759">
        <v>45</v>
      </c>
      <c r="S759">
        <v>1</v>
      </c>
      <c r="T759">
        <v>1</v>
      </c>
      <c r="U759">
        <v>1</v>
      </c>
      <c r="V759">
        <v>1</v>
      </c>
      <c r="W759">
        <v>1</v>
      </c>
      <c r="X759">
        <v>1</v>
      </c>
      <c r="AA759">
        <v>-5098.0524999999998</v>
      </c>
      <c r="AB759">
        <v>-5098.0524999999998</v>
      </c>
      <c r="AC759">
        <v>-5098.0524999999998</v>
      </c>
      <c r="AD759">
        <v>-5098.0524999999998</v>
      </c>
      <c r="AE759">
        <v>-5098.0524999999998</v>
      </c>
      <c r="AF759">
        <v>-5098.0524999999998</v>
      </c>
    </row>
    <row r="760" spans="2:32" x14ac:dyDescent="0.25">
      <c r="B760">
        <v>46</v>
      </c>
      <c r="C760">
        <v>1</v>
      </c>
      <c r="D760">
        <v>1</v>
      </c>
      <c r="E760">
        <v>1</v>
      </c>
      <c r="F760">
        <v>1</v>
      </c>
      <c r="G760">
        <v>1</v>
      </c>
      <c r="H760">
        <v>1</v>
      </c>
      <c r="J760">
        <v>46</v>
      </c>
      <c r="K760">
        <v>1</v>
      </c>
      <c r="L760">
        <v>1</v>
      </c>
      <c r="M760">
        <v>1</v>
      </c>
      <c r="N760">
        <v>1</v>
      </c>
      <c r="O760">
        <v>1</v>
      </c>
      <c r="P760">
        <v>1</v>
      </c>
      <c r="R760">
        <v>46</v>
      </c>
      <c r="S760">
        <v>1</v>
      </c>
      <c r="T760">
        <v>1</v>
      </c>
      <c r="U760">
        <v>1</v>
      </c>
      <c r="V760">
        <v>1</v>
      </c>
      <c r="W760">
        <v>1</v>
      </c>
      <c r="X760">
        <v>1</v>
      </c>
      <c r="AA760">
        <v>-5088.6378000000004</v>
      </c>
      <c r="AB760">
        <v>-5088.6378000000004</v>
      </c>
      <c r="AC760">
        <v>-5088.6378000000004</v>
      </c>
      <c r="AD760">
        <v>-5088.6378000000004</v>
      </c>
      <c r="AE760">
        <v>-5088.6378000000004</v>
      </c>
      <c r="AF760">
        <v>-5088.6378000000004</v>
      </c>
    </row>
    <row r="761" spans="2:32" x14ac:dyDescent="0.25">
      <c r="B761">
        <v>47</v>
      </c>
      <c r="C761">
        <v>1</v>
      </c>
      <c r="D761">
        <v>1</v>
      </c>
      <c r="E761">
        <v>1</v>
      </c>
      <c r="F761">
        <v>1</v>
      </c>
      <c r="G761">
        <v>1</v>
      </c>
      <c r="H761">
        <v>1</v>
      </c>
      <c r="J761">
        <v>47</v>
      </c>
      <c r="K761">
        <v>1</v>
      </c>
      <c r="L761">
        <v>1</v>
      </c>
      <c r="M761">
        <v>1</v>
      </c>
      <c r="N761">
        <v>1</v>
      </c>
      <c r="O761">
        <v>1</v>
      </c>
      <c r="P761">
        <v>1</v>
      </c>
      <c r="R761">
        <v>47</v>
      </c>
      <c r="S761">
        <v>1</v>
      </c>
      <c r="T761">
        <v>1</v>
      </c>
      <c r="U761">
        <v>1</v>
      </c>
      <c r="V761">
        <v>1</v>
      </c>
      <c r="W761">
        <v>1</v>
      </c>
      <c r="X761">
        <v>1</v>
      </c>
      <c r="AA761">
        <v>-5078.2593999999999</v>
      </c>
      <c r="AB761">
        <v>-5078.2593999999999</v>
      </c>
      <c r="AC761">
        <v>-5078.2593999999999</v>
      </c>
      <c r="AD761">
        <v>-5078.2593999999999</v>
      </c>
      <c r="AE761">
        <v>-5078.2593999999999</v>
      </c>
      <c r="AF761">
        <v>-5078.2593999999999</v>
      </c>
    </row>
    <row r="762" spans="2:32" x14ac:dyDescent="0.25">
      <c r="B762">
        <v>48</v>
      </c>
      <c r="C762">
        <v>1</v>
      </c>
      <c r="D762">
        <v>1</v>
      </c>
      <c r="E762">
        <v>1</v>
      </c>
      <c r="F762">
        <v>1</v>
      </c>
      <c r="G762">
        <v>1</v>
      </c>
      <c r="H762">
        <v>1</v>
      </c>
      <c r="J762">
        <v>48</v>
      </c>
      <c r="K762">
        <v>1</v>
      </c>
      <c r="L762">
        <v>1</v>
      </c>
      <c r="M762">
        <v>1</v>
      </c>
      <c r="N762">
        <v>1</v>
      </c>
      <c r="O762">
        <v>1</v>
      </c>
      <c r="P762">
        <v>1</v>
      </c>
      <c r="R762">
        <v>48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1</v>
      </c>
      <c r="AA762">
        <v>-5066.8732</v>
      </c>
      <c r="AB762">
        <v>-5066.8732</v>
      </c>
      <c r="AC762">
        <v>-5066.8732</v>
      </c>
      <c r="AD762">
        <v>-5066.8732</v>
      </c>
      <c r="AE762">
        <v>-5066.8732</v>
      </c>
      <c r="AF762">
        <v>-5066.8732</v>
      </c>
    </row>
    <row r="763" spans="2:32" x14ac:dyDescent="0.25">
      <c r="B763">
        <v>49</v>
      </c>
      <c r="C763">
        <v>1</v>
      </c>
      <c r="D763">
        <v>1</v>
      </c>
      <c r="E763">
        <v>1</v>
      </c>
      <c r="F763">
        <v>1</v>
      </c>
      <c r="G763">
        <v>1</v>
      </c>
      <c r="H763">
        <v>1</v>
      </c>
      <c r="J763">
        <v>49</v>
      </c>
      <c r="K763">
        <v>1</v>
      </c>
      <c r="L763">
        <v>1</v>
      </c>
      <c r="M763">
        <v>1</v>
      </c>
      <c r="N763">
        <v>1</v>
      </c>
      <c r="O763">
        <v>1</v>
      </c>
      <c r="P763">
        <v>1</v>
      </c>
      <c r="R763">
        <v>49</v>
      </c>
      <c r="S763">
        <v>1</v>
      </c>
      <c r="T763">
        <v>1</v>
      </c>
      <c r="U763">
        <v>1</v>
      </c>
      <c r="V763">
        <v>1</v>
      </c>
      <c r="W763">
        <v>1</v>
      </c>
      <c r="X763">
        <v>1</v>
      </c>
      <c r="AA763">
        <v>-5054.4124000000002</v>
      </c>
      <c r="AB763">
        <v>-5054.4124000000002</v>
      </c>
      <c r="AC763">
        <v>-5054.4124000000002</v>
      </c>
      <c r="AD763">
        <v>-5054.4124000000002</v>
      </c>
      <c r="AE763">
        <v>-5054.4124000000002</v>
      </c>
      <c r="AF763">
        <v>-5054.4124000000002</v>
      </c>
    </row>
    <row r="764" spans="2:32" x14ac:dyDescent="0.25">
      <c r="B764">
        <v>50</v>
      </c>
      <c r="C764">
        <v>1</v>
      </c>
      <c r="D764">
        <v>1</v>
      </c>
      <c r="E764">
        <v>1</v>
      </c>
      <c r="F764">
        <v>1</v>
      </c>
      <c r="G764">
        <v>1</v>
      </c>
      <c r="H764">
        <v>1</v>
      </c>
      <c r="J764">
        <v>50</v>
      </c>
      <c r="K764">
        <v>1</v>
      </c>
      <c r="L764">
        <v>1</v>
      </c>
      <c r="M764">
        <v>1</v>
      </c>
      <c r="N764">
        <v>1</v>
      </c>
      <c r="O764">
        <v>1</v>
      </c>
      <c r="P764">
        <v>1</v>
      </c>
      <c r="R764">
        <v>50</v>
      </c>
      <c r="S764">
        <v>1</v>
      </c>
      <c r="T764">
        <v>1</v>
      </c>
      <c r="U764">
        <v>1</v>
      </c>
      <c r="V764">
        <v>1</v>
      </c>
      <c r="W764">
        <v>1</v>
      </c>
      <c r="X764">
        <v>1</v>
      </c>
      <c r="AA764">
        <v>-5040.7671</v>
      </c>
      <c r="AB764">
        <v>-5040.7671</v>
      </c>
      <c r="AC764">
        <v>-5040.7671</v>
      </c>
      <c r="AD764">
        <v>-5040.7671</v>
      </c>
      <c r="AE764">
        <v>-5040.7671</v>
      </c>
      <c r="AF764">
        <v>-5040.7671</v>
      </c>
    </row>
    <row r="765" spans="2:32" x14ac:dyDescent="0.25">
      <c r="B765">
        <v>51</v>
      </c>
      <c r="C765">
        <v>1</v>
      </c>
      <c r="D765">
        <v>1</v>
      </c>
      <c r="E765">
        <v>1</v>
      </c>
      <c r="F765">
        <v>1</v>
      </c>
      <c r="G765">
        <v>1</v>
      </c>
      <c r="H765">
        <v>1</v>
      </c>
      <c r="J765">
        <v>51</v>
      </c>
      <c r="K765">
        <v>1</v>
      </c>
      <c r="L765">
        <v>1</v>
      </c>
      <c r="M765">
        <v>1</v>
      </c>
      <c r="N765">
        <v>1</v>
      </c>
      <c r="O765">
        <v>1</v>
      </c>
      <c r="P765">
        <v>1</v>
      </c>
      <c r="R765">
        <v>51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AA765">
        <v>-5025.8329000000003</v>
      </c>
      <c r="AB765">
        <v>-5025.8329000000003</v>
      </c>
      <c r="AC765">
        <v>-5025.8329000000003</v>
      </c>
      <c r="AD765">
        <v>-5025.8329000000003</v>
      </c>
      <c r="AE765">
        <v>-5025.8329000000003</v>
      </c>
      <c r="AF765">
        <v>-5025.8329000000003</v>
      </c>
    </row>
    <row r="766" spans="2:32" x14ac:dyDescent="0.25">
      <c r="B766">
        <v>52</v>
      </c>
      <c r="C766">
        <v>1</v>
      </c>
      <c r="D766">
        <v>1</v>
      </c>
      <c r="E766">
        <v>1</v>
      </c>
      <c r="F766">
        <v>1</v>
      </c>
      <c r="G766">
        <v>1</v>
      </c>
      <c r="H766">
        <v>1</v>
      </c>
      <c r="J766">
        <v>52</v>
      </c>
      <c r="K766">
        <v>1</v>
      </c>
      <c r="L766">
        <v>1</v>
      </c>
      <c r="M766">
        <v>1</v>
      </c>
      <c r="N766">
        <v>1</v>
      </c>
      <c r="O766">
        <v>1</v>
      </c>
      <c r="P766">
        <v>1</v>
      </c>
      <c r="R766">
        <v>52</v>
      </c>
      <c r="S766">
        <v>1</v>
      </c>
      <c r="T766">
        <v>1</v>
      </c>
      <c r="U766">
        <v>1</v>
      </c>
      <c r="V766">
        <v>1</v>
      </c>
      <c r="W766">
        <v>1</v>
      </c>
      <c r="X766">
        <v>1</v>
      </c>
      <c r="AA766">
        <v>-5009.4771000000001</v>
      </c>
      <c r="AB766">
        <v>-5009.4771000000001</v>
      </c>
      <c r="AC766">
        <v>-5009.4771000000001</v>
      </c>
      <c r="AD766">
        <v>-5009.4771000000001</v>
      </c>
      <c r="AE766">
        <v>-5009.4771000000001</v>
      </c>
      <c r="AF766">
        <v>-5009.4771000000001</v>
      </c>
    </row>
    <row r="767" spans="2:32" x14ac:dyDescent="0.25">
      <c r="B767">
        <v>53</v>
      </c>
      <c r="C767">
        <v>1</v>
      </c>
      <c r="D767">
        <v>1</v>
      </c>
      <c r="E767">
        <v>1</v>
      </c>
      <c r="F767">
        <v>1</v>
      </c>
      <c r="G767">
        <v>1</v>
      </c>
      <c r="H767">
        <v>1</v>
      </c>
      <c r="J767">
        <v>53</v>
      </c>
      <c r="K767">
        <v>1</v>
      </c>
      <c r="L767">
        <v>1</v>
      </c>
      <c r="M767">
        <v>1</v>
      </c>
      <c r="N767">
        <v>1</v>
      </c>
      <c r="O767">
        <v>1</v>
      </c>
      <c r="P767">
        <v>1</v>
      </c>
      <c r="R767">
        <v>53</v>
      </c>
      <c r="S767">
        <v>1</v>
      </c>
      <c r="T767">
        <v>1</v>
      </c>
      <c r="U767">
        <v>1</v>
      </c>
      <c r="V767">
        <v>1</v>
      </c>
      <c r="W767">
        <v>1</v>
      </c>
      <c r="X767">
        <v>1</v>
      </c>
      <c r="AA767">
        <v>-4991.6184000000003</v>
      </c>
      <c r="AB767">
        <v>-4991.6184000000003</v>
      </c>
      <c r="AC767">
        <v>-4991.6184000000003</v>
      </c>
      <c r="AD767">
        <v>-4991.6184000000003</v>
      </c>
      <c r="AE767">
        <v>-4991.6184000000003</v>
      </c>
      <c r="AF767">
        <v>-4991.6184000000003</v>
      </c>
    </row>
    <row r="768" spans="2:32" x14ac:dyDescent="0.25">
      <c r="B768">
        <v>54</v>
      </c>
      <c r="C768">
        <v>1</v>
      </c>
      <c r="D768">
        <v>1</v>
      </c>
      <c r="E768">
        <v>1</v>
      </c>
      <c r="F768">
        <v>1</v>
      </c>
      <c r="G768">
        <v>1</v>
      </c>
      <c r="H768">
        <v>1</v>
      </c>
      <c r="J768">
        <v>54</v>
      </c>
      <c r="K768">
        <v>1</v>
      </c>
      <c r="L768">
        <v>1</v>
      </c>
      <c r="M768">
        <v>1</v>
      </c>
      <c r="N768">
        <v>1</v>
      </c>
      <c r="O768">
        <v>1</v>
      </c>
      <c r="P768">
        <v>1</v>
      </c>
      <c r="R768">
        <v>54</v>
      </c>
      <c r="S768">
        <v>1</v>
      </c>
      <c r="T768">
        <v>1</v>
      </c>
      <c r="U768">
        <v>1</v>
      </c>
      <c r="V768">
        <v>1</v>
      </c>
      <c r="W768">
        <v>1</v>
      </c>
      <c r="X768">
        <v>1</v>
      </c>
      <c r="AA768">
        <v>-4972.1588000000002</v>
      </c>
      <c r="AB768">
        <v>-4972.1588000000002</v>
      </c>
      <c r="AC768">
        <v>-4972.1588000000002</v>
      </c>
      <c r="AD768">
        <v>-4972.1588000000002</v>
      </c>
      <c r="AE768">
        <v>-4972.1588000000002</v>
      </c>
      <c r="AF768">
        <v>-4972.1588000000002</v>
      </c>
    </row>
    <row r="769" spans="2:32" x14ac:dyDescent="0.25">
      <c r="B769">
        <v>55</v>
      </c>
      <c r="C769">
        <v>1</v>
      </c>
      <c r="D769">
        <v>1</v>
      </c>
      <c r="E769">
        <v>1</v>
      </c>
      <c r="F769">
        <v>1</v>
      </c>
      <c r="G769">
        <v>1</v>
      </c>
      <c r="H769">
        <v>1</v>
      </c>
      <c r="J769">
        <v>55</v>
      </c>
      <c r="K769">
        <v>1</v>
      </c>
      <c r="L769">
        <v>1</v>
      </c>
      <c r="M769">
        <v>1</v>
      </c>
      <c r="N769">
        <v>1</v>
      </c>
      <c r="O769">
        <v>1</v>
      </c>
      <c r="P769">
        <v>1</v>
      </c>
      <c r="R769">
        <v>55</v>
      </c>
      <c r="S769">
        <v>1</v>
      </c>
      <c r="T769">
        <v>1</v>
      </c>
      <c r="U769">
        <v>1</v>
      </c>
      <c r="V769">
        <v>1</v>
      </c>
      <c r="W769">
        <v>1</v>
      </c>
      <c r="X769">
        <v>1</v>
      </c>
      <c r="AA769">
        <v>-4950.9426000000003</v>
      </c>
      <c r="AB769">
        <v>-4950.9426000000003</v>
      </c>
      <c r="AC769">
        <v>-4950.9426000000003</v>
      </c>
      <c r="AD769">
        <v>-4950.9426000000003</v>
      </c>
      <c r="AE769">
        <v>-4950.9426000000003</v>
      </c>
      <c r="AF769">
        <v>-4950.9426000000003</v>
      </c>
    </row>
    <row r="772" spans="2:32" x14ac:dyDescent="0.25">
      <c r="B772" t="s">
        <v>46</v>
      </c>
      <c r="C772">
        <v>100000</v>
      </c>
      <c r="D772">
        <v>250000</v>
      </c>
      <c r="E772">
        <v>500000</v>
      </c>
      <c r="F772">
        <v>1000000</v>
      </c>
      <c r="G772">
        <v>2000000</v>
      </c>
      <c r="J772" t="s">
        <v>32</v>
      </c>
      <c r="K772">
        <v>100000</v>
      </c>
      <c r="L772">
        <v>250000</v>
      </c>
      <c r="M772">
        <v>500000</v>
      </c>
      <c r="N772">
        <v>1000000</v>
      </c>
      <c r="O772">
        <v>2000000</v>
      </c>
      <c r="R772" t="s">
        <v>48</v>
      </c>
      <c r="S772">
        <v>100000</v>
      </c>
      <c r="T772">
        <v>250000</v>
      </c>
      <c r="U772">
        <v>500000</v>
      </c>
      <c r="V772">
        <v>1000000</v>
      </c>
      <c r="W772">
        <v>2000000</v>
      </c>
    </row>
    <row r="773" spans="2:32" x14ac:dyDescent="0.25">
      <c r="B773">
        <v>35</v>
      </c>
      <c r="C773">
        <v>1</v>
      </c>
      <c r="D773">
        <v>1</v>
      </c>
      <c r="E773">
        <v>1</v>
      </c>
      <c r="F773">
        <v>1</v>
      </c>
      <c r="G773">
        <v>1</v>
      </c>
      <c r="J773">
        <v>35</v>
      </c>
      <c r="K773">
        <v>1</v>
      </c>
      <c r="L773">
        <v>1</v>
      </c>
      <c r="M773">
        <v>1</v>
      </c>
      <c r="N773">
        <v>1</v>
      </c>
      <c r="O773">
        <v>1</v>
      </c>
      <c r="R773">
        <v>35</v>
      </c>
      <c r="S773">
        <v>1</v>
      </c>
      <c r="T773">
        <v>1</v>
      </c>
      <c r="U773">
        <v>1</v>
      </c>
      <c r="V773">
        <v>1</v>
      </c>
      <c r="W773">
        <v>1</v>
      </c>
      <c r="AA773">
        <v>-8996.1419000000005</v>
      </c>
      <c r="AB773">
        <v>-8996.1419000000005</v>
      </c>
      <c r="AC773">
        <v>-8996.1419000000005</v>
      </c>
      <c r="AD773">
        <v>-8996.1419000000005</v>
      </c>
      <c r="AE773">
        <v>-8996.1419000000005</v>
      </c>
      <c r="AF773">
        <v>-759112.79520000005</v>
      </c>
    </row>
    <row r="774" spans="2:32" x14ac:dyDescent="0.25">
      <c r="B774">
        <f t="shared" ref="B774:B803" si="33">B773+1</f>
        <v>36</v>
      </c>
      <c r="C774">
        <v>1</v>
      </c>
      <c r="D774">
        <v>1</v>
      </c>
      <c r="E774">
        <v>1</v>
      </c>
      <c r="F774">
        <v>1</v>
      </c>
      <c r="G774">
        <v>1</v>
      </c>
      <c r="J774">
        <f t="shared" ref="J774:J803" si="34">J773+1</f>
        <v>36</v>
      </c>
      <c r="K774">
        <v>1</v>
      </c>
      <c r="L774">
        <v>1</v>
      </c>
      <c r="M774">
        <v>1</v>
      </c>
      <c r="N774">
        <v>1</v>
      </c>
      <c r="O774">
        <v>1</v>
      </c>
      <c r="R774">
        <f t="shared" ref="R774:R803" si="35">R773+1</f>
        <v>36</v>
      </c>
      <c r="S774">
        <v>1</v>
      </c>
      <c r="T774">
        <v>1</v>
      </c>
      <c r="U774">
        <v>1</v>
      </c>
      <c r="V774">
        <v>1</v>
      </c>
      <c r="W774">
        <v>1</v>
      </c>
      <c r="AA774">
        <v>-8902.6679999999997</v>
      </c>
      <c r="AB774">
        <v>-8902.6679999999997</v>
      </c>
      <c r="AC774">
        <v>-8902.6679999999997</v>
      </c>
      <c r="AD774">
        <v>-8902.6679999999997</v>
      </c>
      <c r="AE774">
        <v>-8902.6679999999997</v>
      </c>
      <c r="AF774">
        <v>-737070.86179999996</v>
      </c>
    </row>
    <row r="775" spans="2:32" x14ac:dyDescent="0.25">
      <c r="B775">
        <f t="shared" si="33"/>
        <v>37</v>
      </c>
      <c r="C775">
        <v>1</v>
      </c>
      <c r="D775">
        <v>1</v>
      </c>
      <c r="E775">
        <v>1</v>
      </c>
      <c r="F775">
        <v>1</v>
      </c>
      <c r="G775">
        <v>1</v>
      </c>
      <c r="J775">
        <f t="shared" si="34"/>
        <v>37</v>
      </c>
      <c r="K775">
        <v>1</v>
      </c>
      <c r="L775">
        <v>1</v>
      </c>
      <c r="M775">
        <v>1</v>
      </c>
      <c r="N775">
        <v>1</v>
      </c>
      <c r="O775">
        <v>1</v>
      </c>
      <c r="R775">
        <f t="shared" si="35"/>
        <v>37</v>
      </c>
      <c r="S775">
        <v>1</v>
      </c>
      <c r="T775">
        <v>1</v>
      </c>
      <c r="U775">
        <v>1</v>
      </c>
      <c r="V775">
        <v>1</v>
      </c>
      <c r="W775">
        <v>1</v>
      </c>
      <c r="AA775">
        <v>-8806.7960000000003</v>
      </c>
      <c r="AB775">
        <v>-8806.7960000000003</v>
      </c>
      <c r="AC775">
        <v>-8806.7960000000003</v>
      </c>
      <c r="AD775">
        <v>-8806.7960000000003</v>
      </c>
      <c r="AE775">
        <v>-8806.7960000000003</v>
      </c>
      <c r="AF775">
        <v>-765978.91940000001</v>
      </c>
    </row>
    <row r="776" spans="2:32" x14ac:dyDescent="0.25">
      <c r="B776">
        <f t="shared" si="33"/>
        <v>38</v>
      </c>
      <c r="C776">
        <v>1</v>
      </c>
      <c r="D776">
        <v>1</v>
      </c>
      <c r="E776">
        <v>1</v>
      </c>
      <c r="F776">
        <v>1</v>
      </c>
      <c r="G776">
        <v>1</v>
      </c>
      <c r="J776">
        <f t="shared" si="34"/>
        <v>38</v>
      </c>
      <c r="K776">
        <v>1</v>
      </c>
      <c r="L776">
        <v>1</v>
      </c>
      <c r="M776">
        <v>1</v>
      </c>
      <c r="N776">
        <v>1</v>
      </c>
      <c r="O776">
        <v>1</v>
      </c>
      <c r="R776">
        <f t="shared" si="35"/>
        <v>38</v>
      </c>
      <c r="S776">
        <v>1</v>
      </c>
      <c r="T776">
        <v>1</v>
      </c>
      <c r="U776">
        <v>1</v>
      </c>
      <c r="V776">
        <v>1</v>
      </c>
      <c r="W776">
        <v>1</v>
      </c>
      <c r="AA776">
        <v>-8708.6234000000004</v>
      </c>
      <c r="AB776">
        <v>-8708.6234000000004</v>
      </c>
      <c r="AC776">
        <v>-8708.6234000000004</v>
      </c>
      <c r="AD776">
        <v>-8708.6234000000004</v>
      </c>
      <c r="AE776">
        <v>-8708.6234000000004</v>
      </c>
      <c r="AF776">
        <v>-783780.576</v>
      </c>
    </row>
    <row r="777" spans="2:32" x14ac:dyDescent="0.25">
      <c r="B777">
        <f t="shared" si="33"/>
        <v>39</v>
      </c>
      <c r="C777">
        <v>1</v>
      </c>
      <c r="D777">
        <v>1</v>
      </c>
      <c r="E777">
        <v>1</v>
      </c>
      <c r="F777">
        <v>1</v>
      </c>
      <c r="G777">
        <v>1</v>
      </c>
      <c r="J777">
        <f t="shared" si="34"/>
        <v>39</v>
      </c>
      <c r="K777">
        <v>1</v>
      </c>
      <c r="L777">
        <v>1</v>
      </c>
      <c r="M777">
        <v>1</v>
      </c>
      <c r="N777">
        <v>1</v>
      </c>
      <c r="O777">
        <v>1</v>
      </c>
      <c r="R777">
        <f t="shared" si="35"/>
        <v>39</v>
      </c>
      <c r="S777">
        <v>1</v>
      </c>
      <c r="T777">
        <v>1</v>
      </c>
      <c r="U777">
        <v>1</v>
      </c>
      <c r="V777">
        <v>1</v>
      </c>
      <c r="W777">
        <v>1</v>
      </c>
      <c r="AA777">
        <v>-8608.1594000000005</v>
      </c>
      <c r="AB777">
        <v>-8608.1594000000005</v>
      </c>
      <c r="AC777">
        <v>-8608.1594000000005</v>
      </c>
      <c r="AD777">
        <v>-8608.1594000000005</v>
      </c>
      <c r="AE777">
        <v>-8608.1594000000005</v>
      </c>
      <c r="AF777">
        <v>-769662.22069999995</v>
      </c>
    </row>
    <row r="778" spans="2:32" x14ac:dyDescent="0.25">
      <c r="B778">
        <f t="shared" si="33"/>
        <v>40</v>
      </c>
      <c r="C778">
        <v>1</v>
      </c>
      <c r="D778">
        <v>1</v>
      </c>
      <c r="E778">
        <v>1</v>
      </c>
      <c r="F778">
        <v>1</v>
      </c>
      <c r="G778">
        <v>1</v>
      </c>
      <c r="J778">
        <f t="shared" si="34"/>
        <v>40</v>
      </c>
      <c r="K778">
        <v>1</v>
      </c>
      <c r="L778">
        <v>1</v>
      </c>
      <c r="M778">
        <v>1</v>
      </c>
      <c r="N778">
        <v>1</v>
      </c>
      <c r="O778">
        <v>1</v>
      </c>
      <c r="R778">
        <f t="shared" si="35"/>
        <v>40</v>
      </c>
      <c r="S778">
        <v>1</v>
      </c>
      <c r="T778">
        <v>1</v>
      </c>
      <c r="U778">
        <v>1</v>
      </c>
      <c r="V778">
        <v>1</v>
      </c>
      <c r="W778">
        <v>1</v>
      </c>
      <c r="AA778">
        <v>-8505.3439999999991</v>
      </c>
      <c r="AB778">
        <v>-8505.3439999999991</v>
      </c>
      <c r="AC778">
        <v>-8505.3439999999991</v>
      </c>
      <c r="AD778">
        <v>-8505.3439999999991</v>
      </c>
      <c r="AE778">
        <v>-8505.3439999999991</v>
      </c>
      <c r="AF778">
        <v>-798570.41119999997</v>
      </c>
    </row>
    <row r="779" spans="2:32" x14ac:dyDescent="0.25">
      <c r="B779">
        <f t="shared" si="33"/>
        <v>41</v>
      </c>
      <c r="C779">
        <v>1</v>
      </c>
      <c r="D779">
        <v>1</v>
      </c>
      <c r="E779">
        <v>1</v>
      </c>
      <c r="F779">
        <v>1</v>
      </c>
      <c r="G779">
        <v>1</v>
      </c>
      <c r="J779">
        <f t="shared" si="34"/>
        <v>41</v>
      </c>
      <c r="K779">
        <v>1</v>
      </c>
      <c r="L779">
        <v>1</v>
      </c>
      <c r="M779">
        <v>1</v>
      </c>
      <c r="N779">
        <v>1</v>
      </c>
      <c r="O779">
        <v>1</v>
      </c>
      <c r="R779">
        <f t="shared" si="35"/>
        <v>41</v>
      </c>
      <c r="S779">
        <v>1</v>
      </c>
      <c r="T779">
        <v>1</v>
      </c>
      <c r="U779">
        <v>1</v>
      </c>
      <c r="V779">
        <v>1</v>
      </c>
      <c r="W779">
        <v>1</v>
      </c>
      <c r="AA779">
        <v>-8400.1087000000007</v>
      </c>
      <c r="AB779">
        <v>-8400.1087000000007</v>
      </c>
      <c r="AC779">
        <v>-8400.1087000000007</v>
      </c>
      <c r="AD779">
        <v>-8400.1087000000007</v>
      </c>
      <c r="AE779">
        <v>-8400.1087000000007</v>
      </c>
      <c r="AF779">
        <v>-803549.96459999995</v>
      </c>
    </row>
    <row r="780" spans="2:32" x14ac:dyDescent="0.25">
      <c r="B780">
        <f t="shared" si="33"/>
        <v>42</v>
      </c>
      <c r="C780">
        <v>1</v>
      </c>
      <c r="D780">
        <v>1</v>
      </c>
      <c r="E780">
        <v>1</v>
      </c>
      <c r="F780">
        <v>1</v>
      </c>
      <c r="G780">
        <v>1</v>
      </c>
      <c r="J780">
        <f t="shared" si="34"/>
        <v>42</v>
      </c>
      <c r="K780">
        <v>1</v>
      </c>
      <c r="L780">
        <v>1</v>
      </c>
      <c r="M780">
        <v>1</v>
      </c>
      <c r="N780">
        <v>1</v>
      </c>
      <c r="O780">
        <v>1</v>
      </c>
      <c r="R780">
        <f t="shared" si="35"/>
        <v>42</v>
      </c>
      <c r="S780">
        <v>1</v>
      </c>
      <c r="T780">
        <v>1</v>
      </c>
      <c r="U780">
        <v>1</v>
      </c>
      <c r="V780">
        <v>1</v>
      </c>
      <c r="W780">
        <v>1</v>
      </c>
      <c r="AA780">
        <v>-8292.4974999999995</v>
      </c>
      <c r="AB780">
        <v>-8292.4974999999995</v>
      </c>
      <c r="AC780">
        <v>-8292.4974999999995</v>
      </c>
      <c r="AD780">
        <v>-8292.4974999999995</v>
      </c>
      <c r="AE780">
        <v>-8292.4974999999995</v>
      </c>
      <c r="AF780">
        <v>-833551.75890000002</v>
      </c>
    </row>
    <row r="781" spans="2:32" x14ac:dyDescent="0.25">
      <c r="B781">
        <f t="shared" si="33"/>
        <v>43</v>
      </c>
      <c r="C781">
        <v>1</v>
      </c>
      <c r="D781">
        <v>1</v>
      </c>
      <c r="E781">
        <v>1</v>
      </c>
      <c r="F781">
        <v>1</v>
      </c>
      <c r="G781">
        <v>1</v>
      </c>
      <c r="J781">
        <f t="shared" si="34"/>
        <v>43</v>
      </c>
      <c r="K781">
        <v>1</v>
      </c>
      <c r="L781">
        <v>1</v>
      </c>
      <c r="M781">
        <v>1</v>
      </c>
      <c r="N781">
        <v>1</v>
      </c>
      <c r="O781">
        <v>1</v>
      </c>
      <c r="R781">
        <f t="shared" si="35"/>
        <v>43</v>
      </c>
      <c r="S781">
        <v>1</v>
      </c>
      <c r="T781">
        <v>1</v>
      </c>
      <c r="U781">
        <v>1</v>
      </c>
      <c r="V781">
        <v>1</v>
      </c>
      <c r="W781">
        <v>1</v>
      </c>
      <c r="AA781">
        <v>-8182.3909999999996</v>
      </c>
      <c r="AB781">
        <v>-8182.3909999999996</v>
      </c>
      <c r="AC781">
        <v>-8182.3909999999996</v>
      </c>
      <c r="AD781">
        <v>-8182.3909999999996</v>
      </c>
      <c r="AE781">
        <v>-8182.3909999999996</v>
      </c>
      <c r="AF781">
        <v>-844950.93949999998</v>
      </c>
    </row>
    <row r="782" spans="2:32" x14ac:dyDescent="0.25">
      <c r="B782">
        <f t="shared" si="33"/>
        <v>44</v>
      </c>
      <c r="C782">
        <v>1</v>
      </c>
      <c r="D782">
        <v>1</v>
      </c>
      <c r="E782">
        <v>1</v>
      </c>
      <c r="F782">
        <v>1</v>
      </c>
      <c r="G782">
        <v>1</v>
      </c>
      <c r="J782">
        <f t="shared" si="34"/>
        <v>44</v>
      </c>
      <c r="K782">
        <v>1</v>
      </c>
      <c r="L782">
        <v>1</v>
      </c>
      <c r="M782">
        <v>1</v>
      </c>
      <c r="N782">
        <v>1</v>
      </c>
      <c r="O782">
        <v>1</v>
      </c>
      <c r="R782">
        <f t="shared" si="35"/>
        <v>44</v>
      </c>
      <c r="S782">
        <v>1</v>
      </c>
      <c r="T782">
        <v>1</v>
      </c>
      <c r="U782">
        <v>1</v>
      </c>
      <c r="V782">
        <v>1</v>
      </c>
      <c r="W782">
        <v>1</v>
      </c>
      <c r="AA782">
        <v>-8069.8261000000002</v>
      </c>
      <c r="AB782">
        <v>-8069.8261000000002</v>
      </c>
      <c r="AC782">
        <v>-8069.8261000000002</v>
      </c>
      <c r="AD782">
        <v>-8069.8261000000002</v>
      </c>
      <c r="AE782">
        <v>-8069.8261000000002</v>
      </c>
      <c r="AF782">
        <v>-851265.64670000004</v>
      </c>
    </row>
    <row r="783" spans="2:32" x14ac:dyDescent="0.25">
      <c r="B783">
        <f t="shared" si="33"/>
        <v>45</v>
      </c>
      <c r="C783">
        <v>1</v>
      </c>
      <c r="D783">
        <v>1</v>
      </c>
      <c r="E783">
        <v>1</v>
      </c>
      <c r="F783">
        <v>1</v>
      </c>
      <c r="G783">
        <v>1</v>
      </c>
      <c r="J783">
        <f t="shared" si="34"/>
        <v>45</v>
      </c>
      <c r="K783">
        <v>1</v>
      </c>
      <c r="L783">
        <v>1</v>
      </c>
      <c r="M783">
        <v>1</v>
      </c>
      <c r="N783">
        <v>1</v>
      </c>
      <c r="O783">
        <v>1</v>
      </c>
      <c r="R783">
        <f t="shared" si="35"/>
        <v>45</v>
      </c>
      <c r="S783">
        <v>1</v>
      </c>
      <c r="T783">
        <v>1</v>
      </c>
      <c r="U783">
        <v>1</v>
      </c>
      <c r="V783">
        <v>1</v>
      </c>
      <c r="W783">
        <v>1</v>
      </c>
      <c r="AA783">
        <v>-7954.7533999999996</v>
      </c>
      <c r="AB783">
        <v>-7954.7533999999996</v>
      </c>
      <c r="AC783">
        <v>-7954.7533999999996</v>
      </c>
      <c r="AD783">
        <v>-7954.7533999999996</v>
      </c>
      <c r="AE783">
        <v>-7954.7533999999996</v>
      </c>
      <c r="AF783">
        <v>-870649.02139999997</v>
      </c>
    </row>
    <row r="784" spans="2:32" x14ac:dyDescent="0.25">
      <c r="B784">
        <f t="shared" si="33"/>
        <v>46</v>
      </c>
      <c r="C784">
        <v>1</v>
      </c>
      <c r="D784">
        <v>1</v>
      </c>
      <c r="E784">
        <v>1</v>
      </c>
      <c r="F784">
        <v>1</v>
      </c>
      <c r="G784">
        <v>1</v>
      </c>
      <c r="J784">
        <f t="shared" si="34"/>
        <v>46</v>
      </c>
      <c r="K784">
        <v>1</v>
      </c>
      <c r="L784">
        <v>1</v>
      </c>
      <c r="M784">
        <v>1</v>
      </c>
      <c r="N784">
        <v>1</v>
      </c>
      <c r="O784">
        <v>1</v>
      </c>
      <c r="R784">
        <f t="shared" si="35"/>
        <v>46</v>
      </c>
      <c r="S784">
        <v>1</v>
      </c>
      <c r="T784">
        <v>1</v>
      </c>
      <c r="U784">
        <v>1</v>
      </c>
      <c r="V784">
        <v>1</v>
      </c>
      <c r="W784">
        <v>1</v>
      </c>
      <c r="AA784">
        <v>-7837.1754000000001</v>
      </c>
      <c r="AB784">
        <v>-7837.1754000000001</v>
      </c>
      <c r="AC784">
        <v>-7837.1754000000001</v>
      </c>
      <c r="AD784">
        <v>-7837.1754000000001</v>
      </c>
      <c r="AE784">
        <v>-7837.1754000000001</v>
      </c>
      <c r="AF784">
        <v>-892550.54509999999</v>
      </c>
    </row>
    <row r="785" spans="2:32" x14ac:dyDescent="0.25">
      <c r="B785">
        <f t="shared" si="33"/>
        <v>47</v>
      </c>
      <c r="C785">
        <v>1</v>
      </c>
      <c r="D785">
        <v>1</v>
      </c>
      <c r="E785">
        <v>1</v>
      </c>
      <c r="F785">
        <v>1</v>
      </c>
      <c r="G785">
        <v>1</v>
      </c>
      <c r="J785">
        <f t="shared" si="34"/>
        <v>47</v>
      </c>
      <c r="K785">
        <v>1</v>
      </c>
      <c r="L785">
        <v>1</v>
      </c>
      <c r="M785">
        <v>1</v>
      </c>
      <c r="N785">
        <v>1</v>
      </c>
      <c r="O785">
        <v>1</v>
      </c>
      <c r="R785">
        <f t="shared" si="35"/>
        <v>47</v>
      </c>
      <c r="S785">
        <v>1</v>
      </c>
      <c r="T785">
        <v>1</v>
      </c>
      <c r="U785">
        <v>1</v>
      </c>
      <c r="V785">
        <v>1</v>
      </c>
      <c r="W785">
        <v>1</v>
      </c>
      <c r="AA785">
        <v>-7717.0294999999996</v>
      </c>
      <c r="AB785">
        <v>-7717.0294999999996</v>
      </c>
      <c r="AC785">
        <v>-7717.0294999999996</v>
      </c>
      <c r="AD785">
        <v>-7717.0294999999996</v>
      </c>
      <c r="AE785">
        <v>-7717.0294999999996</v>
      </c>
      <c r="AF785">
        <v>-910915.81969999999</v>
      </c>
    </row>
    <row r="786" spans="2:32" x14ac:dyDescent="0.25">
      <c r="B786">
        <f t="shared" si="33"/>
        <v>48</v>
      </c>
      <c r="C786">
        <v>1</v>
      </c>
      <c r="D786">
        <v>1</v>
      </c>
      <c r="E786">
        <v>1</v>
      </c>
      <c r="F786">
        <v>1</v>
      </c>
      <c r="G786">
        <v>1</v>
      </c>
      <c r="J786">
        <f t="shared" si="34"/>
        <v>48</v>
      </c>
      <c r="K786">
        <v>1</v>
      </c>
      <c r="L786">
        <v>1</v>
      </c>
      <c r="M786">
        <v>1</v>
      </c>
      <c r="N786">
        <v>1</v>
      </c>
      <c r="O786">
        <v>1</v>
      </c>
      <c r="R786">
        <f t="shared" si="35"/>
        <v>48</v>
      </c>
      <c r="S786">
        <v>1</v>
      </c>
      <c r="T786">
        <v>1</v>
      </c>
      <c r="U786">
        <v>1</v>
      </c>
      <c r="V786">
        <v>1</v>
      </c>
      <c r="W786">
        <v>1</v>
      </c>
      <c r="AA786">
        <v>-7594.4201000000003</v>
      </c>
      <c r="AB786">
        <v>-7594.4201000000003</v>
      </c>
      <c r="AC786">
        <v>-7594.4201000000003</v>
      </c>
      <c r="AD786">
        <v>-7594.4201000000003</v>
      </c>
      <c r="AE786">
        <v>-7594.4201000000003</v>
      </c>
      <c r="AF786">
        <v>-917891.87360000005</v>
      </c>
    </row>
    <row r="787" spans="2:32" x14ac:dyDescent="0.25">
      <c r="B787">
        <f t="shared" si="33"/>
        <v>49</v>
      </c>
      <c r="C787">
        <v>1</v>
      </c>
      <c r="D787">
        <v>1</v>
      </c>
      <c r="E787">
        <v>1</v>
      </c>
      <c r="F787">
        <v>1</v>
      </c>
      <c r="G787">
        <v>1</v>
      </c>
      <c r="J787">
        <f t="shared" si="34"/>
        <v>49</v>
      </c>
      <c r="K787">
        <v>1</v>
      </c>
      <c r="L787">
        <v>1</v>
      </c>
      <c r="M787">
        <v>1</v>
      </c>
      <c r="N787">
        <v>1</v>
      </c>
      <c r="O787">
        <v>1</v>
      </c>
      <c r="R787">
        <f t="shared" si="35"/>
        <v>49</v>
      </c>
      <c r="S787">
        <v>1</v>
      </c>
      <c r="T787">
        <v>1</v>
      </c>
      <c r="U787">
        <v>1</v>
      </c>
      <c r="V787">
        <v>1</v>
      </c>
      <c r="W787">
        <v>1</v>
      </c>
      <c r="AA787">
        <v>-7469.3995999999997</v>
      </c>
      <c r="AB787">
        <v>-7469.3995999999997</v>
      </c>
      <c r="AC787">
        <v>-7469.3995999999997</v>
      </c>
      <c r="AD787">
        <v>-7469.3995999999997</v>
      </c>
      <c r="AE787">
        <v>-7469.3995999999997</v>
      </c>
      <c r="AF787">
        <v>-917891.87360000005</v>
      </c>
    </row>
    <row r="788" spans="2:32" x14ac:dyDescent="0.25">
      <c r="B788">
        <f t="shared" si="33"/>
        <v>50</v>
      </c>
      <c r="C788">
        <v>1</v>
      </c>
      <c r="D788">
        <v>1</v>
      </c>
      <c r="E788">
        <v>1</v>
      </c>
      <c r="F788">
        <v>1</v>
      </c>
      <c r="G788">
        <v>1</v>
      </c>
      <c r="J788">
        <f t="shared" si="34"/>
        <v>50</v>
      </c>
      <c r="K788">
        <v>1</v>
      </c>
      <c r="L788">
        <v>1</v>
      </c>
      <c r="M788">
        <v>1</v>
      </c>
      <c r="N788">
        <v>1</v>
      </c>
      <c r="O788">
        <v>1</v>
      </c>
      <c r="R788">
        <f t="shared" si="35"/>
        <v>50</v>
      </c>
      <c r="S788">
        <v>1</v>
      </c>
      <c r="T788">
        <v>1</v>
      </c>
      <c r="U788">
        <v>1</v>
      </c>
      <c r="V788">
        <v>1</v>
      </c>
      <c r="W788">
        <v>1</v>
      </c>
      <c r="AA788">
        <v>-7341.9502000000002</v>
      </c>
      <c r="AB788">
        <v>-7341.9502000000002</v>
      </c>
      <c r="AC788">
        <v>-7341.9502000000002</v>
      </c>
      <c r="AD788">
        <v>-7341.9502000000002</v>
      </c>
      <c r="AE788">
        <v>-7341.9502000000002</v>
      </c>
      <c r="AF788">
        <v>-963257.14989999996</v>
      </c>
    </row>
    <row r="789" spans="2:32" x14ac:dyDescent="0.25">
      <c r="B789">
        <f t="shared" si="33"/>
        <v>51</v>
      </c>
      <c r="C789">
        <v>1</v>
      </c>
      <c r="D789">
        <v>1</v>
      </c>
      <c r="E789">
        <v>1</v>
      </c>
      <c r="F789">
        <v>1</v>
      </c>
      <c r="G789">
        <v>1</v>
      </c>
      <c r="J789">
        <f t="shared" si="34"/>
        <v>51</v>
      </c>
      <c r="K789">
        <v>1</v>
      </c>
      <c r="L789">
        <v>1</v>
      </c>
      <c r="M789">
        <v>1</v>
      </c>
      <c r="N789">
        <v>1</v>
      </c>
      <c r="O789">
        <v>1</v>
      </c>
      <c r="R789">
        <f t="shared" si="35"/>
        <v>51</v>
      </c>
      <c r="S789">
        <v>1</v>
      </c>
      <c r="T789">
        <v>1</v>
      </c>
      <c r="U789">
        <v>1</v>
      </c>
      <c r="V789">
        <v>1</v>
      </c>
      <c r="W789">
        <v>1</v>
      </c>
      <c r="AA789">
        <v>-7212.0646999999999</v>
      </c>
      <c r="AB789">
        <v>-7212.0646999999999</v>
      </c>
      <c r="AC789">
        <v>-7212.0646999999999</v>
      </c>
      <c r="AD789">
        <v>-7212.0646999999999</v>
      </c>
      <c r="AE789">
        <v>-7212.0646999999999</v>
      </c>
      <c r="AF789">
        <v>-981592.90729999996</v>
      </c>
    </row>
    <row r="790" spans="2:32" x14ac:dyDescent="0.25">
      <c r="B790">
        <f t="shared" si="33"/>
        <v>52</v>
      </c>
      <c r="C790">
        <v>1</v>
      </c>
      <c r="D790">
        <v>1</v>
      </c>
      <c r="E790">
        <v>1</v>
      </c>
      <c r="F790">
        <v>1</v>
      </c>
      <c r="G790">
        <v>1</v>
      </c>
      <c r="J790">
        <f t="shared" si="34"/>
        <v>52</v>
      </c>
      <c r="K790">
        <v>1</v>
      </c>
      <c r="L790">
        <v>1</v>
      </c>
      <c r="M790">
        <v>1</v>
      </c>
      <c r="N790">
        <v>1</v>
      </c>
      <c r="O790">
        <v>1</v>
      </c>
      <c r="R790">
        <f t="shared" si="35"/>
        <v>52</v>
      </c>
      <c r="S790">
        <v>1</v>
      </c>
      <c r="T790">
        <v>1</v>
      </c>
      <c r="U790">
        <v>1</v>
      </c>
      <c r="V790">
        <v>1</v>
      </c>
      <c r="W790">
        <v>1</v>
      </c>
      <c r="AA790">
        <v>-7079.7435999999998</v>
      </c>
      <c r="AB790">
        <v>-7079.7435999999998</v>
      </c>
      <c r="AC790">
        <v>-7079.7435999999998</v>
      </c>
      <c r="AD790">
        <v>-7079.7435999999998</v>
      </c>
      <c r="AE790">
        <v>-7079.7435999999998</v>
      </c>
      <c r="AF790">
        <v>-998556.10360000003</v>
      </c>
    </row>
    <row r="791" spans="2:32" x14ac:dyDescent="0.25">
      <c r="B791">
        <f t="shared" si="33"/>
        <v>53</v>
      </c>
      <c r="C791">
        <v>1</v>
      </c>
      <c r="D791">
        <v>1</v>
      </c>
      <c r="E791">
        <v>1</v>
      </c>
      <c r="F791">
        <v>1</v>
      </c>
      <c r="G791">
        <v>1</v>
      </c>
      <c r="J791">
        <f t="shared" si="34"/>
        <v>53</v>
      </c>
      <c r="K791">
        <v>1</v>
      </c>
      <c r="L791">
        <v>1</v>
      </c>
      <c r="M791">
        <v>1</v>
      </c>
      <c r="N791">
        <v>1</v>
      </c>
      <c r="O791">
        <v>1</v>
      </c>
      <c r="R791">
        <f t="shared" si="35"/>
        <v>53</v>
      </c>
      <c r="S791">
        <v>1</v>
      </c>
      <c r="T791">
        <v>1</v>
      </c>
      <c r="U791">
        <v>1</v>
      </c>
      <c r="V791">
        <v>1</v>
      </c>
      <c r="W791">
        <v>1</v>
      </c>
      <c r="AA791">
        <v>-6945.0875999999998</v>
      </c>
      <c r="AB791">
        <v>-6945.0875999999998</v>
      </c>
      <c r="AC791">
        <v>-6945.0875999999998</v>
      </c>
      <c r="AD791">
        <v>-6945.0875999999998</v>
      </c>
      <c r="AE791">
        <v>-6945.0875999999998</v>
      </c>
      <c r="AF791">
        <v>-1015461.3278</v>
      </c>
    </row>
    <row r="792" spans="2:32" x14ac:dyDescent="0.25">
      <c r="B792">
        <f t="shared" si="33"/>
        <v>54</v>
      </c>
      <c r="C792">
        <v>1</v>
      </c>
      <c r="D792">
        <v>1</v>
      </c>
      <c r="E792">
        <v>1</v>
      </c>
      <c r="F792">
        <v>1</v>
      </c>
      <c r="G792">
        <v>1</v>
      </c>
      <c r="J792">
        <f t="shared" si="34"/>
        <v>54</v>
      </c>
      <c r="K792">
        <v>1</v>
      </c>
      <c r="L792">
        <v>1</v>
      </c>
      <c r="M792">
        <v>1</v>
      </c>
      <c r="N792">
        <v>1</v>
      </c>
      <c r="O792">
        <v>1</v>
      </c>
      <c r="R792">
        <f t="shared" si="35"/>
        <v>54</v>
      </c>
      <c r="S792">
        <v>1</v>
      </c>
      <c r="T792">
        <v>1</v>
      </c>
      <c r="U792">
        <v>1</v>
      </c>
      <c r="V792">
        <v>1</v>
      </c>
      <c r="W792">
        <v>1</v>
      </c>
      <c r="AA792">
        <v>-6808.2438000000002</v>
      </c>
      <c r="AB792">
        <v>-6808.2438000000002</v>
      </c>
      <c r="AC792">
        <v>-6808.2438000000002</v>
      </c>
      <c r="AD792">
        <v>-6808.2438000000002</v>
      </c>
      <c r="AE792">
        <v>-6808.2438000000002</v>
      </c>
      <c r="AF792">
        <v>-1033869.6813000001</v>
      </c>
    </row>
    <row r="793" spans="2:32" x14ac:dyDescent="0.25">
      <c r="B793">
        <f t="shared" si="33"/>
        <v>55</v>
      </c>
      <c r="C793">
        <v>1</v>
      </c>
      <c r="D793">
        <v>1</v>
      </c>
      <c r="E793">
        <v>1</v>
      </c>
      <c r="F793">
        <v>1</v>
      </c>
      <c r="G793">
        <v>1</v>
      </c>
      <c r="J793">
        <f t="shared" si="34"/>
        <v>55</v>
      </c>
      <c r="K793">
        <v>1</v>
      </c>
      <c r="L793">
        <v>1</v>
      </c>
      <c r="M793">
        <v>1</v>
      </c>
      <c r="N793">
        <v>1</v>
      </c>
      <c r="O793">
        <v>1</v>
      </c>
      <c r="R793">
        <f t="shared" si="35"/>
        <v>55</v>
      </c>
      <c r="S793">
        <v>1</v>
      </c>
      <c r="T793">
        <v>1</v>
      </c>
      <c r="U793">
        <v>1</v>
      </c>
      <c r="V793">
        <v>1</v>
      </c>
      <c r="W793">
        <v>1</v>
      </c>
      <c r="AA793">
        <v>-6669.2525999999998</v>
      </c>
      <c r="AB793">
        <v>-6669.2525999999998</v>
      </c>
      <c r="AC793">
        <v>-6669.2525999999998</v>
      </c>
      <c r="AD793">
        <v>-6669.2525999999998</v>
      </c>
      <c r="AE793">
        <v>-6669.2525999999998</v>
      </c>
      <c r="AF793">
        <v>-1050810.2549999999</v>
      </c>
    </row>
    <row r="794" spans="2:32" x14ac:dyDescent="0.25">
      <c r="B794">
        <f t="shared" si="33"/>
        <v>56</v>
      </c>
      <c r="C794">
        <v>1</v>
      </c>
      <c r="D794">
        <v>1</v>
      </c>
      <c r="E794">
        <v>1</v>
      </c>
      <c r="F794">
        <v>1</v>
      </c>
      <c r="G794">
        <v>1</v>
      </c>
      <c r="J794">
        <f t="shared" si="34"/>
        <v>56</v>
      </c>
      <c r="K794">
        <v>1</v>
      </c>
      <c r="L794">
        <v>1</v>
      </c>
      <c r="M794">
        <v>1</v>
      </c>
      <c r="N794">
        <v>1</v>
      </c>
      <c r="O794">
        <v>1</v>
      </c>
      <c r="R794">
        <f t="shared" si="35"/>
        <v>56</v>
      </c>
      <c r="S794">
        <v>1</v>
      </c>
      <c r="T794">
        <v>1</v>
      </c>
      <c r="U794">
        <v>1</v>
      </c>
      <c r="V794">
        <v>1</v>
      </c>
      <c r="W794">
        <v>1</v>
      </c>
      <c r="AA794">
        <v>-6528.2992000000004</v>
      </c>
      <c r="AB794">
        <v>-6528.2992000000004</v>
      </c>
      <c r="AC794">
        <v>-6528.2992000000004</v>
      </c>
      <c r="AD794">
        <v>-6528.2992000000004</v>
      </c>
      <c r="AE794">
        <v>-6528.2992000000004</v>
      </c>
      <c r="AF794">
        <v>-1073295.8774000001</v>
      </c>
    </row>
    <row r="795" spans="2:32" x14ac:dyDescent="0.25">
      <c r="B795">
        <f t="shared" si="33"/>
        <v>57</v>
      </c>
      <c r="C795">
        <v>1</v>
      </c>
      <c r="D795">
        <v>1</v>
      </c>
      <c r="E795">
        <v>1</v>
      </c>
      <c r="F795">
        <v>1</v>
      </c>
      <c r="G795">
        <v>1</v>
      </c>
      <c r="J795">
        <f t="shared" si="34"/>
        <v>57</v>
      </c>
      <c r="K795">
        <v>1</v>
      </c>
      <c r="L795">
        <v>1</v>
      </c>
      <c r="M795">
        <v>1</v>
      </c>
      <c r="N795">
        <v>1</v>
      </c>
      <c r="O795">
        <v>1</v>
      </c>
      <c r="R795">
        <f t="shared" si="35"/>
        <v>57</v>
      </c>
      <c r="S795">
        <v>1</v>
      </c>
      <c r="T795">
        <v>1</v>
      </c>
      <c r="U795">
        <v>1</v>
      </c>
      <c r="V795">
        <v>1</v>
      </c>
      <c r="W795">
        <v>1</v>
      </c>
      <c r="AA795">
        <v>-6385.5230000000001</v>
      </c>
      <c r="AB795">
        <v>-6385.5230000000001</v>
      </c>
      <c r="AC795">
        <v>-6385.5230000000001</v>
      </c>
      <c r="AD795">
        <v>-6385.5230000000001</v>
      </c>
      <c r="AE795">
        <v>-6385.5230000000001</v>
      </c>
      <c r="AF795">
        <v>-1093242.6832999999</v>
      </c>
    </row>
    <row r="796" spans="2:32" x14ac:dyDescent="0.25">
      <c r="B796">
        <f t="shared" si="33"/>
        <v>58</v>
      </c>
      <c r="C796">
        <v>1</v>
      </c>
      <c r="D796">
        <v>1</v>
      </c>
      <c r="E796">
        <v>1</v>
      </c>
      <c r="F796">
        <v>1</v>
      </c>
      <c r="G796">
        <v>1</v>
      </c>
      <c r="J796">
        <f t="shared" si="34"/>
        <v>58</v>
      </c>
      <c r="K796">
        <v>1</v>
      </c>
      <c r="L796">
        <v>1</v>
      </c>
      <c r="M796">
        <v>1</v>
      </c>
      <c r="N796">
        <v>1</v>
      </c>
      <c r="O796">
        <v>1</v>
      </c>
      <c r="R796">
        <f t="shared" si="35"/>
        <v>58</v>
      </c>
      <c r="S796">
        <v>1</v>
      </c>
      <c r="T796">
        <v>1</v>
      </c>
      <c r="U796">
        <v>1</v>
      </c>
      <c r="V796">
        <v>1</v>
      </c>
      <c r="W796">
        <v>1</v>
      </c>
      <c r="AA796">
        <v>-6240.8730999999998</v>
      </c>
      <c r="AB796">
        <v>-6240.8730999999998</v>
      </c>
      <c r="AC796">
        <v>-6240.8730999999998</v>
      </c>
      <c r="AD796">
        <v>-6240.8730999999998</v>
      </c>
      <c r="AE796">
        <v>-6240.8730999999998</v>
      </c>
      <c r="AF796">
        <v>-1114366.6444000001</v>
      </c>
    </row>
    <row r="797" spans="2:32" x14ac:dyDescent="0.25">
      <c r="B797">
        <f t="shared" si="33"/>
        <v>59</v>
      </c>
      <c r="C797">
        <v>1</v>
      </c>
      <c r="D797">
        <v>1</v>
      </c>
      <c r="E797">
        <v>1</v>
      </c>
      <c r="F797">
        <v>1</v>
      </c>
      <c r="G797">
        <v>1</v>
      </c>
      <c r="J797">
        <f t="shared" si="34"/>
        <v>59</v>
      </c>
      <c r="K797">
        <v>1</v>
      </c>
      <c r="L797">
        <v>1</v>
      </c>
      <c r="M797">
        <v>1</v>
      </c>
      <c r="N797">
        <v>1</v>
      </c>
      <c r="O797">
        <v>1</v>
      </c>
      <c r="R797">
        <f t="shared" si="35"/>
        <v>59</v>
      </c>
      <c r="S797">
        <v>1</v>
      </c>
      <c r="T797">
        <v>1</v>
      </c>
      <c r="U797">
        <v>1</v>
      </c>
      <c r="V797">
        <v>1</v>
      </c>
      <c r="W797">
        <v>1</v>
      </c>
      <c r="AA797">
        <v>-6094.3262999999997</v>
      </c>
      <c r="AB797">
        <v>-6094.3262999999997</v>
      </c>
      <c r="AC797">
        <v>-6094.3262999999997</v>
      </c>
      <c r="AD797">
        <v>-6094.3262999999997</v>
      </c>
      <c r="AE797">
        <v>-6094.3262999999997</v>
      </c>
      <c r="AF797">
        <v>-1136284.0146999999</v>
      </c>
    </row>
    <row r="798" spans="2:32" x14ac:dyDescent="0.25">
      <c r="B798">
        <f t="shared" si="33"/>
        <v>60</v>
      </c>
      <c r="C798">
        <v>1</v>
      </c>
      <c r="D798">
        <v>1</v>
      </c>
      <c r="E798">
        <v>1</v>
      </c>
      <c r="F798">
        <v>1</v>
      </c>
      <c r="G798">
        <v>1</v>
      </c>
      <c r="J798">
        <f t="shared" si="34"/>
        <v>60</v>
      </c>
      <c r="K798">
        <v>1</v>
      </c>
      <c r="L798">
        <v>1</v>
      </c>
      <c r="M798">
        <v>1</v>
      </c>
      <c r="N798">
        <v>1</v>
      </c>
      <c r="O798">
        <v>1</v>
      </c>
      <c r="R798">
        <f t="shared" si="35"/>
        <v>60</v>
      </c>
      <c r="S798">
        <v>1</v>
      </c>
      <c r="T798">
        <v>1</v>
      </c>
      <c r="U798">
        <v>1</v>
      </c>
      <c r="V798">
        <v>1</v>
      </c>
      <c r="W798">
        <v>1</v>
      </c>
      <c r="AA798">
        <v>-5945.9960000000001</v>
      </c>
      <c r="AB798">
        <v>-5945.9960000000001</v>
      </c>
      <c r="AC798">
        <v>-5945.9960000000001</v>
      </c>
      <c r="AD798">
        <v>-5945.9960000000001</v>
      </c>
      <c r="AE798">
        <v>-5945.9960000000001</v>
      </c>
      <c r="AF798">
        <v>-1157801.6717999999</v>
      </c>
    </row>
    <row r="799" spans="2:32" x14ac:dyDescent="0.25">
      <c r="B799">
        <f t="shared" si="33"/>
        <v>61</v>
      </c>
      <c r="C799">
        <v>1</v>
      </c>
      <c r="D799">
        <v>1</v>
      </c>
      <c r="E799">
        <v>1</v>
      </c>
      <c r="F799">
        <v>1</v>
      </c>
      <c r="G799">
        <v>1</v>
      </c>
      <c r="J799">
        <f t="shared" si="34"/>
        <v>61</v>
      </c>
      <c r="K799">
        <v>1</v>
      </c>
      <c r="L799">
        <v>1</v>
      </c>
      <c r="M799">
        <v>1</v>
      </c>
      <c r="N799">
        <v>1</v>
      </c>
      <c r="O799">
        <v>1</v>
      </c>
      <c r="R799">
        <f t="shared" si="35"/>
        <v>61</v>
      </c>
      <c r="S799">
        <v>1</v>
      </c>
      <c r="T799">
        <v>1</v>
      </c>
      <c r="U799">
        <v>1</v>
      </c>
      <c r="V799">
        <v>1</v>
      </c>
      <c r="W799">
        <v>1</v>
      </c>
      <c r="AA799">
        <v>-5796.3015999999998</v>
      </c>
      <c r="AB799">
        <v>-5796.3015999999998</v>
      </c>
      <c r="AC799">
        <v>-5796.3015999999998</v>
      </c>
      <c r="AD799">
        <v>-5796.3015999999998</v>
      </c>
      <c r="AE799">
        <v>-5796.3015999999998</v>
      </c>
      <c r="AF799">
        <v>-1178581.4038</v>
      </c>
    </row>
    <row r="800" spans="2:32" x14ac:dyDescent="0.25">
      <c r="B800">
        <f t="shared" si="33"/>
        <v>62</v>
      </c>
      <c r="C800">
        <v>1</v>
      </c>
      <c r="D800">
        <v>1</v>
      </c>
      <c r="E800">
        <v>1</v>
      </c>
      <c r="F800">
        <v>1</v>
      </c>
      <c r="G800">
        <v>1</v>
      </c>
      <c r="J800">
        <f t="shared" si="34"/>
        <v>62</v>
      </c>
      <c r="K800">
        <v>1</v>
      </c>
      <c r="L800">
        <v>1</v>
      </c>
      <c r="M800">
        <v>1</v>
      </c>
      <c r="N800">
        <v>1</v>
      </c>
      <c r="O800">
        <v>1</v>
      </c>
      <c r="R800">
        <f t="shared" si="35"/>
        <v>62</v>
      </c>
      <c r="S800">
        <v>1</v>
      </c>
      <c r="T800">
        <v>1</v>
      </c>
      <c r="U800">
        <v>1</v>
      </c>
      <c r="V800">
        <v>1</v>
      </c>
      <c r="W800">
        <v>1</v>
      </c>
      <c r="AA800">
        <v>-5645.2415000000001</v>
      </c>
      <c r="AB800">
        <v>-5645.2415000000001</v>
      </c>
      <c r="AC800">
        <v>-5645.2415000000001</v>
      </c>
      <c r="AD800">
        <v>-5645.2415000000001</v>
      </c>
      <c r="AE800">
        <v>-5645.2415000000001</v>
      </c>
      <c r="AF800">
        <v>-1199521.5327000001</v>
      </c>
    </row>
    <row r="801" spans="2:32" x14ac:dyDescent="0.25">
      <c r="B801">
        <f t="shared" si="33"/>
        <v>63</v>
      </c>
      <c r="C801">
        <v>1</v>
      </c>
      <c r="D801">
        <v>1</v>
      </c>
      <c r="E801">
        <v>1</v>
      </c>
      <c r="F801">
        <v>1</v>
      </c>
      <c r="G801">
        <v>1</v>
      </c>
      <c r="J801">
        <f t="shared" si="34"/>
        <v>63</v>
      </c>
      <c r="K801">
        <v>1</v>
      </c>
      <c r="L801">
        <v>1</v>
      </c>
      <c r="M801">
        <v>1</v>
      </c>
      <c r="N801">
        <v>1</v>
      </c>
      <c r="O801">
        <v>1</v>
      </c>
      <c r="R801">
        <f t="shared" si="35"/>
        <v>63</v>
      </c>
      <c r="S801">
        <v>1</v>
      </c>
      <c r="T801">
        <v>1</v>
      </c>
      <c r="U801">
        <v>1</v>
      </c>
      <c r="V801">
        <v>1</v>
      </c>
      <c r="W801">
        <v>1</v>
      </c>
      <c r="AA801">
        <v>-5492.4920000000002</v>
      </c>
      <c r="AB801">
        <v>-5492.4920000000002</v>
      </c>
      <c r="AC801">
        <v>-5492.4920000000002</v>
      </c>
      <c r="AD801">
        <v>-5492.4920000000002</v>
      </c>
      <c r="AE801">
        <v>-5492.4920000000002</v>
      </c>
      <c r="AF801">
        <v>-1220461.6269</v>
      </c>
    </row>
    <row r="802" spans="2:32" x14ac:dyDescent="0.25">
      <c r="B802">
        <f t="shared" si="33"/>
        <v>64</v>
      </c>
      <c r="C802">
        <v>1</v>
      </c>
      <c r="D802">
        <v>1</v>
      </c>
      <c r="E802">
        <v>1</v>
      </c>
      <c r="F802">
        <v>1</v>
      </c>
      <c r="G802">
        <v>1</v>
      </c>
      <c r="J802">
        <f t="shared" si="34"/>
        <v>64</v>
      </c>
      <c r="K802">
        <v>1</v>
      </c>
      <c r="L802">
        <v>1</v>
      </c>
      <c r="M802">
        <v>1</v>
      </c>
      <c r="N802">
        <v>1</v>
      </c>
      <c r="O802">
        <v>1</v>
      </c>
      <c r="R802">
        <f t="shared" si="35"/>
        <v>64</v>
      </c>
      <c r="S802">
        <v>1</v>
      </c>
      <c r="T802">
        <v>1</v>
      </c>
      <c r="U802">
        <v>1</v>
      </c>
      <c r="V802">
        <v>1</v>
      </c>
      <c r="W802">
        <v>1</v>
      </c>
      <c r="AA802">
        <v>-5338.1817000000001</v>
      </c>
      <c r="AB802">
        <v>-5338.1817000000001</v>
      </c>
      <c r="AC802">
        <v>-5338.1817000000001</v>
      </c>
      <c r="AD802">
        <v>-5338.1817000000001</v>
      </c>
      <c r="AE802">
        <v>-5338.1817000000001</v>
      </c>
      <c r="AF802">
        <v>-1240652.2526</v>
      </c>
    </row>
    <row r="803" spans="2:32" x14ac:dyDescent="0.25">
      <c r="B803">
        <f t="shared" si="33"/>
        <v>65</v>
      </c>
      <c r="C803">
        <v>1</v>
      </c>
      <c r="D803">
        <v>1</v>
      </c>
      <c r="E803">
        <v>1</v>
      </c>
      <c r="F803">
        <v>1</v>
      </c>
      <c r="G803">
        <v>1</v>
      </c>
      <c r="J803">
        <f t="shared" si="34"/>
        <v>65</v>
      </c>
      <c r="K803">
        <v>1</v>
      </c>
      <c r="L803">
        <v>1</v>
      </c>
      <c r="M803">
        <v>1</v>
      </c>
      <c r="N803">
        <v>1</v>
      </c>
      <c r="O803">
        <v>1</v>
      </c>
      <c r="R803">
        <f t="shared" si="35"/>
        <v>65</v>
      </c>
      <c r="S803">
        <v>1</v>
      </c>
      <c r="T803">
        <v>1</v>
      </c>
      <c r="U803">
        <v>1</v>
      </c>
      <c r="V803">
        <v>1</v>
      </c>
      <c r="W803">
        <v>1</v>
      </c>
      <c r="AA803">
        <v>-5182.2268999999997</v>
      </c>
      <c r="AB803">
        <v>-5182.2268999999997</v>
      </c>
      <c r="AC803">
        <v>-5182.2268999999997</v>
      </c>
      <c r="AD803">
        <v>-5182.2268999999997</v>
      </c>
      <c r="AE803">
        <v>-5182.2268999999997</v>
      </c>
      <c r="AF803">
        <v>-1260049.8302</v>
      </c>
    </row>
    <row r="806" spans="2:32" x14ac:dyDescent="0.25">
      <c r="B806" t="s">
        <v>46</v>
      </c>
      <c r="C806">
        <v>50000</v>
      </c>
      <c r="D806">
        <v>100000</v>
      </c>
      <c r="E806">
        <v>250000</v>
      </c>
      <c r="F806">
        <v>500000</v>
      </c>
      <c r="G806">
        <v>1000000</v>
      </c>
      <c r="H806">
        <v>2000000</v>
      </c>
      <c r="J806" t="s">
        <v>47</v>
      </c>
      <c r="K806">
        <v>50000</v>
      </c>
      <c r="L806">
        <v>100000</v>
      </c>
      <c r="M806">
        <v>250000</v>
      </c>
      <c r="N806">
        <v>500000</v>
      </c>
      <c r="O806">
        <v>1000000</v>
      </c>
      <c r="P806">
        <v>2000000</v>
      </c>
      <c r="R806" t="s">
        <v>48</v>
      </c>
      <c r="S806">
        <v>50000</v>
      </c>
      <c r="T806">
        <v>100000</v>
      </c>
      <c r="U806">
        <v>250000</v>
      </c>
      <c r="V806">
        <v>500000</v>
      </c>
      <c r="W806">
        <v>1000000</v>
      </c>
      <c r="X806">
        <v>2000000</v>
      </c>
    </row>
    <row r="807" spans="2:32" x14ac:dyDescent="0.25">
      <c r="B807">
        <v>26</v>
      </c>
      <c r="C807">
        <v>1</v>
      </c>
      <c r="D807">
        <v>1</v>
      </c>
      <c r="E807">
        <v>1</v>
      </c>
      <c r="F807">
        <v>1</v>
      </c>
      <c r="G807">
        <v>1</v>
      </c>
      <c r="H807">
        <v>1</v>
      </c>
      <c r="J807">
        <v>26</v>
      </c>
      <c r="K807">
        <v>1</v>
      </c>
      <c r="L807">
        <v>1</v>
      </c>
      <c r="M807">
        <v>1</v>
      </c>
      <c r="N807">
        <v>1</v>
      </c>
      <c r="O807">
        <v>1</v>
      </c>
      <c r="P807">
        <v>1</v>
      </c>
      <c r="R807">
        <v>26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AA807">
        <v>-5174.8482999999997</v>
      </c>
      <c r="AB807">
        <v>-5174.8482999999997</v>
      </c>
      <c r="AC807">
        <v>-5174.8482999999997</v>
      </c>
      <c r="AD807">
        <v>-5174.8482999999997</v>
      </c>
      <c r="AE807">
        <v>-5174.8482999999997</v>
      </c>
      <c r="AF807">
        <v>-5174.8482999999997</v>
      </c>
    </row>
    <row r="808" spans="2:32" x14ac:dyDescent="0.25">
      <c r="B808">
        <v>27</v>
      </c>
      <c r="C808">
        <v>1</v>
      </c>
      <c r="D808">
        <v>1</v>
      </c>
      <c r="E808">
        <v>1</v>
      </c>
      <c r="F808">
        <v>1</v>
      </c>
      <c r="G808">
        <v>1</v>
      </c>
      <c r="H808">
        <v>1</v>
      </c>
      <c r="J808">
        <v>27</v>
      </c>
      <c r="K808">
        <v>1</v>
      </c>
      <c r="L808">
        <v>1</v>
      </c>
      <c r="M808">
        <v>1</v>
      </c>
      <c r="N808">
        <v>1</v>
      </c>
      <c r="O808">
        <v>1</v>
      </c>
      <c r="P808">
        <v>1</v>
      </c>
      <c r="R808">
        <v>27</v>
      </c>
      <c r="S808">
        <v>1</v>
      </c>
      <c r="T808">
        <v>1</v>
      </c>
      <c r="U808">
        <v>1</v>
      </c>
      <c r="V808">
        <v>1</v>
      </c>
      <c r="W808">
        <v>1</v>
      </c>
      <c r="X808">
        <v>1</v>
      </c>
      <c r="AA808">
        <v>-5173.6036999999997</v>
      </c>
      <c r="AB808">
        <v>-5173.6036999999997</v>
      </c>
      <c r="AC808">
        <v>-5173.6036999999997</v>
      </c>
      <c r="AD808">
        <v>-5173.6036999999997</v>
      </c>
      <c r="AE808">
        <v>-5173.6036999999997</v>
      </c>
      <c r="AF808">
        <v>-5173.6036999999997</v>
      </c>
    </row>
    <row r="809" spans="2:32" x14ac:dyDescent="0.25">
      <c r="B809">
        <v>28</v>
      </c>
      <c r="C809">
        <v>1</v>
      </c>
      <c r="D809">
        <v>1</v>
      </c>
      <c r="E809">
        <v>1</v>
      </c>
      <c r="F809">
        <v>1</v>
      </c>
      <c r="G809">
        <v>1</v>
      </c>
      <c r="H809">
        <v>1</v>
      </c>
      <c r="J809">
        <v>28</v>
      </c>
      <c r="K809">
        <v>1</v>
      </c>
      <c r="L809">
        <v>1</v>
      </c>
      <c r="M809">
        <v>1</v>
      </c>
      <c r="N809">
        <v>1</v>
      </c>
      <c r="O809">
        <v>1</v>
      </c>
      <c r="P809">
        <v>1</v>
      </c>
      <c r="R809">
        <v>28</v>
      </c>
      <c r="S809">
        <v>1</v>
      </c>
      <c r="T809">
        <v>1</v>
      </c>
      <c r="U809">
        <v>1</v>
      </c>
      <c r="V809">
        <v>1</v>
      </c>
      <c r="W809">
        <v>1</v>
      </c>
      <c r="X809">
        <v>1</v>
      </c>
      <c r="AA809">
        <v>-5172.1755999999996</v>
      </c>
      <c r="AB809">
        <v>-5172.1755999999996</v>
      </c>
      <c r="AC809">
        <v>-5172.1755999999996</v>
      </c>
      <c r="AD809">
        <v>-5172.1755999999996</v>
      </c>
      <c r="AE809">
        <v>-5172.1755999999996</v>
      </c>
      <c r="AF809">
        <v>-5172.1755999999996</v>
      </c>
    </row>
    <row r="810" spans="2:32" x14ac:dyDescent="0.25">
      <c r="B810">
        <v>29</v>
      </c>
      <c r="C810">
        <v>1</v>
      </c>
      <c r="D810">
        <v>1</v>
      </c>
      <c r="E810">
        <v>1</v>
      </c>
      <c r="F810">
        <v>1</v>
      </c>
      <c r="G810">
        <v>1</v>
      </c>
      <c r="H810">
        <v>1</v>
      </c>
      <c r="J810">
        <v>29</v>
      </c>
      <c r="K810">
        <v>1</v>
      </c>
      <c r="L810">
        <v>1</v>
      </c>
      <c r="M810">
        <v>1</v>
      </c>
      <c r="N810">
        <v>1</v>
      </c>
      <c r="O810">
        <v>1</v>
      </c>
      <c r="P810">
        <v>1</v>
      </c>
      <c r="R810">
        <v>29</v>
      </c>
      <c r="S810">
        <v>1</v>
      </c>
      <c r="T810">
        <v>1</v>
      </c>
      <c r="U810">
        <v>1</v>
      </c>
      <c r="V810">
        <v>1</v>
      </c>
      <c r="W810">
        <v>1</v>
      </c>
      <c r="X810">
        <v>1</v>
      </c>
      <c r="AA810">
        <v>-5170.5482000000002</v>
      </c>
      <c r="AB810">
        <v>-5170.5482000000002</v>
      </c>
      <c r="AC810">
        <v>-5170.5482000000002</v>
      </c>
      <c r="AD810">
        <v>-5170.5482000000002</v>
      </c>
      <c r="AE810">
        <v>-5170.5482000000002</v>
      </c>
      <c r="AF810">
        <v>-5170.5482000000002</v>
      </c>
    </row>
    <row r="811" spans="2:32" x14ac:dyDescent="0.25">
      <c r="B811">
        <v>30</v>
      </c>
      <c r="C811">
        <v>1</v>
      </c>
      <c r="D811">
        <v>1</v>
      </c>
      <c r="E811">
        <v>1</v>
      </c>
      <c r="F811">
        <v>1</v>
      </c>
      <c r="G811">
        <v>1</v>
      </c>
      <c r="H811">
        <v>1</v>
      </c>
      <c r="J811">
        <v>30</v>
      </c>
      <c r="K811">
        <v>1</v>
      </c>
      <c r="L811">
        <v>1</v>
      </c>
      <c r="M811">
        <v>1</v>
      </c>
      <c r="N811">
        <v>1</v>
      </c>
      <c r="O811">
        <v>1</v>
      </c>
      <c r="P811">
        <v>1</v>
      </c>
      <c r="R811">
        <v>30</v>
      </c>
      <c r="S811">
        <v>1</v>
      </c>
      <c r="T811">
        <v>1</v>
      </c>
      <c r="U811">
        <v>1</v>
      </c>
      <c r="V811">
        <v>1</v>
      </c>
      <c r="W811">
        <v>1</v>
      </c>
      <c r="X811">
        <v>1</v>
      </c>
      <c r="AA811">
        <v>-5168.6908999999996</v>
      </c>
      <c r="AB811">
        <v>-5168.6908999999996</v>
      </c>
      <c r="AC811">
        <v>-5168.6908999999996</v>
      </c>
      <c r="AD811">
        <v>-5168.6908999999996</v>
      </c>
      <c r="AE811">
        <v>-5168.6908999999996</v>
      </c>
      <c r="AF811">
        <v>-5168.6908999999996</v>
      </c>
    </row>
    <row r="812" spans="2:32" x14ac:dyDescent="0.25">
      <c r="B812">
        <v>31</v>
      </c>
      <c r="C812">
        <v>1</v>
      </c>
      <c r="D812">
        <v>1</v>
      </c>
      <c r="E812">
        <v>1</v>
      </c>
      <c r="F812">
        <v>1</v>
      </c>
      <c r="G812">
        <v>1</v>
      </c>
      <c r="H812">
        <v>1</v>
      </c>
      <c r="J812">
        <v>31</v>
      </c>
      <c r="K812">
        <v>1</v>
      </c>
      <c r="L812">
        <v>1</v>
      </c>
      <c r="M812">
        <v>1</v>
      </c>
      <c r="N812">
        <v>1</v>
      </c>
      <c r="O812">
        <v>1</v>
      </c>
      <c r="P812">
        <v>1</v>
      </c>
      <c r="R812">
        <v>31</v>
      </c>
      <c r="S812">
        <v>1</v>
      </c>
      <c r="T812">
        <v>1</v>
      </c>
      <c r="U812">
        <v>1</v>
      </c>
      <c r="V812">
        <v>1</v>
      </c>
      <c r="W812">
        <v>1</v>
      </c>
      <c r="X812">
        <v>1</v>
      </c>
      <c r="AA812">
        <v>-5166.5891000000001</v>
      </c>
      <c r="AB812">
        <v>-5166.5891000000001</v>
      </c>
      <c r="AC812">
        <v>-5166.5891000000001</v>
      </c>
      <c r="AD812">
        <v>-5166.5891000000001</v>
      </c>
      <c r="AE812">
        <v>-5166.5891000000001</v>
      </c>
      <c r="AF812">
        <v>-5166.5891000000001</v>
      </c>
    </row>
    <row r="813" spans="2:32" x14ac:dyDescent="0.25">
      <c r="B813">
        <v>32</v>
      </c>
      <c r="C813">
        <v>1</v>
      </c>
      <c r="D813">
        <v>1</v>
      </c>
      <c r="E813">
        <v>1</v>
      </c>
      <c r="F813">
        <v>1</v>
      </c>
      <c r="G813">
        <v>1</v>
      </c>
      <c r="H813">
        <v>1</v>
      </c>
      <c r="J813">
        <v>32</v>
      </c>
      <c r="K813">
        <v>1</v>
      </c>
      <c r="L813">
        <v>1</v>
      </c>
      <c r="M813">
        <v>1</v>
      </c>
      <c r="N813">
        <v>1</v>
      </c>
      <c r="O813">
        <v>1</v>
      </c>
      <c r="P813">
        <v>1</v>
      </c>
      <c r="R813">
        <v>32</v>
      </c>
      <c r="S813">
        <v>1</v>
      </c>
      <c r="T813">
        <v>1</v>
      </c>
      <c r="U813">
        <v>1</v>
      </c>
      <c r="V813">
        <v>1</v>
      </c>
      <c r="W813">
        <v>1</v>
      </c>
      <c r="X813">
        <v>1</v>
      </c>
      <c r="AA813">
        <v>-5164.2407000000003</v>
      </c>
      <c r="AB813">
        <v>-5164.2407000000003</v>
      </c>
      <c r="AC813">
        <v>-5164.2407000000003</v>
      </c>
      <c r="AD813">
        <v>-5164.2407000000003</v>
      </c>
      <c r="AE813">
        <v>-5164.2407000000003</v>
      </c>
      <c r="AF813">
        <v>-5164.2407000000003</v>
      </c>
    </row>
    <row r="814" spans="2:32" x14ac:dyDescent="0.25">
      <c r="B814">
        <v>33</v>
      </c>
      <c r="C814">
        <v>1</v>
      </c>
      <c r="D814">
        <v>1</v>
      </c>
      <c r="E814">
        <v>1</v>
      </c>
      <c r="F814">
        <v>1</v>
      </c>
      <c r="G814">
        <v>1</v>
      </c>
      <c r="H814">
        <v>1</v>
      </c>
      <c r="J814">
        <v>33</v>
      </c>
      <c r="K814">
        <v>1</v>
      </c>
      <c r="L814">
        <v>1</v>
      </c>
      <c r="M814">
        <v>1</v>
      </c>
      <c r="N814">
        <v>1</v>
      </c>
      <c r="O814">
        <v>1</v>
      </c>
      <c r="P814">
        <v>1</v>
      </c>
      <c r="R814">
        <v>33</v>
      </c>
      <c r="S814">
        <v>1</v>
      </c>
      <c r="T814">
        <v>1</v>
      </c>
      <c r="U814">
        <v>1</v>
      </c>
      <c r="V814">
        <v>1</v>
      </c>
      <c r="W814">
        <v>1</v>
      </c>
      <c r="X814">
        <v>1</v>
      </c>
      <c r="AA814">
        <v>-5161.6318000000001</v>
      </c>
      <c r="AB814">
        <v>-5161.6318000000001</v>
      </c>
      <c r="AC814">
        <v>-5161.6318000000001</v>
      </c>
      <c r="AD814">
        <v>-5161.6318000000001</v>
      </c>
      <c r="AE814">
        <v>-5161.6318000000001</v>
      </c>
      <c r="AF814">
        <v>-5161.6318000000001</v>
      </c>
    </row>
    <row r="815" spans="2:32" x14ac:dyDescent="0.25">
      <c r="B815">
        <v>34</v>
      </c>
      <c r="C815">
        <v>1</v>
      </c>
      <c r="D815">
        <v>1</v>
      </c>
      <c r="E815">
        <v>1</v>
      </c>
      <c r="F815">
        <v>1</v>
      </c>
      <c r="G815">
        <v>1</v>
      </c>
      <c r="H815">
        <v>1</v>
      </c>
      <c r="J815">
        <v>34</v>
      </c>
      <c r="K815">
        <v>1</v>
      </c>
      <c r="L815">
        <v>1</v>
      </c>
      <c r="M815">
        <v>1</v>
      </c>
      <c r="N815">
        <v>1</v>
      </c>
      <c r="O815">
        <v>1</v>
      </c>
      <c r="P815">
        <v>1</v>
      </c>
      <c r="R815">
        <v>34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AA815">
        <v>-5158.7194</v>
      </c>
      <c r="AB815">
        <v>-5158.7194</v>
      </c>
      <c r="AC815">
        <v>-5158.7194</v>
      </c>
      <c r="AD815">
        <v>-5158.7194</v>
      </c>
      <c r="AE815">
        <v>-5158.7194</v>
      </c>
      <c r="AF815">
        <v>-5158.7194</v>
      </c>
    </row>
    <row r="816" spans="2:32" x14ac:dyDescent="0.25">
      <c r="B816">
        <v>35</v>
      </c>
      <c r="C816">
        <v>1</v>
      </c>
      <c r="D816">
        <v>1</v>
      </c>
      <c r="E816">
        <v>1</v>
      </c>
      <c r="F816">
        <v>1</v>
      </c>
      <c r="G816">
        <v>1</v>
      </c>
      <c r="H816">
        <v>1</v>
      </c>
      <c r="J816">
        <v>35</v>
      </c>
      <c r="K816">
        <v>1</v>
      </c>
      <c r="L816">
        <v>1</v>
      </c>
      <c r="M816">
        <v>1</v>
      </c>
      <c r="N816">
        <v>1</v>
      </c>
      <c r="O816">
        <v>1</v>
      </c>
      <c r="P816">
        <v>1</v>
      </c>
      <c r="R816">
        <v>35</v>
      </c>
      <c r="S816">
        <v>1</v>
      </c>
      <c r="T816">
        <v>1</v>
      </c>
      <c r="U816">
        <v>1</v>
      </c>
      <c r="V816">
        <v>1</v>
      </c>
      <c r="W816">
        <v>1</v>
      </c>
      <c r="X816">
        <v>1</v>
      </c>
      <c r="AA816">
        <v>-5155.4901</v>
      </c>
      <c r="AB816">
        <v>-5155.4901</v>
      </c>
      <c r="AC816">
        <v>-5155.4901</v>
      </c>
      <c r="AD816">
        <v>-5155.4901</v>
      </c>
      <c r="AE816">
        <v>-5155.4901</v>
      </c>
      <c r="AF816">
        <v>-5155.4901</v>
      </c>
    </row>
    <row r="817" spans="2:32" x14ac:dyDescent="0.25">
      <c r="B817">
        <v>36</v>
      </c>
      <c r="C817">
        <v>1</v>
      </c>
      <c r="D817">
        <v>1</v>
      </c>
      <c r="E817">
        <v>1</v>
      </c>
      <c r="F817">
        <v>1</v>
      </c>
      <c r="G817">
        <v>1</v>
      </c>
      <c r="H817">
        <v>1</v>
      </c>
      <c r="J817">
        <v>36</v>
      </c>
      <c r="K817">
        <v>1</v>
      </c>
      <c r="L817">
        <v>1</v>
      </c>
      <c r="M817">
        <v>1</v>
      </c>
      <c r="N817">
        <v>1</v>
      </c>
      <c r="O817">
        <v>1</v>
      </c>
      <c r="P817">
        <v>1</v>
      </c>
      <c r="R817">
        <v>36</v>
      </c>
      <c r="S817">
        <v>1</v>
      </c>
      <c r="T817">
        <v>1</v>
      </c>
      <c r="U817">
        <v>1</v>
      </c>
      <c r="V817">
        <v>1</v>
      </c>
      <c r="W817">
        <v>1</v>
      </c>
      <c r="X817">
        <v>1</v>
      </c>
      <c r="AA817">
        <v>-5151.8950999999997</v>
      </c>
      <c r="AB817">
        <v>-5151.8950999999997</v>
      </c>
      <c r="AC817">
        <v>-5151.8950999999997</v>
      </c>
      <c r="AD817">
        <v>-5151.8950999999997</v>
      </c>
      <c r="AE817">
        <v>-5151.8950999999997</v>
      </c>
      <c r="AF817">
        <v>-5151.8950999999997</v>
      </c>
    </row>
    <row r="818" spans="2:32" x14ac:dyDescent="0.25">
      <c r="B818">
        <v>37</v>
      </c>
      <c r="C818">
        <v>1</v>
      </c>
      <c r="D818">
        <v>1</v>
      </c>
      <c r="E818">
        <v>1</v>
      </c>
      <c r="F818">
        <v>1</v>
      </c>
      <c r="G818">
        <v>1</v>
      </c>
      <c r="H818">
        <v>1</v>
      </c>
      <c r="J818">
        <v>37</v>
      </c>
      <c r="K818">
        <v>1</v>
      </c>
      <c r="L818">
        <v>1</v>
      </c>
      <c r="M818">
        <v>1</v>
      </c>
      <c r="N818">
        <v>1</v>
      </c>
      <c r="O818">
        <v>1</v>
      </c>
      <c r="P818">
        <v>1</v>
      </c>
      <c r="R818">
        <v>37</v>
      </c>
      <c r="S818">
        <v>1</v>
      </c>
      <c r="T818">
        <v>1</v>
      </c>
      <c r="U818">
        <v>1</v>
      </c>
      <c r="V818">
        <v>1</v>
      </c>
      <c r="W818">
        <v>1</v>
      </c>
      <c r="X818">
        <v>1</v>
      </c>
      <c r="AA818">
        <v>-5147.9106000000002</v>
      </c>
      <c r="AB818">
        <v>-5147.9106000000002</v>
      </c>
      <c r="AC818">
        <v>-5147.9106000000002</v>
      </c>
      <c r="AD818">
        <v>-5147.9106000000002</v>
      </c>
      <c r="AE818">
        <v>-5147.9106000000002</v>
      </c>
      <c r="AF818">
        <v>-5147.9106000000002</v>
      </c>
    </row>
    <row r="819" spans="2:32" x14ac:dyDescent="0.25">
      <c r="B819">
        <v>38</v>
      </c>
      <c r="C819">
        <v>1</v>
      </c>
      <c r="D819">
        <v>1</v>
      </c>
      <c r="E819">
        <v>1</v>
      </c>
      <c r="F819">
        <v>1</v>
      </c>
      <c r="G819">
        <v>1</v>
      </c>
      <c r="H819">
        <v>1</v>
      </c>
      <c r="J819">
        <v>38</v>
      </c>
      <c r="K819">
        <v>1</v>
      </c>
      <c r="L819">
        <v>1</v>
      </c>
      <c r="M819">
        <v>1</v>
      </c>
      <c r="N819">
        <v>1</v>
      </c>
      <c r="O819">
        <v>1</v>
      </c>
      <c r="P819">
        <v>1</v>
      </c>
      <c r="R819">
        <v>38</v>
      </c>
      <c r="S819">
        <v>1</v>
      </c>
      <c r="T819">
        <v>1</v>
      </c>
      <c r="U819">
        <v>1</v>
      </c>
      <c r="V819">
        <v>1</v>
      </c>
      <c r="W819">
        <v>1</v>
      </c>
      <c r="X819">
        <v>1</v>
      </c>
      <c r="AA819">
        <v>-5143.5393999999997</v>
      </c>
      <c r="AB819">
        <v>-5143.5393999999997</v>
      </c>
      <c r="AC819">
        <v>-5143.5393999999997</v>
      </c>
      <c r="AD819">
        <v>-5143.5393999999997</v>
      </c>
      <c r="AE819">
        <v>-5143.5393999999997</v>
      </c>
      <c r="AF819">
        <v>-5143.5393999999997</v>
      </c>
    </row>
    <row r="820" spans="2:32" x14ac:dyDescent="0.25">
      <c r="B820">
        <v>39</v>
      </c>
      <c r="C820">
        <v>1</v>
      </c>
      <c r="D820">
        <v>1</v>
      </c>
      <c r="E820">
        <v>1</v>
      </c>
      <c r="F820">
        <v>1</v>
      </c>
      <c r="G820">
        <v>1</v>
      </c>
      <c r="H820">
        <v>1</v>
      </c>
      <c r="J820">
        <v>39</v>
      </c>
      <c r="K820">
        <v>1</v>
      </c>
      <c r="L820">
        <v>1</v>
      </c>
      <c r="M820">
        <v>1</v>
      </c>
      <c r="N820">
        <v>1</v>
      </c>
      <c r="O820">
        <v>1</v>
      </c>
      <c r="P820">
        <v>1</v>
      </c>
      <c r="R820">
        <v>39</v>
      </c>
      <c r="S820">
        <v>1</v>
      </c>
      <c r="T820">
        <v>1</v>
      </c>
      <c r="U820">
        <v>1</v>
      </c>
      <c r="V820">
        <v>1</v>
      </c>
      <c r="W820">
        <v>1</v>
      </c>
      <c r="X820">
        <v>1</v>
      </c>
      <c r="AA820">
        <v>-5138.76</v>
      </c>
      <c r="AB820">
        <v>-5138.76</v>
      </c>
      <c r="AC820">
        <v>-5138.76</v>
      </c>
      <c r="AD820">
        <v>-5138.76</v>
      </c>
      <c r="AE820">
        <v>-5138.76</v>
      </c>
      <c r="AF820">
        <v>-5138.76</v>
      </c>
    </row>
    <row r="821" spans="2:32" x14ac:dyDescent="0.25">
      <c r="B821">
        <v>40</v>
      </c>
      <c r="C821">
        <v>1</v>
      </c>
      <c r="D821">
        <v>1</v>
      </c>
      <c r="E821">
        <v>1</v>
      </c>
      <c r="F821">
        <v>1</v>
      </c>
      <c r="G821">
        <v>1</v>
      </c>
      <c r="H821">
        <v>1</v>
      </c>
      <c r="J821">
        <v>40</v>
      </c>
      <c r="K821">
        <v>1</v>
      </c>
      <c r="L821">
        <v>1</v>
      </c>
      <c r="M821">
        <v>1</v>
      </c>
      <c r="N821">
        <v>1</v>
      </c>
      <c r="O821">
        <v>1</v>
      </c>
      <c r="P821">
        <v>1</v>
      </c>
      <c r="R821">
        <v>40</v>
      </c>
      <c r="S821">
        <v>1</v>
      </c>
      <c r="T821">
        <v>1</v>
      </c>
      <c r="U821">
        <v>1</v>
      </c>
      <c r="V821">
        <v>1</v>
      </c>
      <c r="W821">
        <v>1</v>
      </c>
      <c r="X821">
        <v>1</v>
      </c>
      <c r="AA821">
        <v>-5133.5084999999999</v>
      </c>
      <c r="AB821">
        <v>-5133.5084999999999</v>
      </c>
      <c r="AC821">
        <v>-5133.5084999999999</v>
      </c>
      <c r="AD821">
        <v>-5133.5084999999999</v>
      </c>
      <c r="AE821">
        <v>-5133.5084999999999</v>
      </c>
      <c r="AF821">
        <v>-5133.5084999999999</v>
      </c>
    </row>
    <row r="822" spans="2:32" x14ac:dyDescent="0.25">
      <c r="B822">
        <v>41</v>
      </c>
      <c r="C822">
        <v>1</v>
      </c>
      <c r="D822">
        <v>1</v>
      </c>
      <c r="E822">
        <v>1</v>
      </c>
      <c r="F822">
        <v>1</v>
      </c>
      <c r="G822">
        <v>1</v>
      </c>
      <c r="H822">
        <v>1</v>
      </c>
      <c r="J822">
        <v>41</v>
      </c>
      <c r="K822">
        <v>1</v>
      </c>
      <c r="L822">
        <v>1</v>
      </c>
      <c r="M822">
        <v>1</v>
      </c>
      <c r="N822">
        <v>1</v>
      </c>
      <c r="O822">
        <v>1</v>
      </c>
      <c r="P822">
        <v>1</v>
      </c>
      <c r="R822">
        <v>41</v>
      </c>
      <c r="S822">
        <v>1</v>
      </c>
      <c r="T822">
        <v>1</v>
      </c>
      <c r="U822">
        <v>1</v>
      </c>
      <c r="V822">
        <v>1</v>
      </c>
      <c r="W822">
        <v>1</v>
      </c>
      <c r="X822">
        <v>1</v>
      </c>
      <c r="AA822">
        <v>-5127.7236000000003</v>
      </c>
      <c r="AB822">
        <v>-5127.7236000000003</v>
      </c>
      <c r="AC822">
        <v>-5127.7236000000003</v>
      </c>
      <c r="AD822">
        <v>-5127.7236000000003</v>
      </c>
      <c r="AE822">
        <v>-5127.7236000000003</v>
      </c>
      <c r="AF822">
        <v>-5127.7236000000003</v>
      </c>
    </row>
    <row r="823" spans="2:32" x14ac:dyDescent="0.25">
      <c r="B823">
        <v>42</v>
      </c>
      <c r="C823">
        <v>1</v>
      </c>
      <c r="D823">
        <v>1</v>
      </c>
      <c r="E823">
        <v>1</v>
      </c>
      <c r="F823">
        <v>1</v>
      </c>
      <c r="G823">
        <v>1</v>
      </c>
      <c r="H823">
        <v>1</v>
      </c>
      <c r="J823">
        <v>42</v>
      </c>
      <c r="K823">
        <v>1</v>
      </c>
      <c r="L823">
        <v>1</v>
      </c>
      <c r="M823">
        <v>1</v>
      </c>
      <c r="N823">
        <v>1</v>
      </c>
      <c r="O823">
        <v>1</v>
      </c>
      <c r="P823">
        <v>1</v>
      </c>
      <c r="R823">
        <v>42</v>
      </c>
      <c r="S823">
        <v>1</v>
      </c>
      <c r="T823">
        <v>1</v>
      </c>
      <c r="U823">
        <v>1</v>
      </c>
      <c r="V823">
        <v>1</v>
      </c>
      <c r="W823">
        <v>1</v>
      </c>
      <c r="X823">
        <v>1</v>
      </c>
      <c r="AA823">
        <v>-5121.3726999999999</v>
      </c>
      <c r="AB823">
        <v>-5121.3726999999999</v>
      </c>
      <c r="AC823">
        <v>-5121.3726999999999</v>
      </c>
      <c r="AD823">
        <v>-5121.3726999999999</v>
      </c>
      <c r="AE823">
        <v>-5121.3726999999999</v>
      </c>
      <c r="AF823">
        <v>-5121.3726999999999</v>
      </c>
    </row>
    <row r="824" spans="2:32" x14ac:dyDescent="0.25">
      <c r="B824">
        <v>43</v>
      </c>
      <c r="C824">
        <v>1</v>
      </c>
      <c r="D824">
        <v>1</v>
      </c>
      <c r="E824">
        <v>1</v>
      </c>
      <c r="F824">
        <v>1</v>
      </c>
      <c r="G824">
        <v>1</v>
      </c>
      <c r="H824">
        <v>1</v>
      </c>
      <c r="J824">
        <v>43</v>
      </c>
      <c r="K824">
        <v>1</v>
      </c>
      <c r="L824">
        <v>1</v>
      </c>
      <c r="M824">
        <v>1</v>
      </c>
      <c r="N824">
        <v>1</v>
      </c>
      <c r="O824">
        <v>1</v>
      </c>
      <c r="P824">
        <v>1</v>
      </c>
      <c r="R824">
        <v>43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AA824">
        <v>-5114.3449000000001</v>
      </c>
      <c r="AB824">
        <v>-5114.3449000000001</v>
      </c>
      <c r="AC824">
        <v>-5114.3449000000001</v>
      </c>
      <c r="AD824">
        <v>-5114.3449000000001</v>
      </c>
      <c r="AE824">
        <v>-5114.3449000000001</v>
      </c>
      <c r="AF824">
        <v>-5114.3449000000001</v>
      </c>
    </row>
    <row r="825" spans="2:32" x14ac:dyDescent="0.25">
      <c r="B825">
        <v>44</v>
      </c>
      <c r="C825">
        <v>1</v>
      </c>
      <c r="D825">
        <v>1</v>
      </c>
      <c r="E825">
        <v>1</v>
      </c>
      <c r="F825">
        <v>1</v>
      </c>
      <c r="G825">
        <v>1</v>
      </c>
      <c r="H825">
        <v>1</v>
      </c>
      <c r="J825">
        <v>44</v>
      </c>
      <c r="K825">
        <v>1</v>
      </c>
      <c r="L825">
        <v>1</v>
      </c>
      <c r="M825">
        <v>1</v>
      </c>
      <c r="N825">
        <v>1</v>
      </c>
      <c r="O825">
        <v>1</v>
      </c>
      <c r="P825">
        <v>1</v>
      </c>
      <c r="R825">
        <v>44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AA825">
        <v>-5106.5976000000001</v>
      </c>
      <c r="AB825">
        <v>-5106.5976000000001</v>
      </c>
      <c r="AC825">
        <v>-5106.5976000000001</v>
      </c>
      <c r="AD825">
        <v>-5106.5976000000001</v>
      </c>
      <c r="AE825">
        <v>-5106.5976000000001</v>
      </c>
      <c r="AF825">
        <v>-5106.5976000000001</v>
      </c>
    </row>
    <row r="826" spans="2:32" x14ac:dyDescent="0.25">
      <c r="B826">
        <v>45</v>
      </c>
      <c r="C826">
        <v>1</v>
      </c>
      <c r="D826">
        <v>1</v>
      </c>
      <c r="E826">
        <v>1</v>
      </c>
      <c r="F826">
        <v>1</v>
      </c>
      <c r="G826">
        <v>1</v>
      </c>
      <c r="H826">
        <v>1</v>
      </c>
      <c r="J826">
        <v>45</v>
      </c>
      <c r="K826">
        <v>1</v>
      </c>
      <c r="L826">
        <v>1</v>
      </c>
      <c r="M826">
        <v>1</v>
      </c>
      <c r="N826">
        <v>1</v>
      </c>
      <c r="O826">
        <v>1</v>
      </c>
      <c r="P826">
        <v>1</v>
      </c>
      <c r="R826">
        <v>45</v>
      </c>
      <c r="S826">
        <v>1</v>
      </c>
      <c r="T826">
        <v>1</v>
      </c>
      <c r="U826">
        <v>1</v>
      </c>
      <c r="V826">
        <v>1</v>
      </c>
      <c r="W826">
        <v>1</v>
      </c>
      <c r="X826">
        <v>1</v>
      </c>
      <c r="AA826">
        <v>-5098.0524999999998</v>
      </c>
      <c r="AB826">
        <v>-5098.0524999999998</v>
      </c>
      <c r="AC826">
        <v>-5098.0524999999998</v>
      </c>
      <c r="AD826">
        <v>-5098.0524999999998</v>
      </c>
      <c r="AE826">
        <v>-5098.0524999999998</v>
      </c>
      <c r="AF826">
        <v>-5098.0524999999998</v>
      </c>
    </row>
    <row r="827" spans="2:32" x14ac:dyDescent="0.25">
      <c r="B827">
        <v>46</v>
      </c>
      <c r="C827">
        <v>1</v>
      </c>
      <c r="D827">
        <v>1</v>
      </c>
      <c r="E827">
        <v>1</v>
      </c>
      <c r="F827">
        <v>1</v>
      </c>
      <c r="G827">
        <v>1</v>
      </c>
      <c r="H827">
        <v>1</v>
      </c>
      <c r="J827">
        <v>46</v>
      </c>
      <c r="K827">
        <v>1</v>
      </c>
      <c r="L827">
        <v>1</v>
      </c>
      <c r="M827">
        <v>1</v>
      </c>
      <c r="N827">
        <v>1</v>
      </c>
      <c r="O827">
        <v>1</v>
      </c>
      <c r="P827">
        <v>1</v>
      </c>
      <c r="R827">
        <v>46</v>
      </c>
      <c r="S827">
        <v>1</v>
      </c>
      <c r="T827">
        <v>1</v>
      </c>
      <c r="U827">
        <v>1</v>
      </c>
      <c r="V827">
        <v>1</v>
      </c>
      <c r="W827">
        <v>1</v>
      </c>
      <c r="X827">
        <v>1</v>
      </c>
      <c r="AA827">
        <v>-5088.6378000000004</v>
      </c>
      <c r="AB827">
        <v>-5088.6378000000004</v>
      </c>
      <c r="AC827">
        <v>-5088.6378000000004</v>
      </c>
      <c r="AD827">
        <v>-5088.6378000000004</v>
      </c>
      <c r="AE827">
        <v>-5088.6378000000004</v>
      </c>
      <c r="AF827">
        <v>-5088.6378000000004</v>
      </c>
    </row>
    <row r="828" spans="2:32" x14ac:dyDescent="0.25">
      <c r="B828">
        <v>47</v>
      </c>
      <c r="C828">
        <v>1</v>
      </c>
      <c r="D828">
        <v>1</v>
      </c>
      <c r="E828">
        <v>1</v>
      </c>
      <c r="F828">
        <v>1</v>
      </c>
      <c r="G828">
        <v>1</v>
      </c>
      <c r="H828">
        <v>1</v>
      </c>
      <c r="J828">
        <v>47</v>
      </c>
      <c r="K828">
        <v>1</v>
      </c>
      <c r="L828">
        <v>1</v>
      </c>
      <c r="M828">
        <v>1</v>
      </c>
      <c r="N828">
        <v>1</v>
      </c>
      <c r="O828">
        <v>1</v>
      </c>
      <c r="P828">
        <v>1</v>
      </c>
      <c r="R828">
        <v>47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AA828">
        <v>-5078.2593999999999</v>
      </c>
      <c r="AB828">
        <v>-5078.2593999999999</v>
      </c>
      <c r="AC828">
        <v>-5078.2593999999999</v>
      </c>
      <c r="AD828">
        <v>-5078.2593999999999</v>
      </c>
      <c r="AE828">
        <v>-5078.2593999999999</v>
      </c>
      <c r="AF828">
        <v>-5078.2593999999999</v>
      </c>
    </row>
    <row r="829" spans="2:32" x14ac:dyDescent="0.25">
      <c r="B829">
        <v>48</v>
      </c>
      <c r="C829">
        <v>1</v>
      </c>
      <c r="D829">
        <v>1</v>
      </c>
      <c r="E829">
        <v>1</v>
      </c>
      <c r="F829">
        <v>1</v>
      </c>
      <c r="G829">
        <v>1</v>
      </c>
      <c r="H829">
        <v>1</v>
      </c>
      <c r="J829">
        <v>48</v>
      </c>
      <c r="K829">
        <v>1</v>
      </c>
      <c r="L829">
        <v>1</v>
      </c>
      <c r="M829">
        <v>1</v>
      </c>
      <c r="N829">
        <v>1</v>
      </c>
      <c r="O829">
        <v>1</v>
      </c>
      <c r="P829">
        <v>1</v>
      </c>
      <c r="R829">
        <v>48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AA829">
        <v>-5066.8732</v>
      </c>
      <c r="AB829">
        <v>-5066.8732</v>
      </c>
      <c r="AC829">
        <v>-5066.8732</v>
      </c>
      <c r="AD829">
        <v>-5066.8732</v>
      </c>
      <c r="AE829">
        <v>-5066.8732</v>
      </c>
      <c r="AF829">
        <v>-5066.8732</v>
      </c>
    </row>
    <row r="830" spans="2:32" x14ac:dyDescent="0.25">
      <c r="B830">
        <v>49</v>
      </c>
      <c r="C830">
        <v>1</v>
      </c>
      <c r="D830">
        <v>1</v>
      </c>
      <c r="E830">
        <v>1</v>
      </c>
      <c r="F830">
        <v>1</v>
      </c>
      <c r="G830">
        <v>1</v>
      </c>
      <c r="H830">
        <v>1</v>
      </c>
      <c r="J830">
        <v>49</v>
      </c>
      <c r="K830">
        <v>1</v>
      </c>
      <c r="L830">
        <v>1</v>
      </c>
      <c r="M830">
        <v>1</v>
      </c>
      <c r="N830">
        <v>1</v>
      </c>
      <c r="O830">
        <v>1</v>
      </c>
      <c r="P830">
        <v>1</v>
      </c>
      <c r="R830">
        <v>49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AA830">
        <v>-5054.4124000000002</v>
      </c>
      <c r="AB830">
        <v>-5054.4124000000002</v>
      </c>
      <c r="AC830">
        <v>-5054.4124000000002</v>
      </c>
      <c r="AD830">
        <v>-5054.4124000000002</v>
      </c>
      <c r="AE830">
        <v>-5054.4124000000002</v>
      </c>
      <c r="AF830">
        <v>-5054.4124000000002</v>
      </c>
    </row>
    <row r="831" spans="2:32" x14ac:dyDescent="0.25">
      <c r="B831">
        <v>50</v>
      </c>
      <c r="C831">
        <v>1</v>
      </c>
      <c r="D831">
        <v>1</v>
      </c>
      <c r="E831">
        <v>1</v>
      </c>
      <c r="F831">
        <v>1</v>
      </c>
      <c r="G831">
        <v>1</v>
      </c>
      <c r="H831">
        <v>1</v>
      </c>
      <c r="J831">
        <v>50</v>
      </c>
      <c r="K831">
        <v>1</v>
      </c>
      <c r="L831">
        <v>1</v>
      </c>
      <c r="M831">
        <v>1</v>
      </c>
      <c r="N831">
        <v>1</v>
      </c>
      <c r="O831">
        <v>1</v>
      </c>
      <c r="P831">
        <v>1</v>
      </c>
      <c r="R831">
        <v>50</v>
      </c>
      <c r="S831">
        <v>1</v>
      </c>
      <c r="T831">
        <v>1</v>
      </c>
      <c r="U831">
        <v>1</v>
      </c>
      <c r="V831">
        <v>1</v>
      </c>
      <c r="W831">
        <v>1</v>
      </c>
      <c r="X831">
        <v>1</v>
      </c>
      <c r="AA831">
        <v>-5040.7671</v>
      </c>
      <c r="AB831">
        <v>-5040.7671</v>
      </c>
      <c r="AC831">
        <v>-5040.7671</v>
      </c>
      <c r="AD831">
        <v>-5040.7671</v>
      </c>
      <c r="AE831">
        <v>-5040.7671</v>
      </c>
      <c r="AF831">
        <v>-5040.7671</v>
      </c>
    </row>
    <row r="832" spans="2:32" x14ac:dyDescent="0.25">
      <c r="B832">
        <v>51</v>
      </c>
      <c r="C832">
        <v>1</v>
      </c>
      <c r="D832">
        <v>1</v>
      </c>
      <c r="E832">
        <v>1</v>
      </c>
      <c r="F832">
        <v>1</v>
      </c>
      <c r="G832">
        <v>1</v>
      </c>
      <c r="H832">
        <v>1</v>
      </c>
      <c r="J832">
        <v>51</v>
      </c>
      <c r="K832">
        <v>1</v>
      </c>
      <c r="L832">
        <v>1</v>
      </c>
      <c r="M832">
        <v>1</v>
      </c>
      <c r="N832">
        <v>1</v>
      </c>
      <c r="O832">
        <v>1</v>
      </c>
      <c r="P832">
        <v>1</v>
      </c>
      <c r="R832">
        <v>51</v>
      </c>
      <c r="S832">
        <v>1</v>
      </c>
      <c r="T832">
        <v>1</v>
      </c>
      <c r="U832">
        <v>1</v>
      </c>
      <c r="V832">
        <v>1</v>
      </c>
      <c r="W832">
        <v>1</v>
      </c>
      <c r="X832">
        <v>1</v>
      </c>
      <c r="AA832">
        <v>-5025.8329000000003</v>
      </c>
      <c r="AB832">
        <v>-5025.8329000000003</v>
      </c>
      <c r="AC832">
        <v>-5025.8329000000003</v>
      </c>
      <c r="AD832">
        <v>-5025.8329000000003</v>
      </c>
      <c r="AE832">
        <v>-5025.8329000000003</v>
      </c>
      <c r="AF832">
        <v>-5025.8329000000003</v>
      </c>
    </row>
    <row r="833" spans="2:32" x14ac:dyDescent="0.25">
      <c r="B833">
        <v>52</v>
      </c>
      <c r="C833">
        <v>1</v>
      </c>
      <c r="D833">
        <v>1</v>
      </c>
      <c r="E833">
        <v>1</v>
      </c>
      <c r="F833">
        <v>1</v>
      </c>
      <c r="G833">
        <v>1</v>
      </c>
      <c r="H833">
        <v>1</v>
      </c>
      <c r="J833">
        <v>52</v>
      </c>
      <c r="K833">
        <v>1</v>
      </c>
      <c r="L833">
        <v>1</v>
      </c>
      <c r="M833">
        <v>1</v>
      </c>
      <c r="N833">
        <v>1</v>
      </c>
      <c r="O833">
        <v>1</v>
      </c>
      <c r="P833">
        <v>1</v>
      </c>
      <c r="R833">
        <v>52</v>
      </c>
      <c r="S833">
        <v>1</v>
      </c>
      <c r="T833">
        <v>1</v>
      </c>
      <c r="U833">
        <v>1</v>
      </c>
      <c r="V833">
        <v>1</v>
      </c>
      <c r="W833">
        <v>1</v>
      </c>
      <c r="X833">
        <v>1</v>
      </c>
      <c r="AA833">
        <v>-5009.4771000000001</v>
      </c>
      <c r="AB833">
        <v>-5009.4771000000001</v>
      </c>
      <c r="AC833">
        <v>-5009.4771000000001</v>
      </c>
      <c r="AD833">
        <v>-5009.4771000000001</v>
      </c>
      <c r="AE833">
        <v>-5009.4771000000001</v>
      </c>
      <c r="AF833">
        <v>-5009.4771000000001</v>
      </c>
    </row>
    <row r="834" spans="2:32" x14ac:dyDescent="0.25">
      <c r="B834">
        <v>53</v>
      </c>
      <c r="C834">
        <v>1</v>
      </c>
      <c r="D834">
        <v>1</v>
      </c>
      <c r="E834">
        <v>1</v>
      </c>
      <c r="F834">
        <v>1</v>
      </c>
      <c r="G834">
        <v>1</v>
      </c>
      <c r="H834">
        <v>1</v>
      </c>
      <c r="J834">
        <v>53</v>
      </c>
      <c r="K834">
        <v>1</v>
      </c>
      <c r="L834">
        <v>1</v>
      </c>
      <c r="M834">
        <v>1</v>
      </c>
      <c r="N834">
        <v>1</v>
      </c>
      <c r="O834">
        <v>1</v>
      </c>
      <c r="P834">
        <v>1</v>
      </c>
      <c r="R834">
        <v>53</v>
      </c>
      <c r="S834">
        <v>1</v>
      </c>
      <c r="T834">
        <v>1</v>
      </c>
      <c r="U834">
        <v>1</v>
      </c>
      <c r="V834">
        <v>1</v>
      </c>
      <c r="W834">
        <v>1</v>
      </c>
      <c r="X834">
        <v>1</v>
      </c>
      <c r="AA834">
        <v>-4991.6184000000003</v>
      </c>
      <c r="AB834">
        <v>-4991.6184000000003</v>
      </c>
      <c r="AC834">
        <v>-4991.6184000000003</v>
      </c>
      <c r="AD834">
        <v>-4991.6184000000003</v>
      </c>
      <c r="AE834">
        <v>-4991.6184000000003</v>
      </c>
      <c r="AF834">
        <v>-4991.6184000000003</v>
      </c>
    </row>
    <row r="835" spans="2:32" x14ac:dyDescent="0.25">
      <c r="B835">
        <v>54</v>
      </c>
      <c r="C835">
        <v>1</v>
      </c>
      <c r="D835">
        <v>1</v>
      </c>
      <c r="E835">
        <v>1</v>
      </c>
      <c r="F835">
        <v>1</v>
      </c>
      <c r="G835">
        <v>1</v>
      </c>
      <c r="H835">
        <v>1</v>
      </c>
      <c r="J835">
        <v>54</v>
      </c>
      <c r="K835">
        <v>1</v>
      </c>
      <c r="L835">
        <v>1</v>
      </c>
      <c r="M835">
        <v>1</v>
      </c>
      <c r="N835">
        <v>1</v>
      </c>
      <c r="O835">
        <v>1</v>
      </c>
      <c r="P835">
        <v>1</v>
      </c>
      <c r="R835">
        <v>54</v>
      </c>
      <c r="S835">
        <v>1</v>
      </c>
      <c r="T835">
        <v>1</v>
      </c>
      <c r="U835">
        <v>1</v>
      </c>
      <c r="V835">
        <v>1</v>
      </c>
      <c r="W835">
        <v>1</v>
      </c>
      <c r="X835">
        <v>1</v>
      </c>
      <c r="AA835">
        <v>-4972.1588000000002</v>
      </c>
      <c r="AB835">
        <v>-4972.1588000000002</v>
      </c>
      <c r="AC835">
        <v>-4972.1588000000002</v>
      </c>
      <c r="AD835">
        <v>-4972.1588000000002</v>
      </c>
      <c r="AE835">
        <v>-4972.1588000000002</v>
      </c>
      <c r="AF835">
        <v>-4972.1588000000002</v>
      </c>
    </row>
    <row r="836" spans="2:32" x14ac:dyDescent="0.25">
      <c r="B836">
        <v>55</v>
      </c>
      <c r="C836">
        <v>1</v>
      </c>
      <c r="D836">
        <v>1</v>
      </c>
      <c r="E836">
        <v>1</v>
      </c>
      <c r="F836">
        <v>1</v>
      </c>
      <c r="G836">
        <v>1</v>
      </c>
      <c r="H836">
        <v>1</v>
      </c>
      <c r="J836">
        <v>55</v>
      </c>
      <c r="K836">
        <v>1</v>
      </c>
      <c r="L836">
        <v>1</v>
      </c>
      <c r="M836">
        <v>1</v>
      </c>
      <c r="N836">
        <v>1</v>
      </c>
      <c r="O836">
        <v>1</v>
      </c>
      <c r="P836">
        <v>1</v>
      </c>
      <c r="R836">
        <v>55</v>
      </c>
      <c r="S836">
        <v>1</v>
      </c>
      <c r="T836">
        <v>1</v>
      </c>
      <c r="U836">
        <v>1</v>
      </c>
      <c r="V836">
        <v>1</v>
      </c>
      <c r="W836">
        <v>1</v>
      </c>
      <c r="X836">
        <v>1</v>
      </c>
      <c r="AA836">
        <v>-4950.9426000000003</v>
      </c>
      <c r="AB836">
        <v>-4950.9426000000003</v>
      </c>
      <c r="AC836">
        <v>-4950.9426000000003</v>
      </c>
      <c r="AD836">
        <v>-4950.9426000000003</v>
      </c>
      <c r="AE836">
        <v>-4950.9426000000003</v>
      </c>
      <c r="AF836">
        <v>-4950.9426000000003</v>
      </c>
    </row>
    <row r="839" spans="2:32" x14ac:dyDescent="0.25">
      <c r="B839" t="s">
        <v>46</v>
      </c>
      <c r="C839">
        <v>100000</v>
      </c>
      <c r="D839">
        <v>250000</v>
      </c>
      <c r="E839">
        <v>500000</v>
      </c>
      <c r="F839">
        <v>1000000</v>
      </c>
      <c r="G839">
        <v>2000000</v>
      </c>
      <c r="J839" t="s">
        <v>32</v>
      </c>
      <c r="K839">
        <v>100000</v>
      </c>
      <c r="L839">
        <v>250000</v>
      </c>
      <c r="M839">
        <v>500000</v>
      </c>
      <c r="N839">
        <v>1000000</v>
      </c>
      <c r="O839">
        <v>2000000</v>
      </c>
      <c r="R839" t="s">
        <v>48</v>
      </c>
      <c r="S839">
        <v>100000</v>
      </c>
      <c r="T839">
        <v>250000</v>
      </c>
      <c r="U839">
        <v>500000</v>
      </c>
      <c r="V839">
        <v>1000000</v>
      </c>
      <c r="W839">
        <v>2000000</v>
      </c>
    </row>
    <row r="840" spans="2:32" x14ac:dyDescent="0.25">
      <c r="B840">
        <v>35</v>
      </c>
      <c r="C840">
        <v>1</v>
      </c>
      <c r="D840">
        <v>1</v>
      </c>
      <c r="E840">
        <v>1</v>
      </c>
      <c r="F840">
        <v>1</v>
      </c>
      <c r="G840">
        <v>1</v>
      </c>
      <c r="J840">
        <v>35</v>
      </c>
      <c r="K840">
        <v>1</v>
      </c>
      <c r="L840">
        <v>1</v>
      </c>
      <c r="M840">
        <v>1</v>
      </c>
      <c r="N840">
        <v>1</v>
      </c>
      <c r="O840">
        <v>1</v>
      </c>
      <c r="R840">
        <v>35</v>
      </c>
      <c r="S840">
        <v>1</v>
      </c>
      <c r="T840">
        <v>1</v>
      </c>
      <c r="U840">
        <v>1</v>
      </c>
      <c r="V840">
        <v>1</v>
      </c>
      <c r="W840">
        <v>1</v>
      </c>
      <c r="AA840">
        <v>-8996.1419000000005</v>
      </c>
      <c r="AB840">
        <v>-8996.1419000000005</v>
      </c>
      <c r="AC840">
        <v>-8996.1419000000005</v>
      </c>
      <c r="AD840">
        <v>-8996.1419000000005</v>
      </c>
      <c r="AE840">
        <v>-8996.1419000000005</v>
      </c>
      <c r="AF840">
        <v>-759112.79520000005</v>
      </c>
    </row>
    <row r="841" spans="2:32" x14ac:dyDescent="0.25">
      <c r="B841">
        <f t="shared" ref="B841:B870" si="36">B840+1</f>
        <v>36</v>
      </c>
      <c r="C841">
        <v>1</v>
      </c>
      <c r="D841">
        <v>1</v>
      </c>
      <c r="E841">
        <v>1</v>
      </c>
      <c r="F841">
        <v>1</v>
      </c>
      <c r="G841">
        <v>1</v>
      </c>
      <c r="J841">
        <f t="shared" ref="J841:J870" si="37">J840+1</f>
        <v>36</v>
      </c>
      <c r="K841">
        <v>1</v>
      </c>
      <c r="L841">
        <v>1</v>
      </c>
      <c r="M841">
        <v>1</v>
      </c>
      <c r="N841">
        <v>1</v>
      </c>
      <c r="O841">
        <v>1</v>
      </c>
      <c r="R841">
        <f t="shared" ref="R841:R870" si="38">R840+1</f>
        <v>36</v>
      </c>
      <c r="S841">
        <v>1</v>
      </c>
      <c r="T841">
        <v>1</v>
      </c>
      <c r="U841">
        <v>1</v>
      </c>
      <c r="V841">
        <v>1</v>
      </c>
      <c r="W841">
        <v>1</v>
      </c>
      <c r="AA841">
        <v>-8902.6679999999997</v>
      </c>
      <c r="AB841">
        <v>-8902.6679999999997</v>
      </c>
      <c r="AC841">
        <v>-8902.6679999999997</v>
      </c>
      <c r="AD841">
        <v>-8902.6679999999997</v>
      </c>
      <c r="AE841">
        <v>-8902.6679999999997</v>
      </c>
      <c r="AF841">
        <v>-737070.86179999996</v>
      </c>
    </row>
    <row r="842" spans="2:32" x14ac:dyDescent="0.25">
      <c r="B842">
        <f t="shared" si="36"/>
        <v>37</v>
      </c>
      <c r="C842">
        <v>1</v>
      </c>
      <c r="D842">
        <v>1</v>
      </c>
      <c r="E842">
        <v>1</v>
      </c>
      <c r="F842">
        <v>1</v>
      </c>
      <c r="G842">
        <v>1</v>
      </c>
      <c r="J842">
        <f t="shared" si="37"/>
        <v>37</v>
      </c>
      <c r="K842">
        <v>1</v>
      </c>
      <c r="L842">
        <v>1</v>
      </c>
      <c r="M842">
        <v>1</v>
      </c>
      <c r="N842">
        <v>1</v>
      </c>
      <c r="O842">
        <v>1</v>
      </c>
      <c r="R842">
        <f t="shared" si="38"/>
        <v>37</v>
      </c>
      <c r="S842">
        <v>1</v>
      </c>
      <c r="T842">
        <v>1</v>
      </c>
      <c r="U842">
        <v>1</v>
      </c>
      <c r="V842">
        <v>1</v>
      </c>
      <c r="W842">
        <v>1</v>
      </c>
      <c r="AA842">
        <v>-8806.7960000000003</v>
      </c>
      <c r="AB842">
        <v>-8806.7960000000003</v>
      </c>
      <c r="AC842">
        <v>-8806.7960000000003</v>
      </c>
      <c r="AD842">
        <v>-8806.7960000000003</v>
      </c>
      <c r="AE842">
        <v>-8806.7960000000003</v>
      </c>
      <c r="AF842">
        <v>-765978.91940000001</v>
      </c>
    </row>
    <row r="843" spans="2:32" x14ac:dyDescent="0.25">
      <c r="B843">
        <f t="shared" si="36"/>
        <v>38</v>
      </c>
      <c r="C843">
        <v>1</v>
      </c>
      <c r="D843">
        <v>1</v>
      </c>
      <c r="E843">
        <v>1</v>
      </c>
      <c r="F843">
        <v>1</v>
      </c>
      <c r="G843">
        <v>1</v>
      </c>
      <c r="J843">
        <f t="shared" si="37"/>
        <v>38</v>
      </c>
      <c r="K843">
        <v>1</v>
      </c>
      <c r="L843">
        <v>1</v>
      </c>
      <c r="M843">
        <v>1</v>
      </c>
      <c r="N843">
        <v>1</v>
      </c>
      <c r="O843">
        <v>1</v>
      </c>
      <c r="R843">
        <f t="shared" si="38"/>
        <v>38</v>
      </c>
      <c r="S843">
        <v>1</v>
      </c>
      <c r="T843">
        <v>1</v>
      </c>
      <c r="U843">
        <v>1</v>
      </c>
      <c r="V843">
        <v>1</v>
      </c>
      <c r="W843">
        <v>1</v>
      </c>
      <c r="AA843">
        <v>-8708.6234000000004</v>
      </c>
      <c r="AB843">
        <v>-8708.6234000000004</v>
      </c>
      <c r="AC843">
        <v>-8708.6234000000004</v>
      </c>
      <c r="AD843">
        <v>-8708.6234000000004</v>
      </c>
      <c r="AE843">
        <v>-8708.6234000000004</v>
      </c>
      <c r="AF843">
        <v>-783780.576</v>
      </c>
    </row>
    <row r="844" spans="2:32" x14ac:dyDescent="0.25">
      <c r="B844">
        <f t="shared" si="36"/>
        <v>39</v>
      </c>
      <c r="C844">
        <v>1</v>
      </c>
      <c r="D844">
        <v>1</v>
      </c>
      <c r="E844">
        <v>1</v>
      </c>
      <c r="F844">
        <v>1</v>
      </c>
      <c r="G844">
        <v>1</v>
      </c>
      <c r="J844">
        <f t="shared" si="37"/>
        <v>39</v>
      </c>
      <c r="K844">
        <v>1</v>
      </c>
      <c r="L844">
        <v>1</v>
      </c>
      <c r="M844">
        <v>1</v>
      </c>
      <c r="N844">
        <v>1</v>
      </c>
      <c r="O844">
        <v>1</v>
      </c>
      <c r="R844">
        <f t="shared" si="38"/>
        <v>39</v>
      </c>
      <c r="S844">
        <v>1</v>
      </c>
      <c r="T844">
        <v>1</v>
      </c>
      <c r="U844">
        <v>1</v>
      </c>
      <c r="V844">
        <v>1</v>
      </c>
      <c r="W844">
        <v>1</v>
      </c>
      <c r="AA844">
        <v>-8608.1594000000005</v>
      </c>
      <c r="AB844">
        <v>-8608.1594000000005</v>
      </c>
      <c r="AC844">
        <v>-8608.1594000000005</v>
      </c>
      <c r="AD844">
        <v>-8608.1594000000005</v>
      </c>
      <c r="AE844">
        <v>-8608.1594000000005</v>
      </c>
      <c r="AF844">
        <v>-769662.22069999995</v>
      </c>
    </row>
    <row r="845" spans="2:32" x14ac:dyDescent="0.25">
      <c r="B845">
        <f t="shared" si="36"/>
        <v>40</v>
      </c>
      <c r="C845">
        <v>1</v>
      </c>
      <c r="D845">
        <v>1</v>
      </c>
      <c r="E845">
        <v>1</v>
      </c>
      <c r="F845">
        <v>1</v>
      </c>
      <c r="G845">
        <v>1</v>
      </c>
      <c r="J845">
        <f t="shared" si="37"/>
        <v>40</v>
      </c>
      <c r="K845">
        <v>1</v>
      </c>
      <c r="L845">
        <v>1</v>
      </c>
      <c r="M845">
        <v>1</v>
      </c>
      <c r="N845">
        <v>1</v>
      </c>
      <c r="O845">
        <v>1</v>
      </c>
      <c r="R845">
        <f t="shared" si="38"/>
        <v>40</v>
      </c>
      <c r="S845">
        <v>1</v>
      </c>
      <c r="T845">
        <v>1</v>
      </c>
      <c r="U845">
        <v>1</v>
      </c>
      <c r="V845">
        <v>1</v>
      </c>
      <c r="W845">
        <v>1</v>
      </c>
      <c r="AA845">
        <v>-8505.3439999999991</v>
      </c>
      <c r="AB845">
        <v>-8505.3439999999991</v>
      </c>
      <c r="AC845">
        <v>-8505.3439999999991</v>
      </c>
      <c r="AD845">
        <v>-8505.3439999999991</v>
      </c>
      <c r="AE845">
        <v>-8505.3439999999991</v>
      </c>
      <c r="AF845">
        <v>-798570.41119999997</v>
      </c>
    </row>
    <row r="846" spans="2:32" x14ac:dyDescent="0.25">
      <c r="B846">
        <f t="shared" si="36"/>
        <v>41</v>
      </c>
      <c r="C846">
        <v>1</v>
      </c>
      <c r="D846">
        <v>1</v>
      </c>
      <c r="E846">
        <v>1</v>
      </c>
      <c r="F846">
        <v>1</v>
      </c>
      <c r="G846">
        <v>1</v>
      </c>
      <c r="J846">
        <f t="shared" si="37"/>
        <v>41</v>
      </c>
      <c r="K846">
        <v>1</v>
      </c>
      <c r="L846">
        <v>1</v>
      </c>
      <c r="M846">
        <v>1</v>
      </c>
      <c r="N846">
        <v>1</v>
      </c>
      <c r="O846">
        <v>1</v>
      </c>
      <c r="R846">
        <f t="shared" si="38"/>
        <v>41</v>
      </c>
      <c r="S846">
        <v>1</v>
      </c>
      <c r="T846">
        <v>1</v>
      </c>
      <c r="U846">
        <v>1</v>
      </c>
      <c r="V846">
        <v>1</v>
      </c>
      <c r="W846">
        <v>1</v>
      </c>
      <c r="AA846">
        <v>-8400.1087000000007</v>
      </c>
      <c r="AB846">
        <v>-8400.1087000000007</v>
      </c>
      <c r="AC846">
        <v>-8400.1087000000007</v>
      </c>
      <c r="AD846">
        <v>-8400.1087000000007</v>
      </c>
      <c r="AE846">
        <v>-8400.1087000000007</v>
      </c>
      <c r="AF846">
        <v>-803549.96459999995</v>
      </c>
    </row>
    <row r="847" spans="2:32" x14ac:dyDescent="0.25">
      <c r="B847">
        <f t="shared" si="36"/>
        <v>42</v>
      </c>
      <c r="C847">
        <v>1</v>
      </c>
      <c r="D847">
        <v>1</v>
      </c>
      <c r="E847">
        <v>1</v>
      </c>
      <c r="F847">
        <v>1</v>
      </c>
      <c r="G847">
        <v>1</v>
      </c>
      <c r="J847">
        <f t="shared" si="37"/>
        <v>42</v>
      </c>
      <c r="K847">
        <v>1</v>
      </c>
      <c r="L847">
        <v>1</v>
      </c>
      <c r="M847">
        <v>1</v>
      </c>
      <c r="N847">
        <v>1</v>
      </c>
      <c r="O847">
        <v>1</v>
      </c>
      <c r="R847">
        <f t="shared" si="38"/>
        <v>42</v>
      </c>
      <c r="S847">
        <v>1</v>
      </c>
      <c r="T847">
        <v>1</v>
      </c>
      <c r="U847">
        <v>1</v>
      </c>
      <c r="V847">
        <v>1</v>
      </c>
      <c r="W847">
        <v>1</v>
      </c>
      <c r="AA847">
        <v>-8292.4974999999995</v>
      </c>
      <c r="AB847">
        <v>-8292.4974999999995</v>
      </c>
      <c r="AC847">
        <v>-8292.4974999999995</v>
      </c>
      <c r="AD847">
        <v>-8292.4974999999995</v>
      </c>
      <c r="AE847">
        <v>-8292.4974999999995</v>
      </c>
      <c r="AF847">
        <v>-833551.75890000002</v>
      </c>
    </row>
    <row r="848" spans="2:32" x14ac:dyDescent="0.25">
      <c r="B848">
        <f t="shared" si="36"/>
        <v>43</v>
      </c>
      <c r="C848">
        <v>1</v>
      </c>
      <c r="D848">
        <v>1</v>
      </c>
      <c r="E848">
        <v>1</v>
      </c>
      <c r="F848">
        <v>1</v>
      </c>
      <c r="G848">
        <v>1</v>
      </c>
      <c r="J848">
        <f t="shared" si="37"/>
        <v>43</v>
      </c>
      <c r="K848">
        <v>1</v>
      </c>
      <c r="L848">
        <v>1</v>
      </c>
      <c r="M848">
        <v>1</v>
      </c>
      <c r="N848">
        <v>1</v>
      </c>
      <c r="O848">
        <v>1</v>
      </c>
      <c r="R848">
        <f t="shared" si="38"/>
        <v>43</v>
      </c>
      <c r="S848">
        <v>1</v>
      </c>
      <c r="T848">
        <v>1</v>
      </c>
      <c r="U848">
        <v>1</v>
      </c>
      <c r="V848">
        <v>1</v>
      </c>
      <c r="W848">
        <v>1</v>
      </c>
      <c r="AA848">
        <v>-8182.3909999999996</v>
      </c>
      <c r="AB848">
        <v>-8182.3909999999996</v>
      </c>
      <c r="AC848">
        <v>-8182.3909999999996</v>
      </c>
      <c r="AD848">
        <v>-8182.3909999999996</v>
      </c>
      <c r="AE848">
        <v>-8182.3909999999996</v>
      </c>
      <c r="AF848">
        <v>-833551.75890000002</v>
      </c>
    </row>
    <row r="849" spans="2:32" x14ac:dyDescent="0.25">
      <c r="B849">
        <f t="shared" si="36"/>
        <v>44</v>
      </c>
      <c r="C849">
        <v>1</v>
      </c>
      <c r="D849">
        <v>1</v>
      </c>
      <c r="E849">
        <v>1</v>
      </c>
      <c r="F849">
        <v>1</v>
      </c>
      <c r="G849">
        <v>1</v>
      </c>
      <c r="J849">
        <f t="shared" si="37"/>
        <v>44</v>
      </c>
      <c r="K849">
        <v>1</v>
      </c>
      <c r="L849">
        <v>1</v>
      </c>
      <c r="M849">
        <v>1</v>
      </c>
      <c r="N849">
        <v>1</v>
      </c>
      <c r="O849">
        <v>1</v>
      </c>
      <c r="R849">
        <f t="shared" si="38"/>
        <v>44</v>
      </c>
      <c r="S849">
        <v>1</v>
      </c>
      <c r="T849">
        <v>1</v>
      </c>
      <c r="U849">
        <v>1</v>
      </c>
      <c r="V849">
        <v>1</v>
      </c>
      <c r="W849">
        <v>1</v>
      </c>
      <c r="AA849">
        <v>-8069.8261000000002</v>
      </c>
      <c r="AB849">
        <v>-8069.8261000000002</v>
      </c>
      <c r="AC849">
        <v>-8069.8261000000002</v>
      </c>
      <c r="AD849">
        <v>-8069.8261000000002</v>
      </c>
      <c r="AE849">
        <v>-8069.8261000000002</v>
      </c>
      <c r="AF849">
        <v>-851265.64670000004</v>
      </c>
    </row>
    <row r="850" spans="2:32" x14ac:dyDescent="0.25">
      <c r="B850">
        <f t="shared" si="36"/>
        <v>45</v>
      </c>
      <c r="C850">
        <v>1</v>
      </c>
      <c r="D850">
        <v>1</v>
      </c>
      <c r="E850">
        <v>1</v>
      </c>
      <c r="F850">
        <v>1</v>
      </c>
      <c r="G850">
        <v>1</v>
      </c>
      <c r="J850">
        <f t="shared" si="37"/>
        <v>45</v>
      </c>
      <c r="K850">
        <v>1</v>
      </c>
      <c r="L850">
        <v>1</v>
      </c>
      <c r="M850">
        <v>1</v>
      </c>
      <c r="N850">
        <v>1</v>
      </c>
      <c r="O850">
        <v>1</v>
      </c>
      <c r="R850">
        <f t="shared" si="38"/>
        <v>45</v>
      </c>
      <c r="S850">
        <v>1</v>
      </c>
      <c r="T850">
        <v>1</v>
      </c>
      <c r="U850">
        <v>1</v>
      </c>
      <c r="V850">
        <v>1</v>
      </c>
      <c r="W850">
        <v>1</v>
      </c>
      <c r="AA850">
        <v>-7954.7533999999996</v>
      </c>
      <c r="AB850">
        <v>-7954.7533999999996</v>
      </c>
      <c r="AC850">
        <v>-7954.7533999999996</v>
      </c>
      <c r="AD850">
        <v>-7954.7533999999996</v>
      </c>
      <c r="AE850">
        <v>-7954.7533999999996</v>
      </c>
      <c r="AF850">
        <v>-870649.02139999997</v>
      </c>
    </row>
    <row r="851" spans="2:32" x14ac:dyDescent="0.25">
      <c r="B851">
        <f t="shared" si="36"/>
        <v>46</v>
      </c>
      <c r="C851">
        <v>1</v>
      </c>
      <c r="D851">
        <v>1</v>
      </c>
      <c r="E851">
        <v>1</v>
      </c>
      <c r="F851">
        <v>1</v>
      </c>
      <c r="G851">
        <v>1</v>
      </c>
      <c r="J851">
        <f t="shared" si="37"/>
        <v>46</v>
      </c>
      <c r="K851">
        <v>1</v>
      </c>
      <c r="L851">
        <v>1</v>
      </c>
      <c r="M851">
        <v>1</v>
      </c>
      <c r="N851">
        <v>1</v>
      </c>
      <c r="O851">
        <v>1</v>
      </c>
      <c r="R851">
        <f t="shared" si="38"/>
        <v>46</v>
      </c>
      <c r="S851">
        <v>1</v>
      </c>
      <c r="T851">
        <v>1</v>
      </c>
      <c r="U851">
        <v>1</v>
      </c>
      <c r="V851">
        <v>1</v>
      </c>
      <c r="W851">
        <v>1</v>
      </c>
      <c r="AA851">
        <v>-7837.1754000000001</v>
      </c>
      <c r="AB851">
        <v>-7837.1754000000001</v>
      </c>
      <c r="AC851">
        <v>-7837.1754000000001</v>
      </c>
      <c r="AD851">
        <v>-7837.1754000000001</v>
      </c>
      <c r="AE851">
        <v>-7837.1754000000001</v>
      </c>
      <c r="AF851">
        <v>-892550.54509999999</v>
      </c>
    </row>
    <row r="852" spans="2:32" x14ac:dyDescent="0.25">
      <c r="B852">
        <f t="shared" si="36"/>
        <v>47</v>
      </c>
      <c r="C852">
        <v>1</v>
      </c>
      <c r="D852">
        <v>1</v>
      </c>
      <c r="E852">
        <v>1</v>
      </c>
      <c r="F852">
        <v>1</v>
      </c>
      <c r="G852">
        <v>1</v>
      </c>
      <c r="J852">
        <f t="shared" si="37"/>
        <v>47</v>
      </c>
      <c r="K852">
        <v>1</v>
      </c>
      <c r="L852">
        <v>1</v>
      </c>
      <c r="M852">
        <v>1</v>
      </c>
      <c r="N852">
        <v>1</v>
      </c>
      <c r="O852">
        <v>1</v>
      </c>
      <c r="R852">
        <f t="shared" si="38"/>
        <v>47</v>
      </c>
      <c r="S852">
        <v>1</v>
      </c>
      <c r="T852">
        <v>1</v>
      </c>
      <c r="U852">
        <v>1</v>
      </c>
      <c r="V852">
        <v>1</v>
      </c>
      <c r="W852">
        <v>1</v>
      </c>
      <c r="AA852">
        <v>-7717.0294999999996</v>
      </c>
      <c r="AB852">
        <v>-7717.0294999999996</v>
      </c>
      <c r="AC852">
        <v>-7717.0294999999996</v>
      </c>
      <c r="AD852">
        <v>-7717.0294999999996</v>
      </c>
      <c r="AE852">
        <v>-7717.0294999999996</v>
      </c>
      <c r="AF852">
        <v>-910915.81969999999</v>
      </c>
    </row>
    <row r="853" spans="2:32" x14ac:dyDescent="0.25">
      <c r="B853">
        <f t="shared" si="36"/>
        <v>48</v>
      </c>
      <c r="C853">
        <v>1</v>
      </c>
      <c r="D853">
        <v>1</v>
      </c>
      <c r="E853">
        <v>1</v>
      </c>
      <c r="F853">
        <v>1</v>
      </c>
      <c r="G853">
        <v>1</v>
      </c>
      <c r="J853">
        <f t="shared" si="37"/>
        <v>48</v>
      </c>
      <c r="K853">
        <v>1</v>
      </c>
      <c r="L853">
        <v>1</v>
      </c>
      <c r="M853">
        <v>1</v>
      </c>
      <c r="N853">
        <v>1</v>
      </c>
      <c r="O853">
        <v>1</v>
      </c>
      <c r="R853">
        <f t="shared" si="38"/>
        <v>48</v>
      </c>
      <c r="S853">
        <v>1</v>
      </c>
      <c r="T853">
        <v>1</v>
      </c>
      <c r="U853">
        <v>1</v>
      </c>
      <c r="V853">
        <v>1</v>
      </c>
      <c r="W853">
        <v>1</v>
      </c>
      <c r="AA853">
        <v>-7594.4201000000003</v>
      </c>
      <c r="AB853">
        <v>-7594.4201000000003</v>
      </c>
      <c r="AC853">
        <v>-7594.4201000000003</v>
      </c>
      <c r="AD853">
        <v>-7594.4201000000003</v>
      </c>
      <c r="AE853">
        <v>-7594.4201000000003</v>
      </c>
      <c r="AF853">
        <v>-917891.87360000005</v>
      </c>
    </row>
    <row r="854" spans="2:32" x14ac:dyDescent="0.25">
      <c r="B854">
        <f t="shared" si="36"/>
        <v>49</v>
      </c>
      <c r="C854">
        <v>1</v>
      </c>
      <c r="D854">
        <v>1</v>
      </c>
      <c r="E854">
        <v>1</v>
      </c>
      <c r="F854">
        <v>1</v>
      </c>
      <c r="G854">
        <v>1</v>
      </c>
      <c r="J854">
        <f t="shared" si="37"/>
        <v>49</v>
      </c>
      <c r="K854">
        <v>1</v>
      </c>
      <c r="L854">
        <v>1</v>
      </c>
      <c r="M854">
        <v>1</v>
      </c>
      <c r="N854">
        <v>1</v>
      </c>
      <c r="O854">
        <v>1</v>
      </c>
      <c r="R854">
        <f t="shared" si="38"/>
        <v>49</v>
      </c>
      <c r="S854">
        <v>1</v>
      </c>
      <c r="T854">
        <v>1</v>
      </c>
      <c r="U854">
        <v>1</v>
      </c>
      <c r="V854">
        <v>1</v>
      </c>
      <c r="W854">
        <v>1</v>
      </c>
      <c r="AA854">
        <v>-7469.3995999999997</v>
      </c>
      <c r="AB854">
        <v>-7469.3995999999997</v>
      </c>
      <c r="AC854">
        <v>-7469.3995999999997</v>
      </c>
      <c r="AD854">
        <v>-7469.3995999999997</v>
      </c>
      <c r="AE854">
        <v>-7469.3995999999997</v>
      </c>
      <c r="AF854">
        <v>-944521.72470000002</v>
      </c>
    </row>
    <row r="855" spans="2:32" x14ac:dyDescent="0.25">
      <c r="B855">
        <f t="shared" si="36"/>
        <v>50</v>
      </c>
      <c r="C855">
        <v>1</v>
      </c>
      <c r="D855">
        <v>1</v>
      </c>
      <c r="E855">
        <v>1</v>
      </c>
      <c r="F855">
        <v>1</v>
      </c>
      <c r="G855">
        <v>1</v>
      </c>
      <c r="J855">
        <f t="shared" si="37"/>
        <v>50</v>
      </c>
      <c r="K855">
        <v>1</v>
      </c>
      <c r="L855">
        <v>1</v>
      </c>
      <c r="M855">
        <v>1</v>
      </c>
      <c r="N855">
        <v>1</v>
      </c>
      <c r="O855">
        <v>1</v>
      </c>
      <c r="R855">
        <f t="shared" si="38"/>
        <v>50</v>
      </c>
      <c r="S855">
        <v>1</v>
      </c>
      <c r="T855">
        <v>1</v>
      </c>
      <c r="U855">
        <v>1</v>
      </c>
      <c r="V855">
        <v>1</v>
      </c>
      <c r="W855">
        <v>1</v>
      </c>
      <c r="AA855">
        <v>-7341.9502000000002</v>
      </c>
      <c r="AB855">
        <v>-7341.9502000000002</v>
      </c>
      <c r="AC855">
        <v>-7341.9502000000002</v>
      </c>
      <c r="AD855">
        <v>-7341.9502000000002</v>
      </c>
      <c r="AE855">
        <v>-7341.9502000000002</v>
      </c>
      <c r="AF855">
        <v>-963257.14989999996</v>
      </c>
    </row>
    <row r="856" spans="2:32" x14ac:dyDescent="0.25">
      <c r="B856">
        <f t="shared" si="36"/>
        <v>51</v>
      </c>
      <c r="C856">
        <v>1</v>
      </c>
      <c r="D856">
        <v>1</v>
      </c>
      <c r="E856">
        <v>1</v>
      </c>
      <c r="F856">
        <v>1</v>
      </c>
      <c r="G856">
        <v>1</v>
      </c>
      <c r="J856">
        <f t="shared" si="37"/>
        <v>51</v>
      </c>
      <c r="K856">
        <v>1</v>
      </c>
      <c r="L856">
        <v>1</v>
      </c>
      <c r="M856">
        <v>1</v>
      </c>
      <c r="N856">
        <v>1</v>
      </c>
      <c r="O856">
        <v>1</v>
      </c>
      <c r="R856">
        <f t="shared" si="38"/>
        <v>51</v>
      </c>
      <c r="S856">
        <v>1</v>
      </c>
      <c r="T856">
        <v>1</v>
      </c>
      <c r="U856">
        <v>1</v>
      </c>
      <c r="V856">
        <v>1</v>
      </c>
      <c r="W856">
        <v>1</v>
      </c>
      <c r="AA856">
        <v>-7212.0646999999999</v>
      </c>
      <c r="AB856">
        <v>-7212.0646999999999</v>
      </c>
      <c r="AC856">
        <v>-7212.0646999999999</v>
      </c>
      <c r="AD856">
        <v>-7212.0646999999999</v>
      </c>
      <c r="AE856">
        <v>-7212.0646999999999</v>
      </c>
      <c r="AF856">
        <v>-981592.90729999996</v>
      </c>
    </row>
    <row r="857" spans="2:32" x14ac:dyDescent="0.25">
      <c r="B857">
        <f t="shared" si="36"/>
        <v>52</v>
      </c>
      <c r="C857">
        <v>1</v>
      </c>
      <c r="D857">
        <v>1</v>
      </c>
      <c r="E857">
        <v>1</v>
      </c>
      <c r="F857">
        <v>1</v>
      </c>
      <c r="G857">
        <v>1</v>
      </c>
      <c r="J857">
        <f t="shared" si="37"/>
        <v>52</v>
      </c>
      <c r="K857">
        <v>1</v>
      </c>
      <c r="L857">
        <v>1</v>
      </c>
      <c r="M857">
        <v>1</v>
      </c>
      <c r="N857">
        <v>1</v>
      </c>
      <c r="O857">
        <v>1</v>
      </c>
      <c r="R857">
        <f t="shared" si="38"/>
        <v>52</v>
      </c>
      <c r="S857">
        <v>1</v>
      </c>
      <c r="T857">
        <v>1</v>
      </c>
      <c r="U857">
        <v>1</v>
      </c>
      <c r="V857">
        <v>1</v>
      </c>
      <c r="W857">
        <v>1</v>
      </c>
      <c r="AA857">
        <v>-7079.7435999999998</v>
      </c>
      <c r="AB857">
        <v>-7079.7435999999998</v>
      </c>
      <c r="AC857">
        <v>-7079.7435999999998</v>
      </c>
      <c r="AD857">
        <v>-7079.7435999999998</v>
      </c>
      <c r="AE857">
        <v>-7079.7435999999998</v>
      </c>
      <c r="AF857">
        <v>-998556.10360000003</v>
      </c>
    </row>
    <row r="858" spans="2:32" x14ac:dyDescent="0.25">
      <c r="B858">
        <f t="shared" si="36"/>
        <v>53</v>
      </c>
      <c r="C858">
        <v>1</v>
      </c>
      <c r="D858">
        <v>1</v>
      </c>
      <c r="E858">
        <v>1</v>
      </c>
      <c r="F858">
        <v>1</v>
      </c>
      <c r="G858">
        <v>1</v>
      </c>
      <c r="J858">
        <f t="shared" si="37"/>
        <v>53</v>
      </c>
      <c r="K858">
        <v>1</v>
      </c>
      <c r="L858">
        <v>1</v>
      </c>
      <c r="M858">
        <v>1</v>
      </c>
      <c r="N858">
        <v>1</v>
      </c>
      <c r="O858">
        <v>1</v>
      </c>
      <c r="R858">
        <f t="shared" si="38"/>
        <v>53</v>
      </c>
      <c r="S858">
        <v>1</v>
      </c>
      <c r="T858">
        <v>1</v>
      </c>
      <c r="U858">
        <v>1</v>
      </c>
      <c r="V858">
        <v>1</v>
      </c>
      <c r="W858">
        <v>1</v>
      </c>
      <c r="AA858">
        <v>-6945.0875999999998</v>
      </c>
      <c r="AB858">
        <v>-6945.0875999999998</v>
      </c>
      <c r="AC858">
        <v>-6945.0875999999998</v>
      </c>
      <c r="AD858">
        <v>-6945.0875999999998</v>
      </c>
      <c r="AE858">
        <v>-6945.0875999999998</v>
      </c>
      <c r="AF858">
        <v>-1015461.3278</v>
      </c>
    </row>
    <row r="859" spans="2:32" x14ac:dyDescent="0.25">
      <c r="B859">
        <f t="shared" si="36"/>
        <v>54</v>
      </c>
      <c r="C859">
        <v>1</v>
      </c>
      <c r="D859">
        <v>1</v>
      </c>
      <c r="E859">
        <v>1</v>
      </c>
      <c r="F859">
        <v>1</v>
      </c>
      <c r="G859">
        <v>1</v>
      </c>
      <c r="J859">
        <f t="shared" si="37"/>
        <v>54</v>
      </c>
      <c r="K859">
        <v>1</v>
      </c>
      <c r="L859">
        <v>1</v>
      </c>
      <c r="M859">
        <v>1</v>
      </c>
      <c r="N859">
        <v>1</v>
      </c>
      <c r="O859">
        <v>1</v>
      </c>
      <c r="R859">
        <f t="shared" si="38"/>
        <v>54</v>
      </c>
      <c r="S859">
        <v>1</v>
      </c>
      <c r="T859">
        <v>1</v>
      </c>
      <c r="U859">
        <v>1</v>
      </c>
      <c r="V859">
        <v>1</v>
      </c>
      <c r="W859">
        <v>1</v>
      </c>
      <c r="AA859">
        <v>-6808.2438000000002</v>
      </c>
      <c r="AB859">
        <v>-6808.2438000000002</v>
      </c>
      <c r="AC859">
        <v>-6808.2438000000002</v>
      </c>
      <c r="AD859">
        <v>-6808.2438000000002</v>
      </c>
      <c r="AE859">
        <v>-6808.2438000000002</v>
      </c>
      <c r="AF859">
        <v>-1033869.6813000001</v>
      </c>
    </row>
    <row r="860" spans="2:32" x14ac:dyDescent="0.25">
      <c r="B860">
        <f t="shared" si="36"/>
        <v>55</v>
      </c>
      <c r="C860">
        <v>1</v>
      </c>
      <c r="D860">
        <v>1</v>
      </c>
      <c r="E860">
        <v>1</v>
      </c>
      <c r="F860">
        <v>1</v>
      </c>
      <c r="G860">
        <v>1</v>
      </c>
      <c r="J860">
        <f t="shared" si="37"/>
        <v>55</v>
      </c>
      <c r="K860">
        <v>1</v>
      </c>
      <c r="L860">
        <v>1</v>
      </c>
      <c r="M860">
        <v>1</v>
      </c>
      <c r="N860">
        <v>1</v>
      </c>
      <c r="O860">
        <v>1</v>
      </c>
      <c r="R860">
        <f t="shared" si="38"/>
        <v>55</v>
      </c>
      <c r="S860">
        <v>1</v>
      </c>
      <c r="T860">
        <v>1</v>
      </c>
      <c r="U860">
        <v>1</v>
      </c>
      <c r="V860">
        <v>1</v>
      </c>
      <c r="W860">
        <v>1</v>
      </c>
      <c r="AA860">
        <v>-6669.2525999999998</v>
      </c>
      <c r="AB860">
        <v>-6669.2525999999998</v>
      </c>
      <c r="AC860">
        <v>-6669.2525999999998</v>
      </c>
      <c r="AD860">
        <v>-6669.2525999999998</v>
      </c>
      <c r="AE860">
        <v>-6669.2525999999998</v>
      </c>
      <c r="AF860">
        <v>-1050810.2549999999</v>
      </c>
    </row>
    <row r="861" spans="2:32" x14ac:dyDescent="0.25">
      <c r="B861">
        <f t="shared" si="36"/>
        <v>56</v>
      </c>
      <c r="C861">
        <v>1</v>
      </c>
      <c r="D861">
        <v>1</v>
      </c>
      <c r="E861">
        <v>1</v>
      </c>
      <c r="F861">
        <v>1</v>
      </c>
      <c r="G861">
        <v>1</v>
      </c>
      <c r="J861">
        <f t="shared" si="37"/>
        <v>56</v>
      </c>
      <c r="K861">
        <v>1</v>
      </c>
      <c r="L861">
        <v>1</v>
      </c>
      <c r="M861">
        <v>1</v>
      </c>
      <c r="N861">
        <v>1</v>
      </c>
      <c r="O861">
        <v>1</v>
      </c>
      <c r="R861">
        <f t="shared" si="38"/>
        <v>56</v>
      </c>
      <c r="S861">
        <v>1</v>
      </c>
      <c r="T861">
        <v>1</v>
      </c>
      <c r="U861">
        <v>1</v>
      </c>
      <c r="V861">
        <v>1</v>
      </c>
      <c r="W861">
        <v>1</v>
      </c>
      <c r="AA861">
        <v>-6528.2992000000004</v>
      </c>
      <c r="AB861">
        <v>-6528.2992000000004</v>
      </c>
      <c r="AC861">
        <v>-6528.2992000000004</v>
      </c>
      <c r="AD861">
        <v>-6528.2992000000004</v>
      </c>
      <c r="AE861">
        <v>-6528.2992000000004</v>
      </c>
      <c r="AF861">
        <v>-1073295.8774000001</v>
      </c>
    </row>
    <row r="862" spans="2:32" x14ac:dyDescent="0.25">
      <c r="B862">
        <f t="shared" si="36"/>
        <v>57</v>
      </c>
      <c r="C862">
        <v>1</v>
      </c>
      <c r="D862">
        <v>1</v>
      </c>
      <c r="E862">
        <v>1</v>
      </c>
      <c r="F862">
        <v>1</v>
      </c>
      <c r="G862">
        <v>1</v>
      </c>
      <c r="J862">
        <f t="shared" si="37"/>
        <v>57</v>
      </c>
      <c r="K862">
        <v>1</v>
      </c>
      <c r="L862">
        <v>1</v>
      </c>
      <c r="M862">
        <v>1</v>
      </c>
      <c r="N862">
        <v>1</v>
      </c>
      <c r="O862">
        <v>1</v>
      </c>
      <c r="R862">
        <f t="shared" si="38"/>
        <v>57</v>
      </c>
      <c r="S862">
        <v>1</v>
      </c>
      <c r="T862">
        <v>1</v>
      </c>
      <c r="U862">
        <v>1</v>
      </c>
      <c r="V862">
        <v>1</v>
      </c>
      <c r="W862">
        <v>1</v>
      </c>
      <c r="AA862">
        <v>-6385.5230000000001</v>
      </c>
      <c r="AB862">
        <v>-6385.5230000000001</v>
      </c>
      <c r="AC862">
        <v>-6385.5230000000001</v>
      </c>
      <c r="AD862">
        <v>-6385.5230000000001</v>
      </c>
      <c r="AE862">
        <v>-6385.5230000000001</v>
      </c>
      <c r="AF862">
        <v>-1093242.6832999999</v>
      </c>
    </row>
    <row r="863" spans="2:32" x14ac:dyDescent="0.25">
      <c r="B863">
        <f t="shared" si="36"/>
        <v>58</v>
      </c>
      <c r="C863">
        <v>1</v>
      </c>
      <c r="D863">
        <v>1</v>
      </c>
      <c r="E863">
        <v>1</v>
      </c>
      <c r="F863">
        <v>1</v>
      </c>
      <c r="G863">
        <v>1</v>
      </c>
      <c r="J863">
        <f t="shared" si="37"/>
        <v>58</v>
      </c>
      <c r="K863">
        <v>1</v>
      </c>
      <c r="L863">
        <v>1</v>
      </c>
      <c r="M863">
        <v>1</v>
      </c>
      <c r="N863">
        <v>1</v>
      </c>
      <c r="O863">
        <v>1</v>
      </c>
      <c r="R863">
        <f t="shared" si="38"/>
        <v>58</v>
      </c>
      <c r="S863">
        <v>1</v>
      </c>
      <c r="T863">
        <v>1</v>
      </c>
      <c r="U863">
        <v>1</v>
      </c>
      <c r="V863">
        <v>1</v>
      </c>
      <c r="W863">
        <v>1</v>
      </c>
      <c r="AA863">
        <v>-6240.8730999999998</v>
      </c>
      <c r="AB863">
        <v>-6240.8730999999998</v>
      </c>
      <c r="AC863">
        <v>-6240.8730999999998</v>
      </c>
      <c r="AD863">
        <v>-6240.8730999999998</v>
      </c>
      <c r="AE863">
        <v>-6240.8730999999998</v>
      </c>
      <c r="AF863">
        <v>-1114366.6444000001</v>
      </c>
    </row>
    <row r="864" spans="2:32" x14ac:dyDescent="0.25">
      <c r="B864">
        <f t="shared" si="36"/>
        <v>59</v>
      </c>
      <c r="C864">
        <v>1</v>
      </c>
      <c r="D864">
        <v>1</v>
      </c>
      <c r="E864">
        <v>1</v>
      </c>
      <c r="F864">
        <v>1</v>
      </c>
      <c r="G864">
        <v>1</v>
      </c>
      <c r="J864">
        <f t="shared" si="37"/>
        <v>59</v>
      </c>
      <c r="K864">
        <v>1</v>
      </c>
      <c r="L864">
        <v>1</v>
      </c>
      <c r="M864">
        <v>1</v>
      </c>
      <c r="N864">
        <v>1</v>
      </c>
      <c r="O864">
        <v>1</v>
      </c>
      <c r="R864">
        <f t="shared" si="38"/>
        <v>59</v>
      </c>
      <c r="S864">
        <v>1</v>
      </c>
      <c r="T864">
        <v>1</v>
      </c>
      <c r="U864">
        <v>1</v>
      </c>
      <c r="V864">
        <v>1</v>
      </c>
      <c r="W864">
        <v>1</v>
      </c>
      <c r="AA864">
        <v>-6094.3262999999997</v>
      </c>
      <c r="AB864">
        <v>-6094.3262999999997</v>
      </c>
      <c r="AC864">
        <v>-6094.3262999999997</v>
      </c>
      <c r="AD864">
        <v>-6094.3262999999997</v>
      </c>
      <c r="AE864">
        <v>-6094.3262999999997</v>
      </c>
      <c r="AF864">
        <v>-1136284.0146999999</v>
      </c>
    </row>
    <row r="865" spans="2:32" x14ac:dyDescent="0.25">
      <c r="B865">
        <f t="shared" si="36"/>
        <v>60</v>
      </c>
      <c r="C865">
        <v>1</v>
      </c>
      <c r="D865">
        <v>1</v>
      </c>
      <c r="E865">
        <v>1</v>
      </c>
      <c r="F865">
        <v>1</v>
      </c>
      <c r="G865">
        <v>1</v>
      </c>
      <c r="J865">
        <f t="shared" si="37"/>
        <v>60</v>
      </c>
      <c r="K865">
        <v>1</v>
      </c>
      <c r="L865">
        <v>1</v>
      </c>
      <c r="M865">
        <v>1</v>
      </c>
      <c r="N865">
        <v>1</v>
      </c>
      <c r="O865">
        <v>1</v>
      </c>
      <c r="R865">
        <f t="shared" si="38"/>
        <v>60</v>
      </c>
      <c r="S865">
        <v>1</v>
      </c>
      <c r="T865">
        <v>1</v>
      </c>
      <c r="U865">
        <v>1</v>
      </c>
      <c r="V865">
        <v>1</v>
      </c>
      <c r="W865">
        <v>1</v>
      </c>
      <c r="AA865">
        <v>-5945.9960000000001</v>
      </c>
      <c r="AB865">
        <v>-5945.9960000000001</v>
      </c>
      <c r="AC865">
        <v>-5945.9960000000001</v>
      </c>
      <c r="AD865">
        <v>-5945.9960000000001</v>
      </c>
      <c r="AE865">
        <v>-5945.9960000000001</v>
      </c>
      <c r="AF865">
        <v>-1157801.6717999999</v>
      </c>
    </row>
    <row r="866" spans="2:32" x14ac:dyDescent="0.25">
      <c r="B866">
        <f t="shared" si="36"/>
        <v>61</v>
      </c>
      <c r="C866">
        <v>1</v>
      </c>
      <c r="D866">
        <v>1</v>
      </c>
      <c r="E866">
        <v>1</v>
      </c>
      <c r="F866">
        <v>1</v>
      </c>
      <c r="G866">
        <v>1</v>
      </c>
      <c r="J866">
        <f t="shared" si="37"/>
        <v>61</v>
      </c>
      <c r="K866">
        <v>1</v>
      </c>
      <c r="L866">
        <v>1</v>
      </c>
      <c r="M866">
        <v>1</v>
      </c>
      <c r="N866">
        <v>1</v>
      </c>
      <c r="O866">
        <v>1</v>
      </c>
      <c r="R866">
        <f t="shared" si="38"/>
        <v>61</v>
      </c>
      <c r="S866">
        <v>1</v>
      </c>
      <c r="T866">
        <v>1</v>
      </c>
      <c r="U866">
        <v>1</v>
      </c>
      <c r="V866">
        <v>1</v>
      </c>
      <c r="W866">
        <v>1</v>
      </c>
      <c r="AA866">
        <v>-5796.3015999999998</v>
      </c>
      <c r="AB866">
        <v>-5796.3015999999998</v>
      </c>
      <c r="AC866">
        <v>-5796.3015999999998</v>
      </c>
      <c r="AD866">
        <v>-5796.3015999999998</v>
      </c>
      <c r="AE866">
        <v>-5796.3015999999998</v>
      </c>
      <c r="AF866">
        <v>-1178581.4038</v>
      </c>
    </row>
    <row r="867" spans="2:32" x14ac:dyDescent="0.25">
      <c r="B867">
        <f t="shared" si="36"/>
        <v>62</v>
      </c>
      <c r="C867">
        <v>1</v>
      </c>
      <c r="D867">
        <v>1</v>
      </c>
      <c r="E867">
        <v>1</v>
      </c>
      <c r="F867">
        <v>1</v>
      </c>
      <c r="G867">
        <v>1</v>
      </c>
      <c r="J867">
        <f t="shared" si="37"/>
        <v>62</v>
      </c>
      <c r="K867">
        <v>1</v>
      </c>
      <c r="L867">
        <v>1</v>
      </c>
      <c r="M867">
        <v>1</v>
      </c>
      <c r="N867">
        <v>1</v>
      </c>
      <c r="O867">
        <v>1</v>
      </c>
      <c r="R867">
        <f t="shared" si="38"/>
        <v>62</v>
      </c>
      <c r="S867">
        <v>1</v>
      </c>
      <c r="T867">
        <v>1</v>
      </c>
      <c r="U867">
        <v>1</v>
      </c>
      <c r="V867">
        <v>1</v>
      </c>
      <c r="W867">
        <v>1</v>
      </c>
      <c r="AA867">
        <v>-5645.2415000000001</v>
      </c>
      <c r="AB867">
        <v>-5645.2415000000001</v>
      </c>
      <c r="AC867">
        <v>-5645.2415000000001</v>
      </c>
      <c r="AD867">
        <v>-5645.2415000000001</v>
      </c>
      <c r="AE867">
        <v>-5645.2415000000001</v>
      </c>
      <c r="AF867">
        <v>-1199521.5327000001</v>
      </c>
    </row>
    <row r="868" spans="2:32" x14ac:dyDescent="0.25">
      <c r="B868">
        <f t="shared" si="36"/>
        <v>63</v>
      </c>
      <c r="C868">
        <v>1</v>
      </c>
      <c r="D868">
        <v>1</v>
      </c>
      <c r="E868">
        <v>1</v>
      </c>
      <c r="F868">
        <v>1</v>
      </c>
      <c r="G868">
        <v>1</v>
      </c>
      <c r="J868">
        <f t="shared" si="37"/>
        <v>63</v>
      </c>
      <c r="K868">
        <v>1</v>
      </c>
      <c r="L868">
        <v>1</v>
      </c>
      <c r="M868">
        <v>1</v>
      </c>
      <c r="N868">
        <v>1</v>
      </c>
      <c r="O868">
        <v>1</v>
      </c>
      <c r="R868">
        <f t="shared" si="38"/>
        <v>63</v>
      </c>
      <c r="S868">
        <v>1</v>
      </c>
      <c r="T868">
        <v>1</v>
      </c>
      <c r="U868">
        <v>1</v>
      </c>
      <c r="V868">
        <v>1</v>
      </c>
      <c r="W868">
        <v>1</v>
      </c>
      <c r="AA868">
        <v>-5492.4920000000002</v>
      </c>
      <c r="AB868">
        <v>-5492.4920000000002</v>
      </c>
      <c r="AC868">
        <v>-5492.4920000000002</v>
      </c>
      <c r="AD868">
        <v>-5492.4920000000002</v>
      </c>
      <c r="AE868">
        <v>-5492.4920000000002</v>
      </c>
      <c r="AF868">
        <v>-1220461.6269</v>
      </c>
    </row>
    <row r="869" spans="2:32" x14ac:dyDescent="0.25">
      <c r="B869">
        <f t="shared" si="36"/>
        <v>64</v>
      </c>
      <c r="C869">
        <v>1</v>
      </c>
      <c r="D869">
        <v>1</v>
      </c>
      <c r="E869">
        <v>1</v>
      </c>
      <c r="F869">
        <v>1</v>
      </c>
      <c r="G869">
        <v>1</v>
      </c>
      <c r="J869">
        <f t="shared" si="37"/>
        <v>64</v>
      </c>
      <c r="K869">
        <v>1</v>
      </c>
      <c r="L869">
        <v>1</v>
      </c>
      <c r="M869">
        <v>1</v>
      </c>
      <c r="N869">
        <v>1</v>
      </c>
      <c r="O869">
        <v>1</v>
      </c>
      <c r="R869">
        <f t="shared" si="38"/>
        <v>64</v>
      </c>
      <c r="S869">
        <v>1</v>
      </c>
      <c r="T869">
        <v>1</v>
      </c>
      <c r="U869">
        <v>1</v>
      </c>
      <c r="V869">
        <v>1</v>
      </c>
      <c r="W869">
        <v>1</v>
      </c>
      <c r="AA869">
        <v>-5338.1817000000001</v>
      </c>
      <c r="AB869">
        <v>-5338.1817000000001</v>
      </c>
      <c r="AC869">
        <v>-5338.1817000000001</v>
      </c>
      <c r="AD869">
        <v>-5338.1817000000001</v>
      </c>
      <c r="AE869">
        <v>-5338.1817000000001</v>
      </c>
      <c r="AF869">
        <v>-1240652.2526</v>
      </c>
    </row>
    <row r="870" spans="2:32" x14ac:dyDescent="0.25">
      <c r="B870">
        <f t="shared" si="36"/>
        <v>65</v>
      </c>
      <c r="C870">
        <v>1</v>
      </c>
      <c r="D870">
        <v>1</v>
      </c>
      <c r="E870">
        <v>1</v>
      </c>
      <c r="F870">
        <v>1</v>
      </c>
      <c r="G870">
        <v>1</v>
      </c>
      <c r="J870">
        <f t="shared" si="37"/>
        <v>65</v>
      </c>
      <c r="K870">
        <v>1</v>
      </c>
      <c r="L870">
        <v>1</v>
      </c>
      <c r="M870">
        <v>1</v>
      </c>
      <c r="N870">
        <v>1</v>
      </c>
      <c r="O870">
        <v>1</v>
      </c>
      <c r="R870">
        <f t="shared" si="38"/>
        <v>65</v>
      </c>
      <c r="S870">
        <v>1</v>
      </c>
      <c r="T870">
        <v>1</v>
      </c>
      <c r="U870">
        <v>1</v>
      </c>
      <c r="V870">
        <v>1</v>
      </c>
      <c r="W870">
        <v>1</v>
      </c>
      <c r="AA870">
        <v>-5182.2268999999997</v>
      </c>
      <c r="AB870">
        <v>-5182.2268999999997</v>
      </c>
      <c r="AC870">
        <v>-5182.2268999999997</v>
      </c>
      <c r="AD870">
        <v>-5182.2268999999997</v>
      </c>
      <c r="AE870">
        <v>-5182.2268999999997</v>
      </c>
      <c r="AF870">
        <v>-1260049.8302</v>
      </c>
    </row>
    <row r="873" spans="2:32" x14ac:dyDescent="0.25">
      <c r="B873" t="s">
        <v>46</v>
      </c>
      <c r="C873">
        <v>50000</v>
      </c>
      <c r="D873">
        <v>100000</v>
      </c>
      <c r="E873">
        <v>250000</v>
      </c>
      <c r="F873">
        <v>500000</v>
      </c>
      <c r="G873">
        <v>1000000</v>
      </c>
      <c r="H873">
        <v>2000000</v>
      </c>
      <c r="J873" t="s">
        <v>47</v>
      </c>
      <c r="K873">
        <v>50000</v>
      </c>
      <c r="L873">
        <v>100000</v>
      </c>
      <c r="M873">
        <v>250000</v>
      </c>
      <c r="N873">
        <v>500000</v>
      </c>
      <c r="O873">
        <v>1000000</v>
      </c>
      <c r="P873">
        <v>2000000</v>
      </c>
      <c r="R873" t="s">
        <v>48</v>
      </c>
      <c r="S873">
        <v>50000</v>
      </c>
      <c r="T873">
        <v>100000</v>
      </c>
      <c r="U873">
        <v>250000</v>
      </c>
      <c r="V873">
        <v>500000</v>
      </c>
      <c r="W873">
        <v>1000000</v>
      </c>
      <c r="X873">
        <v>2000000</v>
      </c>
    </row>
    <row r="874" spans="2:32" x14ac:dyDescent="0.25">
      <c r="B874">
        <v>26</v>
      </c>
      <c r="C874">
        <v>1</v>
      </c>
      <c r="D874">
        <v>1</v>
      </c>
      <c r="E874">
        <v>1</v>
      </c>
      <c r="F874">
        <v>1</v>
      </c>
      <c r="G874">
        <v>1</v>
      </c>
      <c r="H874">
        <v>1</v>
      </c>
      <c r="J874">
        <v>26</v>
      </c>
      <c r="K874">
        <v>1</v>
      </c>
      <c r="L874">
        <v>1</v>
      </c>
      <c r="M874">
        <v>1</v>
      </c>
      <c r="N874">
        <v>1</v>
      </c>
      <c r="O874">
        <v>1</v>
      </c>
      <c r="P874">
        <v>1</v>
      </c>
      <c r="R874">
        <v>26</v>
      </c>
      <c r="S874">
        <v>1</v>
      </c>
      <c r="T874">
        <v>1</v>
      </c>
      <c r="U874">
        <v>1</v>
      </c>
      <c r="V874">
        <v>1</v>
      </c>
      <c r="W874">
        <v>1</v>
      </c>
      <c r="X874">
        <v>1</v>
      </c>
      <c r="AA874">
        <v>-5174.8482999999997</v>
      </c>
      <c r="AB874">
        <v>-5174.8482999999997</v>
      </c>
      <c r="AC874">
        <v>-5174.8482999999997</v>
      </c>
      <c r="AD874">
        <v>-5174.8482999999997</v>
      </c>
      <c r="AE874">
        <v>-5174.8482999999997</v>
      </c>
      <c r="AF874">
        <v>-5174.8482999999997</v>
      </c>
    </row>
    <row r="875" spans="2:32" x14ac:dyDescent="0.25">
      <c r="B875">
        <v>27</v>
      </c>
      <c r="C875">
        <v>1</v>
      </c>
      <c r="D875">
        <v>1</v>
      </c>
      <c r="E875">
        <v>1</v>
      </c>
      <c r="F875">
        <v>1</v>
      </c>
      <c r="G875">
        <v>1</v>
      </c>
      <c r="H875">
        <v>1</v>
      </c>
      <c r="J875">
        <v>27</v>
      </c>
      <c r="K875">
        <v>1</v>
      </c>
      <c r="L875">
        <v>1</v>
      </c>
      <c r="M875">
        <v>1</v>
      </c>
      <c r="N875">
        <v>1</v>
      </c>
      <c r="O875">
        <v>1</v>
      </c>
      <c r="P875">
        <v>1</v>
      </c>
      <c r="R875">
        <v>27</v>
      </c>
      <c r="S875">
        <v>1</v>
      </c>
      <c r="T875">
        <v>1</v>
      </c>
      <c r="U875">
        <v>1</v>
      </c>
      <c r="V875">
        <v>1</v>
      </c>
      <c r="W875">
        <v>1</v>
      </c>
      <c r="X875">
        <v>1</v>
      </c>
      <c r="AA875">
        <v>-5173.6036999999997</v>
      </c>
      <c r="AB875">
        <v>-5173.6036999999997</v>
      </c>
      <c r="AC875">
        <v>-5173.6036999999997</v>
      </c>
      <c r="AD875">
        <v>-5173.6036999999997</v>
      </c>
      <c r="AE875">
        <v>-5173.6036999999997</v>
      </c>
      <c r="AF875">
        <v>-5173.6036999999997</v>
      </c>
    </row>
    <row r="876" spans="2:32" x14ac:dyDescent="0.25">
      <c r="B876">
        <v>28</v>
      </c>
      <c r="C876">
        <v>1</v>
      </c>
      <c r="D876">
        <v>1</v>
      </c>
      <c r="E876">
        <v>1</v>
      </c>
      <c r="F876">
        <v>1</v>
      </c>
      <c r="G876">
        <v>1</v>
      </c>
      <c r="H876">
        <v>1</v>
      </c>
      <c r="J876">
        <v>28</v>
      </c>
      <c r="K876">
        <v>1</v>
      </c>
      <c r="L876">
        <v>1</v>
      </c>
      <c r="M876">
        <v>1</v>
      </c>
      <c r="N876">
        <v>1</v>
      </c>
      <c r="O876">
        <v>1</v>
      </c>
      <c r="P876">
        <v>1</v>
      </c>
      <c r="R876">
        <v>28</v>
      </c>
      <c r="S876">
        <v>1</v>
      </c>
      <c r="T876">
        <v>1</v>
      </c>
      <c r="U876">
        <v>1</v>
      </c>
      <c r="V876">
        <v>1</v>
      </c>
      <c r="W876">
        <v>1</v>
      </c>
      <c r="X876">
        <v>1</v>
      </c>
      <c r="AA876">
        <v>-5172.1755999999996</v>
      </c>
      <c r="AB876">
        <v>-5172.1755999999996</v>
      </c>
      <c r="AC876">
        <v>-5172.1755999999996</v>
      </c>
      <c r="AD876">
        <v>-5172.1755999999996</v>
      </c>
      <c r="AE876">
        <v>-5172.1755999999996</v>
      </c>
      <c r="AF876">
        <v>-5172.1755999999996</v>
      </c>
    </row>
    <row r="877" spans="2:32" x14ac:dyDescent="0.25">
      <c r="B877">
        <v>29</v>
      </c>
      <c r="C877">
        <v>1</v>
      </c>
      <c r="D877">
        <v>1</v>
      </c>
      <c r="E877">
        <v>1</v>
      </c>
      <c r="F877">
        <v>1</v>
      </c>
      <c r="G877">
        <v>1</v>
      </c>
      <c r="H877">
        <v>1</v>
      </c>
      <c r="J877">
        <v>29</v>
      </c>
      <c r="K877">
        <v>1</v>
      </c>
      <c r="L877">
        <v>1</v>
      </c>
      <c r="M877">
        <v>1</v>
      </c>
      <c r="N877">
        <v>1</v>
      </c>
      <c r="O877">
        <v>1</v>
      </c>
      <c r="P877">
        <v>1</v>
      </c>
      <c r="R877">
        <v>29</v>
      </c>
      <c r="S877">
        <v>1</v>
      </c>
      <c r="T877">
        <v>1</v>
      </c>
      <c r="U877">
        <v>1</v>
      </c>
      <c r="V877">
        <v>1</v>
      </c>
      <c r="W877">
        <v>1</v>
      </c>
      <c r="X877">
        <v>1</v>
      </c>
      <c r="AA877">
        <v>-5170.5482000000002</v>
      </c>
      <c r="AB877">
        <v>-5170.5482000000002</v>
      </c>
      <c r="AC877">
        <v>-5170.5482000000002</v>
      </c>
      <c r="AD877">
        <v>-5170.5482000000002</v>
      </c>
      <c r="AE877">
        <v>-5170.5482000000002</v>
      </c>
      <c r="AF877">
        <v>-5170.5482000000002</v>
      </c>
    </row>
    <row r="878" spans="2:32" x14ac:dyDescent="0.25">
      <c r="B878">
        <v>30</v>
      </c>
      <c r="C878">
        <v>1</v>
      </c>
      <c r="D878">
        <v>1</v>
      </c>
      <c r="E878">
        <v>1</v>
      </c>
      <c r="F878">
        <v>1</v>
      </c>
      <c r="G878">
        <v>1</v>
      </c>
      <c r="H878">
        <v>1</v>
      </c>
      <c r="J878">
        <v>30</v>
      </c>
      <c r="K878">
        <v>1</v>
      </c>
      <c r="L878">
        <v>1</v>
      </c>
      <c r="M878">
        <v>1</v>
      </c>
      <c r="N878">
        <v>1</v>
      </c>
      <c r="O878">
        <v>1</v>
      </c>
      <c r="P878">
        <v>1</v>
      </c>
      <c r="R878">
        <v>30</v>
      </c>
      <c r="S878">
        <v>1</v>
      </c>
      <c r="T878">
        <v>1</v>
      </c>
      <c r="U878">
        <v>1</v>
      </c>
      <c r="V878">
        <v>1</v>
      </c>
      <c r="W878">
        <v>1</v>
      </c>
      <c r="X878">
        <v>1</v>
      </c>
      <c r="AA878">
        <v>-5168.6908999999996</v>
      </c>
      <c r="AB878">
        <v>-5168.6908999999996</v>
      </c>
      <c r="AC878">
        <v>-5168.6908999999996</v>
      </c>
      <c r="AD878">
        <v>-5168.6908999999996</v>
      </c>
      <c r="AE878">
        <v>-5168.6908999999996</v>
      </c>
      <c r="AF878">
        <v>-5168.6908999999996</v>
      </c>
    </row>
    <row r="879" spans="2:32" x14ac:dyDescent="0.25">
      <c r="B879">
        <v>31</v>
      </c>
      <c r="C879">
        <v>1</v>
      </c>
      <c r="D879">
        <v>1</v>
      </c>
      <c r="E879">
        <v>1</v>
      </c>
      <c r="F879">
        <v>1</v>
      </c>
      <c r="G879">
        <v>1</v>
      </c>
      <c r="H879">
        <v>1</v>
      </c>
      <c r="J879">
        <v>31</v>
      </c>
      <c r="K879">
        <v>1</v>
      </c>
      <c r="L879">
        <v>1</v>
      </c>
      <c r="M879">
        <v>1</v>
      </c>
      <c r="N879">
        <v>1</v>
      </c>
      <c r="O879">
        <v>1</v>
      </c>
      <c r="P879">
        <v>1</v>
      </c>
      <c r="R879">
        <v>31</v>
      </c>
      <c r="S879">
        <v>1</v>
      </c>
      <c r="T879">
        <v>1</v>
      </c>
      <c r="U879">
        <v>1</v>
      </c>
      <c r="V879">
        <v>1</v>
      </c>
      <c r="W879">
        <v>1</v>
      </c>
      <c r="X879">
        <v>1</v>
      </c>
      <c r="AA879">
        <v>-5166.5891000000001</v>
      </c>
      <c r="AB879">
        <v>-5166.5891000000001</v>
      </c>
      <c r="AC879">
        <v>-5166.5891000000001</v>
      </c>
      <c r="AD879">
        <v>-5166.5891000000001</v>
      </c>
      <c r="AE879">
        <v>-5166.5891000000001</v>
      </c>
      <c r="AF879">
        <v>-5166.5891000000001</v>
      </c>
    </row>
    <row r="880" spans="2:32" x14ac:dyDescent="0.25">
      <c r="B880">
        <v>32</v>
      </c>
      <c r="C880">
        <v>1</v>
      </c>
      <c r="D880">
        <v>1</v>
      </c>
      <c r="E880">
        <v>1</v>
      </c>
      <c r="F880">
        <v>1</v>
      </c>
      <c r="G880">
        <v>1</v>
      </c>
      <c r="H880">
        <v>1</v>
      </c>
      <c r="J880">
        <v>32</v>
      </c>
      <c r="K880">
        <v>1</v>
      </c>
      <c r="L880">
        <v>1</v>
      </c>
      <c r="M880">
        <v>1</v>
      </c>
      <c r="N880">
        <v>1</v>
      </c>
      <c r="O880">
        <v>1</v>
      </c>
      <c r="P880">
        <v>1</v>
      </c>
      <c r="R880">
        <v>32</v>
      </c>
      <c r="S880">
        <v>1</v>
      </c>
      <c r="T880">
        <v>1</v>
      </c>
      <c r="U880">
        <v>1</v>
      </c>
      <c r="V880">
        <v>1</v>
      </c>
      <c r="W880">
        <v>1</v>
      </c>
      <c r="X880">
        <v>1</v>
      </c>
      <c r="AA880">
        <v>-5164.2407000000003</v>
      </c>
      <c r="AB880">
        <v>-5164.2407000000003</v>
      </c>
      <c r="AC880">
        <v>-5164.2407000000003</v>
      </c>
      <c r="AD880">
        <v>-5164.2407000000003</v>
      </c>
      <c r="AE880">
        <v>-5164.2407000000003</v>
      </c>
      <c r="AF880">
        <v>-5164.2407000000003</v>
      </c>
    </row>
    <row r="881" spans="2:32" x14ac:dyDescent="0.25">
      <c r="B881">
        <v>33</v>
      </c>
      <c r="C881">
        <v>1</v>
      </c>
      <c r="D881">
        <v>1</v>
      </c>
      <c r="E881">
        <v>1</v>
      </c>
      <c r="F881">
        <v>1</v>
      </c>
      <c r="G881">
        <v>1</v>
      </c>
      <c r="H881">
        <v>1</v>
      </c>
      <c r="J881">
        <v>33</v>
      </c>
      <c r="K881">
        <v>1</v>
      </c>
      <c r="L881">
        <v>1</v>
      </c>
      <c r="M881">
        <v>1</v>
      </c>
      <c r="N881">
        <v>1</v>
      </c>
      <c r="O881">
        <v>1</v>
      </c>
      <c r="P881">
        <v>1</v>
      </c>
      <c r="R881">
        <v>33</v>
      </c>
      <c r="S881">
        <v>1</v>
      </c>
      <c r="T881">
        <v>1</v>
      </c>
      <c r="U881">
        <v>1</v>
      </c>
      <c r="V881">
        <v>1</v>
      </c>
      <c r="W881">
        <v>1</v>
      </c>
      <c r="X881">
        <v>1</v>
      </c>
      <c r="AA881">
        <v>-5161.6318000000001</v>
      </c>
      <c r="AB881">
        <v>-5161.6318000000001</v>
      </c>
      <c r="AC881">
        <v>-5161.6318000000001</v>
      </c>
      <c r="AD881">
        <v>-5161.6318000000001</v>
      </c>
      <c r="AE881">
        <v>-5161.6318000000001</v>
      </c>
      <c r="AF881">
        <v>-5161.6318000000001</v>
      </c>
    </row>
    <row r="882" spans="2:32" x14ac:dyDescent="0.25">
      <c r="B882">
        <v>34</v>
      </c>
      <c r="C882">
        <v>1</v>
      </c>
      <c r="D882">
        <v>1</v>
      </c>
      <c r="E882">
        <v>1</v>
      </c>
      <c r="F882">
        <v>1</v>
      </c>
      <c r="G882">
        <v>1</v>
      </c>
      <c r="H882">
        <v>1</v>
      </c>
      <c r="J882">
        <v>34</v>
      </c>
      <c r="K882">
        <v>1</v>
      </c>
      <c r="L882">
        <v>1</v>
      </c>
      <c r="M882">
        <v>1</v>
      </c>
      <c r="N882">
        <v>1</v>
      </c>
      <c r="O882">
        <v>1</v>
      </c>
      <c r="P882">
        <v>1</v>
      </c>
      <c r="R882">
        <v>34</v>
      </c>
      <c r="S882">
        <v>1</v>
      </c>
      <c r="T882">
        <v>1</v>
      </c>
      <c r="U882">
        <v>1</v>
      </c>
      <c r="V882">
        <v>1</v>
      </c>
      <c r="W882">
        <v>1</v>
      </c>
      <c r="X882">
        <v>1</v>
      </c>
      <c r="AA882">
        <v>-5158.7194</v>
      </c>
      <c r="AB882">
        <v>-5158.7194</v>
      </c>
      <c r="AC882">
        <v>-5158.7194</v>
      </c>
      <c r="AD882">
        <v>-5158.7194</v>
      </c>
      <c r="AE882">
        <v>-5158.7194</v>
      </c>
      <c r="AF882">
        <v>-5158.7194</v>
      </c>
    </row>
    <row r="883" spans="2:32" x14ac:dyDescent="0.25">
      <c r="B883">
        <v>35</v>
      </c>
      <c r="C883">
        <v>1</v>
      </c>
      <c r="D883">
        <v>1</v>
      </c>
      <c r="E883">
        <v>1</v>
      </c>
      <c r="F883">
        <v>1</v>
      </c>
      <c r="G883">
        <v>1</v>
      </c>
      <c r="H883">
        <v>1</v>
      </c>
      <c r="J883">
        <v>35</v>
      </c>
      <c r="K883">
        <v>1</v>
      </c>
      <c r="L883">
        <v>1</v>
      </c>
      <c r="M883">
        <v>1</v>
      </c>
      <c r="N883">
        <v>1</v>
      </c>
      <c r="O883">
        <v>1</v>
      </c>
      <c r="P883">
        <v>1</v>
      </c>
      <c r="R883">
        <v>35</v>
      </c>
      <c r="S883">
        <v>1</v>
      </c>
      <c r="T883">
        <v>1</v>
      </c>
      <c r="U883">
        <v>1</v>
      </c>
      <c r="V883">
        <v>1</v>
      </c>
      <c r="W883">
        <v>1</v>
      </c>
      <c r="X883">
        <v>1</v>
      </c>
      <c r="AA883">
        <v>-5155.4901</v>
      </c>
      <c r="AB883">
        <v>-5155.4901</v>
      </c>
      <c r="AC883">
        <v>-5155.4901</v>
      </c>
      <c r="AD883">
        <v>-5155.4901</v>
      </c>
      <c r="AE883">
        <v>-5155.4901</v>
      </c>
      <c r="AF883">
        <v>-5155.4901</v>
      </c>
    </row>
    <row r="884" spans="2:32" x14ac:dyDescent="0.25">
      <c r="B884">
        <v>36</v>
      </c>
      <c r="C884">
        <v>1</v>
      </c>
      <c r="D884">
        <v>1</v>
      </c>
      <c r="E884">
        <v>1</v>
      </c>
      <c r="F884">
        <v>1</v>
      </c>
      <c r="G884">
        <v>1</v>
      </c>
      <c r="H884">
        <v>1</v>
      </c>
      <c r="J884">
        <v>36</v>
      </c>
      <c r="K884">
        <v>1</v>
      </c>
      <c r="L884">
        <v>1</v>
      </c>
      <c r="M884">
        <v>1</v>
      </c>
      <c r="N884">
        <v>1</v>
      </c>
      <c r="O884">
        <v>1</v>
      </c>
      <c r="P884">
        <v>1</v>
      </c>
      <c r="R884">
        <v>36</v>
      </c>
      <c r="S884">
        <v>1</v>
      </c>
      <c r="T884">
        <v>1</v>
      </c>
      <c r="U884">
        <v>1</v>
      </c>
      <c r="V884">
        <v>1</v>
      </c>
      <c r="W884">
        <v>1</v>
      </c>
      <c r="X884">
        <v>1</v>
      </c>
      <c r="AA884">
        <v>-5151.8950999999997</v>
      </c>
      <c r="AB884">
        <v>-5151.8950999999997</v>
      </c>
      <c r="AC884">
        <v>-5151.8950999999997</v>
      </c>
      <c r="AD884">
        <v>-5151.8950999999997</v>
      </c>
      <c r="AE884">
        <v>-5151.8950999999997</v>
      </c>
      <c r="AF884">
        <v>-5151.8950999999997</v>
      </c>
    </row>
    <row r="885" spans="2:32" x14ac:dyDescent="0.25">
      <c r="B885">
        <v>37</v>
      </c>
      <c r="C885">
        <v>1</v>
      </c>
      <c r="D885">
        <v>1</v>
      </c>
      <c r="E885">
        <v>1</v>
      </c>
      <c r="F885">
        <v>1</v>
      </c>
      <c r="G885">
        <v>1</v>
      </c>
      <c r="H885">
        <v>1</v>
      </c>
      <c r="J885">
        <v>37</v>
      </c>
      <c r="K885">
        <v>1</v>
      </c>
      <c r="L885">
        <v>1</v>
      </c>
      <c r="M885">
        <v>1</v>
      </c>
      <c r="N885">
        <v>1</v>
      </c>
      <c r="O885">
        <v>1</v>
      </c>
      <c r="P885">
        <v>1</v>
      </c>
      <c r="R885">
        <v>37</v>
      </c>
      <c r="S885">
        <v>1</v>
      </c>
      <c r="T885">
        <v>1</v>
      </c>
      <c r="U885">
        <v>1</v>
      </c>
      <c r="V885">
        <v>1</v>
      </c>
      <c r="W885">
        <v>1</v>
      </c>
      <c r="X885">
        <v>1</v>
      </c>
      <c r="AA885">
        <v>-5147.9106000000002</v>
      </c>
      <c r="AB885">
        <v>-5147.9106000000002</v>
      </c>
      <c r="AC885">
        <v>-5147.9106000000002</v>
      </c>
      <c r="AD885">
        <v>-5147.9106000000002</v>
      </c>
      <c r="AE885">
        <v>-5147.9106000000002</v>
      </c>
      <c r="AF885">
        <v>-5147.9106000000002</v>
      </c>
    </row>
    <row r="886" spans="2:32" x14ac:dyDescent="0.25">
      <c r="B886">
        <v>38</v>
      </c>
      <c r="C886">
        <v>1</v>
      </c>
      <c r="D886">
        <v>1</v>
      </c>
      <c r="E886">
        <v>1</v>
      </c>
      <c r="F886">
        <v>1</v>
      </c>
      <c r="G886">
        <v>1</v>
      </c>
      <c r="H886">
        <v>1</v>
      </c>
      <c r="J886">
        <v>38</v>
      </c>
      <c r="K886">
        <v>1</v>
      </c>
      <c r="L886">
        <v>1</v>
      </c>
      <c r="M886">
        <v>1</v>
      </c>
      <c r="N886">
        <v>1</v>
      </c>
      <c r="O886">
        <v>1</v>
      </c>
      <c r="P886">
        <v>1</v>
      </c>
      <c r="R886">
        <v>38</v>
      </c>
      <c r="S886">
        <v>1</v>
      </c>
      <c r="T886">
        <v>1</v>
      </c>
      <c r="U886">
        <v>1</v>
      </c>
      <c r="V886">
        <v>1</v>
      </c>
      <c r="W886">
        <v>1</v>
      </c>
      <c r="X886">
        <v>1</v>
      </c>
      <c r="AA886">
        <v>-5143.5393999999997</v>
      </c>
      <c r="AB886">
        <v>-5143.5393999999997</v>
      </c>
      <c r="AC886">
        <v>-5143.5393999999997</v>
      </c>
      <c r="AD886">
        <v>-5143.5393999999997</v>
      </c>
      <c r="AE886">
        <v>-5143.5393999999997</v>
      </c>
      <c r="AF886">
        <v>-5143.5393999999997</v>
      </c>
    </row>
    <row r="887" spans="2:32" x14ac:dyDescent="0.25">
      <c r="B887">
        <v>39</v>
      </c>
      <c r="C887">
        <v>1</v>
      </c>
      <c r="D887">
        <v>1</v>
      </c>
      <c r="E887">
        <v>1</v>
      </c>
      <c r="F887">
        <v>1</v>
      </c>
      <c r="G887">
        <v>1</v>
      </c>
      <c r="H887">
        <v>1</v>
      </c>
      <c r="J887">
        <v>39</v>
      </c>
      <c r="K887">
        <v>1</v>
      </c>
      <c r="L887">
        <v>1</v>
      </c>
      <c r="M887">
        <v>1</v>
      </c>
      <c r="N887">
        <v>1</v>
      </c>
      <c r="O887">
        <v>1</v>
      </c>
      <c r="P887">
        <v>1</v>
      </c>
      <c r="R887">
        <v>39</v>
      </c>
      <c r="S887">
        <v>1</v>
      </c>
      <c r="T887">
        <v>1</v>
      </c>
      <c r="U887">
        <v>1</v>
      </c>
      <c r="V887">
        <v>1</v>
      </c>
      <c r="W887">
        <v>1</v>
      </c>
      <c r="X887">
        <v>1</v>
      </c>
      <c r="AA887">
        <v>-5138.76</v>
      </c>
      <c r="AB887">
        <v>-5138.76</v>
      </c>
      <c r="AC887">
        <v>-5138.76</v>
      </c>
      <c r="AD887">
        <v>-5138.76</v>
      </c>
      <c r="AE887">
        <v>-5138.76</v>
      </c>
      <c r="AF887">
        <v>-5138.76</v>
      </c>
    </row>
    <row r="888" spans="2:32" x14ac:dyDescent="0.25">
      <c r="B888">
        <v>40</v>
      </c>
      <c r="C888">
        <v>1</v>
      </c>
      <c r="D888">
        <v>1</v>
      </c>
      <c r="E888">
        <v>1</v>
      </c>
      <c r="F888">
        <v>1</v>
      </c>
      <c r="G888">
        <v>1</v>
      </c>
      <c r="H888">
        <v>1</v>
      </c>
      <c r="J888">
        <v>40</v>
      </c>
      <c r="K888">
        <v>1</v>
      </c>
      <c r="L888">
        <v>1</v>
      </c>
      <c r="M888">
        <v>1</v>
      </c>
      <c r="N888">
        <v>1</v>
      </c>
      <c r="O888">
        <v>1</v>
      </c>
      <c r="P888">
        <v>1</v>
      </c>
      <c r="R888">
        <v>40</v>
      </c>
      <c r="S888">
        <v>1</v>
      </c>
      <c r="T888">
        <v>1</v>
      </c>
      <c r="U888">
        <v>1</v>
      </c>
      <c r="V888">
        <v>1</v>
      </c>
      <c r="W888">
        <v>1</v>
      </c>
      <c r="X888">
        <v>1</v>
      </c>
      <c r="AA888">
        <v>-5133.5084999999999</v>
      </c>
      <c r="AB888">
        <v>-5133.5084999999999</v>
      </c>
      <c r="AC888">
        <v>-5133.5084999999999</v>
      </c>
      <c r="AD888">
        <v>-5133.5084999999999</v>
      </c>
      <c r="AE888">
        <v>-5133.5084999999999</v>
      </c>
      <c r="AF888">
        <v>-5133.5084999999999</v>
      </c>
    </row>
    <row r="889" spans="2:32" x14ac:dyDescent="0.25">
      <c r="B889">
        <v>41</v>
      </c>
      <c r="C889">
        <v>1</v>
      </c>
      <c r="D889">
        <v>1</v>
      </c>
      <c r="E889">
        <v>1</v>
      </c>
      <c r="F889">
        <v>1</v>
      </c>
      <c r="G889">
        <v>1</v>
      </c>
      <c r="H889">
        <v>1</v>
      </c>
      <c r="J889">
        <v>41</v>
      </c>
      <c r="K889">
        <v>1</v>
      </c>
      <c r="L889">
        <v>1</v>
      </c>
      <c r="M889">
        <v>1</v>
      </c>
      <c r="N889">
        <v>1</v>
      </c>
      <c r="O889">
        <v>1</v>
      </c>
      <c r="P889">
        <v>1</v>
      </c>
      <c r="R889">
        <v>41</v>
      </c>
      <c r="S889">
        <v>1</v>
      </c>
      <c r="T889">
        <v>1</v>
      </c>
      <c r="U889">
        <v>1</v>
      </c>
      <c r="V889">
        <v>1</v>
      </c>
      <c r="W889">
        <v>1</v>
      </c>
      <c r="X889">
        <v>1</v>
      </c>
      <c r="AA889">
        <v>-5127.7236000000003</v>
      </c>
      <c r="AB889">
        <v>-5127.7236000000003</v>
      </c>
      <c r="AC889">
        <v>-5127.7236000000003</v>
      </c>
      <c r="AD889">
        <v>-5127.7236000000003</v>
      </c>
      <c r="AE889">
        <v>-5127.7236000000003</v>
      </c>
      <c r="AF889">
        <v>-5127.7236000000003</v>
      </c>
    </row>
    <row r="890" spans="2:32" x14ac:dyDescent="0.25">
      <c r="B890">
        <v>42</v>
      </c>
      <c r="C890">
        <v>1</v>
      </c>
      <c r="D890">
        <v>1</v>
      </c>
      <c r="E890">
        <v>1</v>
      </c>
      <c r="F890">
        <v>1</v>
      </c>
      <c r="G890">
        <v>1</v>
      </c>
      <c r="H890">
        <v>1</v>
      </c>
      <c r="J890">
        <v>42</v>
      </c>
      <c r="K890">
        <v>1</v>
      </c>
      <c r="L890">
        <v>1</v>
      </c>
      <c r="M890">
        <v>1</v>
      </c>
      <c r="N890">
        <v>1</v>
      </c>
      <c r="O890">
        <v>1</v>
      </c>
      <c r="P890">
        <v>1</v>
      </c>
      <c r="R890">
        <v>42</v>
      </c>
      <c r="S890">
        <v>1</v>
      </c>
      <c r="T890">
        <v>1</v>
      </c>
      <c r="U890">
        <v>1</v>
      </c>
      <c r="V890">
        <v>1</v>
      </c>
      <c r="W890">
        <v>1</v>
      </c>
      <c r="X890">
        <v>1</v>
      </c>
      <c r="AA890">
        <v>-5121.3726999999999</v>
      </c>
      <c r="AB890">
        <v>-5121.3726999999999</v>
      </c>
      <c r="AC890">
        <v>-5121.3726999999999</v>
      </c>
      <c r="AD890">
        <v>-5121.3726999999999</v>
      </c>
      <c r="AE890">
        <v>-5121.3726999999999</v>
      </c>
      <c r="AF890">
        <v>-5121.3726999999999</v>
      </c>
    </row>
    <row r="891" spans="2:32" x14ac:dyDescent="0.25">
      <c r="B891">
        <v>43</v>
      </c>
      <c r="C891">
        <v>1</v>
      </c>
      <c r="D891">
        <v>1</v>
      </c>
      <c r="E891">
        <v>1</v>
      </c>
      <c r="F891">
        <v>1</v>
      </c>
      <c r="G891">
        <v>1</v>
      </c>
      <c r="H891">
        <v>1</v>
      </c>
      <c r="J891">
        <v>43</v>
      </c>
      <c r="K891">
        <v>1</v>
      </c>
      <c r="L891">
        <v>1</v>
      </c>
      <c r="M891">
        <v>1</v>
      </c>
      <c r="N891">
        <v>1</v>
      </c>
      <c r="O891">
        <v>1</v>
      </c>
      <c r="P891">
        <v>1</v>
      </c>
      <c r="R891">
        <v>43</v>
      </c>
      <c r="S891">
        <v>1</v>
      </c>
      <c r="T891">
        <v>1</v>
      </c>
      <c r="U891">
        <v>1</v>
      </c>
      <c r="V891">
        <v>1</v>
      </c>
      <c r="W891">
        <v>1</v>
      </c>
      <c r="X891">
        <v>1</v>
      </c>
      <c r="AA891">
        <v>-5114.3449000000001</v>
      </c>
      <c r="AB891">
        <v>-5114.3449000000001</v>
      </c>
      <c r="AC891">
        <v>-5114.3449000000001</v>
      </c>
      <c r="AD891">
        <v>-5114.3449000000001</v>
      </c>
      <c r="AE891">
        <v>-5114.3449000000001</v>
      </c>
      <c r="AF891">
        <v>-5114.3449000000001</v>
      </c>
    </row>
    <row r="892" spans="2:32" x14ac:dyDescent="0.25">
      <c r="B892">
        <v>44</v>
      </c>
      <c r="C892">
        <v>1</v>
      </c>
      <c r="D892">
        <v>1</v>
      </c>
      <c r="E892">
        <v>1</v>
      </c>
      <c r="F892">
        <v>1</v>
      </c>
      <c r="G892">
        <v>1</v>
      </c>
      <c r="H892">
        <v>1</v>
      </c>
      <c r="J892">
        <v>44</v>
      </c>
      <c r="K892">
        <v>1</v>
      </c>
      <c r="L892">
        <v>1</v>
      </c>
      <c r="M892">
        <v>1</v>
      </c>
      <c r="N892">
        <v>1</v>
      </c>
      <c r="O892">
        <v>1</v>
      </c>
      <c r="P892">
        <v>1</v>
      </c>
      <c r="R892">
        <v>44</v>
      </c>
      <c r="S892">
        <v>1</v>
      </c>
      <c r="T892">
        <v>1</v>
      </c>
      <c r="U892">
        <v>1</v>
      </c>
      <c r="V892">
        <v>1</v>
      </c>
      <c r="W892">
        <v>1</v>
      </c>
      <c r="X892">
        <v>1</v>
      </c>
      <c r="AA892">
        <v>-5106.5976000000001</v>
      </c>
      <c r="AB892">
        <v>-5106.5976000000001</v>
      </c>
      <c r="AC892">
        <v>-5106.5976000000001</v>
      </c>
      <c r="AD892">
        <v>-5106.5976000000001</v>
      </c>
      <c r="AE892">
        <v>-5106.5976000000001</v>
      </c>
      <c r="AF892">
        <v>-5106.5976000000001</v>
      </c>
    </row>
    <row r="893" spans="2:32" x14ac:dyDescent="0.25">
      <c r="B893">
        <v>45</v>
      </c>
      <c r="C893">
        <v>1</v>
      </c>
      <c r="D893">
        <v>1</v>
      </c>
      <c r="E893">
        <v>1</v>
      </c>
      <c r="F893">
        <v>1</v>
      </c>
      <c r="G893">
        <v>1</v>
      </c>
      <c r="H893">
        <v>1</v>
      </c>
      <c r="J893">
        <v>45</v>
      </c>
      <c r="K893">
        <v>1</v>
      </c>
      <c r="L893">
        <v>1</v>
      </c>
      <c r="M893">
        <v>1</v>
      </c>
      <c r="N893">
        <v>1</v>
      </c>
      <c r="O893">
        <v>1</v>
      </c>
      <c r="P893">
        <v>1</v>
      </c>
      <c r="R893">
        <v>45</v>
      </c>
      <c r="S893">
        <v>1</v>
      </c>
      <c r="T893">
        <v>1</v>
      </c>
      <c r="U893">
        <v>1</v>
      </c>
      <c r="V893">
        <v>1</v>
      </c>
      <c r="W893">
        <v>1</v>
      </c>
      <c r="X893">
        <v>1</v>
      </c>
      <c r="AA893">
        <v>-5098.0524999999998</v>
      </c>
      <c r="AB893">
        <v>-5098.0524999999998</v>
      </c>
      <c r="AC893">
        <v>-5098.0524999999998</v>
      </c>
      <c r="AD893">
        <v>-5098.0524999999998</v>
      </c>
      <c r="AE893">
        <v>-5098.0524999999998</v>
      </c>
      <c r="AF893">
        <v>-5098.0524999999998</v>
      </c>
    </row>
    <row r="894" spans="2:32" x14ac:dyDescent="0.25">
      <c r="B894">
        <v>46</v>
      </c>
      <c r="C894">
        <v>1</v>
      </c>
      <c r="D894">
        <v>1</v>
      </c>
      <c r="E894">
        <v>1</v>
      </c>
      <c r="F894">
        <v>1</v>
      </c>
      <c r="G894">
        <v>1</v>
      </c>
      <c r="H894">
        <v>1</v>
      </c>
      <c r="J894">
        <v>46</v>
      </c>
      <c r="K894">
        <v>1</v>
      </c>
      <c r="L894">
        <v>1</v>
      </c>
      <c r="M894">
        <v>1</v>
      </c>
      <c r="N894">
        <v>1</v>
      </c>
      <c r="O894">
        <v>1</v>
      </c>
      <c r="P894">
        <v>1</v>
      </c>
      <c r="R894">
        <v>46</v>
      </c>
      <c r="S894">
        <v>1</v>
      </c>
      <c r="T894">
        <v>1</v>
      </c>
      <c r="U894">
        <v>1</v>
      </c>
      <c r="V894">
        <v>1</v>
      </c>
      <c r="W894">
        <v>1</v>
      </c>
      <c r="X894">
        <v>1</v>
      </c>
      <c r="AA894">
        <v>-5088.6378000000004</v>
      </c>
      <c r="AB894">
        <v>-5088.6378000000004</v>
      </c>
      <c r="AC894">
        <v>-5088.6378000000004</v>
      </c>
      <c r="AD894">
        <v>-5088.6378000000004</v>
      </c>
      <c r="AE894">
        <v>-5088.6378000000004</v>
      </c>
      <c r="AF894">
        <v>-5088.6378000000004</v>
      </c>
    </row>
    <row r="895" spans="2:32" x14ac:dyDescent="0.25">
      <c r="B895">
        <v>47</v>
      </c>
      <c r="C895">
        <v>1</v>
      </c>
      <c r="D895">
        <v>1</v>
      </c>
      <c r="E895">
        <v>1</v>
      </c>
      <c r="F895">
        <v>1</v>
      </c>
      <c r="G895">
        <v>1</v>
      </c>
      <c r="H895">
        <v>1</v>
      </c>
      <c r="J895">
        <v>47</v>
      </c>
      <c r="K895">
        <v>1</v>
      </c>
      <c r="L895">
        <v>1</v>
      </c>
      <c r="M895">
        <v>1</v>
      </c>
      <c r="N895">
        <v>1</v>
      </c>
      <c r="O895">
        <v>1</v>
      </c>
      <c r="P895">
        <v>1</v>
      </c>
      <c r="R895">
        <v>47</v>
      </c>
      <c r="S895">
        <v>1</v>
      </c>
      <c r="T895">
        <v>1</v>
      </c>
      <c r="U895">
        <v>1</v>
      </c>
      <c r="V895">
        <v>1</v>
      </c>
      <c r="W895">
        <v>1</v>
      </c>
      <c r="X895">
        <v>1</v>
      </c>
      <c r="AA895">
        <v>-5078.2593999999999</v>
      </c>
      <c r="AB895">
        <v>-5078.2593999999999</v>
      </c>
      <c r="AC895">
        <v>-5078.2593999999999</v>
      </c>
      <c r="AD895">
        <v>-5078.2593999999999</v>
      </c>
      <c r="AE895">
        <v>-5078.2593999999999</v>
      </c>
      <c r="AF895">
        <v>-5078.2593999999999</v>
      </c>
    </row>
    <row r="896" spans="2:32" x14ac:dyDescent="0.25">
      <c r="B896">
        <v>48</v>
      </c>
      <c r="C896">
        <v>1</v>
      </c>
      <c r="D896">
        <v>1</v>
      </c>
      <c r="E896">
        <v>1</v>
      </c>
      <c r="F896">
        <v>1</v>
      </c>
      <c r="G896">
        <v>1</v>
      </c>
      <c r="H896">
        <v>1</v>
      </c>
      <c r="J896">
        <v>48</v>
      </c>
      <c r="K896">
        <v>1</v>
      </c>
      <c r="L896">
        <v>1</v>
      </c>
      <c r="M896">
        <v>1</v>
      </c>
      <c r="N896">
        <v>1</v>
      </c>
      <c r="O896">
        <v>1</v>
      </c>
      <c r="P896">
        <v>1</v>
      </c>
      <c r="R896">
        <v>48</v>
      </c>
      <c r="S896">
        <v>1</v>
      </c>
      <c r="T896">
        <v>1</v>
      </c>
      <c r="U896">
        <v>1</v>
      </c>
      <c r="V896">
        <v>1</v>
      </c>
      <c r="W896">
        <v>1</v>
      </c>
      <c r="X896">
        <v>1</v>
      </c>
      <c r="AA896">
        <v>-5066.8732</v>
      </c>
      <c r="AB896">
        <v>-5066.8732</v>
      </c>
      <c r="AC896">
        <v>-5066.8732</v>
      </c>
      <c r="AD896">
        <v>-5066.8732</v>
      </c>
      <c r="AE896">
        <v>-5066.8732</v>
      </c>
      <c r="AF896">
        <v>-5066.8732</v>
      </c>
    </row>
    <row r="897" spans="2:32" x14ac:dyDescent="0.25">
      <c r="B897">
        <v>49</v>
      </c>
      <c r="C897">
        <v>1</v>
      </c>
      <c r="D897">
        <v>1</v>
      </c>
      <c r="E897">
        <v>1</v>
      </c>
      <c r="F897">
        <v>1</v>
      </c>
      <c r="G897">
        <v>1</v>
      </c>
      <c r="H897">
        <v>1</v>
      </c>
      <c r="J897">
        <v>49</v>
      </c>
      <c r="K897">
        <v>1</v>
      </c>
      <c r="L897">
        <v>1</v>
      </c>
      <c r="M897">
        <v>1</v>
      </c>
      <c r="N897">
        <v>1</v>
      </c>
      <c r="O897">
        <v>1</v>
      </c>
      <c r="P897">
        <v>1</v>
      </c>
      <c r="R897">
        <v>49</v>
      </c>
      <c r="S897">
        <v>1</v>
      </c>
      <c r="T897">
        <v>1</v>
      </c>
      <c r="U897">
        <v>1</v>
      </c>
      <c r="V897">
        <v>1</v>
      </c>
      <c r="W897">
        <v>1</v>
      </c>
      <c r="X897">
        <v>1</v>
      </c>
      <c r="AA897">
        <v>-5054.4124000000002</v>
      </c>
      <c r="AB897">
        <v>-5054.4124000000002</v>
      </c>
      <c r="AC897">
        <v>-5054.4124000000002</v>
      </c>
      <c r="AD897">
        <v>-5054.4124000000002</v>
      </c>
      <c r="AE897">
        <v>-5054.4124000000002</v>
      </c>
      <c r="AF897">
        <v>-5054.4124000000002</v>
      </c>
    </row>
    <row r="898" spans="2:32" x14ac:dyDescent="0.25">
      <c r="B898">
        <v>50</v>
      </c>
      <c r="C898">
        <v>1</v>
      </c>
      <c r="D898">
        <v>1</v>
      </c>
      <c r="E898">
        <v>1</v>
      </c>
      <c r="F898">
        <v>1</v>
      </c>
      <c r="G898">
        <v>1</v>
      </c>
      <c r="H898">
        <v>1</v>
      </c>
      <c r="J898">
        <v>50</v>
      </c>
      <c r="K898">
        <v>1</v>
      </c>
      <c r="L898">
        <v>1</v>
      </c>
      <c r="M898">
        <v>1</v>
      </c>
      <c r="N898">
        <v>1</v>
      </c>
      <c r="O898">
        <v>1</v>
      </c>
      <c r="P898">
        <v>1</v>
      </c>
      <c r="R898">
        <v>50</v>
      </c>
      <c r="S898">
        <v>1</v>
      </c>
      <c r="T898">
        <v>1</v>
      </c>
      <c r="U898">
        <v>1</v>
      </c>
      <c r="V898">
        <v>1</v>
      </c>
      <c r="W898">
        <v>1</v>
      </c>
      <c r="X898">
        <v>1</v>
      </c>
      <c r="AA898">
        <v>-5040.7671</v>
      </c>
      <c r="AB898">
        <v>-5040.7671</v>
      </c>
      <c r="AC898">
        <v>-5040.7671</v>
      </c>
      <c r="AD898">
        <v>-5040.7671</v>
      </c>
      <c r="AE898">
        <v>-5040.7671</v>
      </c>
      <c r="AF898">
        <v>-5040.7671</v>
      </c>
    </row>
    <row r="899" spans="2:32" x14ac:dyDescent="0.25">
      <c r="B899">
        <v>51</v>
      </c>
      <c r="C899">
        <v>1</v>
      </c>
      <c r="D899">
        <v>1</v>
      </c>
      <c r="E899">
        <v>1</v>
      </c>
      <c r="F899">
        <v>1</v>
      </c>
      <c r="G899">
        <v>1</v>
      </c>
      <c r="H899">
        <v>1</v>
      </c>
      <c r="J899">
        <v>51</v>
      </c>
      <c r="K899">
        <v>1</v>
      </c>
      <c r="L899">
        <v>1</v>
      </c>
      <c r="M899">
        <v>1</v>
      </c>
      <c r="N899">
        <v>1</v>
      </c>
      <c r="O899">
        <v>1</v>
      </c>
      <c r="P899">
        <v>1</v>
      </c>
      <c r="R899">
        <v>51</v>
      </c>
      <c r="S899">
        <v>1</v>
      </c>
      <c r="T899">
        <v>1</v>
      </c>
      <c r="U899">
        <v>1</v>
      </c>
      <c r="V899">
        <v>1</v>
      </c>
      <c r="W899">
        <v>1</v>
      </c>
      <c r="X899">
        <v>1</v>
      </c>
      <c r="AA899">
        <v>-5025.8329000000003</v>
      </c>
      <c r="AB899">
        <v>-5025.8329000000003</v>
      </c>
      <c r="AC899">
        <v>-5025.8329000000003</v>
      </c>
      <c r="AD899">
        <v>-5025.8329000000003</v>
      </c>
      <c r="AE899">
        <v>-5025.8329000000003</v>
      </c>
      <c r="AF899">
        <v>-5025.8329000000003</v>
      </c>
    </row>
    <row r="900" spans="2:32" x14ac:dyDescent="0.25">
      <c r="B900">
        <v>52</v>
      </c>
      <c r="C900">
        <v>1</v>
      </c>
      <c r="D900">
        <v>1</v>
      </c>
      <c r="E900">
        <v>1</v>
      </c>
      <c r="F900">
        <v>1</v>
      </c>
      <c r="G900">
        <v>1</v>
      </c>
      <c r="H900">
        <v>1</v>
      </c>
      <c r="J900">
        <v>52</v>
      </c>
      <c r="K900">
        <v>1</v>
      </c>
      <c r="L900">
        <v>1</v>
      </c>
      <c r="M900">
        <v>1</v>
      </c>
      <c r="N900">
        <v>1</v>
      </c>
      <c r="O900">
        <v>1</v>
      </c>
      <c r="P900">
        <v>1</v>
      </c>
      <c r="R900">
        <v>52</v>
      </c>
      <c r="S900">
        <v>1</v>
      </c>
      <c r="T900">
        <v>1</v>
      </c>
      <c r="U900">
        <v>1</v>
      </c>
      <c r="V900">
        <v>1</v>
      </c>
      <c r="W900">
        <v>1</v>
      </c>
      <c r="X900">
        <v>1</v>
      </c>
      <c r="AA900">
        <v>-5009.4771000000001</v>
      </c>
      <c r="AB900">
        <v>-5009.4771000000001</v>
      </c>
      <c r="AC900">
        <v>-5009.4771000000001</v>
      </c>
      <c r="AD900">
        <v>-5009.4771000000001</v>
      </c>
      <c r="AE900">
        <v>-5009.4771000000001</v>
      </c>
      <c r="AF900">
        <v>-5009.4771000000001</v>
      </c>
    </row>
    <row r="901" spans="2:32" x14ac:dyDescent="0.25">
      <c r="B901">
        <v>53</v>
      </c>
      <c r="C901">
        <v>1</v>
      </c>
      <c r="D901">
        <v>1</v>
      </c>
      <c r="E901">
        <v>1</v>
      </c>
      <c r="F901">
        <v>1</v>
      </c>
      <c r="G901">
        <v>1</v>
      </c>
      <c r="H901">
        <v>1</v>
      </c>
      <c r="J901">
        <v>53</v>
      </c>
      <c r="K901">
        <v>1</v>
      </c>
      <c r="L901">
        <v>1</v>
      </c>
      <c r="M901">
        <v>1</v>
      </c>
      <c r="N901">
        <v>1</v>
      </c>
      <c r="O901">
        <v>1</v>
      </c>
      <c r="P901">
        <v>1</v>
      </c>
      <c r="R901">
        <v>53</v>
      </c>
      <c r="S901">
        <v>1</v>
      </c>
      <c r="T901">
        <v>1</v>
      </c>
      <c r="U901">
        <v>1</v>
      </c>
      <c r="V901">
        <v>1</v>
      </c>
      <c r="W901">
        <v>1</v>
      </c>
      <c r="X901">
        <v>1</v>
      </c>
      <c r="AA901">
        <v>-4991.6184000000003</v>
      </c>
      <c r="AB901">
        <v>-4991.6184000000003</v>
      </c>
      <c r="AC901">
        <v>-4991.6184000000003</v>
      </c>
      <c r="AD901">
        <v>-4991.6184000000003</v>
      </c>
      <c r="AE901">
        <v>-4991.6184000000003</v>
      </c>
      <c r="AF901">
        <v>-4991.6184000000003</v>
      </c>
    </row>
    <row r="902" spans="2:32" x14ac:dyDescent="0.25">
      <c r="B902">
        <v>54</v>
      </c>
      <c r="C902">
        <v>1</v>
      </c>
      <c r="D902">
        <v>1</v>
      </c>
      <c r="E902">
        <v>1</v>
      </c>
      <c r="F902">
        <v>1</v>
      </c>
      <c r="G902">
        <v>1</v>
      </c>
      <c r="H902">
        <v>1</v>
      </c>
      <c r="J902">
        <v>54</v>
      </c>
      <c r="K902">
        <v>1</v>
      </c>
      <c r="L902">
        <v>1</v>
      </c>
      <c r="M902">
        <v>1</v>
      </c>
      <c r="N902">
        <v>1</v>
      </c>
      <c r="O902">
        <v>1</v>
      </c>
      <c r="P902">
        <v>1</v>
      </c>
      <c r="R902">
        <v>54</v>
      </c>
      <c r="S902">
        <v>1</v>
      </c>
      <c r="T902">
        <v>1</v>
      </c>
      <c r="U902">
        <v>1</v>
      </c>
      <c r="V902">
        <v>1</v>
      </c>
      <c r="W902">
        <v>1</v>
      </c>
      <c r="X902">
        <v>1</v>
      </c>
      <c r="AA902">
        <v>-4972.1588000000002</v>
      </c>
      <c r="AB902">
        <v>-4972.1588000000002</v>
      </c>
      <c r="AC902">
        <v>-4972.1588000000002</v>
      </c>
      <c r="AD902">
        <v>-4972.1588000000002</v>
      </c>
      <c r="AE902">
        <v>-4972.1588000000002</v>
      </c>
      <c r="AF902">
        <v>-4972.1588000000002</v>
      </c>
    </row>
    <row r="903" spans="2:32" x14ac:dyDescent="0.25">
      <c r="B903">
        <v>55</v>
      </c>
      <c r="C903">
        <v>1</v>
      </c>
      <c r="D903">
        <v>1</v>
      </c>
      <c r="E903">
        <v>1</v>
      </c>
      <c r="F903">
        <v>1</v>
      </c>
      <c r="G903">
        <v>1</v>
      </c>
      <c r="H903">
        <v>1</v>
      </c>
      <c r="J903">
        <v>55</v>
      </c>
      <c r="K903">
        <v>1</v>
      </c>
      <c r="L903">
        <v>1</v>
      </c>
      <c r="M903">
        <v>1</v>
      </c>
      <c r="N903">
        <v>1</v>
      </c>
      <c r="O903">
        <v>1</v>
      </c>
      <c r="P903">
        <v>1</v>
      </c>
      <c r="R903">
        <v>55</v>
      </c>
      <c r="S903">
        <v>1</v>
      </c>
      <c r="T903">
        <v>1</v>
      </c>
      <c r="U903">
        <v>1</v>
      </c>
      <c r="V903">
        <v>1</v>
      </c>
      <c r="W903">
        <v>1</v>
      </c>
      <c r="X903">
        <v>1</v>
      </c>
      <c r="AA903">
        <v>-4950.9426000000003</v>
      </c>
      <c r="AB903">
        <v>-4950.9426000000003</v>
      </c>
      <c r="AC903">
        <v>-4950.9426000000003</v>
      </c>
      <c r="AD903">
        <v>-4950.9426000000003</v>
      </c>
      <c r="AE903">
        <v>-4950.9426000000003</v>
      </c>
      <c r="AF903">
        <v>-4950.9426000000003</v>
      </c>
    </row>
    <row r="906" spans="2:32" x14ac:dyDescent="0.25">
      <c r="B906" t="s">
        <v>46</v>
      </c>
      <c r="C906">
        <v>100000</v>
      </c>
      <c r="D906">
        <v>250000</v>
      </c>
      <c r="E906">
        <v>500000</v>
      </c>
      <c r="F906">
        <v>1000000</v>
      </c>
      <c r="G906">
        <v>2000000</v>
      </c>
      <c r="J906" t="s">
        <v>32</v>
      </c>
      <c r="K906">
        <v>100000</v>
      </c>
      <c r="L906">
        <v>250000</v>
      </c>
      <c r="M906">
        <v>500000</v>
      </c>
      <c r="N906">
        <v>1000000</v>
      </c>
      <c r="O906">
        <v>2000000</v>
      </c>
      <c r="R906" t="s">
        <v>48</v>
      </c>
      <c r="S906">
        <v>100000</v>
      </c>
      <c r="T906">
        <v>250000</v>
      </c>
      <c r="U906">
        <v>500000</v>
      </c>
      <c r="V906">
        <v>1000000</v>
      </c>
      <c r="W906">
        <v>2000000</v>
      </c>
    </row>
    <row r="907" spans="2:32" x14ac:dyDescent="0.25">
      <c r="B907">
        <v>35</v>
      </c>
      <c r="C907">
        <v>1</v>
      </c>
      <c r="D907">
        <v>1</v>
      </c>
      <c r="E907">
        <v>1</v>
      </c>
      <c r="F907">
        <v>1</v>
      </c>
      <c r="G907">
        <v>1</v>
      </c>
      <c r="J907">
        <v>35</v>
      </c>
      <c r="K907">
        <v>1</v>
      </c>
      <c r="L907">
        <v>1</v>
      </c>
      <c r="M907">
        <v>1</v>
      </c>
      <c r="N907">
        <v>1</v>
      </c>
      <c r="O907">
        <v>1</v>
      </c>
      <c r="R907">
        <v>35</v>
      </c>
      <c r="S907">
        <v>1</v>
      </c>
      <c r="T907">
        <v>1</v>
      </c>
      <c r="U907">
        <v>1</v>
      </c>
      <c r="V907">
        <v>1</v>
      </c>
      <c r="W907">
        <v>1</v>
      </c>
      <c r="AA907">
        <v>-8996.1419000000005</v>
      </c>
      <c r="AB907">
        <v>-8996.1419000000005</v>
      </c>
      <c r="AC907">
        <v>-8996.1419000000005</v>
      </c>
      <c r="AD907">
        <v>-8996.1419000000005</v>
      </c>
      <c r="AE907">
        <v>-8996.1419000000005</v>
      </c>
      <c r="AF907">
        <v>-759112.79520000005</v>
      </c>
    </row>
    <row r="908" spans="2:32" x14ac:dyDescent="0.25">
      <c r="B908">
        <f t="shared" ref="B908:B937" si="39">B907+1</f>
        <v>36</v>
      </c>
      <c r="C908">
        <v>1</v>
      </c>
      <c r="D908">
        <v>1</v>
      </c>
      <c r="E908">
        <v>1</v>
      </c>
      <c r="F908">
        <v>1</v>
      </c>
      <c r="G908">
        <v>1</v>
      </c>
      <c r="J908">
        <f t="shared" ref="J908:J937" si="40">J907+1</f>
        <v>36</v>
      </c>
      <c r="K908">
        <v>1</v>
      </c>
      <c r="L908">
        <v>1</v>
      </c>
      <c r="M908">
        <v>1</v>
      </c>
      <c r="N908">
        <v>1</v>
      </c>
      <c r="O908">
        <v>1</v>
      </c>
      <c r="R908">
        <f t="shared" ref="R908:R937" si="41">R907+1</f>
        <v>36</v>
      </c>
      <c r="S908">
        <v>1</v>
      </c>
      <c r="T908">
        <v>1</v>
      </c>
      <c r="U908">
        <v>1</v>
      </c>
      <c r="V908">
        <v>1</v>
      </c>
      <c r="W908">
        <v>1</v>
      </c>
      <c r="AA908">
        <v>-8902.6679999999997</v>
      </c>
      <c r="AB908">
        <v>-8902.6679999999997</v>
      </c>
      <c r="AC908">
        <v>-8902.6679999999997</v>
      </c>
      <c r="AD908">
        <v>-8902.6679999999997</v>
      </c>
      <c r="AE908">
        <v>-8902.6679999999997</v>
      </c>
      <c r="AF908">
        <v>-737070.86179999996</v>
      </c>
    </row>
    <row r="909" spans="2:32" x14ac:dyDescent="0.25">
      <c r="B909">
        <f t="shared" si="39"/>
        <v>37</v>
      </c>
      <c r="C909">
        <v>1</v>
      </c>
      <c r="D909">
        <v>1</v>
      </c>
      <c r="E909">
        <v>1</v>
      </c>
      <c r="F909">
        <v>1</v>
      </c>
      <c r="G909">
        <v>1</v>
      </c>
      <c r="J909">
        <f t="shared" si="40"/>
        <v>37</v>
      </c>
      <c r="K909">
        <v>1</v>
      </c>
      <c r="L909">
        <v>1</v>
      </c>
      <c r="M909">
        <v>1</v>
      </c>
      <c r="N909">
        <v>1</v>
      </c>
      <c r="O909">
        <v>1</v>
      </c>
      <c r="R909">
        <f t="shared" si="41"/>
        <v>37</v>
      </c>
      <c r="S909">
        <v>1</v>
      </c>
      <c r="T909">
        <v>1</v>
      </c>
      <c r="U909">
        <v>1</v>
      </c>
      <c r="V909">
        <v>1</v>
      </c>
      <c r="W909">
        <v>1</v>
      </c>
      <c r="AA909">
        <v>-8806.7960000000003</v>
      </c>
      <c r="AB909">
        <v>-8806.7960000000003</v>
      </c>
      <c r="AC909">
        <v>-8806.7960000000003</v>
      </c>
      <c r="AD909">
        <v>-8806.7960000000003</v>
      </c>
      <c r="AE909">
        <v>-8806.7960000000003</v>
      </c>
      <c r="AF909">
        <v>-765978.91940000001</v>
      </c>
    </row>
    <row r="910" spans="2:32" x14ac:dyDescent="0.25">
      <c r="B910">
        <f t="shared" si="39"/>
        <v>38</v>
      </c>
      <c r="C910">
        <v>1</v>
      </c>
      <c r="D910">
        <v>1</v>
      </c>
      <c r="E910">
        <v>1</v>
      </c>
      <c r="F910">
        <v>1</v>
      </c>
      <c r="G910">
        <v>1</v>
      </c>
      <c r="J910">
        <f t="shared" si="40"/>
        <v>38</v>
      </c>
      <c r="K910">
        <v>1</v>
      </c>
      <c r="L910">
        <v>1</v>
      </c>
      <c r="M910">
        <v>1</v>
      </c>
      <c r="N910">
        <v>1</v>
      </c>
      <c r="O910">
        <v>1</v>
      </c>
      <c r="R910">
        <f t="shared" si="41"/>
        <v>38</v>
      </c>
      <c r="S910">
        <v>1</v>
      </c>
      <c r="T910">
        <v>1</v>
      </c>
      <c r="U910">
        <v>1</v>
      </c>
      <c r="V910">
        <v>1</v>
      </c>
      <c r="W910">
        <v>1</v>
      </c>
      <c r="AA910">
        <v>-8708.6234000000004</v>
      </c>
      <c r="AB910">
        <v>-8708.6234000000004</v>
      </c>
      <c r="AC910">
        <v>-8708.6234000000004</v>
      </c>
      <c r="AD910">
        <v>-8708.6234000000004</v>
      </c>
      <c r="AE910">
        <v>-8708.6234000000004</v>
      </c>
      <c r="AF910">
        <v>-783780.576</v>
      </c>
    </row>
    <row r="911" spans="2:32" x14ac:dyDescent="0.25">
      <c r="B911">
        <f t="shared" si="39"/>
        <v>39</v>
      </c>
      <c r="C911">
        <v>1</v>
      </c>
      <c r="D911">
        <v>1</v>
      </c>
      <c r="E911">
        <v>1</v>
      </c>
      <c r="F911">
        <v>1</v>
      </c>
      <c r="G911">
        <v>1</v>
      </c>
      <c r="J911">
        <f t="shared" si="40"/>
        <v>39</v>
      </c>
      <c r="K911">
        <v>1</v>
      </c>
      <c r="L911">
        <v>1</v>
      </c>
      <c r="M911">
        <v>1</v>
      </c>
      <c r="N911">
        <v>1</v>
      </c>
      <c r="O911">
        <v>1</v>
      </c>
      <c r="R911">
        <f t="shared" si="41"/>
        <v>39</v>
      </c>
      <c r="S911">
        <v>1</v>
      </c>
      <c r="T911">
        <v>1</v>
      </c>
      <c r="U911">
        <v>1</v>
      </c>
      <c r="V911">
        <v>1</v>
      </c>
      <c r="W911">
        <v>1</v>
      </c>
      <c r="AA911">
        <v>-8608.1594000000005</v>
      </c>
      <c r="AB911">
        <v>-8608.1594000000005</v>
      </c>
      <c r="AC911">
        <v>-8608.1594000000005</v>
      </c>
      <c r="AD911">
        <v>-8608.1594000000005</v>
      </c>
      <c r="AE911">
        <v>-8608.1594000000005</v>
      </c>
      <c r="AF911">
        <v>-769662.22069999995</v>
      </c>
    </row>
    <row r="912" spans="2:32" x14ac:dyDescent="0.25">
      <c r="B912">
        <f t="shared" si="39"/>
        <v>40</v>
      </c>
      <c r="C912">
        <v>1</v>
      </c>
      <c r="D912">
        <v>1</v>
      </c>
      <c r="E912">
        <v>1</v>
      </c>
      <c r="F912">
        <v>1</v>
      </c>
      <c r="G912">
        <v>1</v>
      </c>
      <c r="J912">
        <f t="shared" si="40"/>
        <v>40</v>
      </c>
      <c r="K912">
        <v>1</v>
      </c>
      <c r="L912">
        <v>1</v>
      </c>
      <c r="M912">
        <v>1</v>
      </c>
      <c r="N912">
        <v>1</v>
      </c>
      <c r="O912">
        <v>1</v>
      </c>
      <c r="R912">
        <f t="shared" si="41"/>
        <v>40</v>
      </c>
      <c r="S912">
        <v>1</v>
      </c>
      <c r="T912">
        <v>1</v>
      </c>
      <c r="U912">
        <v>1</v>
      </c>
      <c r="V912">
        <v>1</v>
      </c>
      <c r="W912">
        <v>1</v>
      </c>
      <c r="AA912">
        <v>-8505.3439999999991</v>
      </c>
      <c r="AB912">
        <v>-8505.3439999999991</v>
      </c>
      <c r="AC912">
        <v>-8505.3439999999991</v>
      </c>
      <c r="AD912">
        <v>-8505.3439999999991</v>
      </c>
      <c r="AE912">
        <v>-8505.3439999999991</v>
      </c>
      <c r="AF912">
        <v>-798570.41119999997</v>
      </c>
    </row>
    <row r="913" spans="2:32" x14ac:dyDescent="0.25">
      <c r="B913">
        <f t="shared" si="39"/>
        <v>41</v>
      </c>
      <c r="C913">
        <v>1</v>
      </c>
      <c r="D913">
        <v>1</v>
      </c>
      <c r="E913">
        <v>1</v>
      </c>
      <c r="F913">
        <v>1</v>
      </c>
      <c r="G913">
        <v>1</v>
      </c>
      <c r="J913">
        <f t="shared" si="40"/>
        <v>41</v>
      </c>
      <c r="K913">
        <v>1</v>
      </c>
      <c r="L913">
        <v>1</v>
      </c>
      <c r="M913">
        <v>1</v>
      </c>
      <c r="N913">
        <v>1</v>
      </c>
      <c r="O913">
        <v>1</v>
      </c>
      <c r="R913">
        <f t="shared" si="41"/>
        <v>41</v>
      </c>
      <c r="S913">
        <v>1</v>
      </c>
      <c r="T913">
        <v>1</v>
      </c>
      <c r="U913">
        <v>1</v>
      </c>
      <c r="V913">
        <v>1</v>
      </c>
      <c r="W913">
        <v>1</v>
      </c>
      <c r="AA913">
        <v>-8400.1087000000007</v>
      </c>
      <c r="AB913">
        <v>-8400.1087000000007</v>
      </c>
      <c r="AC913">
        <v>-8400.1087000000007</v>
      </c>
      <c r="AD913">
        <v>-8400.1087000000007</v>
      </c>
      <c r="AE913">
        <v>-8400.1087000000007</v>
      </c>
      <c r="AF913">
        <v>-803549.96459999995</v>
      </c>
    </row>
    <row r="914" spans="2:32" x14ac:dyDescent="0.25">
      <c r="B914">
        <f t="shared" si="39"/>
        <v>42</v>
      </c>
      <c r="C914">
        <v>1</v>
      </c>
      <c r="D914">
        <v>1</v>
      </c>
      <c r="E914">
        <v>1</v>
      </c>
      <c r="F914">
        <v>1</v>
      </c>
      <c r="G914">
        <v>1</v>
      </c>
      <c r="J914">
        <f t="shared" si="40"/>
        <v>42</v>
      </c>
      <c r="K914">
        <v>1</v>
      </c>
      <c r="L914">
        <v>1</v>
      </c>
      <c r="M914">
        <v>1</v>
      </c>
      <c r="N914">
        <v>1</v>
      </c>
      <c r="O914">
        <v>1</v>
      </c>
      <c r="R914">
        <f t="shared" si="41"/>
        <v>42</v>
      </c>
      <c r="S914">
        <v>1</v>
      </c>
      <c r="T914">
        <v>1</v>
      </c>
      <c r="U914">
        <v>1</v>
      </c>
      <c r="V914">
        <v>1</v>
      </c>
      <c r="W914">
        <v>1</v>
      </c>
      <c r="AA914">
        <v>-8292.4974999999995</v>
      </c>
      <c r="AB914">
        <v>-8292.4974999999995</v>
      </c>
      <c r="AC914">
        <v>-8292.4974999999995</v>
      </c>
      <c r="AD914">
        <v>-8292.4974999999995</v>
      </c>
      <c r="AE914">
        <v>-8292.4974999999995</v>
      </c>
      <c r="AF914">
        <v>-833551.75890000002</v>
      </c>
    </row>
    <row r="915" spans="2:32" x14ac:dyDescent="0.25">
      <c r="B915">
        <f t="shared" si="39"/>
        <v>43</v>
      </c>
      <c r="C915">
        <v>1</v>
      </c>
      <c r="D915">
        <v>1</v>
      </c>
      <c r="E915">
        <v>1</v>
      </c>
      <c r="F915">
        <v>1</v>
      </c>
      <c r="G915">
        <v>1</v>
      </c>
      <c r="J915">
        <f t="shared" si="40"/>
        <v>43</v>
      </c>
      <c r="K915">
        <v>1</v>
      </c>
      <c r="L915">
        <v>1</v>
      </c>
      <c r="M915">
        <v>1</v>
      </c>
      <c r="N915">
        <v>1</v>
      </c>
      <c r="O915">
        <v>1</v>
      </c>
      <c r="R915">
        <f t="shared" si="41"/>
        <v>43</v>
      </c>
      <c r="S915">
        <v>1</v>
      </c>
      <c r="T915">
        <v>1</v>
      </c>
      <c r="U915">
        <v>1</v>
      </c>
      <c r="V915">
        <v>1</v>
      </c>
      <c r="W915">
        <v>1</v>
      </c>
      <c r="AA915">
        <v>-8182.3909999999996</v>
      </c>
      <c r="AB915">
        <v>-8182.3909999999996</v>
      </c>
      <c r="AC915">
        <v>-8182.3909999999996</v>
      </c>
      <c r="AD915">
        <v>-8182.3909999999996</v>
      </c>
      <c r="AE915">
        <v>-8182.3909999999996</v>
      </c>
      <c r="AF915">
        <v>-844950.93949999998</v>
      </c>
    </row>
    <row r="916" spans="2:32" x14ac:dyDescent="0.25">
      <c r="B916">
        <f t="shared" si="39"/>
        <v>44</v>
      </c>
      <c r="C916">
        <v>1</v>
      </c>
      <c r="D916">
        <v>1</v>
      </c>
      <c r="E916">
        <v>1</v>
      </c>
      <c r="F916">
        <v>1</v>
      </c>
      <c r="G916">
        <v>1</v>
      </c>
      <c r="J916">
        <f t="shared" si="40"/>
        <v>44</v>
      </c>
      <c r="K916">
        <v>1</v>
      </c>
      <c r="L916">
        <v>1</v>
      </c>
      <c r="M916">
        <v>1</v>
      </c>
      <c r="N916">
        <v>1</v>
      </c>
      <c r="O916">
        <v>1</v>
      </c>
      <c r="R916">
        <f t="shared" si="41"/>
        <v>44</v>
      </c>
      <c r="S916">
        <v>1</v>
      </c>
      <c r="T916">
        <v>1</v>
      </c>
      <c r="U916">
        <v>1</v>
      </c>
      <c r="V916">
        <v>1</v>
      </c>
      <c r="W916">
        <v>1</v>
      </c>
      <c r="AA916">
        <v>-8069.8261000000002</v>
      </c>
      <c r="AB916">
        <v>-8069.8261000000002</v>
      </c>
      <c r="AC916">
        <v>-8069.8261000000002</v>
      </c>
      <c r="AD916">
        <v>-8069.8261000000002</v>
      </c>
      <c r="AE916">
        <v>-8069.8261000000002</v>
      </c>
      <c r="AF916">
        <v>-851265.64670000004</v>
      </c>
    </row>
    <row r="917" spans="2:32" x14ac:dyDescent="0.25">
      <c r="B917">
        <f t="shared" si="39"/>
        <v>45</v>
      </c>
      <c r="C917">
        <v>1</v>
      </c>
      <c r="D917">
        <v>1</v>
      </c>
      <c r="E917">
        <v>1</v>
      </c>
      <c r="F917">
        <v>1</v>
      </c>
      <c r="G917">
        <v>1</v>
      </c>
      <c r="J917">
        <f t="shared" si="40"/>
        <v>45</v>
      </c>
      <c r="K917">
        <v>1</v>
      </c>
      <c r="L917">
        <v>1</v>
      </c>
      <c r="M917">
        <v>1</v>
      </c>
      <c r="N917">
        <v>1</v>
      </c>
      <c r="O917">
        <v>1</v>
      </c>
      <c r="R917">
        <f t="shared" si="41"/>
        <v>45</v>
      </c>
      <c r="S917">
        <v>1</v>
      </c>
      <c r="T917">
        <v>1</v>
      </c>
      <c r="U917">
        <v>1</v>
      </c>
      <c r="V917">
        <v>1</v>
      </c>
      <c r="W917">
        <v>1</v>
      </c>
      <c r="AA917">
        <v>-7954.7533999999996</v>
      </c>
      <c r="AB917">
        <v>-7954.7533999999996</v>
      </c>
      <c r="AC917">
        <v>-7954.7533999999996</v>
      </c>
      <c r="AD917">
        <v>-7954.7533999999996</v>
      </c>
      <c r="AE917">
        <v>-7954.7533999999996</v>
      </c>
      <c r="AF917">
        <v>-870649.02139999997</v>
      </c>
    </row>
    <row r="918" spans="2:32" x14ac:dyDescent="0.25">
      <c r="B918">
        <f t="shared" si="39"/>
        <v>46</v>
      </c>
      <c r="C918">
        <v>1</v>
      </c>
      <c r="D918">
        <v>1</v>
      </c>
      <c r="E918">
        <v>1</v>
      </c>
      <c r="F918">
        <v>1</v>
      </c>
      <c r="G918">
        <v>1</v>
      </c>
      <c r="J918">
        <f t="shared" si="40"/>
        <v>46</v>
      </c>
      <c r="K918">
        <v>1</v>
      </c>
      <c r="L918">
        <v>1</v>
      </c>
      <c r="M918">
        <v>1</v>
      </c>
      <c r="N918">
        <v>1</v>
      </c>
      <c r="O918">
        <v>1</v>
      </c>
      <c r="R918">
        <f t="shared" si="41"/>
        <v>46</v>
      </c>
      <c r="S918">
        <v>1</v>
      </c>
      <c r="T918">
        <v>1</v>
      </c>
      <c r="U918">
        <v>1</v>
      </c>
      <c r="V918">
        <v>1</v>
      </c>
      <c r="W918">
        <v>1</v>
      </c>
      <c r="AA918">
        <v>-7837.1754000000001</v>
      </c>
      <c r="AB918">
        <v>-7837.1754000000001</v>
      </c>
      <c r="AC918">
        <v>-7837.1754000000001</v>
      </c>
      <c r="AD918">
        <v>-7837.1754000000001</v>
      </c>
      <c r="AE918">
        <v>-7837.1754000000001</v>
      </c>
      <c r="AF918">
        <v>-892550.54509999999</v>
      </c>
    </row>
    <row r="919" spans="2:32" x14ac:dyDescent="0.25">
      <c r="B919">
        <f t="shared" si="39"/>
        <v>47</v>
      </c>
      <c r="C919">
        <v>1</v>
      </c>
      <c r="D919">
        <v>1</v>
      </c>
      <c r="E919">
        <v>1</v>
      </c>
      <c r="F919">
        <v>1</v>
      </c>
      <c r="G919">
        <v>1</v>
      </c>
      <c r="J919">
        <f t="shared" si="40"/>
        <v>47</v>
      </c>
      <c r="K919">
        <v>1</v>
      </c>
      <c r="L919">
        <v>1</v>
      </c>
      <c r="M919">
        <v>1</v>
      </c>
      <c r="N919">
        <v>1</v>
      </c>
      <c r="O919">
        <v>1</v>
      </c>
      <c r="R919">
        <f t="shared" si="41"/>
        <v>47</v>
      </c>
      <c r="S919">
        <v>1</v>
      </c>
      <c r="T919">
        <v>1</v>
      </c>
      <c r="U919">
        <v>1</v>
      </c>
      <c r="V919">
        <v>1</v>
      </c>
      <c r="W919">
        <v>1</v>
      </c>
      <c r="AA919">
        <v>-7717.0294999999996</v>
      </c>
      <c r="AB919">
        <v>-7717.0294999999996</v>
      </c>
      <c r="AC919">
        <v>-7717.0294999999996</v>
      </c>
      <c r="AD919">
        <v>-7717.0294999999996</v>
      </c>
      <c r="AE919">
        <v>-7717.0294999999996</v>
      </c>
      <c r="AF919">
        <v>-910915.81969999999</v>
      </c>
    </row>
    <row r="920" spans="2:32" x14ac:dyDescent="0.25">
      <c r="B920">
        <f t="shared" si="39"/>
        <v>48</v>
      </c>
      <c r="C920">
        <v>1</v>
      </c>
      <c r="D920">
        <v>1</v>
      </c>
      <c r="E920">
        <v>1</v>
      </c>
      <c r="F920">
        <v>1</v>
      </c>
      <c r="G920">
        <v>1</v>
      </c>
      <c r="J920">
        <f t="shared" si="40"/>
        <v>48</v>
      </c>
      <c r="K920">
        <v>1</v>
      </c>
      <c r="L920">
        <v>1</v>
      </c>
      <c r="M920">
        <v>1</v>
      </c>
      <c r="N920">
        <v>1</v>
      </c>
      <c r="O920">
        <v>1</v>
      </c>
      <c r="R920">
        <f t="shared" si="41"/>
        <v>48</v>
      </c>
      <c r="S920">
        <v>1</v>
      </c>
      <c r="T920">
        <v>1</v>
      </c>
      <c r="U920">
        <v>1</v>
      </c>
      <c r="V920">
        <v>1</v>
      </c>
      <c r="W920">
        <v>1</v>
      </c>
      <c r="AA920">
        <v>-7594.4201000000003</v>
      </c>
      <c r="AB920">
        <v>-7594.4201000000003</v>
      </c>
      <c r="AC920">
        <v>-7594.4201000000003</v>
      </c>
      <c r="AD920">
        <v>-7594.4201000000003</v>
      </c>
      <c r="AE920">
        <v>-7594.4201000000003</v>
      </c>
      <c r="AF920">
        <v>-917891.87360000005</v>
      </c>
    </row>
    <row r="921" spans="2:32" x14ac:dyDescent="0.25">
      <c r="B921">
        <f t="shared" si="39"/>
        <v>49</v>
      </c>
      <c r="C921">
        <v>1</v>
      </c>
      <c r="D921">
        <v>1</v>
      </c>
      <c r="E921">
        <v>1</v>
      </c>
      <c r="F921">
        <v>1</v>
      </c>
      <c r="G921">
        <v>1</v>
      </c>
      <c r="J921">
        <f t="shared" si="40"/>
        <v>49</v>
      </c>
      <c r="K921">
        <v>1</v>
      </c>
      <c r="L921">
        <v>1</v>
      </c>
      <c r="M921">
        <v>1</v>
      </c>
      <c r="N921">
        <v>1</v>
      </c>
      <c r="O921">
        <v>1</v>
      </c>
      <c r="R921">
        <f t="shared" si="41"/>
        <v>49</v>
      </c>
      <c r="S921">
        <v>1</v>
      </c>
      <c r="T921">
        <v>1</v>
      </c>
      <c r="U921">
        <v>1</v>
      </c>
      <c r="V921">
        <v>1</v>
      </c>
      <c r="W921">
        <v>1</v>
      </c>
      <c r="AA921">
        <v>-7469.3995999999997</v>
      </c>
      <c r="AB921">
        <v>-7469.3995999999997</v>
      </c>
      <c r="AC921">
        <v>-7469.3995999999997</v>
      </c>
      <c r="AD921">
        <v>-7469.3995999999997</v>
      </c>
      <c r="AE921">
        <v>-7469.3995999999997</v>
      </c>
      <c r="AF921">
        <v>-944521.72470000002</v>
      </c>
    </row>
    <row r="922" spans="2:32" x14ac:dyDescent="0.25">
      <c r="B922">
        <f t="shared" si="39"/>
        <v>50</v>
      </c>
      <c r="C922">
        <v>1</v>
      </c>
      <c r="D922">
        <v>1</v>
      </c>
      <c r="E922">
        <v>1</v>
      </c>
      <c r="F922">
        <v>1</v>
      </c>
      <c r="G922">
        <v>1</v>
      </c>
      <c r="J922">
        <f t="shared" si="40"/>
        <v>50</v>
      </c>
      <c r="K922">
        <v>1</v>
      </c>
      <c r="L922">
        <v>1</v>
      </c>
      <c r="M922">
        <v>1</v>
      </c>
      <c r="N922">
        <v>1</v>
      </c>
      <c r="O922">
        <v>1</v>
      </c>
      <c r="R922">
        <f t="shared" si="41"/>
        <v>50</v>
      </c>
      <c r="S922">
        <v>1</v>
      </c>
      <c r="T922">
        <v>1</v>
      </c>
      <c r="U922">
        <v>1</v>
      </c>
      <c r="V922">
        <v>1</v>
      </c>
      <c r="W922">
        <v>1</v>
      </c>
      <c r="AA922">
        <v>-7341.9502000000002</v>
      </c>
      <c r="AB922">
        <v>-7341.9502000000002</v>
      </c>
      <c r="AC922">
        <v>-7341.9502000000002</v>
      </c>
      <c r="AD922">
        <v>-7341.9502000000002</v>
      </c>
      <c r="AE922">
        <v>-7341.9502000000002</v>
      </c>
      <c r="AF922">
        <v>-963257.14989999996</v>
      </c>
    </row>
    <row r="923" spans="2:32" x14ac:dyDescent="0.25">
      <c r="B923">
        <f t="shared" si="39"/>
        <v>51</v>
      </c>
      <c r="C923">
        <v>1</v>
      </c>
      <c r="D923">
        <v>1</v>
      </c>
      <c r="E923">
        <v>1</v>
      </c>
      <c r="F923">
        <v>1</v>
      </c>
      <c r="G923">
        <v>1</v>
      </c>
      <c r="J923">
        <f t="shared" si="40"/>
        <v>51</v>
      </c>
      <c r="K923">
        <v>1</v>
      </c>
      <c r="L923">
        <v>1</v>
      </c>
      <c r="M923">
        <v>1</v>
      </c>
      <c r="N923">
        <v>1</v>
      </c>
      <c r="O923">
        <v>1</v>
      </c>
      <c r="R923">
        <f t="shared" si="41"/>
        <v>51</v>
      </c>
      <c r="S923">
        <v>1</v>
      </c>
      <c r="T923">
        <v>1</v>
      </c>
      <c r="U923">
        <v>1</v>
      </c>
      <c r="V923">
        <v>1</v>
      </c>
      <c r="W923">
        <v>1</v>
      </c>
      <c r="AA923">
        <v>-7212.0646999999999</v>
      </c>
      <c r="AB923">
        <v>-7212.0646999999999</v>
      </c>
      <c r="AC923">
        <v>-7212.0646999999999</v>
      </c>
      <c r="AD923">
        <v>-7212.0646999999999</v>
      </c>
      <c r="AE923">
        <v>-7212.0646999999999</v>
      </c>
      <c r="AF923">
        <v>-963257.14989999996</v>
      </c>
    </row>
    <row r="924" spans="2:32" x14ac:dyDescent="0.25">
      <c r="B924">
        <f t="shared" si="39"/>
        <v>52</v>
      </c>
      <c r="C924">
        <v>1</v>
      </c>
      <c r="D924">
        <v>1</v>
      </c>
      <c r="E924">
        <v>1</v>
      </c>
      <c r="F924">
        <v>1</v>
      </c>
      <c r="G924">
        <v>1</v>
      </c>
      <c r="J924">
        <f t="shared" si="40"/>
        <v>52</v>
      </c>
      <c r="K924">
        <v>1</v>
      </c>
      <c r="L924">
        <v>1</v>
      </c>
      <c r="M924">
        <v>1</v>
      </c>
      <c r="N924">
        <v>1</v>
      </c>
      <c r="O924">
        <v>1</v>
      </c>
      <c r="R924">
        <f t="shared" si="41"/>
        <v>52</v>
      </c>
      <c r="S924">
        <v>1</v>
      </c>
      <c r="T924">
        <v>1</v>
      </c>
      <c r="U924">
        <v>1</v>
      </c>
      <c r="V924">
        <v>1</v>
      </c>
      <c r="W924">
        <v>1</v>
      </c>
      <c r="AA924">
        <v>-7079.7435999999998</v>
      </c>
      <c r="AB924">
        <v>-7079.7435999999998</v>
      </c>
      <c r="AC924">
        <v>-7079.7435999999998</v>
      </c>
      <c r="AD924">
        <v>-7079.7435999999998</v>
      </c>
      <c r="AE924">
        <v>-7079.7435999999998</v>
      </c>
      <c r="AF924">
        <v>-998556.10360000003</v>
      </c>
    </row>
    <row r="925" spans="2:32" x14ac:dyDescent="0.25">
      <c r="B925">
        <f t="shared" si="39"/>
        <v>53</v>
      </c>
      <c r="C925">
        <v>1</v>
      </c>
      <c r="D925">
        <v>1</v>
      </c>
      <c r="E925">
        <v>1</v>
      </c>
      <c r="F925">
        <v>1</v>
      </c>
      <c r="G925">
        <v>1</v>
      </c>
      <c r="J925">
        <f t="shared" si="40"/>
        <v>53</v>
      </c>
      <c r="K925">
        <v>1</v>
      </c>
      <c r="L925">
        <v>1</v>
      </c>
      <c r="M925">
        <v>1</v>
      </c>
      <c r="N925">
        <v>1</v>
      </c>
      <c r="O925">
        <v>1</v>
      </c>
      <c r="R925">
        <f t="shared" si="41"/>
        <v>53</v>
      </c>
      <c r="S925">
        <v>1</v>
      </c>
      <c r="T925">
        <v>1</v>
      </c>
      <c r="U925">
        <v>1</v>
      </c>
      <c r="V925">
        <v>1</v>
      </c>
      <c r="W925">
        <v>1</v>
      </c>
      <c r="AA925">
        <v>-6945.0875999999998</v>
      </c>
      <c r="AB925">
        <v>-6945.0875999999998</v>
      </c>
      <c r="AC925">
        <v>-6945.0875999999998</v>
      </c>
      <c r="AD925">
        <v>-6945.0875999999998</v>
      </c>
      <c r="AE925">
        <v>-6945.0875999999998</v>
      </c>
      <c r="AF925">
        <v>-1015461.3278</v>
      </c>
    </row>
    <row r="926" spans="2:32" x14ac:dyDescent="0.25">
      <c r="B926">
        <f t="shared" si="39"/>
        <v>54</v>
      </c>
      <c r="C926">
        <v>1</v>
      </c>
      <c r="D926">
        <v>1</v>
      </c>
      <c r="E926">
        <v>1</v>
      </c>
      <c r="F926">
        <v>1</v>
      </c>
      <c r="G926">
        <v>1</v>
      </c>
      <c r="J926">
        <f t="shared" si="40"/>
        <v>54</v>
      </c>
      <c r="K926">
        <v>1</v>
      </c>
      <c r="L926">
        <v>1</v>
      </c>
      <c r="M926">
        <v>1</v>
      </c>
      <c r="N926">
        <v>1</v>
      </c>
      <c r="O926">
        <v>1</v>
      </c>
      <c r="R926">
        <f t="shared" si="41"/>
        <v>54</v>
      </c>
      <c r="S926">
        <v>1</v>
      </c>
      <c r="T926">
        <v>1</v>
      </c>
      <c r="U926">
        <v>1</v>
      </c>
      <c r="V926">
        <v>1</v>
      </c>
      <c r="W926">
        <v>1</v>
      </c>
      <c r="AA926">
        <v>-6808.2438000000002</v>
      </c>
      <c r="AB926">
        <v>-6808.2438000000002</v>
      </c>
      <c r="AC926">
        <v>-6808.2438000000002</v>
      </c>
      <c r="AD926">
        <v>-6808.2438000000002</v>
      </c>
      <c r="AE926">
        <v>-6808.2438000000002</v>
      </c>
      <c r="AF926">
        <v>-1033869.6813000001</v>
      </c>
    </row>
    <row r="927" spans="2:32" x14ac:dyDescent="0.25">
      <c r="B927">
        <f t="shared" si="39"/>
        <v>55</v>
      </c>
      <c r="C927">
        <v>1</v>
      </c>
      <c r="D927">
        <v>1</v>
      </c>
      <c r="E927">
        <v>1</v>
      </c>
      <c r="F927">
        <v>1</v>
      </c>
      <c r="G927">
        <v>1</v>
      </c>
      <c r="J927">
        <f t="shared" si="40"/>
        <v>55</v>
      </c>
      <c r="K927">
        <v>1</v>
      </c>
      <c r="L927">
        <v>1</v>
      </c>
      <c r="M927">
        <v>1</v>
      </c>
      <c r="N927">
        <v>1</v>
      </c>
      <c r="O927">
        <v>1</v>
      </c>
      <c r="R927">
        <f t="shared" si="41"/>
        <v>55</v>
      </c>
      <c r="S927">
        <v>1</v>
      </c>
      <c r="T927">
        <v>1</v>
      </c>
      <c r="U927">
        <v>1</v>
      </c>
      <c r="V927">
        <v>1</v>
      </c>
      <c r="W927">
        <v>1</v>
      </c>
      <c r="AA927">
        <v>-6669.2525999999998</v>
      </c>
      <c r="AB927">
        <v>-6669.2525999999998</v>
      </c>
      <c r="AC927">
        <v>-6669.2525999999998</v>
      </c>
      <c r="AD927">
        <v>-6669.2525999999998</v>
      </c>
      <c r="AE927">
        <v>-6669.2525999999998</v>
      </c>
      <c r="AF927">
        <v>-1050810.2549999999</v>
      </c>
    </row>
    <row r="928" spans="2:32" x14ac:dyDescent="0.25">
      <c r="B928">
        <f t="shared" si="39"/>
        <v>56</v>
      </c>
      <c r="C928">
        <v>1</v>
      </c>
      <c r="D928">
        <v>1</v>
      </c>
      <c r="E928">
        <v>1</v>
      </c>
      <c r="F928">
        <v>1</v>
      </c>
      <c r="G928">
        <v>1</v>
      </c>
      <c r="J928">
        <f t="shared" si="40"/>
        <v>56</v>
      </c>
      <c r="K928">
        <v>1</v>
      </c>
      <c r="L928">
        <v>1</v>
      </c>
      <c r="M928">
        <v>1</v>
      </c>
      <c r="N928">
        <v>1</v>
      </c>
      <c r="O928">
        <v>1</v>
      </c>
      <c r="R928">
        <f t="shared" si="41"/>
        <v>56</v>
      </c>
      <c r="S928">
        <v>1</v>
      </c>
      <c r="T928">
        <v>1</v>
      </c>
      <c r="U928">
        <v>1</v>
      </c>
      <c r="V928">
        <v>1</v>
      </c>
      <c r="W928">
        <v>1</v>
      </c>
      <c r="AA928">
        <v>-6528.2992000000004</v>
      </c>
      <c r="AB928">
        <v>-6528.2992000000004</v>
      </c>
      <c r="AC928">
        <v>-6528.2992000000004</v>
      </c>
      <c r="AD928">
        <v>-6528.2992000000004</v>
      </c>
      <c r="AE928">
        <v>-6528.2992000000004</v>
      </c>
      <c r="AF928">
        <v>-1073295.8774000001</v>
      </c>
    </row>
    <row r="929" spans="2:32" x14ac:dyDescent="0.25">
      <c r="B929">
        <f t="shared" si="39"/>
        <v>57</v>
      </c>
      <c r="C929">
        <v>1</v>
      </c>
      <c r="D929">
        <v>1</v>
      </c>
      <c r="E929">
        <v>1</v>
      </c>
      <c r="F929">
        <v>1</v>
      </c>
      <c r="G929">
        <v>1</v>
      </c>
      <c r="J929">
        <f t="shared" si="40"/>
        <v>57</v>
      </c>
      <c r="K929">
        <v>1</v>
      </c>
      <c r="L929">
        <v>1</v>
      </c>
      <c r="M929">
        <v>1</v>
      </c>
      <c r="N929">
        <v>1</v>
      </c>
      <c r="O929">
        <v>1</v>
      </c>
      <c r="R929">
        <f t="shared" si="41"/>
        <v>57</v>
      </c>
      <c r="S929">
        <v>1</v>
      </c>
      <c r="T929">
        <v>1</v>
      </c>
      <c r="U929">
        <v>1</v>
      </c>
      <c r="V929">
        <v>1</v>
      </c>
      <c r="W929">
        <v>1</v>
      </c>
      <c r="AA929">
        <v>-6385.5230000000001</v>
      </c>
      <c r="AB929">
        <v>-6385.5230000000001</v>
      </c>
      <c r="AC929">
        <v>-6385.5230000000001</v>
      </c>
      <c r="AD929">
        <v>-6385.5230000000001</v>
      </c>
      <c r="AE929">
        <v>-6385.5230000000001</v>
      </c>
      <c r="AF929">
        <v>-1093242.6832999999</v>
      </c>
    </row>
    <row r="930" spans="2:32" x14ac:dyDescent="0.25">
      <c r="B930">
        <f t="shared" si="39"/>
        <v>58</v>
      </c>
      <c r="C930">
        <v>1</v>
      </c>
      <c r="D930">
        <v>1</v>
      </c>
      <c r="E930">
        <v>1</v>
      </c>
      <c r="F930">
        <v>1</v>
      </c>
      <c r="G930">
        <v>1</v>
      </c>
      <c r="J930">
        <f t="shared" si="40"/>
        <v>58</v>
      </c>
      <c r="K930">
        <v>1</v>
      </c>
      <c r="L930">
        <v>1</v>
      </c>
      <c r="M930">
        <v>1</v>
      </c>
      <c r="N930">
        <v>1</v>
      </c>
      <c r="O930">
        <v>1</v>
      </c>
      <c r="R930">
        <f t="shared" si="41"/>
        <v>58</v>
      </c>
      <c r="S930">
        <v>1</v>
      </c>
      <c r="T930">
        <v>1</v>
      </c>
      <c r="U930">
        <v>1</v>
      </c>
      <c r="V930">
        <v>1</v>
      </c>
      <c r="W930">
        <v>1</v>
      </c>
      <c r="AA930">
        <v>-6240.8730999999998</v>
      </c>
      <c r="AB930">
        <v>-6240.8730999999998</v>
      </c>
      <c r="AC930">
        <v>-6240.8730999999998</v>
      </c>
      <c r="AD930">
        <v>-6240.8730999999998</v>
      </c>
      <c r="AE930">
        <v>-6240.8730999999998</v>
      </c>
      <c r="AF930">
        <v>-1114366.6444000001</v>
      </c>
    </row>
    <row r="931" spans="2:32" x14ac:dyDescent="0.25">
      <c r="B931">
        <f t="shared" si="39"/>
        <v>59</v>
      </c>
      <c r="C931">
        <v>1</v>
      </c>
      <c r="D931">
        <v>1</v>
      </c>
      <c r="E931">
        <v>1</v>
      </c>
      <c r="F931">
        <v>1</v>
      </c>
      <c r="G931">
        <v>1</v>
      </c>
      <c r="J931">
        <f t="shared" si="40"/>
        <v>59</v>
      </c>
      <c r="K931">
        <v>1</v>
      </c>
      <c r="L931">
        <v>1</v>
      </c>
      <c r="M931">
        <v>1</v>
      </c>
      <c r="N931">
        <v>1</v>
      </c>
      <c r="O931">
        <v>1</v>
      </c>
      <c r="R931">
        <f t="shared" si="41"/>
        <v>59</v>
      </c>
      <c r="S931">
        <v>1</v>
      </c>
      <c r="T931">
        <v>1</v>
      </c>
      <c r="U931">
        <v>1</v>
      </c>
      <c r="V931">
        <v>1</v>
      </c>
      <c r="W931">
        <v>1</v>
      </c>
      <c r="AA931">
        <v>-6094.3262999999997</v>
      </c>
      <c r="AB931">
        <v>-6094.3262999999997</v>
      </c>
      <c r="AC931">
        <v>-6094.3262999999997</v>
      </c>
      <c r="AD931">
        <v>-6094.3262999999997</v>
      </c>
      <c r="AE931">
        <v>-6094.3262999999997</v>
      </c>
      <c r="AF931">
        <v>-1136284.0146999999</v>
      </c>
    </row>
    <row r="932" spans="2:32" x14ac:dyDescent="0.25">
      <c r="B932">
        <f t="shared" si="39"/>
        <v>60</v>
      </c>
      <c r="C932">
        <v>1</v>
      </c>
      <c r="D932">
        <v>1</v>
      </c>
      <c r="E932">
        <v>1</v>
      </c>
      <c r="F932">
        <v>1</v>
      </c>
      <c r="G932">
        <v>1</v>
      </c>
      <c r="J932">
        <f t="shared" si="40"/>
        <v>60</v>
      </c>
      <c r="K932">
        <v>1</v>
      </c>
      <c r="L932">
        <v>1</v>
      </c>
      <c r="M932">
        <v>1</v>
      </c>
      <c r="N932">
        <v>1</v>
      </c>
      <c r="O932">
        <v>1</v>
      </c>
      <c r="R932">
        <f t="shared" si="41"/>
        <v>60</v>
      </c>
      <c r="S932">
        <v>1</v>
      </c>
      <c r="T932">
        <v>1</v>
      </c>
      <c r="U932">
        <v>1</v>
      </c>
      <c r="V932">
        <v>1</v>
      </c>
      <c r="W932">
        <v>1</v>
      </c>
      <c r="AA932">
        <v>-5945.9960000000001</v>
      </c>
      <c r="AB932">
        <v>-5945.9960000000001</v>
      </c>
      <c r="AC932">
        <v>-5945.9960000000001</v>
      </c>
      <c r="AD932">
        <v>-5945.9960000000001</v>
      </c>
      <c r="AE932">
        <v>-5945.9960000000001</v>
      </c>
      <c r="AF932">
        <v>-1157801.6717999999</v>
      </c>
    </row>
    <row r="933" spans="2:32" x14ac:dyDescent="0.25">
      <c r="B933">
        <f t="shared" si="39"/>
        <v>61</v>
      </c>
      <c r="C933">
        <v>1</v>
      </c>
      <c r="D933">
        <v>1</v>
      </c>
      <c r="E933">
        <v>1</v>
      </c>
      <c r="F933">
        <v>1</v>
      </c>
      <c r="G933">
        <v>1</v>
      </c>
      <c r="J933">
        <f t="shared" si="40"/>
        <v>61</v>
      </c>
      <c r="K933">
        <v>1</v>
      </c>
      <c r="L933">
        <v>1</v>
      </c>
      <c r="M933">
        <v>1</v>
      </c>
      <c r="N933">
        <v>1</v>
      </c>
      <c r="O933">
        <v>1</v>
      </c>
      <c r="R933">
        <f t="shared" si="41"/>
        <v>61</v>
      </c>
      <c r="S933">
        <v>1</v>
      </c>
      <c r="T933">
        <v>1</v>
      </c>
      <c r="U933">
        <v>1</v>
      </c>
      <c r="V933">
        <v>1</v>
      </c>
      <c r="W933">
        <v>1</v>
      </c>
      <c r="AA933">
        <v>-5796.3015999999998</v>
      </c>
      <c r="AB933">
        <v>-5796.3015999999998</v>
      </c>
      <c r="AC933">
        <v>-5796.3015999999998</v>
      </c>
      <c r="AD933">
        <v>-5796.3015999999998</v>
      </c>
      <c r="AE933">
        <v>-5796.3015999999998</v>
      </c>
      <c r="AF933">
        <v>-1178581.4038</v>
      </c>
    </row>
    <row r="934" spans="2:32" x14ac:dyDescent="0.25">
      <c r="B934">
        <f t="shared" si="39"/>
        <v>62</v>
      </c>
      <c r="C934">
        <v>1</v>
      </c>
      <c r="D934">
        <v>1</v>
      </c>
      <c r="E934">
        <v>1</v>
      </c>
      <c r="F934">
        <v>1</v>
      </c>
      <c r="G934">
        <v>1</v>
      </c>
      <c r="J934">
        <f t="shared" si="40"/>
        <v>62</v>
      </c>
      <c r="K934">
        <v>1</v>
      </c>
      <c r="L934">
        <v>1</v>
      </c>
      <c r="M934">
        <v>1</v>
      </c>
      <c r="N934">
        <v>1</v>
      </c>
      <c r="O934">
        <v>1</v>
      </c>
      <c r="R934">
        <f t="shared" si="41"/>
        <v>62</v>
      </c>
      <c r="S934">
        <v>1</v>
      </c>
      <c r="T934">
        <v>1</v>
      </c>
      <c r="U934">
        <v>1</v>
      </c>
      <c r="V934">
        <v>1</v>
      </c>
      <c r="W934">
        <v>1</v>
      </c>
      <c r="AA934">
        <v>-5645.2415000000001</v>
      </c>
      <c r="AB934">
        <v>-5645.2415000000001</v>
      </c>
      <c r="AC934">
        <v>-5645.2415000000001</v>
      </c>
      <c r="AD934">
        <v>-5645.2415000000001</v>
      </c>
      <c r="AE934">
        <v>-5645.2415000000001</v>
      </c>
      <c r="AF934">
        <v>-1199521.5327000001</v>
      </c>
    </row>
    <row r="935" spans="2:32" x14ac:dyDescent="0.25">
      <c r="B935">
        <f t="shared" si="39"/>
        <v>63</v>
      </c>
      <c r="C935">
        <v>1</v>
      </c>
      <c r="D935">
        <v>1</v>
      </c>
      <c r="E935">
        <v>1</v>
      </c>
      <c r="F935">
        <v>1</v>
      </c>
      <c r="G935">
        <v>1</v>
      </c>
      <c r="J935">
        <f t="shared" si="40"/>
        <v>63</v>
      </c>
      <c r="K935">
        <v>1</v>
      </c>
      <c r="L935">
        <v>1</v>
      </c>
      <c r="M935">
        <v>1</v>
      </c>
      <c r="N935">
        <v>1</v>
      </c>
      <c r="O935">
        <v>1</v>
      </c>
      <c r="R935">
        <f t="shared" si="41"/>
        <v>63</v>
      </c>
      <c r="S935">
        <v>1</v>
      </c>
      <c r="T935">
        <v>1</v>
      </c>
      <c r="U935">
        <v>1</v>
      </c>
      <c r="V935">
        <v>1</v>
      </c>
      <c r="W935">
        <v>1</v>
      </c>
      <c r="AA935">
        <v>-5492.4920000000002</v>
      </c>
      <c r="AB935">
        <v>-5492.4920000000002</v>
      </c>
      <c r="AC935">
        <v>-5492.4920000000002</v>
      </c>
      <c r="AD935">
        <v>-5492.4920000000002</v>
      </c>
      <c r="AE935">
        <v>-5492.4920000000002</v>
      </c>
      <c r="AF935">
        <v>-1220461.6269</v>
      </c>
    </row>
    <row r="936" spans="2:32" x14ac:dyDescent="0.25">
      <c r="B936">
        <f t="shared" si="39"/>
        <v>64</v>
      </c>
      <c r="C936">
        <v>1</v>
      </c>
      <c r="D936">
        <v>1</v>
      </c>
      <c r="E936">
        <v>1</v>
      </c>
      <c r="F936">
        <v>1</v>
      </c>
      <c r="G936">
        <v>1</v>
      </c>
      <c r="J936">
        <f t="shared" si="40"/>
        <v>64</v>
      </c>
      <c r="K936">
        <v>1</v>
      </c>
      <c r="L936">
        <v>1</v>
      </c>
      <c r="M936">
        <v>1</v>
      </c>
      <c r="N936">
        <v>1</v>
      </c>
      <c r="O936">
        <v>1</v>
      </c>
      <c r="R936">
        <f t="shared" si="41"/>
        <v>64</v>
      </c>
      <c r="S936">
        <v>1</v>
      </c>
      <c r="T936">
        <v>1</v>
      </c>
      <c r="U936">
        <v>1</v>
      </c>
      <c r="V936">
        <v>1</v>
      </c>
      <c r="W936">
        <v>1</v>
      </c>
      <c r="AA936">
        <v>-5338.1817000000001</v>
      </c>
      <c r="AB936">
        <v>-5338.1817000000001</v>
      </c>
      <c r="AC936">
        <v>-5338.1817000000001</v>
      </c>
      <c r="AD936">
        <v>-5338.1817000000001</v>
      </c>
      <c r="AE936">
        <v>-5338.1817000000001</v>
      </c>
      <c r="AF936">
        <v>-1240652.2526</v>
      </c>
    </row>
    <row r="937" spans="2:32" x14ac:dyDescent="0.25">
      <c r="B937">
        <f t="shared" si="39"/>
        <v>65</v>
      </c>
      <c r="C937">
        <v>1</v>
      </c>
      <c r="D937">
        <v>1</v>
      </c>
      <c r="E937">
        <v>1</v>
      </c>
      <c r="F937">
        <v>1</v>
      </c>
      <c r="G937">
        <v>1</v>
      </c>
      <c r="J937">
        <f t="shared" si="40"/>
        <v>65</v>
      </c>
      <c r="K937">
        <v>1</v>
      </c>
      <c r="L937">
        <v>1</v>
      </c>
      <c r="M937">
        <v>1</v>
      </c>
      <c r="N937">
        <v>1</v>
      </c>
      <c r="O937">
        <v>1</v>
      </c>
      <c r="R937">
        <f t="shared" si="41"/>
        <v>65</v>
      </c>
      <c r="S937">
        <v>1</v>
      </c>
      <c r="T937">
        <v>1</v>
      </c>
      <c r="U937">
        <v>1</v>
      </c>
      <c r="V937">
        <v>1</v>
      </c>
      <c r="W937">
        <v>1</v>
      </c>
      <c r="AA937">
        <v>-5182.2268999999997</v>
      </c>
      <c r="AB937">
        <v>-5182.2268999999997</v>
      </c>
      <c r="AC937">
        <v>-5182.2268999999997</v>
      </c>
      <c r="AD937">
        <v>-5182.2268999999997</v>
      </c>
      <c r="AE937">
        <v>-5182.2268999999997</v>
      </c>
      <c r="AF937">
        <v>-1260049.8302</v>
      </c>
    </row>
    <row r="940" spans="2:32" x14ac:dyDescent="0.25">
      <c r="B940" t="s">
        <v>46</v>
      </c>
      <c r="C940">
        <v>50000</v>
      </c>
      <c r="D940">
        <v>100000</v>
      </c>
      <c r="E940">
        <v>250000</v>
      </c>
      <c r="F940">
        <v>500000</v>
      </c>
      <c r="G940">
        <v>1000000</v>
      </c>
      <c r="H940">
        <v>2000000</v>
      </c>
      <c r="J940" t="s">
        <v>47</v>
      </c>
      <c r="K940">
        <v>50000</v>
      </c>
      <c r="L940">
        <v>100000</v>
      </c>
      <c r="M940">
        <v>250000</v>
      </c>
      <c r="N940">
        <v>500000</v>
      </c>
      <c r="O940">
        <v>1000000</v>
      </c>
      <c r="P940">
        <v>2000000</v>
      </c>
      <c r="R940" t="s">
        <v>48</v>
      </c>
      <c r="S940">
        <v>50000</v>
      </c>
      <c r="T940">
        <v>100000</v>
      </c>
      <c r="U940">
        <v>250000</v>
      </c>
      <c r="V940">
        <v>500000</v>
      </c>
      <c r="W940">
        <v>1000000</v>
      </c>
      <c r="X940">
        <v>2000000</v>
      </c>
    </row>
    <row r="941" spans="2:32" x14ac:dyDescent="0.25">
      <c r="B941">
        <v>26</v>
      </c>
      <c r="C941">
        <v>1</v>
      </c>
      <c r="D941">
        <v>1</v>
      </c>
      <c r="E941">
        <v>1</v>
      </c>
      <c r="F941">
        <v>1</v>
      </c>
      <c r="G941">
        <v>1</v>
      </c>
      <c r="H941">
        <v>1</v>
      </c>
      <c r="J941">
        <v>26</v>
      </c>
      <c r="K941">
        <v>1</v>
      </c>
      <c r="L941">
        <v>1</v>
      </c>
      <c r="M941">
        <v>1</v>
      </c>
      <c r="N941">
        <v>1</v>
      </c>
      <c r="O941">
        <v>1</v>
      </c>
      <c r="P941">
        <v>1</v>
      </c>
      <c r="R941">
        <v>26</v>
      </c>
      <c r="S941">
        <v>1</v>
      </c>
      <c r="T941">
        <v>1</v>
      </c>
      <c r="U941">
        <v>1</v>
      </c>
      <c r="V941">
        <v>1</v>
      </c>
      <c r="W941">
        <v>1</v>
      </c>
      <c r="X941">
        <v>1</v>
      </c>
      <c r="AA941">
        <v>-5174.8482999999997</v>
      </c>
      <c r="AB941">
        <v>-5174.8482999999997</v>
      </c>
      <c r="AC941">
        <v>-5174.8482999999997</v>
      </c>
      <c r="AD941">
        <v>-5174.8482999999997</v>
      </c>
      <c r="AE941">
        <v>-5174.8482999999997</v>
      </c>
      <c r="AF941">
        <v>-5174.8482999999997</v>
      </c>
    </row>
    <row r="942" spans="2:32" x14ac:dyDescent="0.25">
      <c r="B942">
        <v>27</v>
      </c>
      <c r="C942">
        <v>1</v>
      </c>
      <c r="D942">
        <v>1</v>
      </c>
      <c r="E942">
        <v>1</v>
      </c>
      <c r="F942">
        <v>1</v>
      </c>
      <c r="G942">
        <v>1</v>
      </c>
      <c r="H942">
        <v>1</v>
      </c>
      <c r="J942">
        <v>27</v>
      </c>
      <c r="K942">
        <v>1</v>
      </c>
      <c r="L942">
        <v>1</v>
      </c>
      <c r="M942">
        <v>1</v>
      </c>
      <c r="N942">
        <v>1</v>
      </c>
      <c r="O942">
        <v>1</v>
      </c>
      <c r="P942">
        <v>1</v>
      </c>
      <c r="R942">
        <v>27</v>
      </c>
      <c r="S942">
        <v>1</v>
      </c>
      <c r="T942">
        <v>1</v>
      </c>
      <c r="U942">
        <v>1</v>
      </c>
      <c r="V942">
        <v>1</v>
      </c>
      <c r="W942">
        <v>1</v>
      </c>
      <c r="X942">
        <v>1</v>
      </c>
      <c r="AA942">
        <v>-5173.6036999999997</v>
      </c>
      <c r="AB942">
        <v>-5173.6036999999997</v>
      </c>
      <c r="AC942">
        <v>-5173.6036999999997</v>
      </c>
      <c r="AD942">
        <v>-5173.6036999999997</v>
      </c>
      <c r="AE942">
        <v>-5173.6036999999997</v>
      </c>
      <c r="AF942">
        <v>-5173.6036999999997</v>
      </c>
    </row>
    <row r="943" spans="2:32" x14ac:dyDescent="0.25">
      <c r="B943">
        <v>28</v>
      </c>
      <c r="C943">
        <v>1</v>
      </c>
      <c r="D943">
        <v>1</v>
      </c>
      <c r="E943">
        <v>1</v>
      </c>
      <c r="F943">
        <v>1</v>
      </c>
      <c r="G943">
        <v>1</v>
      </c>
      <c r="H943">
        <v>1</v>
      </c>
      <c r="J943">
        <v>28</v>
      </c>
      <c r="K943">
        <v>1</v>
      </c>
      <c r="L943">
        <v>1</v>
      </c>
      <c r="M943">
        <v>1</v>
      </c>
      <c r="N943">
        <v>1</v>
      </c>
      <c r="O943">
        <v>1</v>
      </c>
      <c r="P943">
        <v>1</v>
      </c>
      <c r="R943">
        <v>28</v>
      </c>
      <c r="S943">
        <v>1</v>
      </c>
      <c r="T943">
        <v>1</v>
      </c>
      <c r="U943">
        <v>1</v>
      </c>
      <c r="V943">
        <v>1</v>
      </c>
      <c r="W943">
        <v>1</v>
      </c>
      <c r="X943">
        <v>1</v>
      </c>
      <c r="AA943">
        <v>-5172.1755999999996</v>
      </c>
      <c r="AB943">
        <v>-5172.1755999999996</v>
      </c>
      <c r="AC943">
        <v>-5172.1755999999996</v>
      </c>
      <c r="AD943">
        <v>-5172.1755999999996</v>
      </c>
      <c r="AE943">
        <v>-5172.1755999999996</v>
      </c>
      <c r="AF943">
        <v>-5172.1755999999996</v>
      </c>
    </row>
    <row r="944" spans="2:32" x14ac:dyDescent="0.25">
      <c r="B944">
        <v>29</v>
      </c>
      <c r="C944">
        <v>1</v>
      </c>
      <c r="D944">
        <v>1</v>
      </c>
      <c r="E944">
        <v>1</v>
      </c>
      <c r="F944">
        <v>1</v>
      </c>
      <c r="G944">
        <v>1</v>
      </c>
      <c r="H944">
        <v>1</v>
      </c>
      <c r="J944">
        <v>29</v>
      </c>
      <c r="K944">
        <v>1</v>
      </c>
      <c r="L944">
        <v>1</v>
      </c>
      <c r="M944">
        <v>1</v>
      </c>
      <c r="N944">
        <v>1</v>
      </c>
      <c r="O944">
        <v>1</v>
      </c>
      <c r="P944">
        <v>1</v>
      </c>
      <c r="R944">
        <v>29</v>
      </c>
      <c r="S944">
        <v>1</v>
      </c>
      <c r="T944">
        <v>1</v>
      </c>
      <c r="U944">
        <v>1</v>
      </c>
      <c r="V944">
        <v>1</v>
      </c>
      <c r="W944">
        <v>1</v>
      </c>
      <c r="X944">
        <v>1</v>
      </c>
      <c r="AA944">
        <v>-5170.5482000000002</v>
      </c>
      <c r="AB944">
        <v>-5170.5482000000002</v>
      </c>
      <c r="AC944">
        <v>-5170.5482000000002</v>
      </c>
      <c r="AD944">
        <v>-5170.5482000000002</v>
      </c>
      <c r="AE944">
        <v>-5170.5482000000002</v>
      </c>
      <c r="AF944">
        <v>-5170.5482000000002</v>
      </c>
    </row>
    <row r="945" spans="2:32" x14ac:dyDescent="0.25">
      <c r="B945">
        <v>30</v>
      </c>
      <c r="C945">
        <v>1</v>
      </c>
      <c r="D945">
        <v>1</v>
      </c>
      <c r="E945">
        <v>1</v>
      </c>
      <c r="F945">
        <v>1</v>
      </c>
      <c r="G945">
        <v>1</v>
      </c>
      <c r="H945">
        <v>1</v>
      </c>
      <c r="J945">
        <v>30</v>
      </c>
      <c r="K945">
        <v>1</v>
      </c>
      <c r="L945">
        <v>1</v>
      </c>
      <c r="M945">
        <v>1</v>
      </c>
      <c r="N945">
        <v>1</v>
      </c>
      <c r="O945">
        <v>1</v>
      </c>
      <c r="P945">
        <v>1</v>
      </c>
      <c r="R945">
        <v>30</v>
      </c>
      <c r="S945">
        <v>1</v>
      </c>
      <c r="T945">
        <v>1</v>
      </c>
      <c r="U945">
        <v>1</v>
      </c>
      <c r="V945">
        <v>1</v>
      </c>
      <c r="W945">
        <v>1</v>
      </c>
      <c r="X945">
        <v>1</v>
      </c>
      <c r="AA945">
        <v>-5168.6908999999996</v>
      </c>
      <c r="AB945">
        <v>-5168.6908999999996</v>
      </c>
      <c r="AC945">
        <v>-5168.6908999999996</v>
      </c>
      <c r="AD945">
        <v>-5168.6908999999996</v>
      </c>
      <c r="AE945">
        <v>-5168.6908999999996</v>
      </c>
      <c r="AF945">
        <v>-5168.6908999999996</v>
      </c>
    </row>
    <row r="946" spans="2:32" x14ac:dyDescent="0.25">
      <c r="B946">
        <v>31</v>
      </c>
      <c r="C946">
        <v>1</v>
      </c>
      <c r="D946">
        <v>1</v>
      </c>
      <c r="E946">
        <v>1</v>
      </c>
      <c r="F946">
        <v>1</v>
      </c>
      <c r="G946">
        <v>1</v>
      </c>
      <c r="H946">
        <v>1</v>
      </c>
      <c r="J946">
        <v>31</v>
      </c>
      <c r="K946">
        <v>1</v>
      </c>
      <c r="L946">
        <v>1</v>
      </c>
      <c r="M946">
        <v>1</v>
      </c>
      <c r="N946">
        <v>1</v>
      </c>
      <c r="O946">
        <v>1</v>
      </c>
      <c r="P946">
        <v>1</v>
      </c>
      <c r="R946">
        <v>31</v>
      </c>
      <c r="S946">
        <v>1</v>
      </c>
      <c r="T946">
        <v>1</v>
      </c>
      <c r="U946">
        <v>1</v>
      </c>
      <c r="V946">
        <v>1</v>
      </c>
      <c r="W946">
        <v>1</v>
      </c>
      <c r="X946">
        <v>1</v>
      </c>
      <c r="AA946">
        <v>-5166.5891000000001</v>
      </c>
      <c r="AB946">
        <v>-5166.5891000000001</v>
      </c>
      <c r="AC946">
        <v>-5166.5891000000001</v>
      </c>
      <c r="AD946">
        <v>-5166.5891000000001</v>
      </c>
      <c r="AE946">
        <v>-5166.5891000000001</v>
      </c>
      <c r="AF946">
        <v>-5166.5891000000001</v>
      </c>
    </row>
    <row r="947" spans="2:32" x14ac:dyDescent="0.25">
      <c r="B947">
        <v>32</v>
      </c>
      <c r="C947">
        <v>1</v>
      </c>
      <c r="D947">
        <v>1</v>
      </c>
      <c r="E947">
        <v>1</v>
      </c>
      <c r="F947">
        <v>1</v>
      </c>
      <c r="G947">
        <v>1</v>
      </c>
      <c r="H947">
        <v>1</v>
      </c>
      <c r="J947">
        <v>32</v>
      </c>
      <c r="K947">
        <v>1</v>
      </c>
      <c r="L947">
        <v>1</v>
      </c>
      <c r="M947">
        <v>1</v>
      </c>
      <c r="N947">
        <v>1</v>
      </c>
      <c r="O947">
        <v>1</v>
      </c>
      <c r="P947">
        <v>1</v>
      </c>
      <c r="R947">
        <v>32</v>
      </c>
      <c r="S947">
        <v>1</v>
      </c>
      <c r="T947">
        <v>1</v>
      </c>
      <c r="U947">
        <v>1</v>
      </c>
      <c r="V947">
        <v>1</v>
      </c>
      <c r="W947">
        <v>1</v>
      </c>
      <c r="X947">
        <v>1</v>
      </c>
      <c r="AA947">
        <v>-5164.2407000000003</v>
      </c>
      <c r="AB947">
        <v>-5164.2407000000003</v>
      </c>
      <c r="AC947">
        <v>-5164.2407000000003</v>
      </c>
      <c r="AD947">
        <v>-5164.2407000000003</v>
      </c>
      <c r="AE947">
        <v>-5164.2407000000003</v>
      </c>
      <c r="AF947">
        <v>-5164.2407000000003</v>
      </c>
    </row>
    <row r="948" spans="2:32" x14ac:dyDescent="0.25">
      <c r="B948">
        <v>33</v>
      </c>
      <c r="C948">
        <v>1</v>
      </c>
      <c r="D948">
        <v>1</v>
      </c>
      <c r="E948">
        <v>1</v>
      </c>
      <c r="F948">
        <v>1</v>
      </c>
      <c r="G948">
        <v>1</v>
      </c>
      <c r="H948">
        <v>1</v>
      </c>
      <c r="J948">
        <v>33</v>
      </c>
      <c r="K948">
        <v>1</v>
      </c>
      <c r="L948">
        <v>1</v>
      </c>
      <c r="M948">
        <v>1</v>
      </c>
      <c r="N948">
        <v>1</v>
      </c>
      <c r="O948">
        <v>1</v>
      </c>
      <c r="P948">
        <v>1</v>
      </c>
      <c r="R948">
        <v>33</v>
      </c>
      <c r="S948">
        <v>1</v>
      </c>
      <c r="T948">
        <v>1</v>
      </c>
      <c r="U948">
        <v>1</v>
      </c>
      <c r="V948">
        <v>1</v>
      </c>
      <c r="W948">
        <v>1</v>
      </c>
      <c r="X948">
        <v>1</v>
      </c>
      <c r="AA948">
        <v>-5161.6318000000001</v>
      </c>
      <c r="AB948">
        <v>-5161.6318000000001</v>
      </c>
      <c r="AC948">
        <v>-5161.6318000000001</v>
      </c>
      <c r="AD948">
        <v>-5161.6318000000001</v>
      </c>
      <c r="AE948">
        <v>-5161.6318000000001</v>
      </c>
      <c r="AF948">
        <v>-5161.6318000000001</v>
      </c>
    </row>
    <row r="949" spans="2:32" x14ac:dyDescent="0.25">
      <c r="B949">
        <v>34</v>
      </c>
      <c r="C949">
        <v>1</v>
      </c>
      <c r="D949">
        <v>1</v>
      </c>
      <c r="E949">
        <v>1</v>
      </c>
      <c r="F949">
        <v>1</v>
      </c>
      <c r="G949">
        <v>1</v>
      </c>
      <c r="H949">
        <v>1</v>
      </c>
      <c r="J949">
        <v>34</v>
      </c>
      <c r="K949">
        <v>1</v>
      </c>
      <c r="L949">
        <v>1</v>
      </c>
      <c r="M949">
        <v>1</v>
      </c>
      <c r="N949">
        <v>1</v>
      </c>
      <c r="O949">
        <v>1</v>
      </c>
      <c r="P949">
        <v>1</v>
      </c>
      <c r="R949">
        <v>34</v>
      </c>
      <c r="S949">
        <v>1</v>
      </c>
      <c r="T949">
        <v>1</v>
      </c>
      <c r="U949">
        <v>1</v>
      </c>
      <c r="V949">
        <v>1</v>
      </c>
      <c r="W949">
        <v>1</v>
      </c>
      <c r="X949">
        <v>1</v>
      </c>
      <c r="AA949">
        <v>-5158.7194</v>
      </c>
      <c r="AB949">
        <v>-5158.7194</v>
      </c>
      <c r="AC949">
        <v>-5158.7194</v>
      </c>
      <c r="AD949">
        <v>-5158.7194</v>
      </c>
      <c r="AE949">
        <v>-5158.7194</v>
      </c>
      <c r="AF949">
        <v>-5158.7194</v>
      </c>
    </row>
    <row r="950" spans="2:32" x14ac:dyDescent="0.25">
      <c r="B950">
        <v>35</v>
      </c>
      <c r="C950">
        <v>1</v>
      </c>
      <c r="D950">
        <v>1</v>
      </c>
      <c r="E950">
        <v>1</v>
      </c>
      <c r="F950">
        <v>1</v>
      </c>
      <c r="G950">
        <v>1</v>
      </c>
      <c r="H950">
        <v>1</v>
      </c>
      <c r="J950">
        <v>35</v>
      </c>
      <c r="K950">
        <v>1</v>
      </c>
      <c r="L950">
        <v>1</v>
      </c>
      <c r="M950">
        <v>1</v>
      </c>
      <c r="N950">
        <v>1</v>
      </c>
      <c r="O950">
        <v>1</v>
      </c>
      <c r="P950">
        <v>1</v>
      </c>
      <c r="R950">
        <v>35</v>
      </c>
      <c r="S950">
        <v>1</v>
      </c>
      <c r="T950">
        <v>1</v>
      </c>
      <c r="U950">
        <v>1</v>
      </c>
      <c r="V950">
        <v>1</v>
      </c>
      <c r="W950">
        <v>1</v>
      </c>
      <c r="X950">
        <v>1</v>
      </c>
      <c r="AA950">
        <v>-5155.4901</v>
      </c>
      <c r="AB950">
        <v>-5155.4901</v>
      </c>
      <c r="AC950">
        <v>-5155.4901</v>
      </c>
      <c r="AD950">
        <v>-5155.4901</v>
      </c>
      <c r="AE950">
        <v>-5155.4901</v>
      </c>
      <c r="AF950">
        <v>-5155.4901</v>
      </c>
    </row>
    <row r="951" spans="2:32" x14ac:dyDescent="0.25">
      <c r="B951">
        <v>36</v>
      </c>
      <c r="C951">
        <v>1</v>
      </c>
      <c r="D951">
        <v>1</v>
      </c>
      <c r="E951">
        <v>1</v>
      </c>
      <c r="F951">
        <v>1</v>
      </c>
      <c r="G951">
        <v>1</v>
      </c>
      <c r="H951">
        <v>1</v>
      </c>
      <c r="J951">
        <v>36</v>
      </c>
      <c r="K951">
        <v>1</v>
      </c>
      <c r="L951">
        <v>1</v>
      </c>
      <c r="M951">
        <v>1</v>
      </c>
      <c r="N951">
        <v>1</v>
      </c>
      <c r="O951">
        <v>1</v>
      </c>
      <c r="P951">
        <v>1</v>
      </c>
      <c r="R951">
        <v>36</v>
      </c>
      <c r="S951">
        <v>1</v>
      </c>
      <c r="T951">
        <v>1</v>
      </c>
      <c r="U951">
        <v>1</v>
      </c>
      <c r="V951">
        <v>1</v>
      </c>
      <c r="W951">
        <v>1</v>
      </c>
      <c r="X951">
        <v>1</v>
      </c>
      <c r="AA951">
        <v>-5151.8950999999997</v>
      </c>
      <c r="AB951">
        <v>-5151.8950999999997</v>
      </c>
      <c r="AC951">
        <v>-5151.8950999999997</v>
      </c>
      <c r="AD951">
        <v>-5151.8950999999997</v>
      </c>
      <c r="AE951">
        <v>-5151.8950999999997</v>
      </c>
      <c r="AF951">
        <v>-5151.8950999999997</v>
      </c>
    </row>
    <row r="952" spans="2:32" x14ac:dyDescent="0.25">
      <c r="B952">
        <v>37</v>
      </c>
      <c r="C952">
        <v>1</v>
      </c>
      <c r="D952">
        <v>1</v>
      </c>
      <c r="E952">
        <v>1</v>
      </c>
      <c r="F952">
        <v>1</v>
      </c>
      <c r="G952">
        <v>1</v>
      </c>
      <c r="H952">
        <v>1</v>
      </c>
      <c r="J952">
        <v>37</v>
      </c>
      <c r="K952">
        <v>1</v>
      </c>
      <c r="L952">
        <v>1</v>
      </c>
      <c r="M952">
        <v>1</v>
      </c>
      <c r="N952">
        <v>1</v>
      </c>
      <c r="O952">
        <v>1</v>
      </c>
      <c r="P952">
        <v>1</v>
      </c>
      <c r="R952">
        <v>37</v>
      </c>
      <c r="S952">
        <v>1</v>
      </c>
      <c r="T952">
        <v>1</v>
      </c>
      <c r="U952">
        <v>1</v>
      </c>
      <c r="V952">
        <v>1</v>
      </c>
      <c r="W952">
        <v>1</v>
      </c>
      <c r="X952">
        <v>1</v>
      </c>
      <c r="AA952">
        <v>-5147.9106000000002</v>
      </c>
      <c r="AB952">
        <v>-5147.9106000000002</v>
      </c>
      <c r="AC952">
        <v>-5147.9106000000002</v>
      </c>
      <c r="AD952">
        <v>-5147.9106000000002</v>
      </c>
      <c r="AE952">
        <v>-5147.9106000000002</v>
      </c>
      <c r="AF952">
        <v>-5147.9106000000002</v>
      </c>
    </row>
    <row r="953" spans="2:32" x14ac:dyDescent="0.25">
      <c r="B953">
        <v>38</v>
      </c>
      <c r="C953">
        <v>1</v>
      </c>
      <c r="D953">
        <v>1</v>
      </c>
      <c r="E953">
        <v>1</v>
      </c>
      <c r="F953">
        <v>1</v>
      </c>
      <c r="G953">
        <v>1</v>
      </c>
      <c r="H953">
        <v>1</v>
      </c>
      <c r="J953">
        <v>38</v>
      </c>
      <c r="K953">
        <v>1</v>
      </c>
      <c r="L953">
        <v>1</v>
      </c>
      <c r="M953">
        <v>1</v>
      </c>
      <c r="N953">
        <v>1</v>
      </c>
      <c r="O953">
        <v>1</v>
      </c>
      <c r="P953">
        <v>1</v>
      </c>
      <c r="R953">
        <v>38</v>
      </c>
      <c r="S953">
        <v>1</v>
      </c>
      <c r="T953">
        <v>1</v>
      </c>
      <c r="U953">
        <v>1</v>
      </c>
      <c r="V953">
        <v>1</v>
      </c>
      <c r="W953">
        <v>1</v>
      </c>
      <c r="X953">
        <v>1</v>
      </c>
      <c r="AA953">
        <v>-5143.5393999999997</v>
      </c>
      <c r="AB953">
        <v>-5143.5393999999997</v>
      </c>
      <c r="AC953">
        <v>-5143.5393999999997</v>
      </c>
      <c r="AD953">
        <v>-5143.5393999999997</v>
      </c>
      <c r="AE953">
        <v>-5143.5393999999997</v>
      </c>
      <c r="AF953">
        <v>-5143.5393999999997</v>
      </c>
    </row>
    <row r="954" spans="2:32" x14ac:dyDescent="0.25">
      <c r="B954">
        <v>39</v>
      </c>
      <c r="C954">
        <v>1</v>
      </c>
      <c r="D954">
        <v>1</v>
      </c>
      <c r="E954">
        <v>1</v>
      </c>
      <c r="F954">
        <v>1</v>
      </c>
      <c r="G954">
        <v>1</v>
      </c>
      <c r="H954">
        <v>1</v>
      </c>
      <c r="J954">
        <v>39</v>
      </c>
      <c r="K954">
        <v>1</v>
      </c>
      <c r="L954">
        <v>1</v>
      </c>
      <c r="M954">
        <v>1</v>
      </c>
      <c r="N954">
        <v>1</v>
      </c>
      <c r="O954">
        <v>1</v>
      </c>
      <c r="P954">
        <v>1</v>
      </c>
      <c r="R954">
        <v>39</v>
      </c>
      <c r="S954">
        <v>1</v>
      </c>
      <c r="T954">
        <v>1</v>
      </c>
      <c r="U954">
        <v>1</v>
      </c>
      <c r="V954">
        <v>1</v>
      </c>
      <c r="W954">
        <v>1</v>
      </c>
      <c r="X954">
        <v>1</v>
      </c>
      <c r="AA954">
        <v>-5138.76</v>
      </c>
      <c r="AB954">
        <v>-5138.76</v>
      </c>
      <c r="AC954">
        <v>-5138.76</v>
      </c>
      <c r="AD954">
        <v>-5138.76</v>
      </c>
      <c r="AE954">
        <v>-5138.76</v>
      </c>
      <c r="AF954">
        <v>-5138.76</v>
      </c>
    </row>
    <row r="955" spans="2:32" x14ac:dyDescent="0.25">
      <c r="B955">
        <v>40</v>
      </c>
      <c r="C955">
        <v>1</v>
      </c>
      <c r="D955">
        <v>1</v>
      </c>
      <c r="E955">
        <v>1</v>
      </c>
      <c r="F955">
        <v>1</v>
      </c>
      <c r="G955">
        <v>1</v>
      </c>
      <c r="H955">
        <v>1</v>
      </c>
      <c r="J955">
        <v>40</v>
      </c>
      <c r="K955">
        <v>1</v>
      </c>
      <c r="L955">
        <v>1</v>
      </c>
      <c r="M955">
        <v>1</v>
      </c>
      <c r="N955">
        <v>1</v>
      </c>
      <c r="O955">
        <v>1</v>
      </c>
      <c r="P955">
        <v>1</v>
      </c>
      <c r="R955">
        <v>40</v>
      </c>
      <c r="S955">
        <v>1</v>
      </c>
      <c r="T955">
        <v>1</v>
      </c>
      <c r="U955">
        <v>1</v>
      </c>
      <c r="V955">
        <v>1</v>
      </c>
      <c r="W955">
        <v>1</v>
      </c>
      <c r="X955">
        <v>1</v>
      </c>
      <c r="AA955">
        <v>-5133.5084999999999</v>
      </c>
      <c r="AB955">
        <v>-5133.5084999999999</v>
      </c>
      <c r="AC955">
        <v>-5133.5084999999999</v>
      </c>
      <c r="AD955">
        <v>-5133.5084999999999</v>
      </c>
      <c r="AE955">
        <v>-5133.5084999999999</v>
      </c>
      <c r="AF955">
        <v>-5133.5084999999999</v>
      </c>
    </row>
    <row r="956" spans="2:32" x14ac:dyDescent="0.25">
      <c r="B956">
        <v>41</v>
      </c>
      <c r="C956">
        <v>1</v>
      </c>
      <c r="D956">
        <v>1</v>
      </c>
      <c r="E956">
        <v>1</v>
      </c>
      <c r="F956">
        <v>1</v>
      </c>
      <c r="G956">
        <v>1</v>
      </c>
      <c r="H956">
        <v>1</v>
      </c>
      <c r="J956">
        <v>41</v>
      </c>
      <c r="K956">
        <v>1</v>
      </c>
      <c r="L956">
        <v>1</v>
      </c>
      <c r="M956">
        <v>1</v>
      </c>
      <c r="N956">
        <v>1</v>
      </c>
      <c r="O956">
        <v>1</v>
      </c>
      <c r="P956">
        <v>1</v>
      </c>
      <c r="R956">
        <v>41</v>
      </c>
      <c r="S956">
        <v>1</v>
      </c>
      <c r="T956">
        <v>1</v>
      </c>
      <c r="U956">
        <v>1</v>
      </c>
      <c r="V956">
        <v>1</v>
      </c>
      <c r="W956">
        <v>1</v>
      </c>
      <c r="X956">
        <v>1</v>
      </c>
      <c r="AA956">
        <v>-5127.7236000000003</v>
      </c>
      <c r="AB956">
        <v>-5127.7236000000003</v>
      </c>
      <c r="AC956">
        <v>-5127.7236000000003</v>
      </c>
      <c r="AD956">
        <v>-5127.7236000000003</v>
      </c>
      <c r="AE956">
        <v>-5127.7236000000003</v>
      </c>
      <c r="AF956">
        <v>-5127.7236000000003</v>
      </c>
    </row>
    <row r="957" spans="2:32" x14ac:dyDescent="0.25">
      <c r="B957">
        <v>42</v>
      </c>
      <c r="C957">
        <v>1</v>
      </c>
      <c r="D957">
        <v>1</v>
      </c>
      <c r="E957">
        <v>1</v>
      </c>
      <c r="F957">
        <v>1</v>
      </c>
      <c r="G957">
        <v>1</v>
      </c>
      <c r="H957">
        <v>1</v>
      </c>
      <c r="J957">
        <v>42</v>
      </c>
      <c r="K957">
        <v>1</v>
      </c>
      <c r="L957">
        <v>1</v>
      </c>
      <c r="M957">
        <v>1</v>
      </c>
      <c r="N957">
        <v>1</v>
      </c>
      <c r="O957">
        <v>1</v>
      </c>
      <c r="P957">
        <v>1</v>
      </c>
      <c r="R957">
        <v>42</v>
      </c>
      <c r="S957">
        <v>1</v>
      </c>
      <c r="T957">
        <v>1</v>
      </c>
      <c r="U957">
        <v>1</v>
      </c>
      <c r="V957">
        <v>1</v>
      </c>
      <c r="W957">
        <v>1</v>
      </c>
      <c r="X957">
        <v>1</v>
      </c>
      <c r="AA957">
        <v>-5121.3726999999999</v>
      </c>
      <c r="AB957">
        <v>-5121.3726999999999</v>
      </c>
      <c r="AC957">
        <v>-5121.3726999999999</v>
      </c>
      <c r="AD957">
        <v>-5121.3726999999999</v>
      </c>
      <c r="AE957">
        <v>-5121.3726999999999</v>
      </c>
      <c r="AF957">
        <v>-5121.3726999999999</v>
      </c>
    </row>
    <row r="958" spans="2:32" x14ac:dyDescent="0.25">
      <c r="B958">
        <v>43</v>
      </c>
      <c r="C958">
        <v>1</v>
      </c>
      <c r="D958">
        <v>1</v>
      </c>
      <c r="E958">
        <v>1</v>
      </c>
      <c r="F958">
        <v>1</v>
      </c>
      <c r="G958">
        <v>1</v>
      </c>
      <c r="H958">
        <v>1</v>
      </c>
      <c r="J958">
        <v>43</v>
      </c>
      <c r="K958">
        <v>1</v>
      </c>
      <c r="L958">
        <v>1</v>
      </c>
      <c r="M958">
        <v>1</v>
      </c>
      <c r="N958">
        <v>1</v>
      </c>
      <c r="O958">
        <v>1</v>
      </c>
      <c r="P958">
        <v>1</v>
      </c>
      <c r="R958">
        <v>43</v>
      </c>
      <c r="S958">
        <v>1</v>
      </c>
      <c r="T958">
        <v>1</v>
      </c>
      <c r="U958">
        <v>1</v>
      </c>
      <c r="V958">
        <v>1</v>
      </c>
      <c r="W958">
        <v>1</v>
      </c>
      <c r="X958">
        <v>1</v>
      </c>
      <c r="AA958">
        <v>-5114.3449000000001</v>
      </c>
      <c r="AB958">
        <v>-5114.3449000000001</v>
      </c>
      <c r="AC958">
        <v>-5114.3449000000001</v>
      </c>
      <c r="AD958">
        <v>-5114.3449000000001</v>
      </c>
      <c r="AE958">
        <v>-5114.3449000000001</v>
      </c>
      <c r="AF958">
        <v>-5114.3449000000001</v>
      </c>
    </row>
    <row r="959" spans="2:32" x14ac:dyDescent="0.25">
      <c r="B959">
        <v>44</v>
      </c>
      <c r="C959">
        <v>1</v>
      </c>
      <c r="D959">
        <v>1</v>
      </c>
      <c r="E959">
        <v>1</v>
      </c>
      <c r="F959">
        <v>1</v>
      </c>
      <c r="G959">
        <v>1</v>
      </c>
      <c r="H959">
        <v>1</v>
      </c>
      <c r="J959">
        <v>44</v>
      </c>
      <c r="K959">
        <v>1</v>
      </c>
      <c r="L959">
        <v>1</v>
      </c>
      <c r="M959">
        <v>1</v>
      </c>
      <c r="N959">
        <v>1</v>
      </c>
      <c r="O959">
        <v>1</v>
      </c>
      <c r="P959">
        <v>1</v>
      </c>
      <c r="R959">
        <v>44</v>
      </c>
      <c r="S959">
        <v>1</v>
      </c>
      <c r="T959">
        <v>1</v>
      </c>
      <c r="U959">
        <v>1</v>
      </c>
      <c r="V959">
        <v>1</v>
      </c>
      <c r="W959">
        <v>1</v>
      </c>
      <c r="X959">
        <v>1</v>
      </c>
      <c r="AA959">
        <v>-5106.5976000000001</v>
      </c>
      <c r="AB959">
        <v>-5106.5976000000001</v>
      </c>
      <c r="AC959">
        <v>-5106.5976000000001</v>
      </c>
      <c r="AD959">
        <v>-5106.5976000000001</v>
      </c>
      <c r="AE959">
        <v>-5106.5976000000001</v>
      </c>
      <c r="AF959">
        <v>-5106.5976000000001</v>
      </c>
    </row>
    <row r="960" spans="2:32" x14ac:dyDescent="0.25">
      <c r="B960">
        <v>45</v>
      </c>
      <c r="C960">
        <v>1</v>
      </c>
      <c r="D960">
        <v>1</v>
      </c>
      <c r="E960">
        <v>1</v>
      </c>
      <c r="F960">
        <v>1</v>
      </c>
      <c r="G960">
        <v>1</v>
      </c>
      <c r="H960">
        <v>1</v>
      </c>
      <c r="J960">
        <v>45</v>
      </c>
      <c r="K960">
        <v>1</v>
      </c>
      <c r="L960">
        <v>1</v>
      </c>
      <c r="M960">
        <v>1</v>
      </c>
      <c r="N960">
        <v>1</v>
      </c>
      <c r="O960">
        <v>1</v>
      </c>
      <c r="P960">
        <v>1</v>
      </c>
      <c r="R960">
        <v>45</v>
      </c>
      <c r="S960">
        <v>1</v>
      </c>
      <c r="T960">
        <v>1</v>
      </c>
      <c r="U960">
        <v>1</v>
      </c>
      <c r="V960">
        <v>1</v>
      </c>
      <c r="W960">
        <v>1</v>
      </c>
      <c r="X960">
        <v>1</v>
      </c>
      <c r="AA960">
        <v>-5098.0524999999998</v>
      </c>
      <c r="AB960">
        <v>-5098.0524999999998</v>
      </c>
      <c r="AC960">
        <v>-5098.0524999999998</v>
      </c>
      <c r="AD960">
        <v>-5098.0524999999998</v>
      </c>
      <c r="AE960">
        <v>-5098.0524999999998</v>
      </c>
      <c r="AF960">
        <v>-5098.0524999999998</v>
      </c>
    </row>
    <row r="961" spans="2:32" x14ac:dyDescent="0.25">
      <c r="B961">
        <v>46</v>
      </c>
      <c r="C961">
        <v>1</v>
      </c>
      <c r="D961">
        <v>1</v>
      </c>
      <c r="E961">
        <v>1</v>
      </c>
      <c r="F961">
        <v>1</v>
      </c>
      <c r="G961">
        <v>1</v>
      </c>
      <c r="H961">
        <v>1</v>
      </c>
      <c r="J961">
        <v>46</v>
      </c>
      <c r="K961">
        <v>1</v>
      </c>
      <c r="L961">
        <v>1</v>
      </c>
      <c r="M961">
        <v>1</v>
      </c>
      <c r="N961">
        <v>1</v>
      </c>
      <c r="O961">
        <v>1</v>
      </c>
      <c r="P961">
        <v>1</v>
      </c>
      <c r="R961">
        <v>46</v>
      </c>
      <c r="S961">
        <v>1</v>
      </c>
      <c r="T961">
        <v>1</v>
      </c>
      <c r="U961">
        <v>1</v>
      </c>
      <c r="V961">
        <v>1</v>
      </c>
      <c r="W961">
        <v>1</v>
      </c>
      <c r="X961">
        <v>1</v>
      </c>
      <c r="AA961">
        <v>-5088.6378000000004</v>
      </c>
      <c r="AB961">
        <v>-5088.6378000000004</v>
      </c>
      <c r="AC961">
        <v>-5088.6378000000004</v>
      </c>
      <c r="AD961">
        <v>-5088.6378000000004</v>
      </c>
      <c r="AE961">
        <v>-5088.6378000000004</v>
      </c>
      <c r="AF961">
        <v>-5088.6378000000004</v>
      </c>
    </row>
    <row r="962" spans="2:32" x14ac:dyDescent="0.25">
      <c r="B962">
        <v>47</v>
      </c>
      <c r="C962">
        <v>1</v>
      </c>
      <c r="D962">
        <v>1</v>
      </c>
      <c r="E962">
        <v>1</v>
      </c>
      <c r="F962">
        <v>1</v>
      </c>
      <c r="G962">
        <v>1</v>
      </c>
      <c r="H962">
        <v>1</v>
      </c>
      <c r="J962">
        <v>47</v>
      </c>
      <c r="K962">
        <v>1</v>
      </c>
      <c r="L962">
        <v>1</v>
      </c>
      <c r="M962">
        <v>1</v>
      </c>
      <c r="N962">
        <v>1</v>
      </c>
      <c r="O962">
        <v>1</v>
      </c>
      <c r="P962">
        <v>1</v>
      </c>
      <c r="R962">
        <v>47</v>
      </c>
      <c r="S962">
        <v>1</v>
      </c>
      <c r="T962">
        <v>1</v>
      </c>
      <c r="U962">
        <v>1</v>
      </c>
      <c r="V962">
        <v>1</v>
      </c>
      <c r="W962">
        <v>1</v>
      </c>
      <c r="X962">
        <v>1</v>
      </c>
      <c r="AA962">
        <v>-5078.2593999999999</v>
      </c>
      <c r="AB962">
        <v>-5078.2593999999999</v>
      </c>
      <c r="AC962">
        <v>-5078.2593999999999</v>
      </c>
      <c r="AD962">
        <v>-5078.2593999999999</v>
      </c>
      <c r="AE962">
        <v>-5078.2593999999999</v>
      </c>
      <c r="AF962">
        <v>-5078.2593999999999</v>
      </c>
    </row>
    <row r="963" spans="2:32" x14ac:dyDescent="0.25">
      <c r="B963">
        <v>48</v>
      </c>
      <c r="C963">
        <v>1</v>
      </c>
      <c r="D963">
        <v>1</v>
      </c>
      <c r="E963">
        <v>1</v>
      </c>
      <c r="F963">
        <v>1</v>
      </c>
      <c r="G963">
        <v>1</v>
      </c>
      <c r="H963">
        <v>1</v>
      </c>
      <c r="J963">
        <v>48</v>
      </c>
      <c r="K963">
        <v>1</v>
      </c>
      <c r="L963">
        <v>1</v>
      </c>
      <c r="M963">
        <v>1</v>
      </c>
      <c r="N963">
        <v>1</v>
      </c>
      <c r="O963">
        <v>1</v>
      </c>
      <c r="P963">
        <v>1</v>
      </c>
      <c r="R963">
        <v>48</v>
      </c>
      <c r="S963">
        <v>1</v>
      </c>
      <c r="T963">
        <v>1</v>
      </c>
      <c r="U963">
        <v>1</v>
      </c>
      <c r="V963">
        <v>1</v>
      </c>
      <c r="W963">
        <v>1</v>
      </c>
      <c r="X963">
        <v>1</v>
      </c>
      <c r="AA963">
        <v>-5066.8732</v>
      </c>
      <c r="AB963">
        <v>-5066.8732</v>
      </c>
      <c r="AC963">
        <v>-5066.8732</v>
      </c>
      <c r="AD963">
        <v>-5066.8732</v>
      </c>
      <c r="AE963">
        <v>-5066.8732</v>
      </c>
      <c r="AF963">
        <v>-5066.8732</v>
      </c>
    </row>
    <row r="964" spans="2:32" x14ac:dyDescent="0.25">
      <c r="B964">
        <v>49</v>
      </c>
      <c r="C964">
        <v>1</v>
      </c>
      <c r="D964">
        <v>1</v>
      </c>
      <c r="E964">
        <v>1</v>
      </c>
      <c r="F964">
        <v>1</v>
      </c>
      <c r="G964">
        <v>1</v>
      </c>
      <c r="H964">
        <v>1</v>
      </c>
      <c r="J964">
        <v>49</v>
      </c>
      <c r="K964">
        <v>1</v>
      </c>
      <c r="L964">
        <v>1</v>
      </c>
      <c r="M964">
        <v>1</v>
      </c>
      <c r="N964">
        <v>1</v>
      </c>
      <c r="O964">
        <v>1</v>
      </c>
      <c r="P964">
        <v>1</v>
      </c>
      <c r="R964">
        <v>49</v>
      </c>
      <c r="S964">
        <v>1</v>
      </c>
      <c r="T964">
        <v>1</v>
      </c>
      <c r="U964">
        <v>1</v>
      </c>
      <c r="V964">
        <v>1</v>
      </c>
      <c r="W964">
        <v>1</v>
      </c>
      <c r="X964">
        <v>1</v>
      </c>
      <c r="AA964">
        <v>-5054.4124000000002</v>
      </c>
      <c r="AB964">
        <v>-5054.4124000000002</v>
      </c>
      <c r="AC964">
        <v>-5054.4124000000002</v>
      </c>
      <c r="AD964">
        <v>-5054.4124000000002</v>
      </c>
      <c r="AE964">
        <v>-5054.4124000000002</v>
      </c>
      <c r="AF964">
        <v>-5054.4124000000002</v>
      </c>
    </row>
    <row r="965" spans="2:32" x14ac:dyDescent="0.25">
      <c r="B965">
        <v>50</v>
      </c>
      <c r="C965">
        <v>1</v>
      </c>
      <c r="D965">
        <v>1</v>
      </c>
      <c r="E965">
        <v>1</v>
      </c>
      <c r="F965">
        <v>1</v>
      </c>
      <c r="G965">
        <v>1</v>
      </c>
      <c r="H965">
        <v>1</v>
      </c>
      <c r="J965">
        <v>50</v>
      </c>
      <c r="K965">
        <v>1</v>
      </c>
      <c r="L965">
        <v>1</v>
      </c>
      <c r="M965">
        <v>1</v>
      </c>
      <c r="N965">
        <v>1</v>
      </c>
      <c r="O965">
        <v>1</v>
      </c>
      <c r="P965">
        <v>1</v>
      </c>
      <c r="R965">
        <v>50</v>
      </c>
      <c r="S965">
        <v>1</v>
      </c>
      <c r="T965">
        <v>1</v>
      </c>
      <c r="U965">
        <v>1</v>
      </c>
      <c r="V965">
        <v>1</v>
      </c>
      <c r="W965">
        <v>1</v>
      </c>
      <c r="X965">
        <v>1</v>
      </c>
      <c r="AA965">
        <v>-5040.7671</v>
      </c>
      <c r="AB965">
        <v>-5040.7671</v>
      </c>
      <c r="AC965">
        <v>-5040.7671</v>
      </c>
      <c r="AD965">
        <v>-5040.7671</v>
      </c>
      <c r="AE965">
        <v>-5040.7671</v>
      </c>
      <c r="AF965">
        <v>-5040.7671</v>
      </c>
    </row>
    <row r="966" spans="2:32" x14ac:dyDescent="0.25">
      <c r="B966">
        <v>51</v>
      </c>
      <c r="C966">
        <v>1</v>
      </c>
      <c r="D966">
        <v>1</v>
      </c>
      <c r="E966">
        <v>1</v>
      </c>
      <c r="F966">
        <v>1</v>
      </c>
      <c r="G966">
        <v>1</v>
      </c>
      <c r="H966">
        <v>1</v>
      </c>
      <c r="J966">
        <v>51</v>
      </c>
      <c r="K966">
        <v>1</v>
      </c>
      <c r="L966">
        <v>1</v>
      </c>
      <c r="M966">
        <v>1</v>
      </c>
      <c r="N966">
        <v>1</v>
      </c>
      <c r="O966">
        <v>1</v>
      </c>
      <c r="P966">
        <v>1</v>
      </c>
      <c r="R966">
        <v>51</v>
      </c>
      <c r="S966">
        <v>1</v>
      </c>
      <c r="T966">
        <v>1</v>
      </c>
      <c r="U966">
        <v>1</v>
      </c>
      <c r="V966">
        <v>1</v>
      </c>
      <c r="W966">
        <v>1</v>
      </c>
      <c r="X966">
        <v>1</v>
      </c>
      <c r="AA966">
        <v>-5025.8329000000003</v>
      </c>
      <c r="AB966">
        <v>-5025.8329000000003</v>
      </c>
      <c r="AC966">
        <v>-5025.8329000000003</v>
      </c>
      <c r="AD966">
        <v>-5025.8329000000003</v>
      </c>
      <c r="AE966">
        <v>-5025.8329000000003</v>
      </c>
      <c r="AF966">
        <v>-5025.8329000000003</v>
      </c>
    </row>
    <row r="967" spans="2:32" x14ac:dyDescent="0.25">
      <c r="B967">
        <v>52</v>
      </c>
      <c r="C967">
        <v>1</v>
      </c>
      <c r="D967">
        <v>1</v>
      </c>
      <c r="E967">
        <v>1</v>
      </c>
      <c r="F967">
        <v>1</v>
      </c>
      <c r="G967">
        <v>1</v>
      </c>
      <c r="H967">
        <v>1</v>
      </c>
      <c r="J967">
        <v>52</v>
      </c>
      <c r="K967">
        <v>1</v>
      </c>
      <c r="L967">
        <v>1</v>
      </c>
      <c r="M967">
        <v>1</v>
      </c>
      <c r="N967">
        <v>1</v>
      </c>
      <c r="O967">
        <v>1</v>
      </c>
      <c r="P967">
        <v>1</v>
      </c>
      <c r="R967">
        <v>52</v>
      </c>
      <c r="S967">
        <v>1</v>
      </c>
      <c r="T967">
        <v>1</v>
      </c>
      <c r="U967">
        <v>1</v>
      </c>
      <c r="V967">
        <v>1</v>
      </c>
      <c r="W967">
        <v>1</v>
      </c>
      <c r="X967">
        <v>1</v>
      </c>
      <c r="AA967">
        <v>-5009.4771000000001</v>
      </c>
      <c r="AB967">
        <v>-5009.4771000000001</v>
      </c>
      <c r="AC967">
        <v>-5009.4771000000001</v>
      </c>
      <c r="AD967">
        <v>-5009.4771000000001</v>
      </c>
      <c r="AE967">
        <v>-5009.4771000000001</v>
      </c>
      <c r="AF967">
        <v>-5009.4771000000001</v>
      </c>
    </row>
    <row r="968" spans="2:32" x14ac:dyDescent="0.25">
      <c r="B968">
        <v>53</v>
      </c>
      <c r="C968">
        <v>1</v>
      </c>
      <c r="D968">
        <v>1</v>
      </c>
      <c r="E968">
        <v>1</v>
      </c>
      <c r="F968">
        <v>1</v>
      </c>
      <c r="G968">
        <v>1</v>
      </c>
      <c r="H968">
        <v>1</v>
      </c>
      <c r="J968">
        <v>53</v>
      </c>
      <c r="K968">
        <v>1</v>
      </c>
      <c r="L968">
        <v>1</v>
      </c>
      <c r="M968">
        <v>1</v>
      </c>
      <c r="N968">
        <v>1</v>
      </c>
      <c r="O968">
        <v>1</v>
      </c>
      <c r="P968">
        <v>1</v>
      </c>
      <c r="R968">
        <v>53</v>
      </c>
      <c r="S968">
        <v>1</v>
      </c>
      <c r="T968">
        <v>1</v>
      </c>
      <c r="U968">
        <v>1</v>
      </c>
      <c r="V968">
        <v>1</v>
      </c>
      <c r="W968">
        <v>1</v>
      </c>
      <c r="X968">
        <v>1</v>
      </c>
      <c r="AA968">
        <v>-4991.6184000000003</v>
      </c>
      <c r="AB968">
        <v>-4991.6184000000003</v>
      </c>
      <c r="AC968">
        <v>-4991.6184000000003</v>
      </c>
      <c r="AD968">
        <v>-4991.6184000000003</v>
      </c>
      <c r="AE968">
        <v>-4991.6184000000003</v>
      </c>
      <c r="AF968">
        <v>-4991.6184000000003</v>
      </c>
    </row>
    <row r="969" spans="2:32" x14ac:dyDescent="0.25">
      <c r="B969">
        <v>54</v>
      </c>
      <c r="C969">
        <v>1</v>
      </c>
      <c r="D969">
        <v>1</v>
      </c>
      <c r="E969">
        <v>1</v>
      </c>
      <c r="F969">
        <v>1</v>
      </c>
      <c r="G969">
        <v>1</v>
      </c>
      <c r="H969">
        <v>1</v>
      </c>
      <c r="J969">
        <v>54</v>
      </c>
      <c r="K969">
        <v>1</v>
      </c>
      <c r="L969">
        <v>1</v>
      </c>
      <c r="M969">
        <v>1</v>
      </c>
      <c r="N969">
        <v>1</v>
      </c>
      <c r="O969">
        <v>1</v>
      </c>
      <c r="P969">
        <v>1</v>
      </c>
      <c r="R969">
        <v>54</v>
      </c>
      <c r="S969">
        <v>1</v>
      </c>
      <c r="T969">
        <v>1</v>
      </c>
      <c r="U969">
        <v>1</v>
      </c>
      <c r="V969">
        <v>1</v>
      </c>
      <c r="W969">
        <v>1</v>
      </c>
      <c r="X969">
        <v>1</v>
      </c>
      <c r="AA969">
        <v>-4972.1588000000002</v>
      </c>
      <c r="AB969">
        <v>-4972.1588000000002</v>
      </c>
      <c r="AC969">
        <v>-4972.1588000000002</v>
      </c>
      <c r="AD969">
        <v>-4972.1588000000002</v>
      </c>
      <c r="AE969">
        <v>-4972.1588000000002</v>
      </c>
      <c r="AF969">
        <v>-4972.1588000000002</v>
      </c>
    </row>
    <row r="970" spans="2:32" x14ac:dyDescent="0.25">
      <c r="B970">
        <v>55</v>
      </c>
      <c r="C970">
        <v>1</v>
      </c>
      <c r="D970">
        <v>1</v>
      </c>
      <c r="E970">
        <v>1</v>
      </c>
      <c r="F970">
        <v>1</v>
      </c>
      <c r="G970">
        <v>1</v>
      </c>
      <c r="H970">
        <v>1</v>
      </c>
      <c r="J970">
        <v>55</v>
      </c>
      <c r="K970">
        <v>1</v>
      </c>
      <c r="L970">
        <v>1</v>
      </c>
      <c r="M970">
        <v>1</v>
      </c>
      <c r="N970">
        <v>1</v>
      </c>
      <c r="O970">
        <v>1</v>
      </c>
      <c r="P970">
        <v>1</v>
      </c>
      <c r="R970">
        <v>55</v>
      </c>
      <c r="S970">
        <v>1</v>
      </c>
      <c r="T970">
        <v>1</v>
      </c>
      <c r="U970">
        <v>1</v>
      </c>
      <c r="V970">
        <v>1</v>
      </c>
      <c r="W970">
        <v>1</v>
      </c>
      <c r="X970">
        <v>1</v>
      </c>
      <c r="AA970">
        <v>-4950.9426000000003</v>
      </c>
      <c r="AB970">
        <v>-4950.9426000000003</v>
      </c>
      <c r="AC970">
        <v>-4950.9426000000003</v>
      </c>
      <c r="AD970">
        <v>-4950.9426000000003</v>
      </c>
      <c r="AE970">
        <v>-4950.9426000000003</v>
      </c>
      <c r="AF970">
        <v>-4950.9426000000003</v>
      </c>
    </row>
    <row r="973" spans="2:32" x14ac:dyDescent="0.25">
      <c r="B973" t="s">
        <v>46</v>
      </c>
      <c r="C973">
        <v>100000</v>
      </c>
      <c r="D973">
        <v>250000</v>
      </c>
      <c r="E973">
        <v>500000</v>
      </c>
      <c r="F973">
        <v>1000000</v>
      </c>
      <c r="G973">
        <v>2000000</v>
      </c>
      <c r="J973" t="s">
        <v>32</v>
      </c>
      <c r="K973">
        <v>100000</v>
      </c>
      <c r="L973">
        <v>250000</v>
      </c>
      <c r="M973">
        <v>500000</v>
      </c>
      <c r="N973">
        <v>1000000</v>
      </c>
      <c r="O973">
        <v>2000000</v>
      </c>
      <c r="R973" t="s">
        <v>48</v>
      </c>
      <c r="S973">
        <v>100000</v>
      </c>
      <c r="T973">
        <v>250000</v>
      </c>
      <c r="U973">
        <v>500000</v>
      </c>
      <c r="V973">
        <v>1000000</v>
      </c>
      <c r="W973">
        <v>2000000</v>
      </c>
    </row>
    <row r="974" spans="2:32" x14ac:dyDescent="0.25">
      <c r="B974">
        <v>35</v>
      </c>
      <c r="C974">
        <v>1</v>
      </c>
      <c r="D974">
        <v>1</v>
      </c>
      <c r="E974">
        <v>1</v>
      </c>
      <c r="F974">
        <v>1</v>
      </c>
      <c r="G974">
        <v>1</v>
      </c>
      <c r="J974">
        <v>35</v>
      </c>
      <c r="K974">
        <v>1</v>
      </c>
      <c r="L974">
        <v>1</v>
      </c>
      <c r="M974">
        <v>1</v>
      </c>
      <c r="N974">
        <v>1</v>
      </c>
      <c r="O974">
        <v>1</v>
      </c>
      <c r="R974">
        <v>35</v>
      </c>
      <c r="S974">
        <v>1</v>
      </c>
      <c r="T974">
        <v>1</v>
      </c>
      <c r="U974">
        <v>1</v>
      </c>
      <c r="V974">
        <v>1</v>
      </c>
      <c r="W974">
        <v>1</v>
      </c>
      <c r="AA974">
        <v>-8996.1419000000005</v>
      </c>
      <c r="AB974">
        <v>-8996.1419000000005</v>
      </c>
      <c r="AC974">
        <v>-8996.1419000000005</v>
      </c>
      <c r="AD974">
        <v>-8996.1419000000005</v>
      </c>
      <c r="AE974">
        <v>-8996.1419000000005</v>
      </c>
      <c r="AF974">
        <v>-759112.79520000005</v>
      </c>
    </row>
    <row r="975" spans="2:32" x14ac:dyDescent="0.25">
      <c r="B975">
        <f t="shared" ref="B975:B1004" si="42">B974+1</f>
        <v>36</v>
      </c>
      <c r="C975">
        <v>1</v>
      </c>
      <c r="D975">
        <v>1</v>
      </c>
      <c r="E975">
        <v>1</v>
      </c>
      <c r="F975">
        <v>1</v>
      </c>
      <c r="G975">
        <v>1</v>
      </c>
      <c r="J975">
        <f t="shared" ref="J975:J1004" si="43">J974+1</f>
        <v>36</v>
      </c>
      <c r="K975">
        <v>1</v>
      </c>
      <c r="L975">
        <v>1</v>
      </c>
      <c r="M975">
        <v>1</v>
      </c>
      <c r="N975">
        <v>1</v>
      </c>
      <c r="O975">
        <v>1</v>
      </c>
      <c r="R975">
        <f t="shared" ref="R975:R1004" si="44">R974+1</f>
        <v>36</v>
      </c>
      <c r="S975">
        <v>1</v>
      </c>
      <c r="T975">
        <v>1</v>
      </c>
      <c r="U975">
        <v>1</v>
      </c>
      <c r="V975">
        <v>1</v>
      </c>
      <c r="W975">
        <v>1</v>
      </c>
      <c r="AA975">
        <v>-8902.6679999999997</v>
      </c>
      <c r="AB975">
        <v>-8902.6679999999997</v>
      </c>
      <c r="AC975">
        <v>-8902.6679999999997</v>
      </c>
      <c r="AD975">
        <v>-8902.6679999999997</v>
      </c>
      <c r="AE975">
        <v>-8902.6679999999997</v>
      </c>
      <c r="AF975">
        <v>-737070.86179999996</v>
      </c>
    </row>
    <row r="976" spans="2:32" x14ac:dyDescent="0.25">
      <c r="B976">
        <f t="shared" si="42"/>
        <v>37</v>
      </c>
      <c r="C976">
        <v>1</v>
      </c>
      <c r="D976">
        <v>1</v>
      </c>
      <c r="E976">
        <v>1</v>
      </c>
      <c r="F976">
        <v>1</v>
      </c>
      <c r="G976">
        <v>1</v>
      </c>
      <c r="J976">
        <f t="shared" si="43"/>
        <v>37</v>
      </c>
      <c r="K976">
        <v>1</v>
      </c>
      <c r="L976">
        <v>1</v>
      </c>
      <c r="M976">
        <v>1</v>
      </c>
      <c r="N976">
        <v>1</v>
      </c>
      <c r="O976">
        <v>1</v>
      </c>
      <c r="R976">
        <f t="shared" si="44"/>
        <v>37</v>
      </c>
      <c r="S976">
        <v>1</v>
      </c>
      <c r="T976">
        <v>1</v>
      </c>
      <c r="U976">
        <v>1</v>
      </c>
      <c r="V976">
        <v>1</v>
      </c>
      <c r="W976">
        <v>1</v>
      </c>
      <c r="AA976">
        <v>-8806.7960000000003</v>
      </c>
      <c r="AB976">
        <v>-8806.7960000000003</v>
      </c>
      <c r="AC976">
        <v>-8806.7960000000003</v>
      </c>
      <c r="AD976">
        <v>-8806.7960000000003</v>
      </c>
      <c r="AE976">
        <v>-8806.7960000000003</v>
      </c>
      <c r="AF976">
        <v>-765978.91940000001</v>
      </c>
    </row>
    <row r="977" spans="2:32" x14ac:dyDescent="0.25">
      <c r="B977">
        <f t="shared" si="42"/>
        <v>38</v>
      </c>
      <c r="C977">
        <v>1</v>
      </c>
      <c r="D977">
        <v>1</v>
      </c>
      <c r="E977">
        <v>1</v>
      </c>
      <c r="F977">
        <v>1</v>
      </c>
      <c r="G977">
        <v>1</v>
      </c>
      <c r="J977">
        <f t="shared" si="43"/>
        <v>38</v>
      </c>
      <c r="K977">
        <v>1</v>
      </c>
      <c r="L977">
        <v>1</v>
      </c>
      <c r="M977">
        <v>1</v>
      </c>
      <c r="N977">
        <v>1</v>
      </c>
      <c r="O977">
        <v>1</v>
      </c>
      <c r="R977">
        <f t="shared" si="44"/>
        <v>38</v>
      </c>
      <c r="S977">
        <v>1</v>
      </c>
      <c r="T977">
        <v>1</v>
      </c>
      <c r="U977">
        <v>1</v>
      </c>
      <c r="V977">
        <v>1</v>
      </c>
      <c r="W977">
        <v>1</v>
      </c>
      <c r="AA977">
        <v>-8708.6234000000004</v>
      </c>
      <c r="AB977">
        <v>-8708.6234000000004</v>
      </c>
      <c r="AC977">
        <v>-8708.6234000000004</v>
      </c>
      <c r="AD977">
        <v>-8708.6234000000004</v>
      </c>
      <c r="AE977">
        <v>-8708.6234000000004</v>
      </c>
      <c r="AF977">
        <v>-783780.576</v>
      </c>
    </row>
    <row r="978" spans="2:32" x14ac:dyDescent="0.25">
      <c r="B978">
        <f t="shared" si="42"/>
        <v>39</v>
      </c>
      <c r="C978">
        <v>1</v>
      </c>
      <c r="D978">
        <v>1</v>
      </c>
      <c r="E978">
        <v>1</v>
      </c>
      <c r="F978">
        <v>1</v>
      </c>
      <c r="G978">
        <v>1</v>
      </c>
      <c r="J978">
        <f t="shared" si="43"/>
        <v>39</v>
      </c>
      <c r="K978">
        <v>1</v>
      </c>
      <c r="L978">
        <v>1</v>
      </c>
      <c r="M978">
        <v>1</v>
      </c>
      <c r="N978">
        <v>1</v>
      </c>
      <c r="O978">
        <v>1</v>
      </c>
      <c r="R978">
        <f t="shared" si="44"/>
        <v>39</v>
      </c>
      <c r="S978">
        <v>1</v>
      </c>
      <c r="T978">
        <v>1</v>
      </c>
      <c r="U978">
        <v>1</v>
      </c>
      <c r="V978">
        <v>1</v>
      </c>
      <c r="W978">
        <v>1</v>
      </c>
      <c r="AA978">
        <v>-8608.1594000000005</v>
      </c>
      <c r="AB978">
        <v>-8608.1594000000005</v>
      </c>
      <c r="AC978">
        <v>-8608.1594000000005</v>
      </c>
      <c r="AD978">
        <v>-8608.1594000000005</v>
      </c>
      <c r="AE978">
        <v>-8608.1594000000005</v>
      </c>
      <c r="AF978">
        <v>-769662.22069999995</v>
      </c>
    </row>
    <row r="979" spans="2:32" x14ac:dyDescent="0.25">
      <c r="B979">
        <f t="shared" si="42"/>
        <v>40</v>
      </c>
      <c r="C979">
        <v>1</v>
      </c>
      <c r="D979">
        <v>1</v>
      </c>
      <c r="E979">
        <v>1</v>
      </c>
      <c r="F979">
        <v>1</v>
      </c>
      <c r="G979">
        <v>1</v>
      </c>
      <c r="J979">
        <f t="shared" si="43"/>
        <v>40</v>
      </c>
      <c r="K979">
        <v>1</v>
      </c>
      <c r="L979">
        <v>1</v>
      </c>
      <c r="M979">
        <v>1</v>
      </c>
      <c r="N979">
        <v>1</v>
      </c>
      <c r="O979">
        <v>1</v>
      </c>
      <c r="R979">
        <f t="shared" si="44"/>
        <v>40</v>
      </c>
      <c r="S979">
        <v>1</v>
      </c>
      <c r="T979">
        <v>1</v>
      </c>
      <c r="U979">
        <v>1</v>
      </c>
      <c r="V979">
        <v>1</v>
      </c>
      <c r="W979">
        <v>1</v>
      </c>
      <c r="AA979">
        <v>-8505.3439999999991</v>
      </c>
      <c r="AB979">
        <v>-8505.3439999999991</v>
      </c>
      <c r="AC979">
        <v>-8505.3439999999991</v>
      </c>
      <c r="AD979">
        <v>-8505.3439999999991</v>
      </c>
      <c r="AE979">
        <v>-8505.3439999999991</v>
      </c>
      <c r="AF979">
        <v>-798570.41119999997</v>
      </c>
    </row>
    <row r="980" spans="2:32" x14ac:dyDescent="0.25">
      <c r="B980">
        <f t="shared" si="42"/>
        <v>41</v>
      </c>
      <c r="C980">
        <v>1</v>
      </c>
      <c r="D980">
        <v>1</v>
      </c>
      <c r="E980">
        <v>1</v>
      </c>
      <c r="F980">
        <v>1</v>
      </c>
      <c r="G980">
        <v>1</v>
      </c>
      <c r="J980">
        <f t="shared" si="43"/>
        <v>41</v>
      </c>
      <c r="K980">
        <v>1</v>
      </c>
      <c r="L980">
        <v>1</v>
      </c>
      <c r="M980">
        <v>1</v>
      </c>
      <c r="N980">
        <v>1</v>
      </c>
      <c r="O980">
        <v>1</v>
      </c>
      <c r="R980">
        <f t="shared" si="44"/>
        <v>41</v>
      </c>
      <c r="S980">
        <v>1</v>
      </c>
      <c r="T980">
        <v>1</v>
      </c>
      <c r="U980">
        <v>1</v>
      </c>
      <c r="V980">
        <v>1</v>
      </c>
      <c r="W980">
        <v>1</v>
      </c>
      <c r="AA980">
        <v>-8400.1087000000007</v>
      </c>
      <c r="AB980">
        <v>-8400.1087000000007</v>
      </c>
      <c r="AC980">
        <v>-8400.1087000000007</v>
      </c>
      <c r="AD980">
        <v>-8400.1087000000007</v>
      </c>
      <c r="AE980">
        <v>-8400.1087000000007</v>
      </c>
      <c r="AF980">
        <v>-803549.96459999995</v>
      </c>
    </row>
    <row r="981" spans="2:32" x14ac:dyDescent="0.25">
      <c r="B981">
        <f t="shared" si="42"/>
        <v>42</v>
      </c>
      <c r="C981">
        <v>1</v>
      </c>
      <c r="D981">
        <v>1</v>
      </c>
      <c r="E981">
        <v>1</v>
      </c>
      <c r="F981">
        <v>1</v>
      </c>
      <c r="G981">
        <v>1</v>
      </c>
      <c r="J981">
        <f t="shared" si="43"/>
        <v>42</v>
      </c>
      <c r="K981">
        <v>1</v>
      </c>
      <c r="L981">
        <v>1</v>
      </c>
      <c r="M981">
        <v>1</v>
      </c>
      <c r="N981">
        <v>1</v>
      </c>
      <c r="O981">
        <v>1</v>
      </c>
      <c r="R981">
        <f t="shared" si="44"/>
        <v>42</v>
      </c>
      <c r="S981">
        <v>1</v>
      </c>
      <c r="T981">
        <v>1</v>
      </c>
      <c r="U981">
        <v>1</v>
      </c>
      <c r="V981">
        <v>1</v>
      </c>
      <c r="W981">
        <v>1</v>
      </c>
      <c r="AA981">
        <v>-8292.4974999999995</v>
      </c>
      <c r="AB981">
        <v>-8292.4974999999995</v>
      </c>
      <c r="AC981">
        <v>-8292.4974999999995</v>
      </c>
      <c r="AD981">
        <v>-8292.4974999999995</v>
      </c>
      <c r="AE981">
        <v>-8292.4974999999995</v>
      </c>
      <c r="AF981">
        <v>-833551.75890000002</v>
      </c>
    </row>
    <row r="982" spans="2:32" x14ac:dyDescent="0.25">
      <c r="B982">
        <f t="shared" si="42"/>
        <v>43</v>
      </c>
      <c r="C982">
        <v>1</v>
      </c>
      <c r="D982">
        <v>1</v>
      </c>
      <c r="E982">
        <v>1</v>
      </c>
      <c r="F982">
        <v>1</v>
      </c>
      <c r="G982">
        <v>1</v>
      </c>
      <c r="J982">
        <f t="shared" si="43"/>
        <v>43</v>
      </c>
      <c r="K982">
        <v>1</v>
      </c>
      <c r="L982">
        <v>1</v>
      </c>
      <c r="M982">
        <v>1</v>
      </c>
      <c r="N982">
        <v>1</v>
      </c>
      <c r="O982">
        <v>1</v>
      </c>
      <c r="R982">
        <f t="shared" si="44"/>
        <v>43</v>
      </c>
      <c r="S982">
        <v>1</v>
      </c>
      <c r="T982">
        <v>1</v>
      </c>
      <c r="U982">
        <v>1</v>
      </c>
      <c r="V982">
        <v>1</v>
      </c>
      <c r="W982">
        <v>1</v>
      </c>
      <c r="AA982">
        <v>-8182.3909999999996</v>
      </c>
      <c r="AB982">
        <v>-8182.3909999999996</v>
      </c>
      <c r="AC982">
        <v>-8182.3909999999996</v>
      </c>
      <c r="AD982">
        <v>-8182.3909999999996</v>
      </c>
      <c r="AE982">
        <v>-8182.3909999999996</v>
      </c>
      <c r="AF982">
        <v>-844950.93949999998</v>
      </c>
    </row>
    <row r="983" spans="2:32" x14ac:dyDescent="0.25">
      <c r="B983">
        <f t="shared" si="42"/>
        <v>44</v>
      </c>
      <c r="C983">
        <v>1</v>
      </c>
      <c r="D983">
        <v>1</v>
      </c>
      <c r="E983">
        <v>1</v>
      </c>
      <c r="F983">
        <v>1</v>
      </c>
      <c r="G983">
        <v>1</v>
      </c>
      <c r="J983">
        <f t="shared" si="43"/>
        <v>44</v>
      </c>
      <c r="K983">
        <v>1</v>
      </c>
      <c r="L983">
        <v>1</v>
      </c>
      <c r="M983">
        <v>1</v>
      </c>
      <c r="N983">
        <v>1</v>
      </c>
      <c r="O983">
        <v>1</v>
      </c>
      <c r="R983">
        <f t="shared" si="44"/>
        <v>44</v>
      </c>
      <c r="S983">
        <v>1</v>
      </c>
      <c r="T983">
        <v>1</v>
      </c>
      <c r="U983">
        <v>1</v>
      </c>
      <c r="V983">
        <v>1</v>
      </c>
      <c r="W983">
        <v>1</v>
      </c>
      <c r="AA983">
        <v>-8069.8261000000002</v>
      </c>
      <c r="AB983">
        <v>-8069.8261000000002</v>
      </c>
      <c r="AC983">
        <v>-8069.8261000000002</v>
      </c>
      <c r="AD983">
        <v>-8069.8261000000002</v>
      </c>
      <c r="AE983">
        <v>-8069.8261000000002</v>
      </c>
      <c r="AF983">
        <v>-851265.64670000004</v>
      </c>
    </row>
    <row r="984" spans="2:32" x14ac:dyDescent="0.25">
      <c r="B984">
        <f t="shared" si="42"/>
        <v>45</v>
      </c>
      <c r="C984">
        <v>1</v>
      </c>
      <c r="D984">
        <v>1</v>
      </c>
      <c r="E984">
        <v>1</v>
      </c>
      <c r="F984">
        <v>1</v>
      </c>
      <c r="G984">
        <v>1</v>
      </c>
      <c r="J984">
        <f t="shared" si="43"/>
        <v>45</v>
      </c>
      <c r="K984">
        <v>1</v>
      </c>
      <c r="L984">
        <v>1</v>
      </c>
      <c r="M984">
        <v>1</v>
      </c>
      <c r="N984">
        <v>1</v>
      </c>
      <c r="O984">
        <v>1</v>
      </c>
      <c r="R984">
        <f t="shared" si="44"/>
        <v>45</v>
      </c>
      <c r="S984">
        <v>1</v>
      </c>
      <c r="T984">
        <v>1</v>
      </c>
      <c r="U984">
        <v>1</v>
      </c>
      <c r="V984">
        <v>1</v>
      </c>
      <c r="W984">
        <v>1</v>
      </c>
      <c r="AA984">
        <v>-7954.7533999999996</v>
      </c>
      <c r="AB984">
        <v>-7954.7533999999996</v>
      </c>
      <c r="AC984">
        <v>-7954.7533999999996</v>
      </c>
      <c r="AD984">
        <v>-7954.7533999999996</v>
      </c>
      <c r="AE984">
        <v>-7954.7533999999996</v>
      </c>
      <c r="AF984">
        <v>-870649.02139999997</v>
      </c>
    </row>
    <row r="985" spans="2:32" x14ac:dyDescent="0.25">
      <c r="B985">
        <f t="shared" si="42"/>
        <v>46</v>
      </c>
      <c r="C985">
        <v>1</v>
      </c>
      <c r="D985">
        <v>1</v>
      </c>
      <c r="E985">
        <v>1</v>
      </c>
      <c r="F985">
        <v>1</v>
      </c>
      <c r="G985">
        <v>1</v>
      </c>
      <c r="J985">
        <f t="shared" si="43"/>
        <v>46</v>
      </c>
      <c r="K985">
        <v>1</v>
      </c>
      <c r="L985">
        <v>1</v>
      </c>
      <c r="M985">
        <v>1</v>
      </c>
      <c r="N985">
        <v>1</v>
      </c>
      <c r="O985">
        <v>1</v>
      </c>
      <c r="R985">
        <f t="shared" si="44"/>
        <v>46</v>
      </c>
      <c r="S985">
        <v>1</v>
      </c>
      <c r="T985">
        <v>1</v>
      </c>
      <c r="U985">
        <v>1</v>
      </c>
      <c r="V985">
        <v>1</v>
      </c>
      <c r="W985">
        <v>1</v>
      </c>
      <c r="AA985">
        <v>-7837.1754000000001</v>
      </c>
      <c r="AB985">
        <v>-7837.1754000000001</v>
      </c>
      <c r="AC985">
        <v>-7837.1754000000001</v>
      </c>
      <c r="AD985">
        <v>-7837.1754000000001</v>
      </c>
      <c r="AE985">
        <v>-7837.1754000000001</v>
      </c>
      <c r="AF985">
        <v>-892550.54509999999</v>
      </c>
    </row>
    <row r="986" spans="2:32" x14ac:dyDescent="0.25">
      <c r="B986">
        <f t="shared" si="42"/>
        <v>47</v>
      </c>
      <c r="C986">
        <v>1</v>
      </c>
      <c r="D986">
        <v>1</v>
      </c>
      <c r="E986">
        <v>1</v>
      </c>
      <c r="F986">
        <v>1</v>
      </c>
      <c r="G986">
        <v>1</v>
      </c>
      <c r="J986">
        <f t="shared" si="43"/>
        <v>47</v>
      </c>
      <c r="K986">
        <v>1</v>
      </c>
      <c r="L986">
        <v>1</v>
      </c>
      <c r="M986">
        <v>1</v>
      </c>
      <c r="N986">
        <v>1</v>
      </c>
      <c r="O986">
        <v>1</v>
      </c>
      <c r="R986">
        <f t="shared" si="44"/>
        <v>47</v>
      </c>
      <c r="S986">
        <v>1</v>
      </c>
      <c r="T986">
        <v>1</v>
      </c>
      <c r="U986">
        <v>1</v>
      </c>
      <c r="V986">
        <v>1</v>
      </c>
      <c r="W986">
        <v>1</v>
      </c>
      <c r="AA986">
        <v>-7717.0294999999996</v>
      </c>
      <c r="AB986">
        <v>-7717.0294999999996</v>
      </c>
      <c r="AC986">
        <v>-7717.0294999999996</v>
      </c>
      <c r="AD986">
        <v>-7717.0294999999996</v>
      </c>
      <c r="AE986">
        <v>-7717.0294999999996</v>
      </c>
      <c r="AF986">
        <v>-910915.81969999999</v>
      </c>
    </row>
    <row r="987" spans="2:32" x14ac:dyDescent="0.25">
      <c r="B987">
        <f t="shared" si="42"/>
        <v>48</v>
      </c>
      <c r="C987">
        <v>1</v>
      </c>
      <c r="D987">
        <v>1</v>
      </c>
      <c r="E987">
        <v>1</v>
      </c>
      <c r="F987">
        <v>1</v>
      </c>
      <c r="G987">
        <v>1</v>
      </c>
      <c r="J987">
        <f t="shared" si="43"/>
        <v>48</v>
      </c>
      <c r="K987">
        <v>1</v>
      </c>
      <c r="L987">
        <v>1</v>
      </c>
      <c r="M987">
        <v>1</v>
      </c>
      <c r="N987">
        <v>1</v>
      </c>
      <c r="O987">
        <v>1</v>
      </c>
      <c r="R987">
        <f t="shared" si="44"/>
        <v>48</v>
      </c>
      <c r="S987">
        <v>1</v>
      </c>
      <c r="T987">
        <v>1</v>
      </c>
      <c r="U987">
        <v>1</v>
      </c>
      <c r="V987">
        <v>1</v>
      </c>
      <c r="W987">
        <v>1</v>
      </c>
      <c r="AA987">
        <v>-7594.4201000000003</v>
      </c>
      <c r="AB987">
        <v>-7594.4201000000003</v>
      </c>
      <c r="AC987">
        <v>-7594.4201000000003</v>
      </c>
      <c r="AD987">
        <v>-7594.4201000000003</v>
      </c>
      <c r="AE987">
        <v>-7594.4201000000003</v>
      </c>
      <c r="AF987">
        <v>-917891.87360000005</v>
      </c>
    </row>
    <row r="988" spans="2:32" x14ac:dyDescent="0.25">
      <c r="B988">
        <f t="shared" si="42"/>
        <v>49</v>
      </c>
      <c r="C988">
        <v>1</v>
      </c>
      <c r="D988">
        <v>1</v>
      </c>
      <c r="E988">
        <v>1</v>
      </c>
      <c r="F988">
        <v>1</v>
      </c>
      <c r="G988">
        <v>1</v>
      </c>
      <c r="J988">
        <f t="shared" si="43"/>
        <v>49</v>
      </c>
      <c r="K988">
        <v>1</v>
      </c>
      <c r="L988">
        <v>1</v>
      </c>
      <c r="M988">
        <v>1</v>
      </c>
      <c r="N988">
        <v>1</v>
      </c>
      <c r="O988">
        <v>1</v>
      </c>
      <c r="R988">
        <f t="shared" si="44"/>
        <v>49</v>
      </c>
      <c r="S988">
        <v>1</v>
      </c>
      <c r="T988">
        <v>1</v>
      </c>
      <c r="U988">
        <v>1</v>
      </c>
      <c r="V988">
        <v>1</v>
      </c>
      <c r="W988">
        <v>1</v>
      </c>
      <c r="AA988">
        <v>-7469.3995999999997</v>
      </c>
      <c r="AB988">
        <v>-7469.3995999999997</v>
      </c>
      <c r="AC988">
        <v>-7469.3995999999997</v>
      </c>
      <c r="AD988">
        <v>-7469.3995999999997</v>
      </c>
      <c r="AE988">
        <v>-7469.3995999999997</v>
      </c>
      <c r="AF988">
        <v>-944521.72470000002</v>
      </c>
    </row>
    <row r="989" spans="2:32" x14ac:dyDescent="0.25">
      <c r="B989">
        <f t="shared" si="42"/>
        <v>50</v>
      </c>
      <c r="C989">
        <v>1</v>
      </c>
      <c r="D989">
        <v>1</v>
      </c>
      <c r="E989">
        <v>1</v>
      </c>
      <c r="F989">
        <v>1</v>
      </c>
      <c r="G989">
        <v>1</v>
      </c>
      <c r="J989">
        <f t="shared" si="43"/>
        <v>50</v>
      </c>
      <c r="K989">
        <v>1</v>
      </c>
      <c r="L989">
        <v>1</v>
      </c>
      <c r="M989">
        <v>1</v>
      </c>
      <c r="N989">
        <v>1</v>
      </c>
      <c r="O989">
        <v>1</v>
      </c>
      <c r="R989">
        <f t="shared" si="44"/>
        <v>50</v>
      </c>
      <c r="S989">
        <v>1</v>
      </c>
      <c r="T989">
        <v>1</v>
      </c>
      <c r="U989">
        <v>1</v>
      </c>
      <c r="V989">
        <v>1</v>
      </c>
      <c r="W989">
        <v>1</v>
      </c>
      <c r="AA989">
        <v>-7341.9502000000002</v>
      </c>
      <c r="AB989">
        <v>-7341.9502000000002</v>
      </c>
      <c r="AC989">
        <v>-7341.9502000000002</v>
      </c>
      <c r="AD989">
        <v>-7341.9502000000002</v>
      </c>
      <c r="AE989">
        <v>-7341.9502000000002</v>
      </c>
      <c r="AF989">
        <v>-963257.14989999996</v>
      </c>
    </row>
    <row r="990" spans="2:32" x14ac:dyDescent="0.25">
      <c r="B990">
        <f t="shared" si="42"/>
        <v>51</v>
      </c>
      <c r="C990">
        <v>1</v>
      </c>
      <c r="D990">
        <v>1</v>
      </c>
      <c r="E990">
        <v>1</v>
      </c>
      <c r="F990">
        <v>1</v>
      </c>
      <c r="G990">
        <v>1</v>
      </c>
      <c r="J990">
        <f t="shared" si="43"/>
        <v>51</v>
      </c>
      <c r="K990">
        <v>1</v>
      </c>
      <c r="L990">
        <v>1</v>
      </c>
      <c r="M990">
        <v>1</v>
      </c>
      <c r="N990">
        <v>1</v>
      </c>
      <c r="O990">
        <v>1</v>
      </c>
      <c r="R990">
        <f t="shared" si="44"/>
        <v>51</v>
      </c>
      <c r="S990">
        <v>1</v>
      </c>
      <c r="T990">
        <v>1</v>
      </c>
      <c r="U990">
        <v>1</v>
      </c>
      <c r="V990">
        <v>1</v>
      </c>
      <c r="W990">
        <v>1</v>
      </c>
      <c r="AA990">
        <v>-7212.0646999999999</v>
      </c>
      <c r="AB990">
        <v>-7212.0646999999999</v>
      </c>
      <c r="AC990">
        <v>-7212.0646999999999</v>
      </c>
      <c r="AD990">
        <v>-7212.0646999999999</v>
      </c>
      <c r="AE990">
        <v>-7212.0646999999999</v>
      </c>
      <c r="AF990">
        <v>-981592.90729999996</v>
      </c>
    </row>
    <row r="991" spans="2:32" x14ac:dyDescent="0.25">
      <c r="B991">
        <f t="shared" si="42"/>
        <v>52</v>
      </c>
      <c r="C991">
        <v>1</v>
      </c>
      <c r="D991">
        <v>1</v>
      </c>
      <c r="E991">
        <v>1</v>
      </c>
      <c r="F991">
        <v>1</v>
      </c>
      <c r="G991">
        <v>1</v>
      </c>
      <c r="J991">
        <f t="shared" si="43"/>
        <v>52</v>
      </c>
      <c r="K991">
        <v>1</v>
      </c>
      <c r="L991">
        <v>1</v>
      </c>
      <c r="M991">
        <v>1</v>
      </c>
      <c r="N991">
        <v>1</v>
      </c>
      <c r="O991">
        <v>1</v>
      </c>
      <c r="R991">
        <f t="shared" si="44"/>
        <v>52</v>
      </c>
      <c r="S991">
        <v>1</v>
      </c>
      <c r="T991">
        <v>1</v>
      </c>
      <c r="U991">
        <v>1</v>
      </c>
      <c r="V991">
        <v>1</v>
      </c>
      <c r="W991">
        <v>1</v>
      </c>
      <c r="AA991">
        <v>-7079.7435999999998</v>
      </c>
      <c r="AB991">
        <v>-7079.7435999999998</v>
      </c>
      <c r="AC991">
        <v>-7079.7435999999998</v>
      </c>
      <c r="AD991">
        <v>-7079.7435999999998</v>
      </c>
      <c r="AE991">
        <v>-7079.7435999999998</v>
      </c>
      <c r="AF991">
        <v>-998556.10360000003</v>
      </c>
    </row>
    <row r="992" spans="2:32" x14ac:dyDescent="0.25">
      <c r="B992">
        <f t="shared" si="42"/>
        <v>53</v>
      </c>
      <c r="C992">
        <v>1</v>
      </c>
      <c r="D992">
        <v>1</v>
      </c>
      <c r="E992">
        <v>1</v>
      </c>
      <c r="F992">
        <v>1</v>
      </c>
      <c r="G992">
        <v>1</v>
      </c>
      <c r="J992">
        <f t="shared" si="43"/>
        <v>53</v>
      </c>
      <c r="K992">
        <v>1</v>
      </c>
      <c r="L992">
        <v>1</v>
      </c>
      <c r="M992">
        <v>1</v>
      </c>
      <c r="N992">
        <v>1</v>
      </c>
      <c r="O992">
        <v>1</v>
      </c>
      <c r="R992">
        <f t="shared" si="44"/>
        <v>53</v>
      </c>
      <c r="S992">
        <v>1</v>
      </c>
      <c r="T992">
        <v>1</v>
      </c>
      <c r="U992">
        <v>1</v>
      </c>
      <c r="V992">
        <v>1</v>
      </c>
      <c r="W992">
        <v>1</v>
      </c>
      <c r="AA992">
        <v>-6945.0875999999998</v>
      </c>
      <c r="AB992">
        <v>-6945.0875999999998</v>
      </c>
      <c r="AC992">
        <v>-6945.0875999999998</v>
      </c>
      <c r="AD992">
        <v>-6945.0875999999998</v>
      </c>
      <c r="AE992">
        <v>-6945.0875999999998</v>
      </c>
      <c r="AF992">
        <v>-1015461.3278</v>
      </c>
    </row>
    <row r="993" spans="2:32" x14ac:dyDescent="0.25">
      <c r="B993">
        <f t="shared" si="42"/>
        <v>54</v>
      </c>
      <c r="C993">
        <v>1</v>
      </c>
      <c r="D993">
        <v>1</v>
      </c>
      <c r="E993">
        <v>1</v>
      </c>
      <c r="F993">
        <v>1</v>
      </c>
      <c r="G993">
        <v>1</v>
      </c>
      <c r="J993">
        <f t="shared" si="43"/>
        <v>54</v>
      </c>
      <c r="K993">
        <v>1</v>
      </c>
      <c r="L993">
        <v>1</v>
      </c>
      <c r="M993">
        <v>1</v>
      </c>
      <c r="N993">
        <v>1</v>
      </c>
      <c r="O993">
        <v>1</v>
      </c>
      <c r="R993">
        <f t="shared" si="44"/>
        <v>54</v>
      </c>
      <c r="S993">
        <v>1</v>
      </c>
      <c r="T993">
        <v>1</v>
      </c>
      <c r="U993">
        <v>1</v>
      </c>
      <c r="V993">
        <v>1</v>
      </c>
      <c r="W993">
        <v>1</v>
      </c>
      <c r="AA993">
        <v>-6808.2438000000002</v>
      </c>
      <c r="AB993">
        <v>-6808.2438000000002</v>
      </c>
      <c r="AC993">
        <v>-6808.2438000000002</v>
      </c>
      <c r="AD993">
        <v>-6808.2438000000002</v>
      </c>
      <c r="AE993">
        <v>-6808.2438000000002</v>
      </c>
      <c r="AF993">
        <v>-1033869.6813000001</v>
      </c>
    </row>
    <row r="994" spans="2:32" x14ac:dyDescent="0.25">
      <c r="B994">
        <f t="shared" si="42"/>
        <v>55</v>
      </c>
      <c r="C994">
        <v>1</v>
      </c>
      <c r="D994">
        <v>1</v>
      </c>
      <c r="E994">
        <v>1</v>
      </c>
      <c r="F994">
        <v>1</v>
      </c>
      <c r="G994">
        <v>1</v>
      </c>
      <c r="J994">
        <f t="shared" si="43"/>
        <v>55</v>
      </c>
      <c r="K994">
        <v>1</v>
      </c>
      <c r="L994">
        <v>1</v>
      </c>
      <c r="M994">
        <v>1</v>
      </c>
      <c r="N994">
        <v>1</v>
      </c>
      <c r="O994">
        <v>1</v>
      </c>
      <c r="R994">
        <f t="shared" si="44"/>
        <v>55</v>
      </c>
      <c r="S994">
        <v>1</v>
      </c>
      <c r="T994">
        <v>1</v>
      </c>
      <c r="U994">
        <v>1</v>
      </c>
      <c r="V994">
        <v>1</v>
      </c>
      <c r="W994">
        <v>1</v>
      </c>
      <c r="AA994">
        <v>-6669.2525999999998</v>
      </c>
      <c r="AB994">
        <v>-6669.2525999999998</v>
      </c>
      <c r="AC994">
        <v>-6669.2525999999998</v>
      </c>
      <c r="AD994">
        <v>-6669.2525999999998</v>
      </c>
      <c r="AE994">
        <v>-6669.2525999999998</v>
      </c>
      <c r="AF994">
        <v>-1050810.2549999999</v>
      </c>
    </row>
    <row r="995" spans="2:32" x14ac:dyDescent="0.25">
      <c r="B995">
        <f t="shared" si="42"/>
        <v>56</v>
      </c>
      <c r="C995">
        <v>1</v>
      </c>
      <c r="D995">
        <v>1</v>
      </c>
      <c r="E995">
        <v>1</v>
      </c>
      <c r="F995">
        <v>1</v>
      </c>
      <c r="G995">
        <v>1</v>
      </c>
      <c r="J995">
        <f t="shared" si="43"/>
        <v>56</v>
      </c>
      <c r="K995">
        <v>1</v>
      </c>
      <c r="L995">
        <v>1</v>
      </c>
      <c r="M995">
        <v>1</v>
      </c>
      <c r="N995">
        <v>1</v>
      </c>
      <c r="O995">
        <v>1</v>
      </c>
      <c r="R995">
        <f t="shared" si="44"/>
        <v>56</v>
      </c>
      <c r="S995">
        <v>1</v>
      </c>
      <c r="T995">
        <v>1</v>
      </c>
      <c r="U995">
        <v>1</v>
      </c>
      <c r="V995">
        <v>1</v>
      </c>
      <c r="W995">
        <v>1</v>
      </c>
      <c r="AA995">
        <v>-6528.2992000000004</v>
      </c>
      <c r="AB995">
        <v>-6528.2992000000004</v>
      </c>
      <c r="AC995">
        <v>-6528.2992000000004</v>
      </c>
      <c r="AD995">
        <v>-6528.2992000000004</v>
      </c>
      <c r="AE995">
        <v>-6528.2992000000004</v>
      </c>
      <c r="AF995">
        <v>-1073295.8774000001</v>
      </c>
    </row>
    <row r="996" spans="2:32" x14ac:dyDescent="0.25">
      <c r="B996">
        <f t="shared" si="42"/>
        <v>57</v>
      </c>
      <c r="C996">
        <v>1</v>
      </c>
      <c r="D996">
        <v>1</v>
      </c>
      <c r="E996">
        <v>1</v>
      </c>
      <c r="F996">
        <v>1</v>
      </c>
      <c r="G996">
        <v>1</v>
      </c>
      <c r="J996">
        <f t="shared" si="43"/>
        <v>57</v>
      </c>
      <c r="K996">
        <v>1</v>
      </c>
      <c r="L996">
        <v>1</v>
      </c>
      <c r="M996">
        <v>1</v>
      </c>
      <c r="N996">
        <v>1</v>
      </c>
      <c r="O996">
        <v>1</v>
      </c>
      <c r="R996">
        <f t="shared" si="44"/>
        <v>57</v>
      </c>
      <c r="S996">
        <v>1</v>
      </c>
      <c r="T996">
        <v>1</v>
      </c>
      <c r="U996">
        <v>1</v>
      </c>
      <c r="V996">
        <v>1</v>
      </c>
      <c r="W996">
        <v>1</v>
      </c>
      <c r="AA996">
        <v>-6385.5230000000001</v>
      </c>
      <c r="AB996">
        <v>-6385.5230000000001</v>
      </c>
      <c r="AC996">
        <v>-6385.5230000000001</v>
      </c>
      <c r="AD996">
        <v>-6385.5230000000001</v>
      </c>
      <c r="AE996">
        <v>-6385.5230000000001</v>
      </c>
      <c r="AF996">
        <v>-1093242.6832999999</v>
      </c>
    </row>
    <row r="997" spans="2:32" x14ac:dyDescent="0.25">
      <c r="B997">
        <f t="shared" si="42"/>
        <v>58</v>
      </c>
      <c r="C997">
        <v>1</v>
      </c>
      <c r="D997">
        <v>1</v>
      </c>
      <c r="E997">
        <v>1</v>
      </c>
      <c r="F997">
        <v>1</v>
      </c>
      <c r="G997">
        <v>1</v>
      </c>
      <c r="J997">
        <f t="shared" si="43"/>
        <v>58</v>
      </c>
      <c r="K997">
        <v>1</v>
      </c>
      <c r="L997">
        <v>1</v>
      </c>
      <c r="M997">
        <v>1</v>
      </c>
      <c r="N997">
        <v>1</v>
      </c>
      <c r="O997">
        <v>1</v>
      </c>
      <c r="R997">
        <f t="shared" si="44"/>
        <v>58</v>
      </c>
      <c r="S997">
        <v>1</v>
      </c>
      <c r="T997">
        <v>1</v>
      </c>
      <c r="U997">
        <v>1</v>
      </c>
      <c r="V997">
        <v>1</v>
      </c>
      <c r="W997">
        <v>1</v>
      </c>
      <c r="AA997">
        <v>-6240.8730999999998</v>
      </c>
      <c r="AB997">
        <v>-6240.8730999999998</v>
      </c>
      <c r="AC997">
        <v>-6240.8730999999998</v>
      </c>
      <c r="AD997">
        <v>-6240.8730999999998</v>
      </c>
      <c r="AE997">
        <v>-6240.8730999999998</v>
      </c>
      <c r="AF997">
        <v>-1114366.6444000001</v>
      </c>
    </row>
    <row r="998" spans="2:32" x14ac:dyDescent="0.25">
      <c r="B998">
        <f t="shared" si="42"/>
        <v>59</v>
      </c>
      <c r="C998">
        <v>1</v>
      </c>
      <c r="D998">
        <v>1</v>
      </c>
      <c r="E998">
        <v>1</v>
      </c>
      <c r="F998">
        <v>1</v>
      </c>
      <c r="G998">
        <v>1</v>
      </c>
      <c r="J998">
        <f t="shared" si="43"/>
        <v>59</v>
      </c>
      <c r="K998">
        <v>1</v>
      </c>
      <c r="L998">
        <v>1</v>
      </c>
      <c r="M998">
        <v>1</v>
      </c>
      <c r="N998">
        <v>1</v>
      </c>
      <c r="O998">
        <v>1</v>
      </c>
      <c r="R998">
        <f t="shared" si="44"/>
        <v>59</v>
      </c>
      <c r="S998">
        <v>1</v>
      </c>
      <c r="T998">
        <v>1</v>
      </c>
      <c r="U998">
        <v>1</v>
      </c>
      <c r="V998">
        <v>1</v>
      </c>
      <c r="W998">
        <v>1</v>
      </c>
      <c r="AA998">
        <v>-6094.3262999999997</v>
      </c>
      <c r="AB998">
        <v>-6094.3262999999997</v>
      </c>
      <c r="AC998">
        <v>-6094.3262999999997</v>
      </c>
      <c r="AD998">
        <v>-6094.3262999999997</v>
      </c>
      <c r="AE998">
        <v>-6094.3262999999997</v>
      </c>
      <c r="AF998">
        <v>-1136284.0146999999</v>
      </c>
    </row>
    <row r="999" spans="2:32" x14ac:dyDescent="0.25">
      <c r="B999">
        <f t="shared" si="42"/>
        <v>60</v>
      </c>
      <c r="C999">
        <v>1</v>
      </c>
      <c r="D999">
        <v>1</v>
      </c>
      <c r="E999">
        <v>1</v>
      </c>
      <c r="F999">
        <v>1</v>
      </c>
      <c r="G999">
        <v>1</v>
      </c>
      <c r="J999">
        <f t="shared" si="43"/>
        <v>60</v>
      </c>
      <c r="K999">
        <v>1</v>
      </c>
      <c r="L999">
        <v>1</v>
      </c>
      <c r="M999">
        <v>1</v>
      </c>
      <c r="N999">
        <v>1</v>
      </c>
      <c r="O999">
        <v>1</v>
      </c>
      <c r="R999">
        <f t="shared" si="44"/>
        <v>60</v>
      </c>
      <c r="S999">
        <v>1</v>
      </c>
      <c r="T999">
        <v>1</v>
      </c>
      <c r="U999">
        <v>1</v>
      </c>
      <c r="V999">
        <v>1</v>
      </c>
      <c r="W999">
        <v>1</v>
      </c>
      <c r="AA999">
        <v>-5945.9960000000001</v>
      </c>
      <c r="AB999">
        <v>-5945.9960000000001</v>
      </c>
      <c r="AC999">
        <v>-5945.9960000000001</v>
      </c>
      <c r="AD999">
        <v>-5945.9960000000001</v>
      </c>
      <c r="AE999">
        <v>-5945.9960000000001</v>
      </c>
      <c r="AF999">
        <v>-1157801.6717999999</v>
      </c>
    </row>
    <row r="1000" spans="2:32" x14ac:dyDescent="0.25">
      <c r="B1000">
        <f t="shared" si="42"/>
        <v>61</v>
      </c>
      <c r="C1000">
        <v>1</v>
      </c>
      <c r="D1000">
        <v>1</v>
      </c>
      <c r="E1000">
        <v>1</v>
      </c>
      <c r="F1000">
        <v>1</v>
      </c>
      <c r="G1000">
        <v>1</v>
      </c>
      <c r="J1000">
        <f t="shared" si="43"/>
        <v>61</v>
      </c>
      <c r="K1000">
        <v>1</v>
      </c>
      <c r="L1000">
        <v>1</v>
      </c>
      <c r="M1000">
        <v>1</v>
      </c>
      <c r="N1000">
        <v>1</v>
      </c>
      <c r="O1000">
        <v>1</v>
      </c>
      <c r="R1000">
        <f t="shared" si="44"/>
        <v>61</v>
      </c>
      <c r="S1000">
        <v>1</v>
      </c>
      <c r="T1000">
        <v>1</v>
      </c>
      <c r="U1000">
        <v>1</v>
      </c>
      <c r="V1000">
        <v>1</v>
      </c>
      <c r="W1000">
        <v>1</v>
      </c>
      <c r="AA1000">
        <v>-5796.3015999999998</v>
      </c>
      <c r="AB1000">
        <v>-5796.3015999999998</v>
      </c>
      <c r="AC1000">
        <v>-5796.3015999999998</v>
      </c>
      <c r="AD1000">
        <v>-5796.3015999999998</v>
      </c>
      <c r="AE1000">
        <v>-5796.3015999999998</v>
      </c>
      <c r="AF1000">
        <v>-1178581.4038</v>
      </c>
    </row>
    <row r="1001" spans="2:32" x14ac:dyDescent="0.25">
      <c r="B1001">
        <f t="shared" si="42"/>
        <v>62</v>
      </c>
      <c r="C1001">
        <v>1</v>
      </c>
      <c r="D1001">
        <v>1</v>
      </c>
      <c r="E1001">
        <v>1</v>
      </c>
      <c r="F1001">
        <v>1</v>
      </c>
      <c r="G1001">
        <v>1</v>
      </c>
      <c r="J1001">
        <f t="shared" si="43"/>
        <v>62</v>
      </c>
      <c r="K1001">
        <v>1</v>
      </c>
      <c r="L1001">
        <v>1</v>
      </c>
      <c r="M1001">
        <v>1</v>
      </c>
      <c r="N1001">
        <v>1</v>
      </c>
      <c r="O1001">
        <v>1</v>
      </c>
      <c r="R1001">
        <f t="shared" si="44"/>
        <v>62</v>
      </c>
      <c r="S1001">
        <v>1</v>
      </c>
      <c r="T1001">
        <v>1</v>
      </c>
      <c r="U1001">
        <v>1</v>
      </c>
      <c r="V1001">
        <v>1</v>
      </c>
      <c r="W1001">
        <v>1</v>
      </c>
      <c r="AA1001">
        <v>-5645.2415000000001</v>
      </c>
      <c r="AB1001">
        <v>-5645.2415000000001</v>
      </c>
      <c r="AC1001">
        <v>-5645.2415000000001</v>
      </c>
      <c r="AD1001">
        <v>-5645.2415000000001</v>
      </c>
      <c r="AE1001">
        <v>-5645.2415000000001</v>
      </c>
      <c r="AF1001">
        <v>-1199521.5327000001</v>
      </c>
    </row>
    <row r="1002" spans="2:32" x14ac:dyDescent="0.25">
      <c r="B1002">
        <f t="shared" si="42"/>
        <v>63</v>
      </c>
      <c r="C1002">
        <v>1</v>
      </c>
      <c r="D1002">
        <v>1</v>
      </c>
      <c r="E1002">
        <v>1</v>
      </c>
      <c r="F1002">
        <v>1</v>
      </c>
      <c r="G1002">
        <v>1</v>
      </c>
      <c r="J1002">
        <f t="shared" si="43"/>
        <v>63</v>
      </c>
      <c r="K1002">
        <v>1</v>
      </c>
      <c r="L1002">
        <v>1</v>
      </c>
      <c r="M1002">
        <v>1</v>
      </c>
      <c r="N1002">
        <v>1</v>
      </c>
      <c r="O1002">
        <v>1</v>
      </c>
      <c r="R1002">
        <f t="shared" si="44"/>
        <v>63</v>
      </c>
      <c r="S1002">
        <v>1</v>
      </c>
      <c r="T1002">
        <v>1</v>
      </c>
      <c r="U1002">
        <v>1</v>
      </c>
      <c r="V1002">
        <v>1</v>
      </c>
      <c r="W1002">
        <v>1</v>
      </c>
      <c r="AA1002">
        <v>-5492.4920000000002</v>
      </c>
      <c r="AB1002">
        <v>-5492.4920000000002</v>
      </c>
      <c r="AC1002">
        <v>-5492.4920000000002</v>
      </c>
      <c r="AD1002">
        <v>-5492.4920000000002</v>
      </c>
      <c r="AE1002">
        <v>-5492.4920000000002</v>
      </c>
      <c r="AF1002">
        <v>-1220461.6269</v>
      </c>
    </row>
    <row r="1003" spans="2:32" x14ac:dyDescent="0.25">
      <c r="B1003">
        <f t="shared" si="42"/>
        <v>64</v>
      </c>
      <c r="C1003">
        <v>1</v>
      </c>
      <c r="D1003">
        <v>1</v>
      </c>
      <c r="E1003">
        <v>1</v>
      </c>
      <c r="F1003">
        <v>1</v>
      </c>
      <c r="G1003">
        <v>1</v>
      </c>
      <c r="J1003">
        <f t="shared" si="43"/>
        <v>64</v>
      </c>
      <c r="K1003">
        <v>1</v>
      </c>
      <c r="L1003">
        <v>1</v>
      </c>
      <c r="M1003">
        <v>1</v>
      </c>
      <c r="N1003">
        <v>1</v>
      </c>
      <c r="O1003">
        <v>1</v>
      </c>
      <c r="R1003">
        <f t="shared" si="44"/>
        <v>64</v>
      </c>
      <c r="S1003">
        <v>1</v>
      </c>
      <c r="T1003">
        <v>1</v>
      </c>
      <c r="U1003">
        <v>1</v>
      </c>
      <c r="V1003">
        <v>1</v>
      </c>
      <c r="W1003">
        <v>1</v>
      </c>
      <c r="AA1003">
        <v>-5338.1817000000001</v>
      </c>
      <c r="AB1003">
        <v>-5338.1817000000001</v>
      </c>
      <c r="AC1003">
        <v>-5338.1817000000001</v>
      </c>
      <c r="AD1003">
        <v>-5338.1817000000001</v>
      </c>
      <c r="AE1003">
        <v>-5338.1817000000001</v>
      </c>
      <c r="AF1003">
        <v>-1240652.2526</v>
      </c>
    </row>
    <row r="1004" spans="2:32" x14ac:dyDescent="0.25">
      <c r="B1004">
        <f t="shared" si="42"/>
        <v>65</v>
      </c>
      <c r="C1004">
        <v>1</v>
      </c>
      <c r="D1004">
        <v>1</v>
      </c>
      <c r="E1004">
        <v>1</v>
      </c>
      <c r="F1004">
        <v>1</v>
      </c>
      <c r="G1004">
        <v>1</v>
      </c>
      <c r="J1004">
        <f t="shared" si="43"/>
        <v>65</v>
      </c>
      <c r="K1004">
        <v>1</v>
      </c>
      <c r="L1004">
        <v>1</v>
      </c>
      <c r="M1004">
        <v>1</v>
      </c>
      <c r="N1004">
        <v>1</v>
      </c>
      <c r="O1004">
        <v>1</v>
      </c>
      <c r="R1004">
        <f t="shared" si="44"/>
        <v>65</v>
      </c>
      <c r="S1004">
        <v>1</v>
      </c>
      <c r="T1004">
        <v>1</v>
      </c>
      <c r="U1004">
        <v>1</v>
      </c>
      <c r="V1004">
        <v>1</v>
      </c>
      <c r="W1004">
        <v>1</v>
      </c>
      <c r="AA1004">
        <v>-5182.2268999999997</v>
      </c>
      <c r="AB1004">
        <v>-5182.2268999999997</v>
      </c>
      <c r="AC1004">
        <v>-5182.2268999999997</v>
      </c>
      <c r="AD1004">
        <v>-5182.2268999999997</v>
      </c>
      <c r="AE1004">
        <v>-5182.2268999999997</v>
      </c>
      <c r="AF1004">
        <v>-1260049.8302</v>
      </c>
    </row>
    <row r="1007" spans="2:32" x14ac:dyDescent="0.25">
      <c r="B1007" t="s">
        <v>46</v>
      </c>
      <c r="C1007">
        <v>50000</v>
      </c>
      <c r="D1007">
        <v>100000</v>
      </c>
      <c r="E1007">
        <v>250000</v>
      </c>
      <c r="F1007">
        <v>500000</v>
      </c>
      <c r="G1007">
        <v>1000000</v>
      </c>
      <c r="H1007">
        <v>2000000</v>
      </c>
      <c r="J1007" t="s">
        <v>47</v>
      </c>
      <c r="K1007">
        <v>50000</v>
      </c>
      <c r="L1007">
        <v>100000</v>
      </c>
      <c r="M1007">
        <v>250000</v>
      </c>
      <c r="N1007">
        <v>500000</v>
      </c>
      <c r="O1007">
        <v>1000000</v>
      </c>
      <c r="P1007">
        <v>2000000</v>
      </c>
      <c r="R1007" t="s">
        <v>48</v>
      </c>
      <c r="S1007">
        <v>50000</v>
      </c>
      <c r="T1007">
        <v>100000</v>
      </c>
      <c r="U1007">
        <v>250000</v>
      </c>
      <c r="V1007">
        <v>500000</v>
      </c>
      <c r="W1007">
        <v>1000000</v>
      </c>
      <c r="X1007">
        <v>2000000</v>
      </c>
    </row>
    <row r="1008" spans="2:32" x14ac:dyDescent="0.25">
      <c r="B1008">
        <v>26</v>
      </c>
      <c r="C1008">
        <v>1</v>
      </c>
      <c r="D1008">
        <v>1</v>
      </c>
      <c r="E1008">
        <v>1</v>
      </c>
      <c r="F1008">
        <v>1</v>
      </c>
      <c r="G1008">
        <v>1</v>
      </c>
      <c r="H1008">
        <v>1</v>
      </c>
      <c r="J1008">
        <v>26</v>
      </c>
      <c r="K1008">
        <v>1</v>
      </c>
      <c r="L1008">
        <v>1</v>
      </c>
      <c r="M1008">
        <v>1</v>
      </c>
      <c r="N1008">
        <v>1</v>
      </c>
      <c r="O1008">
        <v>1</v>
      </c>
      <c r="P1008">
        <v>1</v>
      </c>
      <c r="R1008">
        <v>26</v>
      </c>
      <c r="S1008">
        <v>1</v>
      </c>
      <c r="T1008">
        <v>1</v>
      </c>
      <c r="U1008">
        <v>1</v>
      </c>
      <c r="V1008">
        <v>1</v>
      </c>
      <c r="W1008">
        <v>1</v>
      </c>
      <c r="X1008">
        <v>1</v>
      </c>
      <c r="AA1008">
        <v>-5174.8482999999997</v>
      </c>
      <c r="AB1008">
        <v>-5174.8482999999997</v>
      </c>
      <c r="AC1008">
        <v>-5174.8482999999997</v>
      </c>
      <c r="AD1008">
        <v>-5174.8482999999997</v>
      </c>
      <c r="AE1008">
        <v>-5174.8482999999997</v>
      </c>
      <c r="AF1008">
        <v>-5174.8482999999997</v>
      </c>
    </row>
    <row r="1009" spans="2:32" x14ac:dyDescent="0.25">
      <c r="B1009">
        <v>27</v>
      </c>
      <c r="C1009">
        <v>1</v>
      </c>
      <c r="D1009">
        <v>1</v>
      </c>
      <c r="E1009">
        <v>1</v>
      </c>
      <c r="F1009">
        <v>1</v>
      </c>
      <c r="G1009">
        <v>1</v>
      </c>
      <c r="H1009">
        <v>1</v>
      </c>
      <c r="J1009">
        <v>27</v>
      </c>
      <c r="K1009">
        <v>1</v>
      </c>
      <c r="L1009">
        <v>1</v>
      </c>
      <c r="M1009">
        <v>1</v>
      </c>
      <c r="N1009">
        <v>1</v>
      </c>
      <c r="O1009">
        <v>1</v>
      </c>
      <c r="P1009">
        <v>1</v>
      </c>
      <c r="R1009">
        <v>27</v>
      </c>
      <c r="S1009">
        <v>1</v>
      </c>
      <c r="T1009">
        <v>1</v>
      </c>
      <c r="U1009">
        <v>1</v>
      </c>
      <c r="V1009">
        <v>1</v>
      </c>
      <c r="W1009">
        <v>1</v>
      </c>
      <c r="X1009">
        <v>1</v>
      </c>
      <c r="AA1009">
        <v>-5173.6036999999997</v>
      </c>
      <c r="AB1009">
        <v>-5173.6036999999997</v>
      </c>
      <c r="AC1009">
        <v>-5173.6036999999997</v>
      </c>
      <c r="AD1009">
        <v>-5173.6036999999997</v>
      </c>
      <c r="AE1009">
        <v>-5173.6036999999997</v>
      </c>
      <c r="AF1009">
        <v>-5173.6036999999997</v>
      </c>
    </row>
    <row r="1010" spans="2:32" x14ac:dyDescent="0.25">
      <c r="B1010">
        <v>28</v>
      </c>
      <c r="C1010">
        <v>1</v>
      </c>
      <c r="D1010">
        <v>1</v>
      </c>
      <c r="E1010">
        <v>1</v>
      </c>
      <c r="F1010">
        <v>1</v>
      </c>
      <c r="G1010">
        <v>1</v>
      </c>
      <c r="H1010">
        <v>1</v>
      </c>
      <c r="J1010">
        <v>28</v>
      </c>
      <c r="K1010">
        <v>1</v>
      </c>
      <c r="L1010">
        <v>1</v>
      </c>
      <c r="M1010">
        <v>1</v>
      </c>
      <c r="N1010">
        <v>1</v>
      </c>
      <c r="O1010">
        <v>1</v>
      </c>
      <c r="P1010">
        <v>1</v>
      </c>
      <c r="R1010">
        <v>28</v>
      </c>
      <c r="S1010">
        <v>1</v>
      </c>
      <c r="T1010">
        <v>1</v>
      </c>
      <c r="U1010">
        <v>1</v>
      </c>
      <c r="V1010">
        <v>1</v>
      </c>
      <c r="W1010">
        <v>1</v>
      </c>
      <c r="X1010">
        <v>1</v>
      </c>
      <c r="AA1010">
        <v>-5172.1755999999996</v>
      </c>
      <c r="AB1010">
        <v>-5172.1755999999996</v>
      </c>
      <c r="AC1010">
        <v>-5172.1755999999996</v>
      </c>
      <c r="AD1010">
        <v>-5172.1755999999996</v>
      </c>
      <c r="AE1010">
        <v>-5172.1755999999996</v>
      </c>
      <c r="AF1010">
        <v>-5172.1755999999996</v>
      </c>
    </row>
    <row r="1011" spans="2:32" x14ac:dyDescent="0.25">
      <c r="B1011">
        <v>29</v>
      </c>
      <c r="C1011">
        <v>1</v>
      </c>
      <c r="D1011">
        <v>1</v>
      </c>
      <c r="E1011">
        <v>1</v>
      </c>
      <c r="F1011">
        <v>1</v>
      </c>
      <c r="G1011">
        <v>1</v>
      </c>
      <c r="H1011">
        <v>1</v>
      </c>
      <c r="J1011">
        <v>29</v>
      </c>
      <c r="K1011">
        <v>1</v>
      </c>
      <c r="L1011">
        <v>1</v>
      </c>
      <c r="M1011">
        <v>1</v>
      </c>
      <c r="N1011">
        <v>1</v>
      </c>
      <c r="O1011">
        <v>1</v>
      </c>
      <c r="P1011">
        <v>1</v>
      </c>
      <c r="R1011">
        <v>29</v>
      </c>
      <c r="S1011">
        <v>1</v>
      </c>
      <c r="T1011">
        <v>1</v>
      </c>
      <c r="U1011">
        <v>1</v>
      </c>
      <c r="V1011">
        <v>1</v>
      </c>
      <c r="W1011">
        <v>1</v>
      </c>
      <c r="X1011">
        <v>1</v>
      </c>
      <c r="AA1011">
        <v>-5170.5482000000002</v>
      </c>
      <c r="AB1011">
        <v>-5170.5482000000002</v>
      </c>
      <c r="AC1011">
        <v>-5170.5482000000002</v>
      </c>
      <c r="AD1011">
        <v>-5170.5482000000002</v>
      </c>
      <c r="AE1011">
        <v>-5170.5482000000002</v>
      </c>
      <c r="AF1011">
        <v>-5170.5482000000002</v>
      </c>
    </row>
    <row r="1012" spans="2:32" x14ac:dyDescent="0.25">
      <c r="B1012">
        <v>30</v>
      </c>
      <c r="C1012">
        <v>1</v>
      </c>
      <c r="D1012">
        <v>1</v>
      </c>
      <c r="E1012">
        <v>1</v>
      </c>
      <c r="F1012">
        <v>1</v>
      </c>
      <c r="G1012">
        <v>1</v>
      </c>
      <c r="H1012">
        <v>1</v>
      </c>
      <c r="J1012">
        <v>30</v>
      </c>
      <c r="K1012">
        <v>1</v>
      </c>
      <c r="L1012">
        <v>1</v>
      </c>
      <c r="M1012">
        <v>1</v>
      </c>
      <c r="N1012">
        <v>1</v>
      </c>
      <c r="O1012">
        <v>1</v>
      </c>
      <c r="P1012">
        <v>1</v>
      </c>
      <c r="R1012">
        <v>30</v>
      </c>
      <c r="S1012">
        <v>1</v>
      </c>
      <c r="T1012">
        <v>1</v>
      </c>
      <c r="U1012">
        <v>1</v>
      </c>
      <c r="V1012">
        <v>1</v>
      </c>
      <c r="W1012">
        <v>1</v>
      </c>
      <c r="X1012">
        <v>1</v>
      </c>
      <c r="AA1012">
        <v>-5168.6908999999996</v>
      </c>
      <c r="AB1012">
        <v>-5168.6908999999996</v>
      </c>
      <c r="AC1012">
        <v>-5168.6908999999996</v>
      </c>
      <c r="AD1012">
        <v>-5168.6908999999996</v>
      </c>
      <c r="AE1012">
        <v>-5168.6908999999996</v>
      </c>
      <c r="AF1012">
        <v>-5168.6908999999996</v>
      </c>
    </row>
    <row r="1013" spans="2:32" x14ac:dyDescent="0.25">
      <c r="B1013">
        <v>31</v>
      </c>
      <c r="C1013">
        <v>1</v>
      </c>
      <c r="D1013">
        <v>1</v>
      </c>
      <c r="E1013">
        <v>1</v>
      </c>
      <c r="F1013">
        <v>1</v>
      </c>
      <c r="G1013">
        <v>1</v>
      </c>
      <c r="H1013">
        <v>1</v>
      </c>
      <c r="J1013">
        <v>31</v>
      </c>
      <c r="K1013">
        <v>1</v>
      </c>
      <c r="L1013">
        <v>1</v>
      </c>
      <c r="M1013">
        <v>1</v>
      </c>
      <c r="N1013">
        <v>1</v>
      </c>
      <c r="O1013">
        <v>1</v>
      </c>
      <c r="P1013">
        <v>1</v>
      </c>
      <c r="R1013">
        <v>31</v>
      </c>
      <c r="S1013">
        <v>1</v>
      </c>
      <c r="T1013">
        <v>1</v>
      </c>
      <c r="U1013">
        <v>1</v>
      </c>
      <c r="V1013">
        <v>1</v>
      </c>
      <c r="W1013">
        <v>1</v>
      </c>
      <c r="X1013">
        <v>1</v>
      </c>
      <c r="AA1013">
        <v>-5166.5891000000001</v>
      </c>
      <c r="AB1013">
        <v>-5166.5891000000001</v>
      </c>
      <c r="AC1013">
        <v>-5166.5891000000001</v>
      </c>
      <c r="AD1013">
        <v>-5166.5891000000001</v>
      </c>
      <c r="AE1013">
        <v>-5166.5891000000001</v>
      </c>
      <c r="AF1013">
        <v>-5166.5891000000001</v>
      </c>
    </row>
    <row r="1014" spans="2:32" x14ac:dyDescent="0.25">
      <c r="B1014">
        <v>32</v>
      </c>
      <c r="C1014">
        <v>1</v>
      </c>
      <c r="D1014">
        <v>1</v>
      </c>
      <c r="E1014">
        <v>1</v>
      </c>
      <c r="F1014">
        <v>1</v>
      </c>
      <c r="G1014">
        <v>1</v>
      </c>
      <c r="H1014">
        <v>1</v>
      </c>
      <c r="J1014">
        <v>32</v>
      </c>
      <c r="K1014">
        <v>1</v>
      </c>
      <c r="L1014">
        <v>1</v>
      </c>
      <c r="M1014">
        <v>1</v>
      </c>
      <c r="N1014">
        <v>1</v>
      </c>
      <c r="O1014">
        <v>1</v>
      </c>
      <c r="P1014">
        <v>1</v>
      </c>
      <c r="R1014">
        <v>32</v>
      </c>
      <c r="S1014">
        <v>1</v>
      </c>
      <c r="T1014">
        <v>1</v>
      </c>
      <c r="U1014">
        <v>1</v>
      </c>
      <c r="V1014">
        <v>1</v>
      </c>
      <c r="W1014">
        <v>1</v>
      </c>
      <c r="X1014">
        <v>1</v>
      </c>
      <c r="AA1014">
        <v>-5164.2407000000003</v>
      </c>
      <c r="AB1014">
        <v>-5164.2407000000003</v>
      </c>
      <c r="AC1014">
        <v>-5164.2407000000003</v>
      </c>
      <c r="AD1014">
        <v>-5164.2407000000003</v>
      </c>
      <c r="AE1014">
        <v>-5164.2407000000003</v>
      </c>
      <c r="AF1014">
        <v>-5164.2407000000003</v>
      </c>
    </row>
    <row r="1015" spans="2:32" x14ac:dyDescent="0.25">
      <c r="B1015">
        <v>33</v>
      </c>
      <c r="C1015">
        <v>1</v>
      </c>
      <c r="D1015">
        <v>1</v>
      </c>
      <c r="E1015">
        <v>1</v>
      </c>
      <c r="F1015">
        <v>1</v>
      </c>
      <c r="G1015">
        <v>1</v>
      </c>
      <c r="H1015">
        <v>1</v>
      </c>
      <c r="J1015">
        <v>33</v>
      </c>
      <c r="K1015">
        <v>1</v>
      </c>
      <c r="L1015">
        <v>1</v>
      </c>
      <c r="M1015">
        <v>1</v>
      </c>
      <c r="N1015">
        <v>1</v>
      </c>
      <c r="O1015">
        <v>1</v>
      </c>
      <c r="P1015">
        <v>1</v>
      </c>
      <c r="R1015">
        <v>33</v>
      </c>
      <c r="S1015">
        <v>1</v>
      </c>
      <c r="T1015">
        <v>1</v>
      </c>
      <c r="U1015">
        <v>1</v>
      </c>
      <c r="V1015">
        <v>1</v>
      </c>
      <c r="W1015">
        <v>1</v>
      </c>
      <c r="X1015">
        <v>1</v>
      </c>
      <c r="AA1015">
        <v>-5161.6318000000001</v>
      </c>
      <c r="AB1015">
        <v>-5161.6318000000001</v>
      </c>
      <c r="AC1015">
        <v>-5161.6318000000001</v>
      </c>
      <c r="AD1015">
        <v>-5161.6318000000001</v>
      </c>
      <c r="AE1015">
        <v>-5161.6318000000001</v>
      </c>
      <c r="AF1015">
        <v>-5161.6318000000001</v>
      </c>
    </row>
    <row r="1016" spans="2:32" x14ac:dyDescent="0.25">
      <c r="B1016">
        <v>34</v>
      </c>
      <c r="C1016">
        <v>1</v>
      </c>
      <c r="D1016">
        <v>1</v>
      </c>
      <c r="E1016">
        <v>1</v>
      </c>
      <c r="F1016">
        <v>1</v>
      </c>
      <c r="G1016">
        <v>1</v>
      </c>
      <c r="H1016">
        <v>1</v>
      </c>
      <c r="J1016">
        <v>34</v>
      </c>
      <c r="K1016">
        <v>1</v>
      </c>
      <c r="L1016">
        <v>1</v>
      </c>
      <c r="M1016">
        <v>1</v>
      </c>
      <c r="N1016">
        <v>1</v>
      </c>
      <c r="O1016">
        <v>1</v>
      </c>
      <c r="P1016">
        <v>1</v>
      </c>
      <c r="R1016">
        <v>34</v>
      </c>
      <c r="S1016">
        <v>1</v>
      </c>
      <c r="T1016">
        <v>1</v>
      </c>
      <c r="U1016">
        <v>1</v>
      </c>
      <c r="V1016">
        <v>1</v>
      </c>
      <c r="W1016">
        <v>1</v>
      </c>
      <c r="X1016">
        <v>1</v>
      </c>
      <c r="AA1016">
        <v>-5158.7194</v>
      </c>
      <c r="AB1016">
        <v>-5158.7194</v>
      </c>
      <c r="AC1016">
        <v>-5158.7194</v>
      </c>
      <c r="AD1016">
        <v>-5158.7194</v>
      </c>
      <c r="AE1016">
        <v>-5158.7194</v>
      </c>
      <c r="AF1016">
        <v>-5158.7194</v>
      </c>
    </row>
    <row r="1017" spans="2:32" x14ac:dyDescent="0.25">
      <c r="B1017">
        <v>35</v>
      </c>
      <c r="C1017">
        <v>1</v>
      </c>
      <c r="D1017">
        <v>1</v>
      </c>
      <c r="E1017">
        <v>1</v>
      </c>
      <c r="F1017">
        <v>1</v>
      </c>
      <c r="G1017">
        <v>1</v>
      </c>
      <c r="H1017">
        <v>1</v>
      </c>
      <c r="J1017">
        <v>35</v>
      </c>
      <c r="K1017">
        <v>1</v>
      </c>
      <c r="L1017">
        <v>1</v>
      </c>
      <c r="M1017">
        <v>1</v>
      </c>
      <c r="N1017">
        <v>1</v>
      </c>
      <c r="O1017">
        <v>1</v>
      </c>
      <c r="P1017">
        <v>1</v>
      </c>
      <c r="R1017">
        <v>35</v>
      </c>
      <c r="S1017">
        <v>1</v>
      </c>
      <c r="T1017">
        <v>1</v>
      </c>
      <c r="U1017">
        <v>1</v>
      </c>
      <c r="V1017">
        <v>1</v>
      </c>
      <c r="W1017">
        <v>1</v>
      </c>
      <c r="X1017">
        <v>1</v>
      </c>
      <c r="AA1017">
        <v>-5155.4901</v>
      </c>
      <c r="AB1017">
        <v>-5155.4901</v>
      </c>
      <c r="AC1017">
        <v>-5155.4901</v>
      </c>
      <c r="AD1017">
        <v>-5155.4901</v>
      </c>
      <c r="AE1017">
        <v>-5155.4901</v>
      </c>
      <c r="AF1017">
        <v>-5155.4901</v>
      </c>
    </row>
    <row r="1018" spans="2:32" x14ac:dyDescent="0.25">
      <c r="B1018">
        <v>36</v>
      </c>
      <c r="C1018">
        <v>1</v>
      </c>
      <c r="D1018">
        <v>1</v>
      </c>
      <c r="E1018">
        <v>1</v>
      </c>
      <c r="F1018">
        <v>1</v>
      </c>
      <c r="G1018">
        <v>1</v>
      </c>
      <c r="H1018">
        <v>1</v>
      </c>
      <c r="J1018">
        <v>36</v>
      </c>
      <c r="K1018">
        <v>1</v>
      </c>
      <c r="L1018">
        <v>1</v>
      </c>
      <c r="M1018">
        <v>1</v>
      </c>
      <c r="N1018">
        <v>1</v>
      </c>
      <c r="O1018">
        <v>1</v>
      </c>
      <c r="P1018">
        <v>1</v>
      </c>
      <c r="R1018">
        <v>36</v>
      </c>
      <c r="S1018">
        <v>1</v>
      </c>
      <c r="T1018">
        <v>1</v>
      </c>
      <c r="U1018">
        <v>1</v>
      </c>
      <c r="V1018">
        <v>1</v>
      </c>
      <c r="W1018">
        <v>1</v>
      </c>
      <c r="X1018">
        <v>1</v>
      </c>
      <c r="AA1018">
        <v>-5151.8950999999997</v>
      </c>
      <c r="AB1018">
        <v>-5151.8950999999997</v>
      </c>
      <c r="AC1018">
        <v>-5151.8950999999997</v>
      </c>
      <c r="AD1018">
        <v>-5151.8950999999997</v>
      </c>
      <c r="AE1018">
        <v>-5151.8950999999997</v>
      </c>
      <c r="AF1018">
        <v>-5151.8950999999997</v>
      </c>
    </row>
    <row r="1019" spans="2:32" x14ac:dyDescent="0.25">
      <c r="B1019">
        <v>37</v>
      </c>
      <c r="C1019">
        <v>1</v>
      </c>
      <c r="D1019">
        <v>1</v>
      </c>
      <c r="E1019">
        <v>1</v>
      </c>
      <c r="F1019">
        <v>1</v>
      </c>
      <c r="G1019">
        <v>1</v>
      </c>
      <c r="H1019">
        <v>1</v>
      </c>
      <c r="J1019">
        <v>37</v>
      </c>
      <c r="K1019">
        <v>1</v>
      </c>
      <c r="L1019">
        <v>1</v>
      </c>
      <c r="M1019">
        <v>1</v>
      </c>
      <c r="N1019">
        <v>1</v>
      </c>
      <c r="O1019">
        <v>1</v>
      </c>
      <c r="P1019">
        <v>1</v>
      </c>
      <c r="R1019">
        <v>37</v>
      </c>
      <c r="S1019">
        <v>1</v>
      </c>
      <c r="T1019">
        <v>1</v>
      </c>
      <c r="U1019">
        <v>1</v>
      </c>
      <c r="V1019">
        <v>1</v>
      </c>
      <c r="W1019">
        <v>1</v>
      </c>
      <c r="X1019">
        <v>1</v>
      </c>
      <c r="AA1019">
        <v>-5147.9106000000002</v>
      </c>
      <c r="AB1019">
        <v>-5147.9106000000002</v>
      </c>
      <c r="AC1019">
        <v>-5147.9106000000002</v>
      </c>
      <c r="AD1019">
        <v>-5147.9106000000002</v>
      </c>
      <c r="AE1019">
        <v>-5147.9106000000002</v>
      </c>
      <c r="AF1019">
        <v>-5147.9106000000002</v>
      </c>
    </row>
    <row r="1020" spans="2:32" x14ac:dyDescent="0.25">
      <c r="B1020">
        <v>38</v>
      </c>
      <c r="C1020">
        <v>1</v>
      </c>
      <c r="D1020">
        <v>1</v>
      </c>
      <c r="E1020">
        <v>1</v>
      </c>
      <c r="F1020">
        <v>1</v>
      </c>
      <c r="G1020">
        <v>1</v>
      </c>
      <c r="H1020">
        <v>1</v>
      </c>
      <c r="J1020">
        <v>38</v>
      </c>
      <c r="K1020">
        <v>1</v>
      </c>
      <c r="L1020">
        <v>1</v>
      </c>
      <c r="M1020">
        <v>1</v>
      </c>
      <c r="N1020">
        <v>1</v>
      </c>
      <c r="O1020">
        <v>1</v>
      </c>
      <c r="P1020">
        <v>1</v>
      </c>
      <c r="R1020">
        <v>38</v>
      </c>
      <c r="S1020">
        <v>1</v>
      </c>
      <c r="T1020">
        <v>1</v>
      </c>
      <c r="U1020">
        <v>1</v>
      </c>
      <c r="V1020">
        <v>1</v>
      </c>
      <c r="W1020">
        <v>1</v>
      </c>
      <c r="X1020">
        <v>1</v>
      </c>
      <c r="AA1020">
        <v>-5143.5393999999997</v>
      </c>
      <c r="AB1020">
        <v>-5143.5393999999997</v>
      </c>
      <c r="AC1020">
        <v>-5143.5393999999997</v>
      </c>
      <c r="AD1020">
        <v>-5143.5393999999997</v>
      </c>
      <c r="AE1020">
        <v>-5143.5393999999997</v>
      </c>
      <c r="AF1020">
        <v>-5143.5393999999997</v>
      </c>
    </row>
    <row r="1021" spans="2:32" x14ac:dyDescent="0.25">
      <c r="B1021">
        <v>39</v>
      </c>
      <c r="C1021">
        <v>1</v>
      </c>
      <c r="D1021">
        <v>1</v>
      </c>
      <c r="E1021">
        <v>1</v>
      </c>
      <c r="F1021">
        <v>1</v>
      </c>
      <c r="G1021">
        <v>1</v>
      </c>
      <c r="H1021">
        <v>1</v>
      </c>
      <c r="J1021">
        <v>39</v>
      </c>
      <c r="K1021">
        <v>1</v>
      </c>
      <c r="L1021">
        <v>1</v>
      </c>
      <c r="M1021">
        <v>1</v>
      </c>
      <c r="N1021">
        <v>1</v>
      </c>
      <c r="O1021">
        <v>1</v>
      </c>
      <c r="P1021">
        <v>1</v>
      </c>
      <c r="R1021">
        <v>39</v>
      </c>
      <c r="S1021">
        <v>1</v>
      </c>
      <c r="T1021">
        <v>1</v>
      </c>
      <c r="U1021">
        <v>1</v>
      </c>
      <c r="V1021">
        <v>1</v>
      </c>
      <c r="W1021">
        <v>1</v>
      </c>
      <c r="X1021">
        <v>1</v>
      </c>
      <c r="AA1021">
        <v>-5138.76</v>
      </c>
      <c r="AB1021">
        <v>-5138.76</v>
      </c>
      <c r="AC1021">
        <v>-5138.76</v>
      </c>
      <c r="AD1021">
        <v>-5138.76</v>
      </c>
      <c r="AE1021">
        <v>-5138.76</v>
      </c>
      <c r="AF1021">
        <v>-5138.76</v>
      </c>
    </row>
    <row r="1022" spans="2:32" x14ac:dyDescent="0.25">
      <c r="B1022">
        <v>40</v>
      </c>
      <c r="C1022">
        <v>1</v>
      </c>
      <c r="D1022">
        <v>1</v>
      </c>
      <c r="E1022">
        <v>1</v>
      </c>
      <c r="F1022">
        <v>1</v>
      </c>
      <c r="G1022">
        <v>1</v>
      </c>
      <c r="H1022">
        <v>1</v>
      </c>
      <c r="J1022">
        <v>40</v>
      </c>
      <c r="K1022">
        <v>1</v>
      </c>
      <c r="L1022">
        <v>1</v>
      </c>
      <c r="M1022">
        <v>1</v>
      </c>
      <c r="N1022">
        <v>1</v>
      </c>
      <c r="O1022">
        <v>1</v>
      </c>
      <c r="P1022">
        <v>1</v>
      </c>
      <c r="R1022">
        <v>40</v>
      </c>
      <c r="S1022">
        <v>1</v>
      </c>
      <c r="T1022">
        <v>1</v>
      </c>
      <c r="U1022">
        <v>1</v>
      </c>
      <c r="V1022">
        <v>1</v>
      </c>
      <c r="W1022">
        <v>1</v>
      </c>
      <c r="X1022">
        <v>1</v>
      </c>
      <c r="AA1022">
        <v>-5133.5084999999999</v>
      </c>
      <c r="AB1022">
        <v>-5133.5084999999999</v>
      </c>
      <c r="AC1022">
        <v>-5133.5084999999999</v>
      </c>
      <c r="AD1022">
        <v>-5133.5084999999999</v>
      </c>
      <c r="AE1022">
        <v>-5133.5084999999999</v>
      </c>
      <c r="AF1022">
        <v>-5133.5084999999999</v>
      </c>
    </row>
    <row r="1023" spans="2:32" x14ac:dyDescent="0.25">
      <c r="B1023">
        <v>41</v>
      </c>
      <c r="C1023">
        <v>1</v>
      </c>
      <c r="D1023">
        <v>1</v>
      </c>
      <c r="E1023">
        <v>1</v>
      </c>
      <c r="F1023">
        <v>1</v>
      </c>
      <c r="G1023">
        <v>1</v>
      </c>
      <c r="H1023">
        <v>1</v>
      </c>
      <c r="J1023">
        <v>41</v>
      </c>
      <c r="K1023">
        <v>1</v>
      </c>
      <c r="L1023">
        <v>1</v>
      </c>
      <c r="M1023">
        <v>1</v>
      </c>
      <c r="N1023">
        <v>1</v>
      </c>
      <c r="O1023">
        <v>1</v>
      </c>
      <c r="P1023">
        <v>1</v>
      </c>
      <c r="R1023">
        <v>41</v>
      </c>
      <c r="S1023">
        <v>1</v>
      </c>
      <c r="T1023">
        <v>1</v>
      </c>
      <c r="U1023">
        <v>1</v>
      </c>
      <c r="V1023">
        <v>1</v>
      </c>
      <c r="W1023">
        <v>1</v>
      </c>
      <c r="X1023">
        <v>1</v>
      </c>
      <c r="AA1023">
        <v>-5127.7236000000003</v>
      </c>
      <c r="AB1023">
        <v>-5127.7236000000003</v>
      </c>
      <c r="AC1023">
        <v>-5127.7236000000003</v>
      </c>
      <c r="AD1023">
        <v>-5127.7236000000003</v>
      </c>
      <c r="AE1023">
        <v>-5127.7236000000003</v>
      </c>
      <c r="AF1023">
        <v>-5127.7236000000003</v>
      </c>
    </row>
    <row r="1024" spans="2:32" x14ac:dyDescent="0.25">
      <c r="B1024">
        <v>42</v>
      </c>
      <c r="C1024">
        <v>1</v>
      </c>
      <c r="D1024">
        <v>1</v>
      </c>
      <c r="E1024">
        <v>1</v>
      </c>
      <c r="F1024">
        <v>1</v>
      </c>
      <c r="G1024">
        <v>1</v>
      </c>
      <c r="H1024">
        <v>1</v>
      </c>
      <c r="J1024">
        <v>42</v>
      </c>
      <c r="K1024">
        <v>1</v>
      </c>
      <c r="L1024">
        <v>1</v>
      </c>
      <c r="M1024">
        <v>1</v>
      </c>
      <c r="N1024">
        <v>1</v>
      </c>
      <c r="O1024">
        <v>1</v>
      </c>
      <c r="P1024">
        <v>1</v>
      </c>
      <c r="R1024">
        <v>42</v>
      </c>
      <c r="S1024">
        <v>1</v>
      </c>
      <c r="T1024">
        <v>1</v>
      </c>
      <c r="U1024">
        <v>1</v>
      </c>
      <c r="V1024">
        <v>1</v>
      </c>
      <c r="W1024">
        <v>1</v>
      </c>
      <c r="X1024">
        <v>1</v>
      </c>
      <c r="AA1024">
        <v>-5121.3726999999999</v>
      </c>
      <c r="AB1024">
        <v>-5121.3726999999999</v>
      </c>
      <c r="AC1024">
        <v>-5121.3726999999999</v>
      </c>
      <c r="AD1024">
        <v>-5121.3726999999999</v>
      </c>
      <c r="AE1024">
        <v>-5121.3726999999999</v>
      </c>
      <c r="AF1024">
        <v>-5121.3726999999999</v>
      </c>
    </row>
    <row r="1025" spans="2:32" x14ac:dyDescent="0.25">
      <c r="B1025">
        <v>43</v>
      </c>
      <c r="C1025">
        <v>1</v>
      </c>
      <c r="D1025">
        <v>1</v>
      </c>
      <c r="E1025">
        <v>1</v>
      </c>
      <c r="F1025">
        <v>1</v>
      </c>
      <c r="G1025">
        <v>1</v>
      </c>
      <c r="H1025">
        <v>1</v>
      </c>
      <c r="J1025">
        <v>43</v>
      </c>
      <c r="K1025">
        <v>1</v>
      </c>
      <c r="L1025">
        <v>1</v>
      </c>
      <c r="M1025">
        <v>1</v>
      </c>
      <c r="N1025">
        <v>1</v>
      </c>
      <c r="O1025">
        <v>1</v>
      </c>
      <c r="P1025">
        <v>1</v>
      </c>
      <c r="R1025">
        <v>43</v>
      </c>
      <c r="S1025">
        <v>1</v>
      </c>
      <c r="T1025">
        <v>1</v>
      </c>
      <c r="U1025">
        <v>1</v>
      </c>
      <c r="V1025">
        <v>1</v>
      </c>
      <c r="W1025">
        <v>1</v>
      </c>
      <c r="X1025">
        <v>1</v>
      </c>
      <c r="AA1025">
        <v>-5114.3449000000001</v>
      </c>
      <c r="AB1025">
        <v>-5114.3449000000001</v>
      </c>
      <c r="AC1025">
        <v>-5114.3449000000001</v>
      </c>
      <c r="AD1025">
        <v>-5114.3449000000001</v>
      </c>
      <c r="AE1025">
        <v>-5114.3449000000001</v>
      </c>
      <c r="AF1025">
        <v>-5114.3449000000001</v>
      </c>
    </row>
    <row r="1026" spans="2:32" x14ac:dyDescent="0.25">
      <c r="B1026">
        <v>44</v>
      </c>
      <c r="C1026">
        <v>1</v>
      </c>
      <c r="D1026">
        <v>1</v>
      </c>
      <c r="E1026">
        <v>1</v>
      </c>
      <c r="F1026">
        <v>1</v>
      </c>
      <c r="G1026">
        <v>1</v>
      </c>
      <c r="H1026">
        <v>1</v>
      </c>
      <c r="J1026">
        <v>44</v>
      </c>
      <c r="K1026">
        <v>1</v>
      </c>
      <c r="L1026">
        <v>1</v>
      </c>
      <c r="M1026">
        <v>1</v>
      </c>
      <c r="N1026">
        <v>1</v>
      </c>
      <c r="O1026">
        <v>1</v>
      </c>
      <c r="P1026">
        <v>1</v>
      </c>
      <c r="R1026">
        <v>44</v>
      </c>
      <c r="S1026">
        <v>1</v>
      </c>
      <c r="T1026">
        <v>1</v>
      </c>
      <c r="U1026">
        <v>1</v>
      </c>
      <c r="V1026">
        <v>1</v>
      </c>
      <c r="W1026">
        <v>1</v>
      </c>
      <c r="X1026">
        <v>1</v>
      </c>
      <c r="AA1026">
        <v>-5106.5976000000001</v>
      </c>
      <c r="AB1026">
        <v>-5106.5976000000001</v>
      </c>
      <c r="AC1026">
        <v>-5106.5976000000001</v>
      </c>
      <c r="AD1026">
        <v>-5106.5976000000001</v>
      </c>
      <c r="AE1026">
        <v>-5106.5976000000001</v>
      </c>
      <c r="AF1026">
        <v>-5106.5976000000001</v>
      </c>
    </row>
    <row r="1027" spans="2:32" x14ac:dyDescent="0.25">
      <c r="B1027">
        <v>45</v>
      </c>
      <c r="C1027">
        <v>1</v>
      </c>
      <c r="D1027">
        <v>1</v>
      </c>
      <c r="E1027">
        <v>1</v>
      </c>
      <c r="F1027">
        <v>1</v>
      </c>
      <c r="G1027">
        <v>1</v>
      </c>
      <c r="H1027">
        <v>1</v>
      </c>
      <c r="J1027">
        <v>45</v>
      </c>
      <c r="K1027">
        <v>1</v>
      </c>
      <c r="L1027">
        <v>1</v>
      </c>
      <c r="M1027">
        <v>1</v>
      </c>
      <c r="N1027">
        <v>1</v>
      </c>
      <c r="O1027">
        <v>1</v>
      </c>
      <c r="P1027">
        <v>1</v>
      </c>
      <c r="R1027">
        <v>45</v>
      </c>
      <c r="S1027">
        <v>1</v>
      </c>
      <c r="T1027">
        <v>1</v>
      </c>
      <c r="U1027">
        <v>1</v>
      </c>
      <c r="V1027">
        <v>1</v>
      </c>
      <c r="W1027">
        <v>1</v>
      </c>
      <c r="X1027">
        <v>1</v>
      </c>
      <c r="AA1027">
        <v>-5098.0524999999998</v>
      </c>
      <c r="AB1027">
        <v>-5098.0524999999998</v>
      </c>
      <c r="AC1027">
        <v>-5098.0524999999998</v>
      </c>
      <c r="AD1027">
        <v>-5098.0524999999998</v>
      </c>
      <c r="AE1027">
        <v>-5098.0524999999998</v>
      </c>
      <c r="AF1027">
        <v>-5098.0524999999998</v>
      </c>
    </row>
    <row r="1028" spans="2:32" x14ac:dyDescent="0.25">
      <c r="B1028">
        <v>46</v>
      </c>
      <c r="C1028">
        <v>1</v>
      </c>
      <c r="D1028">
        <v>1</v>
      </c>
      <c r="E1028">
        <v>1</v>
      </c>
      <c r="F1028">
        <v>1</v>
      </c>
      <c r="G1028">
        <v>1</v>
      </c>
      <c r="H1028">
        <v>1</v>
      </c>
      <c r="J1028">
        <v>46</v>
      </c>
      <c r="K1028">
        <v>1</v>
      </c>
      <c r="L1028">
        <v>1</v>
      </c>
      <c r="M1028">
        <v>1</v>
      </c>
      <c r="N1028">
        <v>1</v>
      </c>
      <c r="O1028">
        <v>1</v>
      </c>
      <c r="P1028">
        <v>1</v>
      </c>
      <c r="R1028">
        <v>46</v>
      </c>
      <c r="S1028">
        <v>1</v>
      </c>
      <c r="T1028">
        <v>1</v>
      </c>
      <c r="U1028">
        <v>1</v>
      </c>
      <c r="V1028">
        <v>1</v>
      </c>
      <c r="W1028">
        <v>1</v>
      </c>
      <c r="X1028">
        <v>1</v>
      </c>
      <c r="AA1028">
        <v>-5088.6378000000004</v>
      </c>
      <c r="AB1028">
        <v>-5088.6378000000004</v>
      </c>
      <c r="AC1028">
        <v>-5088.6378000000004</v>
      </c>
      <c r="AD1028">
        <v>-5088.6378000000004</v>
      </c>
      <c r="AE1028">
        <v>-5088.6378000000004</v>
      </c>
      <c r="AF1028">
        <v>-5088.6378000000004</v>
      </c>
    </row>
    <row r="1029" spans="2:32" x14ac:dyDescent="0.25">
      <c r="B1029">
        <v>47</v>
      </c>
      <c r="C1029">
        <v>1</v>
      </c>
      <c r="D1029">
        <v>1</v>
      </c>
      <c r="E1029">
        <v>1</v>
      </c>
      <c r="F1029">
        <v>1</v>
      </c>
      <c r="G1029">
        <v>1</v>
      </c>
      <c r="H1029">
        <v>1</v>
      </c>
      <c r="J1029">
        <v>47</v>
      </c>
      <c r="K1029">
        <v>1</v>
      </c>
      <c r="L1029">
        <v>1</v>
      </c>
      <c r="M1029">
        <v>1</v>
      </c>
      <c r="N1029">
        <v>1</v>
      </c>
      <c r="O1029">
        <v>1</v>
      </c>
      <c r="P1029">
        <v>1</v>
      </c>
      <c r="R1029">
        <v>47</v>
      </c>
      <c r="S1029">
        <v>1</v>
      </c>
      <c r="T1029">
        <v>1</v>
      </c>
      <c r="U1029">
        <v>1</v>
      </c>
      <c r="V1029">
        <v>1</v>
      </c>
      <c r="W1029">
        <v>1</v>
      </c>
      <c r="X1029">
        <v>1</v>
      </c>
      <c r="AA1029">
        <v>-5078.2593999999999</v>
      </c>
      <c r="AB1029">
        <v>-5078.2593999999999</v>
      </c>
      <c r="AC1029">
        <v>-5078.2593999999999</v>
      </c>
      <c r="AD1029">
        <v>-5078.2593999999999</v>
      </c>
      <c r="AE1029">
        <v>-5078.2593999999999</v>
      </c>
      <c r="AF1029">
        <v>-5078.2593999999999</v>
      </c>
    </row>
    <row r="1030" spans="2:32" x14ac:dyDescent="0.25">
      <c r="B1030">
        <v>48</v>
      </c>
      <c r="C1030">
        <v>1</v>
      </c>
      <c r="D1030">
        <v>1</v>
      </c>
      <c r="E1030">
        <v>1</v>
      </c>
      <c r="F1030">
        <v>1</v>
      </c>
      <c r="G1030">
        <v>1</v>
      </c>
      <c r="H1030">
        <v>1</v>
      </c>
      <c r="J1030">
        <v>48</v>
      </c>
      <c r="K1030">
        <v>1</v>
      </c>
      <c r="L1030">
        <v>1</v>
      </c>
      <c r="M1030">
        <v>1</v>
      </c>
      <c r="N1030">
        <v>1</v>
      </c>
      <c r="O1030">
        <v>1</v>
      </c>
      <c r="P1030">
        <v>1</v>
      </c>
      <c r="R1030">
        <v>48</v>
      </c>
      <c r="S1030">
        <v>1</v>
      </c>
      <c r="T1030">
        <v>1</v>
      </c>
      <c r="U1030">
        <v>1</v>
      </c>
      <c r="V1030">
        <v>1</v>
      </c>
      <c r="W1030">
        <v>1</v>
      </c>
      <c r="X1030">
        <v>1</v>
      </c>
      <c r="AA1030">
        <v>-5066.8732</v>
      </c>
      <c r="AB1030">
        <v>-5066.8732</v>
      </c>
      <c r="AC1030">
        <v>-5066.8732</v>
      </c>
      <c r="AD1030">
        <v>-5066.8732</v>
      </c>
      <c r="AE1030">
        <v>-5066.8732</v>
      </c>
      <c r="AF1030">
        <v>-5066.8732</v>
      </c>
    </row>
    <row r="1031" spans="2:32" x14ac:dyDescent="0.25">
      <c r="B1031">
        <v>49</v>
      </c>
      <c r="C1031">
        <v>1</v>
      </c>
      <c r="D1031">
        <v>1</v>
      </c>
      <c r="E1031">
        <v>1</v>
      </c>
      <c r="F1031">
        <v>1</v>
      </c>
      <c r="G1031">
        <v>1</v>
      </c>
      <c r="H1031">
        <v>1</v>
      </c>
      <c r="J1031">
        <v>49</v>
      </c>
      <c r="K1031">
        <v>1</v>
      </c>
      <c r="L1031">
        <v>1</v>
      </c>
      <c r="M1031">
        <v>1</v>
      </c>
      <c r="N1031">
        <v>1</v>
      </c>
      <c r="O1031">
        <v>1</v>
      </c>
      <c r="P1031">
        <v>1</v>
      </c>
      <c r="R1031">
        <v>49</v>
      </c>
      <c r="S1031">
        <v>1</v>
      </c>
      <c r="T1031">
        <v>1</v>
      </c>
      <c r="U1031">
        <v>1</v>
      </c>
      <c r="V1031">
        <v>1</v>
      </c>
      <c r="W1031">
        <v>1</v>
      </c>
      <c r="X1031">
        <v>1</v>
      </c>
      <c r="AA1031">
        <v>-5054.4124000000002</v>
      </c>
      <c r="AB1031">
        <v>-5054.4124000000002</v>
      </c>
      <c r="AC1031">
        <v>-5054.4124000000002</v>
      </c>
      <c r="AD1031">
        <v>-5054.4124000000002</v>
      </c>
      <c r="AE1031">
        <v>-5054.4124000000002</v>
      </c>
      <c r="AF1031">
        <v>-5054.4124000000002</v>
      </c>
    </row>
    <row r="1032" spans="2:32" x14ac:dyDescent="0.25">
      <c r="B1032">
        <v>50</v>
      </c>
      <c r="C1032">
        <v>1</v>
      </c>
      <c r="D1032">
        <v>1</v>
      </c>
      <c r="E1032">
        <v>1</v>
      </c>
      <c r="F1032">
        <v>1</v>
      </c>
      <c r="G1032">
        <v>1</v>
      </c>
      <c r="H1032">
        <v>1</v>
      </c>
      <c r="J1032">
        <v>50</v>
      </c>
      <c r="K1032">
        <v>1</v>
      </c>
      <c r="L1032">
        <v>1</v>
      </c>
      <c r="M1032">
        <v>1</v>
      </c>
      <c r="N1032">
        <v>1</v>
      </c>
      <c r="O1032">
        <v>1</v>
      </c>
      <c r="P1032">
        <v>1</v>
      </c>
      <c r="R1032">
        <v>50</v>
      </c>
      <c r="S1032">
        <v>1</v>
      </c>
      <c r="T1032">
        <v>1</v>
      </c>
      <c r="U1032">
        <v>1</v>
      </c>
      <c r="V1032">
        <v>1</v>
      </c>
      <c r="W1032">
        <v>1</v>
      </c>
      <c r="X1032">
        <v>1</v>
      </c>
      <c r="AA1032">
        <v>-5040.7671</v>
      </c>
      <c r="AB1032">
        <v>-5040.7671</v>
      </c>
      <c r="AC1032">
        <v>-5040.7671</v>
      </c>
      <c r="AD1032">
        <v>-5040.7671</v>
      </c>
      <c r="AE1032">
        <v>-5040.7671</v>
      </c>
      <c r="AF1032">
        <v>-5040.7671</v>
      </c>
    </row>
    <row r="1033" spans="2:32" x14ac:dyDescent="0.25">
      <c r="B1033">
        <v>51</v>
      </c>
      <c r="C1033">
        <v>1</v>
      </c>
      <c r="D1033">
        <v>1</v>
      </c>
      <c r="E1033">
        <v>1</v>
      </c>
      <c r="F1033">
        <v>1</v>
      </c>
      <c r="G1033">
        <v>1</v>
      </c>
      <c r="H1033">
        <v>1</v>
      </c>
      <c r="J1033">
        <v>51</v>
      </c>
      <c r="K1033">
        <v>1</v>
      </c>
      <c r="L1033">
        <v>1</v>
      </c>
      <c r="M1033">
        <v>1</v>
      </c>
      <c r="N1033">
        <v>1</v>
      </c>
      <c r="O1033">
        <v>1</v>
      </c>
      <c r="P1033">
        <v>1</v>
      </c>
      <c r="R1033">
        <v>51</v>
      </c>
      <c r="S1033">
        <v>1</v>
      </c>
      <c r="T1033">
        <v>1</v>
      </c>
      <c r="U1033">
        <v>1</v>
      </c>
      <c r="V1033">
        <v>1</v>
      </c>
      <c r="W1033">
        <v>1</v>
      </c>
      <c r="X1033">
        <v>1</v>
      </c>
      <c r="AA1033">
        <v>-5025.8329000000003</v>
      </c>
      <c r="AB1033">
        <v>-5025.8329000000003</v>
      </c>
      <c r="AC1033">
        <v>-5025.8329000000003</v>
      </c>
      <c r="AD1033">
        <v>-5025.8329000000003</v>
      </c>
      <c r="AE1033">
        <v>-5025.8329000000003</v>
      </c>
      <c r="AF1033">
        <v>-5025.8329000000003</v>
      </c>
    </row>
    <row r="1034" spans="2:32" x14ac:dyDescent="0.25">
      <c r="B1034">
        <v>52</v>
      </c>
      <c r="C1034">
        <v>1</v>
      </c>
      <c r="D1034">
        <v>1</v>
      </c>
      <c r="E1034">
        <v>1</v>
      </c>
      <c r="F1034">
        <v>1</v>
      </c>
      <c r="G1034">
        <v>1</v>
      </c>
      <c r="H1034">
        <v>1</v>
      </c>
      <c r="J1034">
        <v>52</v>
      </c>
      <c r="K1034">
        <v>1</v>
      </c>
      <c r="L1034">
        <v>1</v>
      </c>
      <c r="M1034">
        <v>1</v>
      </c>
      <c r="N1034">
        <v>1</v>
      </c>
      <c r="O1034">
        <v>1</v>
      </c>
      <c r="P1034">
        <v>1</v>
      </c>
      <c r="R1034">
        <v>52</v>
      </c>
      <c r="S1034">
        <v>1</v>
      </c>
      <c r="T1034">
        <v>1</v>
      </c>
      <c r="U1034">
        <v>1</v>
      </c>
      <c r="V1034">
        <v>1</v>
      </c>
      <c r="W1034">
        <v>1</v>
      </c>
      <c r="X1034">
        <v>1</v>
      </c>
      <c r="AA1034">
        <v>-5009.4771000000001</v>
      </c>
      <c r="AB1034">
        <v>-5009.4771000000001</v>
      </c>
      <c r="AC1034">
        <v>-5009.4771000000001</v>
      </c>
      <c r="AD1034">
        <v>-5009.4771000000001</v>
      </c>
      <c r="AE1034">
        <v>-5009.4771000000001</v>
      </c>
      <c r="AF1034">
        <v>-5009.4771000000001</v>
      </c>
    </row>
    <row r="1035" spans="2:32" x14ac:dyDescent="0.25">
      <c r="B1035">
        <v>53</v>
      </c>
      <c r="C1035">
        <v>1</v>
      </c>
      <c r="D1035">
        <v>1</v>
      </c>
      <c r="E1035">
        <v>1</v>
      </c>
      <c r="F1035">
        <v>1</v>
      </c>
      <c r="G1035">
        <v>1</v>
      </c>
      <c r="H1035">
        <v>1</v>
      </c>
      <c r="J1035">
        <v>53</v>
      </c>
      <c r="K1035">
        <v>1</v>
      </c>
      <c r="L1035">
        <v>1</v>
      </c>
      <c r="M1035">
        <v>1</v>
      </c>
      <c r="N1035">
        <v>1</v>
      </c>
      <c r="O1035">
        <v>1</v>
      </c>
      <c r="P1035">
        <v>1</v>
      </c>
      <c r="R1035">
        <v>53</v>
      </c>
      <c r="S1035">
        <v>1</v>
      </c>
      <c r="T1035">
        <v>1</v>
      </c>
      <c r="U1035">
        <v>1</v>
      </c>
      <c r="V1035">
        <v>1</v>
      </c>
      <c r="W1035">
        <v>1</v>
      </c>
      <c r="X1035">
        <v>1</v>
      </c>
      <c r="AA1035">
        <v>-4991.6184000000003</v>
      </c>
      <c r="AB1035">
        <v>-4991.6184000000003</v>
      </c>
      <c r="AC1035">
        <v>-4991.6184000000003</v>
      </c>
      <c r="AD1035">
        <v>-4991.6184000000003</v>
      </c>
      <c r="AE1035">
        <v>-4991.6184000000003</v>
      </c>
      <c r="AF1035">
        <v>-4991.6184000000003</v>
      </c>
    </row>
    <row r="1036" spans="2:32" x14ac:dyDescent="0.25">
      <c r="B1036">
        <v>54</v>
      </c>
      <c r="C1036">
        <v>1</v>
      </c>
      <c r="D1036">
        <v>1</v>
      </c>
      <c r="E1036">
        <v>1</v>
      </c>
      <c r="F1036">
        <v>1</v>
      </c>
      <c r="G1036">
        <v>1</v>
      </c>
      <c r="H1036">
        <v>1</v>
      </c>
      <c r="J1036">
        <v>54</v>
      </c>
      <c r="K1036">
        <v>1</v>
      </c>
      <c r="L1036">
        <v>1</v>
      </c>
      <c r="M1036">
        <v>1</v>
      </c>
      <c r="N1036">
        <v>1</v>
      </c>
      <c r="O1036">
        <v>1</v>
      </c>
      <c r="P1036">
        <v>1</v>
      </c>
      <c r="R1036">
        <v>54</v>
      </c>
      <c r="S1036">
        <v>1</v>
      </c>
      <c r="T1036">
        <v>1</v>
      </c>
      <c r="U1036">
        <v>1</v>
      </c>
      <c r="V1036">
        <v>1</v>
      </c>
      <c r="W1036">
        <v>1</v>
      </c>
      <c r="X1036">
        <v>1</v>
      </c>
      <c r="AA1036">
        <v>-4972.1588000000002</v>
      </c>
      <c r="AB1036">
        <v>-4972.1588000000002</v>
      </c>
      <c r="AC1036">
        <v>-4972.1588000000002</v>
      </c>
      <c r="AD1036">
        <v>-4972.1588000000002</v>
      </c>
      <c r="AE1036">
        <v>-4972.1588000000002</v>
      </c>
      <c r="AF1036">
        <v>-4972.1588000000002</v>
      </c>
    </row>
    <row r="1037" spans="2:32" x14ac:dyDescent="0.25">
      <c r="B1037">
        <v>55</v>
      </c>
      <c r="C1037">
        <v>1</v>
      </c>
      <c r="D1037">
        <v>1</v>
      </c>
      <c r="E1037">
        <v>1</v>
      </c>
      <c r="F1037">
        <v>1</v>
      </c>
      <c r="G1037">
        <v>1</v>
      </c>
      <c r="H1037">
        <v>1</v>
      </c>
      <c r="J1037">
        <v>55</v>
      </c>
      <c r="K1037">
        <v>1</v>
      </c>
      <c r="L1037">
        <v>1</v>
      </c>
      <c r="M1037">
        <v>1</v>
      </c>
      <c r="N1037">
        <v>1</v>
      </c>
      <c r="O1037">
        <v>1</v>
      </c>
      <c r="P1037">
        <v>1</v>
      </c>
      <c r="R1037">
        <v>55</v>
      </c>
      <c r="S1037">
        <v>1</v>
      </c>
      <c r="T1037">
        <v>1</v>
      </c>
      <c r="U1037">
        <v>1</v>
      </c>
      <c r="V1037">
        <v>1</v>
      </c>
      <c r="W1037">
        <v>1</v>
      </c>
      <c r="X1037">
        <v>1</v>
      </c>
      <c r="AA1037">
        <v>-4950.9426000000003</v>
      </c>
      <c r="AB1037">
        <v>-4950.9426000000003</v>
      </c>
      <c r="AC1037">
        <v>-4950.9426000000003</v>
      </c>
      <c r="AD1037">
        <v>-4950.9426000000003</v>
      </c>
      <c r="AE1037">
        <v>-4950.9426000000003</v>
      </c>
      <c r="AF1037">
        <v>-4950.9426000000003</v>
      </c>
    </row>
    <row r="1040" spans="2:32" x14ac:dyDescent="0.25">
      <c r="B1040" t="s">
        <v>46</v>
      </c>
      <c r="C1040">
        <v>100000</v>
      </c>
      <c r="D1040">
        <v>250000</v>
      </c>
      <c r="E1040">
        <v>500000</v>
      </c>
      <c r="F1040">
        <v>1000000</v>
      </c>
      <c r="G1040">
        <v>2000000</v>
      </c>
      <c r="J1040" t="s">
        <v>32</v>
      </c>
      <c r="K1040">
        <v>100000</v>
      </c>
      <c r="L1040">
        <v>250000</v>
      </c>
      <c r="M1040">
        <v>500000</v>
      </c>
      <c r="N1040">
        <v>1000000</v>
      </c>
      <c r="O1040">
        <v>2000000</v>
      </c>
      <c r="R1040" t="s">
        <v>48</v>
      </c>
      <c r="S1040">
        <v>100000</v>
      </c>
      <c r="T1040">
        <v>250000</v>
      </c>
      <c r="U1040">
        <v>500000</v>
      </c>
      <c r="V1040">
        <v>1000000</v>
      </c>
      <c r="W1040">
        <v>2000000</v>
      </c>
    </row>
    <row r="1041" spans="2:32" x14ac:dyDescent="0.25">
      <c r="B1041">
        <v>35</v>
      </c>
      <c r="C1041">
        <v>1</v>
      </c>
      <c r="D1041">
        <v>1</v>
      </c>
      <c r="E1041">
        <v>1</v>
      </c>
      <c r="F1041">
        <v>1</v>
      </c>
      <c r="G1041">
        <v>1</v>
      </c>
      <c r="J1041">
        <v>35</v>
      </c>
      <c r="K1041">
        <v>1</v>
      </c>
      <c r="L1041">
        <v>1</v>
      </c>
      <c r="M1041">
        <v>1</v>
      </c>
      <c r="N1041">
        <v>1</v>
      </c>
      <c r="O1041">
        <v>1</v>
      </c>
      <c r="R1041">
        <v>35</v>
      </c>
      <c r="S1041">
        <v>1</v>
      </c>
      <c r="T1041">
        <v>1</v>
      </c>
      <c r="U1041">
        <v>1</v>
      </c>
      <c r="V1041">
        <v>1</v>
      </c>
      <c r="W1041">
        <v>1</v>
      </c>
      <c r="AA1041">
        <v>-8996.1419000000005</v>
      </c>
      <c r="AB1041">
        <v>-8996.1419000000005</v>
      </c>
      <c r="AC1041">
        <v>-8996.1419000000005</v>
      </c>
      <c r="AD1041">
        <v>-8996.1419000000005</v>
      </c>
      <c r="AE1041">
        <v>-8996.1419000000005</v>
      </c>
      <c r="AF1041">
        <v>-759112.79520000005</v>
      </c>
    </row>
    <row r="1042" spans="2:32" x14ac:dyDescent="0.25">
      <c r="B1042">
        <f t="shared" ref="B1042:B1071" si="45">B1041+1</f>
        <v>36</v>
      </c>
      <c r="C1042">
        <v>1</v>
      </c>
      <c r="D1042">
        <v>1</v>
      </c>
      <c r="E1042">
        <v>1</v>
      </c>
      <c r="F1042">
        <v>1</v>
      </c>
      <c r="G1042">
        <v>1</v>
      </c>
      <c r="J1042">
        <f t="shared" ref="J1042:J1071" si="46">J1041+1</f>
        <v>36</v>
      </c>
      <c r="K1042">
        <v>1</v>
      </c>
      <c r="L1042">
        <v>1</v>
      </c>
      <c r="M1042">
        <v>1</v>
      </c>
      <c r="N1042">
        <v>1</v>
      </c>
      <c r="O1042">
        <v>1</v>
      </c>
      <c r="R1042">
        <f t="shared" ref="R1042:R1071" si="47">R1041+1</f>
        <v>36</v>
      </c>
      <c r="S1042">
        <v>1</v>
      </c>
      <c r="T1042">
        <v>1</v>
      </c>
      <c r="U1042">
        <v>1</v>
      </c>
      <c r="V1042">
        <v>1</v>
      </c>
      <c r="W1042">
        <v>1</v>
      </c>
      <c r="AA1042">
        <v>-8902.6679999999997</v>
      </c>
      <c r="AB1042">
        <v>-8902.6679999999997</v>
      </c>
      <c r="AC1042">
        <v>-8902.6679999999997</v>
      </c>
      <c r="AD1042">
        <v>-8902.6679999999997</v>
      </c>
      <c r="AE1042">
        <v>-8902.6679999999997</v>
      </c>
      <c r="AF1042">
        <v>-737070.86179999996</v>
      </c>
    </row>
    <row r="1043" spans="2:32" x14ac:dyDescent="0.25">
      <c r="B1043">
        <f t="shared" si="45"/>
        <v>37</v>
      </c>
      <c r="C1043">
        <v>1</v>
      </c>
      <c r="D1043">
        <v>1</v>
      </c>
      <c r="E1043">
        <v>1</v>
      </c>
      <c r="F1043">
        <v>1</v>
      </c>
      <c r="G1043">
        <v>1</v>
      </c>
      <c r="J1043">
        <f t="shared" si="46"/>
        <v>37</v>
      </c>
      <c r="K1043">
        <v>1</v>
      </c>
      <c r="L1043">
        <v>1</v>
      </c>
      <c r="M1043">
        <v>1</v>
      </c>
      <c r="N1043">
        <v>1</v>
      </c>
      <c r="O1043">
        <v>1</v>
      </c>
      <c r="R1043">
        <f t="shared" si="47"/>
        <v>37</v>
      </c>
      <c r="S1043">
        <v>1</v>
      </c>
      <c r="T1043">
        <v>1</v>
      </c>
      <c r="U1043">
        <v>1</v>
      </c>
      <c r="V1043">
        <v>1</v>
      </c>
      <c r="W1043">
        <v>1</v>
      </c>
      <c r="AA1043">
        <v>-8806.7960000000003</v>
      </c>
      <c r="AB1043">
        <v>-8806.7960000000003</v>
      </c>
      <c r="AC1043">
        <v>-8806.7960000000003</v>
      </c>
      <c r="AD1043">
        <v>-8806.7960000000003</v>
      </c>
      <c r="AE1043">
        <v>-8806.7960000000003</v>
      </c>
      <c r="AF1043">
        <v>-765978.91940000001</v>
      </c>
    </row>
    <row r="1044" spans="2:32" x14ac:dyDescent="0.25">
      <c r="B1044">
        <f t="shared" si="45"/>
        <v>38</v>
      </c>
      <c r="C1044">
        <v>1</v>
      </c>
      <c r="D1044">
        <v>1</v>
      </c>
      <c r="E1044">
        <v>1</v>
      </c>
      <c r="F1044">
        <v>1</v>
      </c>
      <c r="G1044">
        <v>1</v>
      </c>
      <c r="J1044">
        <f t="shared" si="46"/>
        <v>38</v>
      </c>
      <c r="K1044">
        <v>1</v>
      </c>
      <c r="L1044">
        <v>1</v>
      </c>
      <c r="M1044">
        <v>1</v>
      </c>
      <c r="N1044">
        <v>1</v>
      </c>
      <c r="O1044">
        <v>1</v>
      </c>
      <c r="R1044">
        <f t="shared" si="47"/>
        <v>38</v>
      </c>
      <c r="S1044">
        <v>1</v>
      </c>
      <c r="T1044">
        <v>1</v>
      </c>
      <c r="U1044">
        <v>1</v>
      </c>
      <c r="V1044">
        <v>1</v>
      </c>
      <c r="W1044">
        <v>1</v>
      </c>
      <c r="AA1044">
        <v>-8708.6234000000004</v>
      </c>
      <c r="AB1044">
        <v>-8708.6234000000004</v>
      </c>
      <c r="AC1044">
        <v>-8708.6234000000004</v>
      </c>
      <c r="AD1044">
        <v>-8708.6234000000004</v>
      </c>
      <c r="AE1044">
        <v>-8708.6234000000004</v>
      </c>
      <c r="AF1044">
        <v>-783780.576</v>
      </c>
    </row>
    <row r="1045" spans="2:32" x14ac:dyDescent="0.25">
      <c r="B1045">
        <f t="shared" si="45"/>
        <v>39</v>
      </c>
      <c r="C1045">
        <v>1</v>
      </c>
      <c r="D1045">
        <v>1</v>
      </c>
      <c r="E1045">
        <v>1</v>
      </c>
      <c r="F1045">
        <v>1</v>
      </c>
      <c r="G1045">
        <v>1</v>
      </c>
      <c r="J1045">
        <f t="shared" si="46"/>
        <v>39</v>
      </c>
      <c r="K1045">
        <v>1</v>
      </c>
      <c r="L1045">
        <v>1</v>
      </c>
      <c r="M1045">
        <v>1</v>
      </c>
      <c r="N1045">
        <v>1</v>
      </c>
      <c r="O1045">
        <v>1</v>
      </c>
      <c r="R1045">
        <f t="shared" si="47"/>
        <v>39</v>
      </c>
      <c r="S1045">
        <v>1</v>
      </c>
      <c r="T1045">
        <v>1</v>
      </c>
      <c r="U1045">
        <v>1</v>
      </c>
      <c r="V1045">
        <v>1</v>
      </c>
      <c r="W1045">
        <v>1</v>
      </c>
      <c r="AA1045">
        <v>-8608.1594000000005</v>
      </c>
      <c r="AB1045">
        <v>-8608.1594000000005</v>
      </c>
      <c r="AC1045">
        <v>-8608.1594000000005</v>
      </c>
      <c r="AD1045">
        <v>-8608.1594000000005</v>
      </c>
      <c r="AE1045">
        <v>-8608.1594000000005</v>
      </c>
      <c r="AF1045">
        <v>-769662.22069999995</v>
      </c>
    </row>
    <row r="1046" spans="2:32" x14ac:dyDescent="0.25">
      <c r="B1046">
        <f t="shared" si="45"/>
        <v>40</v>
      </c>
      <c r="C1046">
        <v>1</v>
      </c>
      <c r="D1046">
        <v>1</v>
      </c>
      <c r="E1046">
        <v>1</v>
      </c>
      <c r="F1046">
        <v>1</v>
      </c>
      <c r="G1046">
        <v>1</v>
      </c>
      <c r="J1046">
        <f t="shared" si="46"/>
        <v>40</v>
      </c>
      <c r="K1046">
        <v>1</v>
      </c>
      <c r="L1046">
        <v>1</v>
      </c>
      <c r="M1046">
        <v>1</v>
      </c>
      <c r="N1046">
        <v>1</v>
      </c>
      <c r="O1046">
        <v>1</v>
      </c>
      <c r="R1046">
        <f t="shared" si="47"/>
        <v>40</v>
      </c>
      <c r="S1046">
        <v>1</v>
      </c>
      <c r="T1046">
        <v>1</v>
      </c>
      <c r="U1046">
        <v>1</v>
      </c>
      <c r="V1046">
        <v>1</v>
      </c>
      <c r="W1046">
        <v>1</v>
      </c>
      <c r="AA1046">
        <v>-8505.3439999999991</v>
      </c>
      <c r="AB1046">
        <v>-8505.3439999999991</v>
      </c>
      <c r="AC1046">
        <v>-8505.3439999999991</v>
      </c>
      <c r="AD1046">
        <v>-8505.3439999999991</v>
      </c>
      <c r="AE1046">
        <v>-8505.3439999999991</v>
      </c>
      <c r="AF1046">
        <v>-798570.41119999997</v>
      </c>
    </row>
    <row r="1047" spans="2:32" x14ac:dyDescent="0.25">
      <c r="B1047">
        <f t="shared" si="45"/>
        <v>41</v>
      </c>
      <c r="C1047">
        <v>1</v>
      </c>
      <c r="D1047">
        <v>1</v>
      </c>
      <c r="E1047">
        <v>1</v>
      </c>
      <c r="F1047">
        <v>1</v>
      </c>
      <c r="G1047">
        <v>1</v>
      </c>
      <c r="J1047">
        <f t="shared" si="46"/>
        <v>41</v>
      </c>
      <c r="K1047">
        <v>1</v>
      </c>
      <c r="L1047">
        <v>1</v>
      </c>
      <c r="M1047">
        <v>1</v>
      </c>
      <c r="N1047">
        <v>1</v>
      </c>
      <c r="O1047">
        <v>1</v>
      </c>
      <c r="R1047">
        <f t="shared" si="47"/>
        <v>41</v>
      </c>
      <c r="S1047">
        <v>1</v>
      </c>
      <c r="T1047">
        <v>1</v>
      </c>
      <c r="U1047">
        <v>1</v>
      </c>
      <c r="V1047">
        <v>1</v>
      </c>
      <c r="W1047">
        <v>1</v>
      </c>
      <c r="AA1047">
        <v>-8400.1087000000007</v>
      </c>
      <c r="AB1047">
        <v>-8400.1087000000007</v>
      </c>
      <c r="AC1047">
        <v>-8400.1087000000007</v>
      </c>
      <c r="AD1047">
        <v>-8400.1087000000007</v>
      </c>
      <c r="AE1047">
        <v>-8400.1087000000007</v>
      </c>
      <c r="AF1047">
        <v>-803549.96459999995</v>
      </c>
    </row>
    <row r="1048" spans="2:32" x14ac:dyDescent="0.25">
      <c r="B1048">
        <f t="shared" si="45"/>
        <v>42</v>
      </c>
      <c r="C1048">
        <v>1</v>
      </c>
      <c r="D1048">
        <v>1</v>
      </c>
      <c r="E1048">
        <v>1</v>
      </c>
      <c r="F1048">
        <v>1</v>
      </c>
      <c r="G1048">
        <v>1</v>
      </c>
      <c r="J1048">
        <f t="shared" si="46"/>
        <v>42</v>
      </c>
      <c r="K1048">
        <v>1</v>
      </c>
      <c r="L1048">
        <v>1</v>
      </c>
      <c r="M1048">
        <v>1</v>
      </c>
      <c r="N1048">
        <v>1</v>
      </c>
      <c r="O1048">
        <v>1</v>
      </c>
      <c r="R1048">
        <f t="shared" si="47"/>
        <v>42</v>
      </c>
      <c r="S1048">
        <v>1</v>
      </c>
      <c r="T1048">
        <v>1</v>
      </c>
      <c r="U1048">
        <v>1</v>
      </c>
      <c r="V1048">
        <v>1</v>
      </c>
      <c r="W1048">
        <v>1</v>
      </c>
      <c r="AA1048">
        <v>-8292.4974999999995</v>
      </c>
      <c r="AB1048">
        <v>-8292.4974999999995</v>
      </c>
      <c r="AC1048">
        <v>-8292.4974999999995</v>
      </c>
      <c r="AD1048">
        <v>-8292.4974999999995</v>
      </c>
      <c r="AE1048">
        <v>-8292.4974999999995</v>
      </c>
      <c r="AF1048">
        <v>-833551.75890000002</v>
      </c>
    </row>
    <row r="1049" spans="2:32" x14ac:dyDescent="0.25">
      <c r="B1049">
        <f t="shared" si="45"/>
        <v>43</v>
      </c>
      <c r="C1049">
        <v>1</v>
      </c>
      <c r="D1049">
        <v>1</v>
      </c>
      <c r="E1049">
        <v>1</v>
      </c>
      <c r="F1049">
        <v>1</v>
      </c>
      <c r="G1049">
        <v>1</v>
      </c>
      <c r="J1049">
        <f t="shared" si="46"/>
        <v>43</v>
      </c>
      <c r="K1049">
        <v>1</v>
      </c>
      <c r="L1049">
        <v>1</v>
      </c>
      <c r="M1049">
        <v>1</v>
      </c>
      <c r="N1049">
        <v>1</v>
      </c>
      <c r="O1049">
        <v>1</v>
      </c>
      <c r="R1049">
        <f t="shared" si="47"/>
        <v>43</v>
      </c>
      <c r="S1049">
        <v>1</v>
      </c>
      <c r="T1049">
        <v>1</v>
      </c>
      <c r="U1049">
        <v>1</v>
      </c>
      <c r="V1049">
        <v>1</v>
      </c>
      <c r="W1049">
        <v>1</v>
      </c>
      <c r="AA1049">
        <v>-8182.3909999999996</v>
      </c>
      <c r="AB1049">
        <v>-8182.3909999999996</v>
      </c>
      <c r="AC1049">
        <v>-8182.3909999999996</v>
      </c>
      <c r="AD1049">
        <v>-8182.3909999999996</v>
      </c>
      <c r="AE1049">
        <v>-8182.3909999999996</v>
      </c>
      <c r="AF1049">
        <v>-844950.93949999998</v>
      </c>
    </row>
    <row r="1050" spans="2:32" x14ac:dyDescent="0.25">
      <c r="B1050">
        <f t="shared" si="45"/>
        <v>44</v>
      </c>
      <c r="C1050">
        <v>1</v>
      </c>
      <c r="D1050">
        <v>1</v>
      </c>
      <c r="E1050">
        <v>1</v>
      </c>
      <c r="F1050">
        <v>1</v>
      </c>
      <c r="G1050">
        <v>1</v>
      </c>
      <c r="J1050">
        <f t="shared" si="46"/>
        <v>44</v>
      </c>
      <c r="K1050">
        <v>1</v>
      </c>
      <c r="L1050">
        <v>1</v>
      </c>
      <c r="M1050">
        <v>1</v>
      </c>
      <c r="N1050">
        <v>1</v>
      </c>
      <c r="O1050">
        <v>1</v>
      </c>
      <c r="R1050">
        <f t="shared" si="47"/>
        <v>44</v>
      </c>
      <c r="S1050">
        <v>1</v>
      </c>
      <c r="T1050">
        <v>1</v>
      </c>
      <c r="U1050">
        <v>1</v>
      </c>
      <c r="V1050">
        <v>1</v>
      </c>
      <c r="W1050">
        <v>1</v>
      </c>
      <c r="AA1050">
        <v>-8069.8261000000002</v>
      </c>
      <c r="AB1050">
        <v>-8069.8261000000002</v>
      </c>
      <c r="AC1050">
        <v>-8069.8261000000002</v>
      </c>
      <c r="AD1050">
        <v>-8069.8261000000002</v>
      </c>
      <c r="AE1050">
        <v>-8069.8261000000002</v>
      </c>
      <c r="AF1050">
        <v>-851265.64670000004</v>
      </c>
    </row>
    <row r="1051" spans="2:32" x14ac:dyDescent="0.25">
      <c r="B1051">
        <f t="shared" si="45"/>
        <v>45</v>
      </c>
      <c r="C1051">
        <v>1</v>
      </c>
      <c r="D1051">
        <v>1</v>
      </c>
      <c r="E1051">
        <v>1</v>
      </c>
      <c r="F1051">
        <v>1</v>
      </c>
      <c r="G1051">
        <v>1</v>
      </c>
      <c r="J1051">
        <f t="shared" si="46"/>
        <v>45</v>
      </c>
      <c r="K1051">
        <v>1</v>
      </c>
      <c r="L1051">
        <v>1</v>
      </c>
      <c r="M1051">
        <v>1</v>
      </c>
      <c r="N1051">
        <v>1</v>
      </c>
      <c r="O1051">
        <v>1</v>
      </c>
      <c r="R1051">
        <f t="shared" si="47"/>
        <v>45</v>
      </c>
      <c r="S1051">
        <v>1</v>
      </c>
      <c r="T1051">
        <v>1</v>
      </c>
      <c r="U1051">
        <v>1</v>
      </c>
      <c r="V1051">
        <v>1</v>
      </c>
      <c r="W1051">
        <v>1</v>
      </c>
      <c r="AA1051">
        <v>-7954.7533999999996</v>
      </c>
      <c r="AB1051">
        <v>-7954.7533999999996</v>
      </c>
      <c r="AC1051">
        <v>-7954.7533999999996</v>
      </c>
      <c r="AD1051">
        <v>-7954.7533999999996</v>
      </c>
      <c r="AE1051">
        <v>-7954.7533999999996</v>
      </c>
      <c r="AF1051">
        <v>-870649.02139999997</v>
      </c>
    </row>
    <row r="1052" spans="2:32" x14ac:dyDescent="0.25">
      <c r="B1052">
        <f t="shared" si="45"/>
        <v>46</v>
      </c>
      <c r="C1052">
        <v>1</v>
      </c>
      <c r="D1052">
        <v>1</v>
      </c>
      <c r="E1052">
        <v>1</v>
      </c>
      <c r="F1052">
        <v>1</v>
      </c>
      <c r="G1052">
        <v>1</v>
      </c>
      <c r="J1052">
        <f t="shared" si="46"/>
        <v>46</v>
      </c>
      <c r="K1052">
        <v>1</v>
      </c>
      <c r="L1052">
        <v>1</v>
      </c>
      <c r="M1052">
        <v>1</v>
      </c>
      <c r="N1052">
        <v>1</v>
      </c>
      <c r="O1052">
        <v>1</v>
      </c>
      <c r="R1052">
        <f t="shared" si="47"/>
        <v>46</v>
      </c>
      <c r="S1052">
        <v>1</v>
      </c>
      <c r="T1052">
        <v>1</v>
      </c>
      <c r="U1052">
        <v>1</v>
      </c>
      <c r="V1052">
        <v>1</v>
      </c>
      <c r="W1052">
        <v>1</v>
      </c>
      <c r="AA1052">
        <v>-7837.1754000000001</v>
      </c>
      <c r="AB1052">
        <v>-7837.1754000000001</v>
      </c>
      <c r="AC1052">
        <v>-7837.1754000000001</v>
      </c>
      <c r="AD1052">
        <v>-7837.1754000000001</v>
      </c>
      <c r="AE1052">
        <v>-7837.1754000000001</v>
      </c>
      <c r="AF1052">
        <v>-892550.54509999999</v>
      </c>
    </row>
    <row r="1053" spans="2:32" x14ac:dyDescent="0.25">
      <c r="B1053">
        <f t="shared" si="45"/>
        <v>47</v>
      </c>
      <c r="C1053">
        <v>1</v>
      </c>
      <c r="D1053">
        <v>1</v>
      </c>
      <c r="E1053">
        <v>1</v>
      </c>
      <c r="F1053">
        <v>1</v>
      </c>
      <c r="G1053">
        <v>1</v>
      </c>
      <c r="J1053">
        <f t="shared" si="46"/>
        <v>47</v>
      </c>
      <c r="K1053">
        <v>1</v>
      </c>
      <c r="L1053">
        <v>1</v>
      </c>
      <c r="M1053">
        <v>1</v>
      </c>
      <c r="N1053">
        <v>1</v>
      </c>
      <c r="O1053">
        <v>1</v>
      </c>
      <c r="R1053">
        <f t="shared" si="47"/>
        <v>47</v>
      </c>
      <c r="S1053">
        <v>1</v>
      </c>
      <c r="T1053">
        <v>1</v>
      </c>
      <c r="U1053">
        <v>1</v>
      </c>
      <c r="V1053">
        <v>1</v>
      </c>
      <c r="W1053">
        <v>1</v>
      </c>
      <c r="AA1053">
        <v>-7717.0294999999996</v>
      </c>
      <c r="AB1053">
        <v>-7717.0294999999996</v>
      </c>
      <c r="AC1053">
        <v>-7717.0294999999996</v>
      </c>
      <c r="AD1053">
        <v>-7717.0294999999996</v>
      </c>
      <c r="AE1053">
        <v>-7717.0294999999996</v>
      </c>
      <c r="AF1053">
        <v>-910915.81969999999</v>
      </c>
    </row>
    <row r="1054" spans="2:32" x14ac:dyDescent="0.25">
      <c r="B1054">
        <f t="shared" si="45"/>
        <v>48</v>
      </c>
      <c r="C1054">
        <v>1</v>
      </c>
      <c r="D1054">
        <v>1</v>
      </c>
      <c r="E1054">
        <v>1</v>
      </c>
      <c r="F1054">
        <v>1</v>
      </c>
      <c r="G1054">
        <v>1</v>
      </c>
      <c r="J1054">
        <f t="shared" si="46"/>
        <v>48</v>
      </c>
      <c r="K1054">
        <v>1</v>
      </c>
      <c r="L1054">
        <v>1</v>
      </c>
      <c r="M1054">
        <v>1</v>
      </c>
      <c r="N1054">
        <v>1</v>
      </c>
      <c r="O1054">
        <v>1</v>
      </c>
      <c r="R1054">
        <f t="shared" si="47"/>
        <v>48</v>
      </c>
      <c r="S1054">
        <v>1</v>
      </c>
      <c r="T1054">
        <v>1</v>
      </c>
      <c r="U1054">
        <v>1</v>
      </c>
      <c r="V1054">
        <v>1</v>
      </c>
      <c r="W1054">
        <v>1</v>
      </c>
      <c r="AA1054">
        <v>-7594.4201000000003</v>
      </c>
      <c r="AB1054">
        <v>-7594.4201000000003</v>
      </c>
      <c r="AC1054">
        <v>-7594.4201000000003</v>
      </c>
      <c r="AD1054">
        <v>-7594.4201000000003</v>
      </c>
      <c r="AE1054">
        <v>-7594.4201000000003</v>
      </c>
      <c r="AF1054">
        <v>-917891.87360000005</v>
      </c>
    </row>
    <row r="1055" spans="2:32" x14ac:dyDescent="0.25">
      <c r="B1055">
        <f t="shared" si="45"/>
        <v>49</v>
      </c>
      <c r="C1055">
        <v>1</v>
      </c>
      <c r="D1055">
        <v>1</v>
      </c>
      <c r="E1055">
        <v>1</v>
      </c>
      <c r="F1055">
        <v>1</v>
      </c>
      <c r="G1055">
        <v>1</v>
      </c>
      <c r="J1055">
        <f t="shared" si="46"/>
        <v>49</v>
      </c>
      <c r="K1055">
        <v>1</v>
      </c>
      <c r="L1055">
        <v>1</v>
      </c>
      <c r="M1055">
        <v>1</v>
      </c>
      <c r="N1055">
        <v>1</v>
      </c>
      <c r="O1055">
        <v>1</v>
      </c>
      <c r="R1055">
        <f t="shared" si="47"/>
        <v>49</v>
      </c>
      <c r="S1055">
        <v>1</v>
      </c>
      <c r="T1055">
        <v>1</v>
      </c>
      <c r="U1055">
        <v>1</v>
      </c>
      <c r="V1055">
        <v>1</v>
      </c>
      <c r="W1055">
        <v>1</v>
      </c>
      <c r="AA1055">
        <v>-7469.3995999999997</v>
      </c>
      <c r="AB1055">
        <v>-7469.3995999999997</v>
      </c>
      <c r="AC1055">
        <v>-7469.3995999999997</v>
      </c>
      <c r="AD1055">
        <v>-7469.3995999999997</v>
      </c>
      <c r="AE1055">
        <v>-7469.3995999999997</v>
      </c>
      <c r="AF1055">
        <v>-944521.72470000002</v>
      </c>
    </row>
    <row r="1056" spans="2:32" x14ac:dyDescent="0.25">
      <c r="B1056">
        <f t="shared" si="45"/>
        <v>50</v>
      </c>
      <c r="C1056">
        <v>1</v>
      </c>
      <c r="D1056">
        <v>1</v>
      </c>
      <c r="E1056">
        <v>1</v>
      </c>
      <c r="F1056">
        <v>1</v>
      </c>
      <c r="G1056">
        <v>1</v>
      </c>
      <c r="J1056">
        <f t="shared" si="46"/>
        <v>50</v>
      </c>
      <c r="K1056">
        <v>1</v>
      </c>
      <c r="L1056">
        <v>1</v>
      </c>
      <c r="M1056">
        <v>1</v>
      </c>
      <c r="N1056">
        <v>1</v>
      </c>
      <c r="O1056">
        <v>1</v>
      </c>
      <c r="R1056">
        <f t="shared" si="47"/>
        <v>50</v>
      </c>
      <c r="S1056">
        <v>1</v>
      </c>
      <c r="T1056">
        <v>1</v>
      </c>
      <c r="U1056">
        <v>1</v>
      </c>
      <c r="V1056">
        <v>1</v>
      </c>
      <c r="W1056">
        <v>1</v>
      </c>
      <c r="AA1056">
        <v>-7341.9502000000002</v>
      </c>
      <c r="AB1056">
        <v>-7341.9502000000002</v>
      </c>
      <c r="AC1056">
        <v>-7341.9502000000002</v>
      </c>
      <c r="AD1056">
        <v>-7341.9502000000002</v>
      </c>
      <c r="AE1056">
        <v>-7341.9502000000002</v>
      </c>
      <c r="AF1056">
        <v>-944521.72470000002</v>
      </c>
    </row>
    <row r="1057" spans="2:32" x14ac:dyDescent="0.25">
      <c r="B1057">
        <f t="shared" si="45"/>
        <v>51</v>
      </c>
      <c r="C1057">
        <v>1</v>
      </c>
      <c r="D1057">
        <v>1</v>
      </c>
      <c r="E1057">
        <v>1</v>
      </c>
      <c r="F1057">
        <v>1</v>
      </c>
      <c r="G1057">
        <v>1</v>
      </c>
      <c r="J1057">
        <f t="shared" si="46"/>
        <v>51</v>
      </c>
      <c r="K1057">
        <v>1</v>
      </c>
      <c r="L1057">
        <v>1</v>
      </c>
      <c r="M1057">
        <v>1</v>
      </c>
      <c r="N1057">
        <v>1</v>
      </c>
      <c r="O1057">
        <v>1</v>
      </c>
      <c r="R1057">
        <f t="shared" si="47"/>
        <v>51</v>
      </c>
      <c r="S1057">
        <v>1</v>
      </c>
      <c r="T1057">
        <v>1</v>
      </c>
      <c r="U1057">
        <v>1</v>
      </c>
      <c r="V1057">
        <v>1</v>
      </c>
      <c r="W1057">
        <v>1</v>
      </c>
      <c r="AA1057">
        <v>-7212.0646999999999</v>
      </c>
      <c r="AB1057">
        <v>-7212.0646999999999</v>
      </c>
      <c r="AC1057">
        <v>-7212.0646999999999</v>
      </c>
      <c r="AD1057">
        <v>-7212.0646999999999</v>
      </c>
      <c r="AE1057">
        <v>-7212.0646999999999</v>
      </c>
      <c r="AF1057">
        <v>-981592.90729999996</v>
      </c>
    </row>
    <row r="1058" spans="2:32" x14ac:dyDescent="0.25">
      <c r="B1058">
        <f t="shared" si="45"/>
        <v>52</v>
      </c>
      <c r="C1058">
        <v>1</v>
      </c>
      <c r="D1058">
        <v>1</v>
      </c>
      <c r="E1058">
        <v>1</v>
      </c>
      <c r="F1058">
        <v>1</v>
      </c>
      <c r="G1058">
        <v>1</v>
      </c>
      <c r="J1058">
        <f t="shared" si="46"/>
        <v>52</v>
      </c>
      <c r="K1058">
        <v>1</v>
      </c>
      <c r="L1058">
        <v>1</v>
      </c>
      <c r="M1058">
        <v>1</v>
      </c>
      <c r="N1058">
        <v>1</v>
      </c>
      <c r="O1058">
        <v>1</v>
      </c>
      <c r="R1058">
        <f t="shared" si="47"/>
        <v>52</v>
      </c>
      <c r="S1058">
        <v>1</v>
      </c>
      <c r="T1058">
        <v>1</v>
      </c>
      <c r="U1058">
        <v>1</v>
      </c>
      <c r="V1058">
        <v>1</v>
      </c>
      <c r="W1058">
        <v>1</v>
      </c>
      <c r="AA1058">
        <v>-7079.7435999999998</v>
      </c>
      <c r="AB1058">
        <v>-7079.7435999999998</v>
      </c>
      <c r="AC1058">
        <v>-7079.7435999999998</v>
      </c>
      <c r="AD1058">
        <v>-7079.7435999999998</v>
      </c>
      <c r="AE1058">
        <v>-7079.7435999999998</v>
      </c>
      <c r="AF1058">
        <v>-998556.10360000003</v>
      </c>
    </row>
    <row r="1059" spans="2:32" x14ac:dyDescent="0.25">
      <c r="B1059">
        <f t="shared" si="45"/>
        <v>53</v>
      </c>
      <c r="C1059">
        <v>1</v>
      </c>
      <c r="D1059">
        <v>1</v>
      </c>
      <c r="E1059">
        <v>1</v>
      </c>
      <c r="F1059">
        <v>1</v>
      </c>
      <c r="G1059">
        <v>1</v>
      </c>
      <c r="J1059">
        <f t="shared" si="46"/>
        <v>53</v>
      </c>
      <c r="K1059">
        <v>1</v>
      </c>
      <c r="L1059">
        <v>1</v>
      </c>
      <c r="M1059">
        <v>1</v>
      </c>
      <c r="N1059">
        <v>1</v>
      </c>
      <c r="O1059">
        <v>1</v>
      </c>
      <c r="R1059">
        <f t="shared" si="47"/>
        <v>53</v>
      </c>
      <c r="S1059">
        <v>1</v>
      </c>
      <c r="T1059">
        <v>1</v>
      </c>
      <c r="U1059">
        <v>1</v>
      </c>
      <c r="V1059">
        <v>1</v>
      </c>
      <c r="W1059">
        <v>1</v>
      </c>
      <c r="AA1059">
        <v>-6945.0875999999998</v>
      </c>
      <c r="AB1059">
        <v>-6945.0875999999998</v>
      </c>
      <c r="AC1059">
        <v>-6945.0875999999998</v>
      </c>
      <c r="AD1059">
        <v>-6945.0875999999998</v>
      </c>
      <c r="AE1059">
        <v>-6945.0875999999998</v>
      </c>
      <c r="AF1059">
        <v>-1015461.3278</v>
      </c>
    </row>
    <row r="1060" spans="2:32" x14ac:dyDescent="0.25">
      <c r="B1060">
        <f t="shared" si="45"/>
        <v>54</v>
      </c>
      <c r="C1060">
        <v>1</v>
      </c>
      <c r="D1060">
        <v>1</v>
      </c>
      <c r="E1060">
        <v>1</v>
      </c>
      <c r="F1060">
        <v>1</v>
      </c>
      <c r="G1060">
        <v>1</v>
      </c>
      <c r="J1060">
        <f t="shared" si="46"/>
        <v>54</v>
      </c>
      <c r="K1060">
        <v>1</v>
      </c>
      <c r="L1060">
        <v>1</v>
      </c>
      <c r="M1060">
        <v>1</v>
      </c>
      <c r="N1060">
        <v>1</v>
      </c>
      <c r="O1060">
        <v>1</v>
      </c>
      <c r="R1060">
        <f t="shared" si="47"/>
        <v>54</v>
      </c>
      <c r="S1060">
        <v>1</v>
      </c>
      <c r="T1060">
        <v>1</v>
      </c>
      <c r="U1060">
        <v>1</v>
      </c>
      <c r="V1060">
        <v>1</v>
      </c>
      <c r="W1060">
        <v>1</v>
      </c>
      <c r="AA1060">
        <v>-6808.2438000000002</v>
      </c>
      <c r="AB1060">
        <v>-6808.2438000000002</v>
      </c>
      <c r="AC1060">
        <v>-6808.2438000000002</v>
      </c>
      <c r="AD1060">
        <v>-6808.2438000000002</v>
      </c>
      <c r="AE1060">
        <v>-6808.2438000000002</v>
      </c>
      <c r="AF1060">
        <v>-1033869.6813000001</v>
      </c>
    </row>
    <row r="1061" spans="2:32" x14ac:dyDescent="0.25">
      <c r="B1061">
        <f t="shared" si="45"/>
        <v>55</v>
      </c>
      <c r="C1061">
        <v>1</v>
      </c>
      <c r="D1061">
        <v>1</v>
      </c>
      <c r="E1061">
        <v>1</v>
      </c>
      <c r="F1061">
        <v>1</v>
      </c>
      <c r="G1061">
        <v>1</v>
      </c>
      <c r="J1061">
        <f t="shared" si="46"/>
        <v>55</v>
      </c>
      <c r="K1061">
        <v>1</v>
      </c>
      <c r="L1061">
        <v>1</v>
      </c>
      <c r="M1061">
        <v>1</v>
      </c>
      <c r="N1061">
        <v>1</v>
      </c>
      <c r="O1061">
        <v>1</v>
      </c>
      <c r="R1061">
        <f t="shared" si="47"/>
        <v>55</v>
      </c>
      <c r="S1061">
        <v>1</v>
      </c>
      <c r="T1061">
        <v>1</v>
      </c>
      <c r="U1061">
        <v>1</v>
      </c>
      <c r="V1061">
        <v>1</v>
      </c>
      <c r="W1061">
        <v>1</v>
      </c>
      <c r="AA1061">
        <v>-6669.2525999999998</v>
      </c>
      <c r="AB1061">
        <v>-6669.2525999999998</v>
      </c>
      <c r="AC1061">
        <v>-6669.2525999999998</v>
      </c>
      <c r="AD1061">
        <v>-6669.2525999999998</v>
      </c>
      <c r="AE1061">
        <v>-6669.2525999999998</v>
      </c>
      <c r="AF1061">
        <v>-1050810.2549999999</v>
      </c>
    </row>
    <row r="1062" spans="2:32" x14ac:dyDescent="0.25">
      <c r="B1062">
        <f t="shared" si="45"/>
        <v>56</v>
      </c>
      <c r="C1062">
        <v>1</v>
      </c>
      <c r="D1062">
        <v>1</v>
      </c>
      <c r="E1062">
        <v>1</v>
      </c>
      <c r="F1062">
        <v>1</v>
      </c>
      <c r="G1062">
        <v>1</v>
      </c>
      <c r="J1062">
        <f t="shared" si="46"/>
        <v>56</v>
      </c>
      <c r="K1062">
        <v>1</v>
      </c>
      <c r="L1062">
        <v>1</v>
      </c>
      <c r="M1062">
        <v>1</v>
      </c>
      <c r="N1062">
        <v>1</v>
      </c>
      <c r="O1062">
        <v>1</v>
      </c>
      <c r="R1062">
        <f t="shared" si="47"/>
        <v>56</v>
      </c>
      <c r="S1062">
        <v>1</v>
      </c>
      <c r="T1062">
        <v>1</v>
      </c>
      <c r="U1062">
        <v>1</v>
      </c>
      <c r="V1062">
        <v>1</v>
      </c>
      <c r="W1062">
        <v>1</v>
      </c>
      <c r="AA1062">
        <v>-6528.2992000000004</v>
      </c>
      <c r="AB1062">
        <v>-6528.2992000000004</v>
      </c>
      <c r="AC1062">
        <v>-6528.2992000000004</v>
      </c>
      <c r="AD1062">
        <v>-6528.2992000000004</v>
      </c>
      <c r="AE1062">
        <v>-6528.2992000000004</v>
      </c>
      <c r="AF1062">
        <v>-1073295.8774000001</v>
      </c>
    </row>
    <row r="1063" spans="2:32" x14ac:dyDescent="0.25">
      <c r="B1063">
        <f t="shared" si="45"/>
        <v>57</v>
      </c>
      <c r="C1063">
        <v>1</v>
      </c>
      <c r="D1063">
        <v>1</v>
      </c>
      <c r="E1063">
        <v>1</v>
      </c>
      <c r="F1063">
        <v>1</v>
      </c>
      <c r="G1063">
        <v>1</v>
      </c>
      <c r="J1063">
        <f t="shared" si="46"/>
        <v>57</v>
      </c>
      <c r="K1063">
        <v>1</v>
      </c>
      <c r="L1063">
        <v>1</v>
      </c>
      <c r="M1063">
        <v>1</v>
      </c>
      <c r="N1063">
        <v>1</v>
      </c>
      <c r="O1063">
        <v>1</v>
      </c>
      <c r="R1063">
        <f t="shared" si="47"/>
        <v>57</v>
      </c>
      <c r="S1063">
        <v>1</v>
      </c>
      <c r="T1063">
        <v>1</v>
      </c>
      <c r="U1063">
        <v>1</v>
      </c>
      <c r="V1063">
        <v>1</v>
      </c>
      <c r="W1063">
        <v>1</v>
      </c>
      <c r="AA1063">
        <v>-6385.5230000000001</v>
      </c>
      <c r="AB1063">
        <v>-6385.5230000000001</v>
      </c>
      <c r="AC1063">
        <v>-6385.5230000000001</v>
      </c>
      <c r="AD1063">
        <v>-6385.5230000000001</v>
      </c>
      <c r="AE1063">
        <v>-6385.5230000000001</v>
      </c>
      <c r="AF1063">
        <v>-1093242.6832999999</v>
      </c>
    </row>
    <row r="1064" spans="2:32" x14ac:dyDescent="0.25">
      <c r="B1064">
        <f t="shared" si="45"/>
        <v>58</v>
      </c>
      <c r="C1064">
        <v>1</v>
      </c>
      <c r="D1064">
        <v>1</v>
      </c>
      <c r="E1064">
        <v>1</v>
      </c>
      <c r="F1064">
        <v>1</v>
      </c>
      <c r="G1064">
        <v>1</v>
      </c>
      <c r="J1064">
        <f t="shared" si="46"/>
        <v>58</v>
      </c>
      <c r="K1064">
        <v>1</v>
      </c>
      <c r="L1064">
        <v>1</v>
      </c>
      <c r="M1064">
        <v>1</v>
      </c>
      <c r="N1064">
        <v>1</v>
      </c>
      <c r="O1064">
        <v>1</v>
      </c>
      <c r="R1064">
        <f t="shared" si="47"/>
        <v>58</v>
      </c>
      <c r="S1064">
        <v>1</v>
      </c>
      <c r="T1064">
        <v>1</v>
      </c>
      <c r="U1064">
        <v>1</v>
      </c>
      <c r="V1064">
        <v>1</v>
      </c>
      <c r="W1064">
        <v>1</v>
      </c>
      <c r="AA1064">
        <v>-6240.8730999999998</v>
      </c>
      <c r="AB1064">
        <v>-6240.8730999999998</v>
      </c>
      <c r="AC1064">
        <v>-6240.8730999999998</v>
      </c>
      <c r="AD1064">
        <v>-6240.8730999999998</v>
      </c>
      <c r="AE1064">
        <v>-6240.8730999999998</v>
      </c>
      <c r="AF1064">
        <v>-1114366.6444000001</v>
      </c>
    </row>
    <row r="1065" spans="2:32" x14ac:dyDescent="0.25">
      <c r="B1065">
        <f t="shared" si="45"/>
        <v>59</v>
      </c>
      <c r="C1065">
        <v>1</v>
      </c>
      <c r="D1065">
        <v>1</v>
      </c>
      <c r="E1065">
        <v>1</v>
      </c>
      <c r="F1065">
        <v>1</v>
      </c>
      <c r="G1065">
        <v>1</v>
      </c>
      <c r="J1065">
        <f t="shared" si="46"/>
        <v>59</v>
      </c>
      <c r="K1065">
        <v>1</v>
      </c>
      <c r="L1065">
        <v>1</v>
      </c>
      <c r="M1065">
        <v>1</v>
      </c>
      <c r="N1065">
        <v>1</v>
      </c>
      <c r="O1065">
        <v>1</v>
      </c>
      <c r="R1065">
        <f t="shared" si="47"/>
        <v>59</v>
      </c>
      <c r="S1065">
        <v>1</v>
      </c>
      <c r="T1065">
        <v>1</v>
      </c>
      <c r="U1065">
        <v>1</v>
      </c>
      <c r="V1065">
        <v>1</v>
      </c>
      <c r="W1065">
        <v>1</v>
      </c>
      <c r="AA1065">
        <v>-6094.3262999999997</v>
      </c>
      <c r="AB1065">
        <v>-6094.3262999999997</v>
      </c>
      <c r="AC1065">
        <v>-6094.3262999999997</v>
      </c>
      <c r="AD1065">
        <v>-6094.3262999999997</v>
      </c>
      <c r="AE1065">
        <v>-6094.3262999999997</v>
      </c>
      <c r="AF1065">
        <v>-1136284.0146999999</v>
      </c>
    </row>
    <row r="1066" spans="2:32" x14ac:dyDescent="0.25">
      <c r="B1066">
        <f t="shared" si="45"/>
        <v>60</v>
      </c>
      <c r="C1066">
        <v>1</v>
      </c>
      <c r="D1066">
        <v>1</v>
      </c>
      <c r="E1066">
        <v>1</v>
      </c>
      <c r="F1066">
        <v>1</v>
      </c>
      <c r="G1066">
        <v>1</v>
      </c>
      <c r="J1066">
        <f t="shared" si="46"/>
        <v>60</v>
      </c>
      <c r="K1066">
        <v>1</v>
      </c>
      <c r="L1066">
        <v>1</v>
      </c>
      <c r="M1066">
        <v>1</v>
      </c>
      <c r="N1066">
        <v>1</v>
      </c>
      <c r="O1066">
        <v>1</v>
      </c>
      <c r="R1066">
        <f t="shared" si="47"/>
        <v>60</v>
      </c>
      <c r="S1066">
        <v>1</v>
      </c>
      <c r="T1066">
        <v>1</v>
      </c>
      <c r="U1066">
        <v>1</v>
      </c>
      <c r="V1066">
        <v>1</v>
      </c>
      <c r="W1066">
        <v>1</v>
      </c>
      <c r="AA1066">
        <v>-5945.9960000000001</v>
      </c>
      <c r="AB1066">
        <v>-5945.9960000000001</v>
      </c>
      <c r="AC1066">
        <v>-5945.9960000000001</v>
      </c>
      <c r="AD1066">
        <v>-5945.9960000000001</v>
      </c>
      <c r="AE1066">
        <v>-5945.9960000000001</v>
      </c>
      <c r="AF1066">
        <v>-1157801.6717999999</v>
      </c>
    </row>
    <row r="1067" spans="2:32" x14ac:dyDescent="0.25">
      <c r="B1067">
        <f t="shared" si="45"/>
        <v>61</v>
      </c>
      <c r="C1067">
        <v>1</v>
      </c>
      <c r="D1067">
        <v>1</v>
      </c>
      <c r="E1067">
        <v>1</v>
      </c>
      <c r="F1067">
        <v>1</v>
      </c>
      <c r="G1067">
        <v>1</v>
      </c>
      <c r="J1067">
        <f t="shared" si="46"/>
        <v>61</v>
      </c>
      <c r="K1067">
        <v>1</v>
      </c>
      <c r="L1067">
        <v>1</v>
      </c>
      <c r="M1067">
        <v>1</v>
      </c>
      <c r="N1067">
        <v>1</v>
      </c>
      <c r="O1067">
        <v>1</v>
      </c>
      <c r="R1067">
        <f t="shared" si="47"/>
        <v>61</v>
      </c>
      <c r="S1067">
        <v>1</v>
      </c>
      <c r="T1067">
        <v>1</v>
      </c>
      <c r="U1067">
        <v>1</v>
      </c>
      <c r="V1067">
        <v>1</v>
      </c>
      <c r="W1067">
        <v>1</v>
      </c>
      <c r="AA1067">
        <v>-5796.3015999999998</v>
      </c>
      <c r="AB1067">
        <v>-5796.3015999999998</v>
      </c>
      <c r="AC1067">
        <v>-5796.3015999999998</v>
      </c>
      <c r="AD1067">
        <v>-5796.3015999999998</v>
      </c>
      <c r="AE1067">
        <v>-5796.3015999999998</v>
      </c>
      <c r="AF1067">
        <v>-1178581.4038</v>
      </c>
    </row>
    <row r="1068" spans="2:32" x14ac:dyDescent="0.25">
      <c r="B1068">
        <f t="shared" si="45"/>
        <v>62</v>
      </c>
      <c r="C1068">
        <v>1</v>
      </c>
      <c r="D1068">
        <v>1</v>
      </c>
      <c r="E1068">
        <v>1</v>
      </c>
      <c r="F1068">
        <v>1</v>
      </c>
      <c r="G1068">
        <v>1</v>
      </c>
      <c r="J1068">
        <f t="shared" si="46"/>
        <v>62</v>
      </c>
      <c r="K1068">
        <v>1</v>
      </c>
      <c r="L1068">
        <v>1</v>
      </c>
      <c r="M1068">
        <v>1</v>
      </c>
      <c r="N1068">
        <v>1</v>
      </c>
      <c r="O1068">
        <v>1</v>
      </c>
      <c r="R1068">
        <f t="shared" si="47"/>
        <v>62</v>
      </c>
      <c r="S1068">
        <v>1</v>
      </c>
      <c r="T1068">
        <v>1</v>
      </c>
      <c r="U1068">
        <v>1</v>
      </c>
      <c r="V1068">
        <v>1</v>
      </c>
      <c r="W1068">
        <v>1</v>
      </c>
      <c r="AA1068">
        <v>-5645.2415000000001</v>
      </c>
      <c r="AB1068">
        <v>-5645.2415000000001</v>
      </c>
      <c r="AC1068">
        <v>-5645.2415000000001</v>
      </c>
      <c r="AD1068">
        <v>-5645.2415000000001</v>
      </c>
      <c r="AE1068">
        <v>-5645.2415000000001</v>
      </c>
      <c r="AF1068">
        <v>-1199521.5327000001</v>
      </c>
    </row>
    <row r="1069" spans="2:32" x14ac:dyDescent="0.25">
      <c r="B1069">
        <f t="shared" si="45"/>
        <v>63</v>
      </c>
      <c r="C1069">
        <v>1</v>
      </c>
      <c r="D1069">
        <v>1</v>
      </c>
      <c r="E1069">
        <v>1</v>
      </c>
      <c r="F1069">
        <v>1</v>
      </c>
      <c r="G1069">
        <v>1</v>
      </c>
      <c r="J1069">
        <f t="shared" si="46"/>
        <v>63</v>
      </c>
      <c r="K1069">
        <v>1</v>
      </c>
      <c r="L1069">
        <v>1</v>
      </c>
      <c r="M1069">
        <v>1</v>
      </c>
      <c r="N1069">
        <v>1</v>
      </c>
      <c r="O1069">
        <v>1</v>
      </c>
      <c r="R1069">
        <f t="shared" si="47"/>
        <v>63</v>
      </c>
      <c r="S1069">
        <v>1</v>
      </c>
      <c r="T1069">
        <v>1</v>
      </c>
      <c r="U1069">
        <v>1</v>
      </c>
      <c r="V1069">
        <v>1</v>
      </c>
      <c r="W1069">
        <v>1</v>
      </c>
      <c r="AA1069">
        <v>-5492.4920000000002</v>
      </c>
      <c r="AB1069">
        <v>-5492.4920000000002</v>
      </c>
      <c r="AC1069">
        <v>-5492.4920000000002</v>
      </c>
      <c r="AD1069">
        <v>-5492.4920000000002</v>
      </c>
      <c r="AE1069">
        <v>-5492.4920000000002</v>
      </c>
      <c r="AF1069">
        <v>-1220461.6269</v>
      </c>
    </row>
    <row r="1070" spans="2:32" x14ac:dyDescent="0.25">
      <c r="B1070">
        <f t="shared" si="45"/>
        <v>64</v>
      </c>
      <c r="C1070">
        <v>1</v>
      </c>
      <c r="D1070">
        <v>1</v>
      </c>
      <c r="E1070">
        <v>1</v>
      </c>
      <c r="F1070">
        <v>1</v>
      </c>
      <c r="G1070">
        <v>1</v>
      </c>
      <c r="J1070">
        <f t="shared" si="46"/>
        <v>64</v>
      </c>
      <c r="K1070">
        <v>1</v>
      </c>
      <c r="L1070">
        <v>1</v>
      </c>
      <c r="M1070">
        <v>1</v>
      </c>
      <c r="N1070">
        <v>1</v>
      </c>
      <c r="O1070">
        <v>1</v>
      </c>
      <c r="R1070">
        <f t="shared" si="47"/>
        <v>64</v>
      </c>
      <c r="S1070">
        <v>1</v>
      </c>
      <c r="T1070">
        <v>1</v>
      </c>
      <c r="U1070">
        <v>1</v>
      </c>
      <c r="V1070">
        <v>1</v>
      </c>
      <c r="W1070">
        <v>1</v>
      </c>
      <c r="AA1070">
        <v>-5338.1817000000001</v>
      </c>
      <c r="AB1070">
        <v>-5338.1817000000001</v>
      </c>
      <c r="AC1070">
        <v>-5338.1817000000001</v>
      </c>
      <c r="AD1070">
        <v>-5338.1817000000001</v>
      </c>
      <c r="AE1070">
        <v>-5338.1817000000001</v>
      </c>
      <c r="AF1070">
        <v>-1240652.2526</v>
      </c>
    </row>
    <row r="1071" spans="2:32" x14ac:dyDescent="0.25">
      <c r="B1071">
        <f t="shared" si="45"/>
        <v>65</v>
      </c>
      <c r="C1071">
        <v>1</v>
      </c>
      <c r="D1071">
        <v>1</v>
      </c>
      <c r="E1071">
        <v>1</v>
      </c>
      <c r="F1071">
        <v>1</v>
      </c>
      <c r="G1071">
        <v>1</v>
      </c>
      <c r="J1071">
        <f t="shared" si="46"/>
        <v>65</v>
      </c>
      <c r="K1071">
        <v>1</v>
      </c>
      <c r="L1071">
        <v>1</v>
      </c>
      <c r="M1071">
        <v>1</v>
      </c>
      <c r="N1071">
        <v>1</v>
      </c>
      <c r="O1071">
        <v>1</v>
      </c>
      <c r="R1071">
        <f t="shared" si="47"/>
        <v>65</v>
      </c>
      <c r="S1071">
        <v>1</v>
      </c>
      <c r="T1071">
        <v>1</v>
      </c>
      <c r="U1071">
        <v>1</v>
      </c>
      <c r="V1071">
        <v>1</v>
      </c>
      <c r="W1071">
        <v>1</v>
      </c>
      <c r="AA1071">
        <v>-5182.2268999999997</v>
      </c>
      <c r="AB1071">
        <v>-5182.2268999999997</v>
      </c>
      <c r="AC1071">
        <v>-5182.2268999999997</v>
      </c>
      <c r="AD1071">
        <v>-5182.2268999999997</v>
      </c>
      <c r="AE1071">
        <v>-5182.2268999999997</v>
      </c>
      <c r="AF1071">
        <v>-1260049.8302</v>
      </c>
    </row>
    <row r="1074" spans="2:32" x14ac:dyDescent="0.25">
      <c r="B1074" t="s">
        <v>46</v>
      </c>
      <c r="C1074">
        <v>50000</v>
      </c>
      <c r="D1074">
        <v>100000</v>
      </c>
      <c r="E1074">
        <v>250000</v>
      </c>
      <c r="F1074">
        <v>500000</v>
      </c>
      <c r="G1074">
        <v>1000000</v>
      </c>
      <c r="H1074">
        <v>2000000</v>
      </c>
      <c r="J1074" t="s">
        <v>47</v>
      </c>
      <c r="K1074">
        <v>50000</v>
      </c>
      <c r="L1074">
        <v>100000</v>
      </c>
      <c r="M1074">
        <v>250000</v>
      </c>
      <c r="N1074">
        <v>500000</v>
      </c>
      <c r="O1074">
        <v>1000000</v>
      </c>
      <c r="P1074">
        <v>2000000</v>
      </c>
      <c r="R1074" t="s">
        <v>48</v>
      </c>
      <c r="S1074">
        <v>50000</v>
      </c>
      <c r="T1074">
        <v>100000</v>
      </c>
      <c r="U1074">
        <v>250000</v>
      </c>
      <c r="V1074">
        <v>500000</v>
      </c>
      <c r="W1074">
        <v>1000000</v>
      </c>
      <c r="X1074">
        <v>2000000</v>
      </c>
    </row>
    <row r="1075" spans="2:32" x14ac:dyDescent="0.25">
      <c r="B1075">
        <v>26</v>
      </c>
      <c r="C1075">
        <v>1</v>
      </c>
      <c r="D1075">
        <v>1</v>
      </c>
      <c r="E1075">
        <v>1</v>
      </c>
      <c r="F1075">
        <v>1</v>
      </c>
      <c r="G1075">
        <v>1</v>
      </c>
      <c r="H1075">
        <v>1</v>
      </c>
      <c r="J1075">
        <v>26</v>
      </c>
      <c r="K1075">
        <v>1</v>
      </c>
      <c r="L1075">
        <v>1</v>
      </c>
      <c r="M1075">
        <v>1</v>
      </c>
      <c r="N1075">
        <v>1</v>
      </c>
      <c r="O1075">
        <v>1</v>
      </c>
      <c r="P1075">
        <v>1</v>
      </c>
      <c r="R1075">
        <v>26</v>
      </c>
      <c r="S1075">
        <v>1</v>
      </c>
      <c r="T1075">
        <v>1</v>
      </c>
      <c r="U1075">
        <v>1</v>
      </c>
      <c r="V1075">
        <v>1</v>
      </c>
      <c r="W1075">
        <v>1</v>
      </c>
      <c r="X1075">
        <v>1</v>
      </c>
      <c r="AA1075">
        <v>-5174.8482999999997</v>
      </c>
      <c r="AB1075">
        <v>-5174.8482999999997</v>
      </c>
      <c r="AC1075">
        <v>-5174.8482999999997</v>
      </c>
      <c r="AD1075">
        <v>-5174.8482999999997</v>
      </c>
      <c r="AE1075">
        <v>-5174.8482999999997</v>
      </c>
      <c r="AF1075">
        <v>-5174.8482999999997</v>
      </c>
    </row>
    <row r="1076" spans="2:32" x14ac:dyDescent="0.25">
      <c r="B1076">
        <v>27</v>
      </c>
      <c r="C1076">
        <v>1</v>
      </c>
      <c r="D1076">
        <v>1</v>
      </c>
      <c r="E1076">
        <v>1</v>
      </c>
      <c r="F1076">
        <v>1</v>
      </c>
      <c r="G1076">
        <v>1</v>
      </c>
      <c r="H1076">
        <v>1</v>
      </c>
      <c r="J1076">
        <v>27</v>
      </c>
      <c r="K1076">
        <v>1</v>
      </c>
      <c r="L1076">
        <v>1</v>
      </c>
      <c r="M1076">
        <v>1</v>
      </c>
      <c r="N1076">
        <v>1</v>
      </c>
      <c r="O1076">
        <v>1</v>
      </c>
      <c r="P1076">
        <v>1</v>
      </c>
      <c r="R1076">
        <v>27</v>
      </c>
      <c r="S1076">
        <v>1</v>
      </c>
      <c r="T1076">
        <v>1</v>
      </c>
      <c r="U1076">
        <v>1</v>
      </c>
      <c r="V1076">
        <v>1</v>
      </c>
      <c r="W1076">
        <v>1</v>
      </c>
      <c r="X1076">
        <v>1</v>
      </c>
      <c r="AA1076">
        <v>-5173.6036999999997</v>
      </c>
      <c r="AB1076">
        <v>-5173.6036999999997</v>
      </c>
      <c r="AC1076">
        <v>-5173.6036999999997</v>
      </c>
      <c r="AD1076">
        <v>-5173.6036999999997</v>
      </c>
      <c r="AE1076">
        <v>-5173.6036999999997</v>
      </c>
      <c r="AF1076">
        <v>-5173.6036999999997</v>
      </c>
    </row>
    <row r="1077" spans="2:32" x14ac:dyDescent="0.25">
      <c r="B1077">
        <v>28</v>
      </c>
      <c r="C1077">
        <v>1</v>
      </c>
      <c r="D1077">
        <v>1</v>
      </c>
      <c r="E1077">
        <v>1</v>
      </c>
      <c r="F1077">
        <v>1</v>
      </c>
      <c r="G1077">
        <v>1</v>
      </c>
      <c r="H1077">
        <v>1</v>
      </c>
      <c r="J1077">
        <v>28</v>
      </c>
      <c r="K1077">
        <v>1</v>
      </c>
      <c r="L1077">
        <v>1</v>
      </c>
      <c r="M1077">
        <v>1</v>
      </c>
      <c r="N1077">
        <v>1</v>
      </c>
      <c r="O1077">
        <v>1</v>
      </c>
      <c r="P1077">
        <v>1</v>
      </c>
      <c r="R1077">
        <v>28</v>
      </c>
      <c r="S1077">
        <v>1</v>
      </c>
      <c r="T1077">
        <v>1</v>
      </c>
      <c r="U1077">
        <v>1</v>
      </c>
      <c r="V1077">
        <v>1</v>
      </c>
      <c r="W1077">
        <v>1</v>
      </c>
      <c r="X1077">
        <v>1</v>
      </c>
      <c r="AA1077">
        <v>-5172.1755999999996</v>
      </c>
      <c r="AB1077">
        <v>-5172.1755999999996</v>
      </c>
      <c r="AC1077">
        <v>-5172.1755999999996</v>
      </c>
      <c r="AD1077">
        <v>-5172.1755999999996</v>
      </c>
      <c r="AE1077">
        <v>-5172.1755999999996</v>
      </c>
      <c r="AF1077">
        <v>-5172.1755999999996</v>
      </c>
    </row>
    <row r="1078" spans="2:32" x14ac:dyDescent="0.25">
      <c r="B1078">
        <v>29</v>
      </c>
      <c r="C1078">
        <v>1</v>
      </c>
      <c r="D1078">
        <v>1</v>
      </c>
      <c r="E1078">
        <v>1</v>
      </c>
      <c r="F1078">
        <v>1</v>
      </c>
      <c r="G1078">
        <v>1</v>
      </c>
      <c r="H1078">
        <v>1</v>
      </c>
      <c r="J1078">
        <v>29</v>
      </c>
      <c r="K1078">
        <v>1</v>
      </c>
      <c r="L1078">
        <v>1</v>
      </c>
      <c r="M1078">
        <v>1</v>
      </c>
      <c r="N1078">
        <v>1</v>
      </c>
      <c r="O1078">
        <v>1</v>
      </c>
      <c r="P1078">
        <v>1</v>
      </c>
      <c r="R1078">
        <v>29</v>
      </c>
      <c r="S1078">
        <v>1</v>
      </c>
      <c r="T1078">
        <v>1</v>
      </c>
      <c r="U1078">
        <v>1</v>
      </c>
      <c r="V1078">
        <v>1</v>
      </c>
      <c r="W1078">
        <v>1</v>
      </c>
      <c r="X1078">
        <v>1</v>
      </c>
      <c r="AA1078">
        <v>-5170.5482000000002</v>
      </c>
      <c r="AB1078">
        <v>-5170.5482000000002</v>
      </c>
      <c r="AC1078">
        <v>-5170.5482000000002</v>
      </c>
      <c r="AD1078">
        <v>-5170.5482000000002</v>
      </c>
      <c r="AE1078">
        <v>-5170.5482000000002</v>
      </c>
      <c r="AF1078">
        <v>-5170.5482000000002</v>
      </c>
    </row>
    <row r="1079" spans="2:32" x14ac:dyDescent="0.25">
      <c r="B1079">
        <v>30</v>
      </c>
      <c r="C1079">
        <v>1</v>
      </c>
      <c r="D1079">
        <v>1</v>
      </c>
      <c r="E1079">
        <v>1</v>
      </c>
      <c r="F1079">
        <v>1</v>
      </c>
      <c r="G1079">
        <v>1</v>
      </c>
      <c r="H1079">
        <v>1</v>
      </c>
      <c r="J1079">
        <v>30</v>
      </c>
      <c r="K1079">
        <v>1</v>
      </c>
      <c r="L1079">
        <v>1</v>
      </c>
      <c r="M1079">
        <v>1</v>
      </c>
      <c r="N1079">
        <v>1</v>
      </c>
      <c r="O1079">
        <v>1</v>
      </c>
      <c r="P1079">
        <v>1</v>
      </c>
      <c r="R1079">
        <v>30</v>
      </c>
      <c r="S1079">
        <v>1</v>
      </c>
      <c r="T1079">
        <v>1</v>
      </c>
      <c r="U1079">
        <v>1</v>
      </c>
      <c r="V1079">
        <v>1</v>
      </c>
      <c r="W1079">
        <v>1</v>
      </c>
      <c r="X1079">
        <v>1</v>
      </c>
      <c r="AA1079">
        <v>-5168.6908999999996</v>
      </c>
      <c r="AB1079">
        <v>-5168.6908999999996</v>
      </c>
      <c r="AC1079">
        <v>-5168.6908999999996</v>
      </c>
      <c r="AD1079">
        <v>-5168.6908999999996</v>
      </c>
      <c r="AE1079">
        <v>-5168.6908999999996</v>
      </c>
      <c r="AF1079">
        <v>-5168.6908999999996</v>
      </c>
    </row>
    <row r="1080" spans="2:32" x14ac:dyDescent="0.25">
      <c r="B1080">
        <v>31</v>
      </c>
      <c r="C1080">
        <v>1</v>
      </c>
      <c r="D1080">
        <v>1</v>
      </c>
      <c r="E1080">
        <v>1</v>
      </c>
      <c r="F1080">
        <v>1</v>
      </c>
      <c r="G1080">
        <v>1</v>
      </c>
      <c r="H1080">
        <v>1</v>
      </c>
      <c r="J1080">
        <v>31</v>
      </c>
      <c r="K1080">
        <v>1</v>
      </c>
      <c r="L1080">
        <v>1</v>
      </c>
      <c r="M1080">
        <v>1</v>
      </c>
      <c r="N1080">
        <v>1</v>
      </c>
      <c r="O1080">
        <v>1</v>
      </c>
      <c r="P1080">
        <v>1</v>
      </c>
      <c r="R1080">
        <v>31</v>
      </c>
      <c r="S1080">
        <v>1</v>
      </c>
      <c r="T1080">
        <v>1</v>
      </c>
      <c r="U1080">
        <v>1</v>
      </c>
      <c r="V1080">
        <v>1</v>
      </c>
      <c r="W1080">
        <v>1</v>
      </c>
      <c r="X1080">
        <v>1</v>
      </c>
      <c r="AA1080">
        <v>-5166.5891000000001</v>
      </c>
      <c r="AB1080">
        <v>-5166.5891000000001</v>
      </c>
      <c r="AC1080">
        <v>-5166.5891000000001</v>
      </c>
      <c r="AD1080">
        <v>-5166.5891000000001</v>
      </c>
      <c r="AE1080">
        <v>-5166.5891000000001</v>
      </c>
      <c r="AF1080">
        <v>-5166.5891000000001</v>
      </c>
    </row>
    <row r="1081" spans="2:32" x14ac:dyDescent="0.25">
      <c r="B1081">
        <v>32</v>
      </c>
      <c r="C1081">
        <v>1</v>
      </c>
      <c r="D1081">
        <v>1</v>
      </c>
      <c r="E1081">
        <v>1</v>
      </c>
      <c r="F1081">
        <v>1</v>
      </c>
      <c r="G1081">
        <v>1</v>
      </c>
      <c r="H1081">
        <v>1</v>
      </c>
      <c r="J1081">
        <v>32</v>
      </c>
      <c r="K1081">
        <v>1</v>
      </c>
      <c r="L1081">
        <v>1</v>
      </c>
      <c r="M1081">
        <v>1</v>
      </c>
      <c r="N1081">
        <v>1</v>
      </c>
      <c r="O1081">
        <v>1</v>
      </c>
      <c r="P1081">
        <v>1</v>
      </c>
      <c r="R1081">
        <v>32</v>
      </c>
      <c r="S1081">
        <v>1</v>
      </c>
      <c r="T1081">
        <v>1</v>
      </c>
      <c r="U1081">
        <v>1</v>
      </c>
      <c r="V1081">
        <v>1</v>
      </c>
      <c r="W1081">
        <v>1</v>
      </c>
      <c r="X1081">
        <v>1</v>
      </c>
      <c r="AA1081">
        <v>-5164.2407000000003</v>
      </c>
      <c r="AB1081">
        <v>-5164.2407000000003</v>
      </c>
      <c r="AC1081">
        <v>-5164.2407000000003</v>
      </c>
      <c r="AD1081">
        <v>-5164.2407000000003</v>
      </c>
      <c r="AE1081">
        <v>-5164.2407000000003</v>
      </c>
      <c r="AF1081">
        <v>-5164.2407000000003</v>
      </c>
    </row>
    <row r="1082" spans="2:32" x14ac:dyDescent="0.25">
      <c r="B1082">
        <v>33</v>
      </c>
      <c r="C1082">
        <v>1</v>
      </c>
      <c r="D1082">
        <v>1</v>
      </c>
      <c r="E1082">
        <v>1</v>
      </c>
      <c r="F1082">
        <v>1</v>
      </c>
      <c r="G1082">
        <v>1</v>
      </c>
      <c r="H1082">
        <v>1</v>
      </c>
      <c r="J1082">
        <v>33</v>
      </c>
      <c r="K1082">
        <v>1</v>
      </c>
      <c r="L1082">
        <v>1</v>
      </c>
      <c r="M1082">
        <v>1</v>
      </c>
      <c r="N1082">
        <v>1</v>
      </c>
      <c r="O1082">
        <v>1</v>
      </c>
      <c r="P1082">
        <v>1</v>
      </c>
      <c r="R1082">
        <v>33</v>
      </c>
      <c r="S1082">
        <v>1</v>
      </c>
      <c r="T1082">
        <v>1</v>
      </c>
      <c r="U1082">
        <v>1</v>
      </c>
      <c r="V1082">
        <v>1</v>
      </c>
      <c r="W1082">
        <v>1</v>
      </c>
      <c r="X1082">
        <v>1</v>
      </c>
      <c r="AA1082">
        <v>-5161.6318000000001</v>
      </c>
      <c r="AB1082">
        <v>-5161.6318000000001</v>
      </c>
      <c r="AC1082">
        <v>-5161.6318000000001</v>
      </c>
      <c r="AD1082">
        <v>-5161.6318000000001</v>
      </c>
      <c r="AE1082">
        <v>-5161.6318000000001</v>
      </c>
      <c r="AF1082">
        <v>-5161.6318000000001</v>
      </c>
    </row>
    <row r="1083" spans="2:32" x14ac:dyDescent="0.25">
      <c r="B1083">
        <v>34</v>
      </c>
      <c r="C1083">
        <v>1</v>
      </c>
      <c r="D1083">
        <v>1</v>
      </c>
      <c r="E1083">
        <v>1</v>
      </c>
      <c r="F1083">
        <v>1</v>
      </c>
      <c r="G1083">
        <v>1</v>
      </c>
      <c r="H1083">
        <v>1</v>
      </c>
      <c r="J1083">
        <v>34</v>
      </c>
      <c r="K1083">
        <v>1</v>
      </c>
      <c r="L1083">
        <v>1</v>
      </c>
      <c r="M1083">
        <v>1</v>
      </c>
      <c r="N1083">
        <v>1</v>
      </c>
      <c r="O1083">
        <v>1</v>
      </c>
      <c r="P1083">
        <v>1</v>
      </c>
      <c r="R1083">
        <v>34</v>
      </c>
      <c r="S1083">
        <v>1</v>
      </c>
      <c r="T1083">
        <v>1</v>
      </c>
      <c r="U1083">
        <v>1</v>
      </c>
      <c r="V1083">
        <v>1</v>
      </c>
      <c r="W1083">
        <v>1</v>
      </c>
      <c r="X1083">
        <v>1</v>
      </c>
      <c r="AA1083">
        <v>-5158.7194</v>
      </c>
      <c r="AB1083">
        <v>-5158.7194</v>
      </c>
      <c r="AC1083">
        <v>-5158.7194</v>
      </c>
      <c r="AD1083">
        <v>-5158.7194</v>
      </c>
      <c r="AE1083">
        <v>-5158.7194</v>
      </c>
      <c r="AF1083">
        <v>-5158.7194</v>
      </c>
    </row>
    <row r="1084" spans="2:32" x14ac:dyDescent="0.25">
      <c r="B1084">
        <v>35</v>
      </c>
      <c r="C1084">
        <v>1</v>
      </c>
      <c r="D1084">
        <v>1</v>
      </c>
      <c r="E1084">
        <v>1</v>
      </c>
      <c r="F1084">
        <v>1</v>
      </c>
      <c r="G1084">
        <v>1</v>
      </c>
      <c r="H1084">
        <v>1</v>
      </c>
      <c r="J1084">
        <v>35</v>
      </c>
      <c r="K1084">
        <v>1</v>
      </c>
      <c r="L1084">
        <v>1</v>
      </c>
      <c r="M1084">
        <v>1</v>
      </c>
      <c r="N1084">
        <v>1</v>
      </c>
      <c r="O1084">
        <v>1</v>
      </c>
      <c r="P1084">
        <v>1</v>
      </c>
      <c r="R1084">
        <v>35</v>
      </c>
      <c r="S1084">
        <v>1</v>
      </c>
      <c r="T1084">
        <v>1</v>
      </c>
      <c r="U1084">
        <v>1</v>
      </c>
      <c r="V1084">
        <v>1</v>
      </c>
      <c r="W1084">
        <v>1</v>
      </c>
      <c r="X1084">
        <v>1</v>
      </c>
      <c r="AA1084">
        <v>-5155.4901</v>
      </c>
      <c r="AB1084">
        <v>-5155.4901</v>
      </c>
      <c r="AC1084">
        <v>-5155.4901</v>
      </c>
      <c r="AD1084">
        <v>-5155.4901</v>
      </c>
      <c r="AE1084">
        <v>-5155.4901</v>
      </c>
      <c r="AF1084">
        <v>-5155.4901</v>
      </c>
    </row>
    <row r="1085" spans="2:32" x14ac:dyDescent="0.25">
      <c r="B1085">
        <v>36</v>
      </c>
      <c r="C1085">
        <v>1</v>
      </c>
      <c r="D1085">
        <v>1</v>
      </c>
      <c r="E1085">
        <v>1</v>
      </c>
      <c r="F1085">
        <v>1</v>
      </c>
      <c r="G1085">
        <v>1</v>
      </c>
      <c r="H1085">
        <v>1</v>
      </c>
      <c r="J1085">
        <v>36</v>
      </c>
      <c r="K1085">
        <v>1</v>
      </c>
      <c r="L1085">
        <v>1</v>
      </c>
      <c r="M1085">
        <v>1</v>
      </c>
      <c r="N1085">
        <v>1</v>
      </c>
      <c r="O1085">
        <v>1</v>
      </c>
      <c r="P1085">
        <v>1</v>
      </c>
      <c r="R1085">
        <v>36</v>
      </c>
      <c r="S1085">
        <v>1</v>
      </c>
      <c r="T1085">
        <v>1</v>
      </c>
      <c r="U1085">
        <v>1</v>
      </c>
      <c r="V1085">
        <v>1</v>
      </c>
      <c r="W1085">
        <v>1</v>
      </c>
      <c r="X1085">
        <v>1</v>
      </c>
      <c r="AA1085">
        <v>-5151.8950999999997</v>
      </c>
      <c r="AB1085">
        <v>-5151.8950999999997</v>
      </c>
      <c r="AC1085">
        <v>-5151.8950999999997</v>
      </c>
      <c r="AD1085">
        <v>-5151.8950999999997</v>
      </c>
      <c r="AE1085">
        <v>-5151.8950999999997</v>
      </c>
      <c r="AF1085">
        <v>-5151.8950999999997</v>
      </c>
    </row>
    <row r="1086" spans="2:32" x14ac:dyDescent="0.25">
      <c r="B1086">
        <v>37</v>
      </c>
      <c r="C1086">
        <v>1</v>
      </c>
      <c r="D1086">
        <v>1</v>
      </c>
      <c r="E1086">
        <v>1</v>
      </c>
      <c r="F1086">
        <v>1</v>
      </c>
      <c r="G1086">
        <v>1</v>
      </c>
      <c r="H1086">
        <v>1</v>
      </c>
      <c r="J1086">
        <v>37</v>
      </c>
      <c r="K1086">
        <v>1</v>
      </c>
      <c r="L1086">
        <v>1</v>
      </c>
      <c r="M1086">
        <v>1</v>
      </c>
      <c r="N1086">
        <v>1</v>
      </c>
      <c r="O1086">
        <v>1</v>
      </c>
      <c r="P1086">
        <v>1</v>
      </c>
      <c r="R1086">
        <v>37</v>
      </c>
      <c r="S1086">
        <v>1</v>
      </c>
      <c r="T1086">
        <v>1</v>
      </c>
      <c r="U1086">
        <v>1</v>
      </c>
      <c r="V1086">
        <v>1</v>
      </c>
      <c r="W1086">
        <v>1</v>
      </c>
      <c r="X1086">
        <v>1</v>
      </c>
      <c r="AA1086">
        <v>-5147.9106000000002</v>
      </c>
      <c r="AB1086">
        <v>-5147.9106000000002</v>
      </c>
      <c r="AC1086">
        <v>-5147.9106000000002</v>
      </c>
      <c r="AD1086">
        <v>-5147.9106000000002</v>
      </c>
      <c r="AE1086">
        <v>-5147.9106000000002</v>
      </c>
      <c r="AF1086">
        <v>-5147.9106000000002</v>
      </c>
    </row>
    <row r="1087" spans="2:32" x14ac:dyDescent="0.25">
      <c r="B1087">
        <v>38</v>
      </c>
      <c r="C1087">
        <v>1</v>
      </c>
      <c r="D1087">
        <v>1</v>
      </c>
      <c r="E1087">
        <v>1</v>
      </c>
      <c r="F1087">
        <v>1</v>
      </c>
      <c r="G1087">
        <v>1</v>
      </c>
      <c r="H1087">
        <v>1</v>
      </c>
      <c r="J1087">
        <v>38</v>
      </c>
      <c r="K1087">
        <v>1</v>
      </c>
      <c r="L1087">
        <v>1</v>
      </c>
      <c r="M1087">
        <v>1</v>
      </c>
      <c r="N1087">
        <v>1</v>
      </c>
      <c r="O1087">
        <v>1</v>
      </c>
      <c r="P1087">
        <v>1</v>
      </c>
      <c r="R1087">
        <v>38</v>
      </c>
      <c r="S1087">
        <v>1</v>
      </c>
      <c r="T1087">
        <v>1</v>
      </c>
      <c r="U1087">
        <v>1</v>
      </c>
      <c r="V1087">
        <v>1</v>
      </c>
      <c r="W1087">
        <v>1</v>
      </c>
      <c r="X1087">
        <v>1</v>
      </c>
      <c r="AA1087">
        <v>-5143.5393999999997</v>
      </c>
      <c r="AB1087">
        <v>-5143.5393999999997</v>
      </c>
      <c r="AC1087">
        <v>-5143.5393999999997</v>
      </c>
      <c r="AD1087">
        <v>-5143.5393999999997</v>
      </c>
      <c r="AE1087">
        <v>-5143.5393999999997</v>
      </c>
      <c r="AF1087">
        <v>-5143.5393999999997</v>
      </c>
    </row>
    <row r="1088" spans="2:32" x14ac:dyDescent="0.25">
      <c r="B1088">
        <v>39</v>
      </c>
      <c r="C1088">
        <v>1</v>
      </c>
      <c r="D1088">
        <v>1</v>
      </c>
      <c r="E1088">
        <v>1</v>
      </c>
      <c r="F1088">
        <v>1</v>
      </c>
      <c r="G1088">
        <v>1</v>
      </c>
      <c r="H1088">
        <v>1</v>
      </c>
      <c r="J1088">
        <v>39</v>
      </c>
      <c r="K1088">
        <v>1</v>
      </c>
      <c r="L1088">
        <v>1</v>
      </c>
      <c r="M1088">
        <v>1</v>
      </c>
      <c r="N1088">
        <v>1</v>
      </c>
      <c r="O1088">
        <v>1</v>
      </c>
      <c r="P1088">
        <v>1</v>
      </c>
      <c r="R1088">
        <v>39</v>
      </c>
      <c r="S1088">
        <v>1</v>
      </c>
      <c r="T1088">
        <v>1</v>
      </c>
      <c r="U1088">
        <v>1</v>
      </c>
      <c r="V1088">
        <v>1</v>
      </c>
      <c r="W1088">
        <v>1</v>
      </c>
      <c r="X1088">
        <v>1</v>
      </c>
      <c r="AA1088">
        <v>-5138.76</v>
      </c>
      <c r="AB1088">
        <v>-5138.76</v>
      </c>
      <c r="AC1088">
        <v>-5138.76</v>
      </c>
      <c r="AD1088">
        <v>-5138.76</v>
      </c>
      <c r="AE1088">
        <v>-5138.76</v>
      </c>
      <c r="AF1088">
        <v>-5138.76</v>
      </c>
    </row>
    <row r="1089" spans="2:32" x14ac:dyDescent="0.25">
      <c r="B1089">
        <v>40</v>
      </c>
      <c r="C1089">
        <v>1</v>
      </c>
      <c r="D1089">
        <v>1</v>
      </c>
      <c r="E1089">
        <v>1</v>
      </c>
      <c r="F1089">
        <v>1</v>
      </c>
      <c r="G1089">
        <v>1</v>
      </c>
      <c r="H1089">
        <v>1</v>
      </c>
      <c r="J1089">
        <v>40</v>
      </c>
      <c r="K1089">
        <v>1</v>
      </c>
      <c r="L1089">
        <v>1</v>
      </c>
      <c r="M1089">
        <v>1</v>
      </c>
      <c r="N1089">
        <v>1</v>
      </c>
      <c r="O1089">
        <v>1</v>
      </c>
      <c r="P1089">
        <v>1</v>
      </c>
      <c r="R1089">
        <v>40</v>
      </c>
      <c r="S1089">
        <v>1</v>
      </c>
      <c r="T1089">
        <v>1</v>
      </c>
      <c r="U1089">
        <v>1</v>
      </c>
      <c r="V1089">
        <v>1</v>
      </c>
      <c r="W1089">
        <v>1</v>
      </c>
      <c r="X1089">
        <v>1</v>
      </c>
      <c r="AA1089">
        <v>-5133.5084999999999</v>
      </c>
      <c r="AB1089">
        <v>-5133.5084999999999</v>
      </c>
      <c r="AC1089">
        <v>-5133.5084999999999</v>
      </c>
      <c r="AD1089">
        <v>-5133.5084999999999</v>
      </c>
      <c r="AE1089">
        <v>-5133.5084999999999</v>
      </c>
      <c r="AF1089">
        <v>-5133.5084999999999</v>
      </c>
    </row>
    <row r="1090" spans="2:32" x14ac:dyDescent="0.25">
      <c r="B1090">
        <v>41</v>
      </c>
      <c r="C1090">
        <v>1</v>
      </c>
      <c r="D1090">
        <v>1</v>
      </c>
      <c r="E1090">
        <v>1</v>
      </c>
      <c r="F1090">
        <v>1</v>
      </c>
      <c r="G1090">
        <v>1</v>
      </c>
      <c r="H1090">
        <v>1</v>
      </c>
      <c r="J1090">
        <v>41</v>
      </c>
      <c r="K1090">
        <v>1</v>
      </c>
      <c r="L1090">
        <v>1</v>
      </c>
      <c r="M1090">
        <v>1</v>
      </c>
      <c r="N1090">
        <v>1</v>
      </c>
      <c r="O1090">
        <v>1</v>
      </c>
      <c r="P1090">
        <v>1</v>
      </c>
      <c r="R1090">
        <v>41</v>
      </c>
      <c r="S1090">
        <v>1</v>
      </c>
      <c r="T1090">
        <v>1</v>
      </c>
      <c r="U1090">
        <v>1</v>
      </c>
      <c r="V1090">
        <v>1</v>
      </c>
      <c r="W1090">
        <v>1</v>
      </c>
      <c r="X1090">
        <v>1</v>
      </c>
      <c r="AA1090">
        <v>-5127.7236000000003</v>
      </c>
      <c r="AB1090">
        <v>-5127.7236000000003</v>
      </c>
      <c r="AC1090">
        <v>-5127.7236000000003</v>
      </c>
      <c r="AD1090">
        <v>-5127.7236000000003</v>
      </c>
      <c r="AE1090">
        <v>-5127.7236000000003</v>
      </c>
      <c r="AF1090">
        <v>-5127.7236000000003</v>
      </c>
    </row>
    <row r="1091" spans="2:32" x14ac:dyDescent="0.25">
      <c r="B1091">
        <v>42</v>
      </c>
      <c r="C1091">
        <v>1</v>
      </c>
      <c r="D1091">
        <v>1</v>
      </c>
      <c r="E1091">
        <v>1</v>
      </c>
      <c r="F1091">
        <v>1</v>
      </c>
      <c r="G1091">
        <v>1</v>
      </c>
      <c r="H1091">
        <v>1</v>
      </c>
      <c r="J1091">
        <v>42</v>
      </c>
      <c r="K1091">
        <v>1</v>
      </c>
      <c r="L1091">
        <v>1</v>
      </c>
      <c r="M1091">
        <v>1</v>
      </c>
      <c r="N1091">
        <v>1</v>
      </c>
      <c r="O1091">
        <v>1</v>
      </c>
      <c r="P1091">
        <v>1</v>
      </c>
      <c r="R1091">
        <v>42</v>
      </c>
      <c r="S1091">
        <v>1</v>
      </c>
      <c r="T1091">
        <v>1</v>
      </c>
      <c r="U1091">
        <v>1</v>
      </c>
      <c r="V1091">
        <v>1</v>
      </c>
      <c r="W1091">
        <v>1</v>
      </c>
      <c r="X1091">
        <v>1</v>
      </c>
      <c r="AA1091">
        <v>-5121.3726999999999</v>
      </c>
      <c r="AB1091">
        <v>-5121.3726999999999</v>
      </c>
      <c r="AC1091">
        <v>-5121.3726999999999</v>
      </c>
      <c r="AD1091">
        <v>-5121.3726999999999</v>
      </c>
      <c r="AE1091">
        <v>-5121.3726999999999</v>
      </c>
      <c r="AF1091">
        <v>-5121.3726999999999</v>
      </c>
    </row>
    <row r="1092" spans="2:32" x14ac:dyDescent="0.25">
      <c r="B1092">
        <v>43</v>
      </c>
      <c r="C1092">
        <v>1</v>
      </c>
      <c r="D1092">
        <v>1</v>
      </c>
      <c r="E1092">
        <v>1</v>
      </c>
      <c r="F1092">
        <v>1</v>
      </c>
      <c r="G1092">
        <v>1</v>
      </c>
      <c r="H1092">
        <v>1</v>
      </c>
      <c r="J1092">
        <v>43</v>
      </c>
      <c r="K1092">
        <v>1</v>
      </c>
      <c r="L1092">
        <v>1</v>
      </c>
      <c r="M1092">
        <v>1</v>
      </c>
      <c r="N1092">
        <v>1</v>
      </c>
      <c r="O1092">
        <v>1</v>
      </c>
      <c r="P1092">
        <v>1</v>
      </c>
      <c r="R1092">
        <v>43</v>
      </c>
      <c r="S1092">
        <v>1</v>
      </c>
      <c r="T1092">
        <v>1</v>
      </c>
      <c r="U1092">
        <v>1</v>
      </c>
      <c r="V1092">
        <v>1</v>
      </c>
      <c r="W1092">
        <v>1</v>
      </c>
      <c r="X1092">
        <v>1</v>
      </c>
      <c r="AA1092">
        <v>-5114.3449000000001</v>
      </c>
      <c r="AB1092">
        <v>-5114.3449000000001</v>
      </c>
      <c r="AC1092">
        <v>-5114.3449000000001</v>
      </c>
      <c r="AD1092">
        <v>-5114.3449000000001</v>
      </c>
      <c r="AE1092">
        <v>-5114.3449000000001</v>
      </c>
      <c r="AF1092">
        <v>-5114.3449000000001</v>
      </c>
    </row>
    <row r="1093" spans="2:32" x14ac:dyDescent="0.25">
      <c r="B1093">
        <v>44</v>
      </c>
      <c r="C1093">
        <v>1</v>
      </c>
      <c r="D1093">
        <v>1</v>
      </c>
      <c r="E1093">
        <v>1</v>
      </c>
      <c r="F1093">
        <v>1</v>
      </c>
      <c r="G1093">
        <v>1</v>
      </c>
      <c r="H1093">
        <v>1</v>
      </c>
      <c r="J1093">
        <v>44</v>
      </c>
      <c r="K1093">
        <v>1</v>
      </c>
      <c r="L1093">
        <v>1</v>
      </c>
      <c r="M1093">
        <v>1</v>
      </c>
      <c r="N1093">
        <v>1</v>
      </c>
      <c r="O1093">
        <v>1</v>
      </c>
      <c r="P1093">
        <v>1</v>
      </c>
      <c r="R1093">
        <v>44</v>
      </c>
      <c r="S1093">
        <v>1</v>
      </c>
      <c r="T1093">
        <v>1</v>
      </c>
      <c r="U1093">
        <v>1</v>
      </c>
      <c r="V1093">
        <v>1</v>
      </c>
      <c r="W1093">
        <v>1</v>
      </c>
      <c r="X1093">
        <v>1</v>
      </c>
      <c r="AA1093">
        <v>-5106.5976000000001</v>
      </c>
      <c r="AB1093">
        <v>-5106.5976000000001</v>
      </c>
      <c r="AC1093">
        <v>-5106.5976000000001</v>
      </c>
      <c r="AD1093">
        <v>-5106.5976000000001</v>
      </c>
      <c r="AE1093">
        <v>-5106.5976000000001</v>
      </c>
      <c r="AF1093">
        <v>-5106.5976000000001</v>
      </c>
    </row>
    <row r="1094" spans="2:32" x14ac:dyDescent="0.25">
      <c r="B1094">
        <v>45</v>
      </c>
      <c r="C1094">
        <v>1</v>
      </c>
      <c r="D1094">
        <v>1</v>
      </c>
      <c r="E1094">
        <v>1</v>
      </c>
      <c r="F1094">
        <v>1</v>
      </c>
      <c r="G1094">
        <v>1</v>
      </c>
      <c r="H1094">
        <v>1</v>
      </c>
      <c r="J1094">
        <v>45</v>
      </c>
      <c r="K1094">
        <v>1</v>
      </c>
      <c r="L1094">
        <v>1</v>
      </c>
      <c r="M1094">
        <v>1</v>
      </c>
      <c r="N1094">
        <v>1</v>
      </c>
      <c r="O1094">
        <v>1</v>
      </c>
      <c r="P1094">
        <v>1</v>
      </c>
      <c r="R1094">
        <v>45</v>
      </c>
      <c r="S1094">
        <v>1</v>
      </c>
      <c r="T1094">
        <v>1</v>
      </c>
      <c r="U1094">
        <v>1</v>
      </c>
      <c r="V1094">
        <v>1</v>
      </c>
      <c r="W1094">
        <v>1</v>
      </c>
      <c r="X1094">
        <v>1</v>
      </c>
      <c r="AA1094">
        <v>-5098.0524999999998</v>
      </c>
      <c r="AB1094">
        <v>-5098.0524999999998</v>
      </c>
      <c r="AC1094">
        <v>-5098.0524999999998</v>
      </c>
      <c r="AD1094">
        <v>-5098.0524999999998</v>
      </c>
      <c r="AE1094">
        <v>-5098.0524999999998</v>
      </c>
      <c r="AF1094">
        <v>-5098.0524999999998</v>
      </c>
    </row>
    <row r="1095" spans="2:32" x14ac:dyDescent="0.25">
      <c r="B1095">
        <v>46</v>
      </c>
      <c r="C1095">
        <v>1</v>
      </c>
      <c r="D1095">
        <v>1</v>
      </c>
      <c r="E1095">
        <v>1</v>
      </c>
      <c r="F1095">
        <v>1</v>
      </c>
      <c r="G1095">
        <v>1</v>
      </c>
      <c r="H1095">
        <v>1</v>
      </c>
      <c r="J1095">
        <v>46</v>
      </c>
      <c r="K1095">
        <v>1</v>
      </c>
      <c r="L1095">
        <v>1</v>
      </c>
      <c r="M1095">
        <v>1</v>
      </c>
      <c r="N1095">
        <v>1</v>
      </c>
      <c r="O1095">
        <v>1</v>
      </c>
      <c r="P1095">
        <v>1</v>
      </c>
      <c r="R1095">
        <v>46</v>
      </c>
      <c r="S1095">
        <v>1</v>
      </c>
      <c r="T1095">
        <v>1</v>
      </c>
      <c r="U1095">
        <v>1</v>
      </c>
      <c r="V1095">
        <v>1</v>
      </c>
      <c r="W1095">
        <v>1</v>
      </c>
      <c r="X1095">
        <v>1</v>
      </c>
      <c r="AA1095">
        <v>-5088.6378000000004</v>
      </c>
      <c r="AB1095">
        <v>-5088.6378000000004</v>
      </c>
      <c r="AC1095">
        <v>-5088.6378000000004</v>
      </c>
      <c r="AD1095">
        <v>-5088.6378000000004</v>
      </c>
      <c r="AE1095">
        <v>-5088.6378000000004</v>
      </c>
      <c r="AF1095">
        <v>-5088.6378000000004</v>
      </c>
    </row>
    <row r="1096" spans="2:32" x14ac:dyDescent="0.25">
      <c r="B1096">
        <v>47</v>
      </c>
      <c r="C1096">
        <v>1</v>
      </c>
      <c r="D1096">
        <v>1</v>
      </c>
      <c r="E1096">
        <v>1</v>
      </c>
      <c r="F1096">
        <v>1</v>
      </c>
      <c r="G1096">
        <v>1</v>
      </c>
      <c r="H1096">
        <v>1</v>
      </c>
      <c r="J1096">
        <v>47</v>
      </c>
      <c r="K1096">
        <v>1</v>
      </c>
      <c r="L1096">
        <v>1</v>
      </c>
      <c r="M1096">
        <v>1</v>
      </c>
      <c r="N1096">
        <v>1</v>
      </c>
      <c r="O1096">
        <v>1</v>
      </c>
      <c r="P1096">
        <v>1</v>
      </c>
      <c r="R1096">
        <v>47</v>
      </c>
      <c r="S1096">
        <v>1</v>
      </c>
      <c r="T1096">
        <v>1</v>
      </c>
      <c r="U1096">
        <v>1</v>
      </c>
      <c r="V1096">
        <v>1</v>
      </c>
      <c r="W1096">
        <v>1</v>
      </c>
      <c r="X1096">
        <v>1</v>
      </c>
      <c r="AA1096">
        <v>-5078.2593999999999</v>
      </c>
      <c r="AB1096">
        <v>-5078.2593999999999</v>
      </c>
      <c r="AC1096">
        <v>-5078.2593999999999</v>
      </c>
      <c r="AD1096">
        <v>-5078.2593999999999</v>
      </c>
      <c r="AE1096">
        <v>-5078.2593999999999</v>
      </c>
      <c r="AF1096">
        <v>-5078.2593999999999</v>
      </c>
    </row>
    <row r="1097" spans="2:32" x14ac:dyDescent="0.25">
      <c r="B1097">
        <v>48</v>
      </c>
      <c r="C1097">
        <v>1</v>
      </c>
      <c r="D1097">
        <v>1</v>
      </c>
      <c r="E1097">
        <v>1</v>
      </c>
      <c r="F1097">
        <v>1</v>
      </c>
      <c r="G1097">
        <v>1</v>
      </c>
      <c r="H1097">
        <v>1</v>
      </c>
      <c r="J1097">
        <v>48</v>
      </c>
      <c r="K1097">
        <v>1</v>
      </c>
      <c r="L1097">
        <v>1</v>
      </c>
      <c r="M1097">
        <v>1</v>
      </c>
      <c r="N1097">
        <v>1</v>
      </c>
      <c r="O1097">
        <v>1</v>
      </c>
      <c r="P1097">
        <v>1</v>
      </c>
      <c r="R1097">
        <v>48</v>
      </c>
      <c r="S1097">
        <v>1</v>
      </c>
      <c r="T1097">
        <v>1</v>
      </c>
      <c r="U1097">
        <v>1</v>
      </c>
      <c r="V1097">
        <v>1</v>
      </c>
      <c r="W1097">
        <v>1</v>
      </c>
      <c r="X1097">
        <v>1</v>
      </c>
      <c r="AA1097">
        <v>-5066.8732</v>
      </c>
      <c r="AB1097">
        <v>-5066.8732</v>
      </c>
      <c r="AC1097">
        <v>-5066.8732</v>
      </c>
      <c r="AD1097">
        <v>-5066.8732</v>
      </c>
      <c r="AE1097">
        <v>-5066.8732</v>
      </c>
      <c r="AF1097">
        <v>-5066.8732</v>
      </c>
    </row>
    <row r="1098" spans="2:32" x14ac:dyDescent="0.25">
      <c r="B1098">
        <v>49</v>
      </c>
      <c r="C1098">
        <v>1</v>
      </c>
      <c r="D1098">
        <v>1</v>
      </c>
      <c r="E1098">
        <v>1</v>
      </c>
      <c r="F1098">
        <v>1</v>
      </c>
      <c r="G1098">
        <v>1</v>
      </c>
      <c r="H1098">
        <v>1</v>
      </c>
      <c r="J1098">
        <v>49</v>
      </c>
      <c r="K1098">
        <v>1</v>
      </c>
      <c r="L1098">
        <v>1</v>
      </c>
      <c r="M1098">
        <v>1</v>
      </c>
      <c r="N1098">
        <v>1</v>
      </c>
      <c r="O1098">
        <v>1</v>
      </c>
      <c r="P1098">
        <v>1</v>
      </c>
      <c r="R1098">
        <v>49</v>
      </c>
      <c r="S1098">
        <v>1</v>
      </c>
      <c r="T1098">
        <v>1</v>
      </c>
      <c r="U1098">
        <v>1</v>
      </c>
      <c r="V1098">
        <v>1</v>
      </c>
      <c r="W1098">
        <v>1</v>
      </c>
      <c r="X1098">
        <v>1</v>
      </c>
      <c r="AA1098">
        <v>-5054.4124000000002</v>
      </c>
      <c r="AB1098">
        <v>-5054.4124000000002</v>
      </c>
      <c r="AC1098">
        <v>-5054.4124000000002</v>
      </c>
      <c r="AD1098">
        <v>-5054.4124000000002</v>
      </c>
      <c r="AE1098">
        <v>-5054.4124000000002</v>
      </c>
      <c r="AF1098">
        <v>-5054.4124000000002</v>
      </c>
    </row>
    <row r="1099" spans="2:32" x14ac:dyDescent="0.25">
      <c r="B1099">
        <v>50</v>
      </c>
      <c r="C1099">
        <v>1</v>
      </c>
      <c r="D1099">
        <v>1</v>
      </c>
      <c r="E1099">
        <v>1</v>
      </c>
      <c r="F1099">
        <v>1</v>
      </c>
      <c r="G1099">
        <v>1</v>
      </c>
      <c r="H1099">
        <v>1</v>
      </c>
      <c r="J1099">
        <v>50</v>
      </c>
      <c r="K1099">
        <v>1</v>
      </c>
      <c r="L1099">
        <v>1</v>
      </c>
      <c r="M1099">
        <v>1</v>
      </c>
      <c r="N1099">
        <v>1</v>
      </c>
      <c r="O1099">
        <v>1</v>
      </c>
      <c r="P1099">
        <v>1</v>
      </c>
      <c r="R1099">
        <v>50</v>
      </c>
      <c r="S1099">
        <v>1</v>
      </c>
      <c r="T1099">
        <v>1</v>
      </c>
      <c r="U1099">
        <v>1</v>
      </c>
      <c r="V1099">
        <v>1</v>
      </c>
      <c r="W1099">
        <v>1</v>
      </c>
      <c r="X1099">
        <v>1</v>
      </c>
      <c r="AA1099">
        <v>-5040.7671</v>
      </c>
      <c r="AB1099">
        <v>-5040.7671</v>
      </c>
      <c r="AC1099">
        <v>-5040.7671</v>
      </c>
      <c r="AD1099">
        <v>-5040.7671</v>
      </c>
      <c r="AE1099">
        <v>-5040.7671</v>
      </c>
      <c r="AF1099">
        <v>-5040.7671</v>
      </c>
    </row>
    <row r="1100" spans="2:32" x14ac:dyDescent="0.25">
      <c r="B1100">
        <v>51</v>
      </c>
      <c r="C1100">
        <v>1</v>
      </c>
      <c r="D1100">
        <v>1</v>
      </c>
      <c r="E1100">
        <v>1</v>
      </c>
      <c r="F1100">
        <v>1</v>
      </c>
      <c r="G1100">
        <v>1</v>
      </c>
      <c r="H1100">
        <v>1</v>
      </c>
      <c r="J1100">
        <v>51</v>
      </c>
      <c r="K1100">
        <v>1</v>
      </c>
      <c r="L1100">
        <v>1</v>
      </c>
      <c r="M1100">
        <v>1</v>
      </c>
      <c r="N1100">
        <v>1</v>
      </c>
      <c r="O1100">
        <v>1</v>
      </c>
      <c r="P1100">
        <v>1</v>
      </c>
      <c r="R1100">
        <v>51</v>
      </c>
      <c r="S1100">
        <v>1</v>
      </c>
      <c r="T1100">
        <v>1</v>
      </c>
      <c r="U1100">
        <v>1</v>
      </c>
      <c r="V1100">
        <v>1</v>
      </c>
      <c r="W1100">
        <v>1</v>
      </c>
      <c r="X1100">
        <v>1</v>
      </c>
      <c r="AA1100">
        <v>-5025.8329000000003</v>
      </c>
      <c r="AB1100">
        <v>-5025.8329000000003</v>
      </c>
      <c r="AC1100">
        <v>-5025.8329000000003</v>
      </c>
      <c r="AD1100">
        <v>-5025.8329000000003</v>
      </c>
      <c r="AE1100">
        <v>-5025.8329000000003</v>
      </c>
      <c r="AF1100">
        <v>-5025.8329000000003</v>
      </c>
    </row>
    <row r="1101" spans="2:32" x14ac:dyDescent="0.25">
      <c r="B1101">
        <v>52</v>
      </c>
      <c r="C1101">
        <v>1</v>
      </c>
      <c r="D1101">
        <v>1</v>
      </c>
      <c r="E1101">
        <v>1</v>
      </c>
      <c r="F1101">
        <v>1</v>
      </c>
      <c r="G1101">
        <v>1</v>
      </c>
      <c r="H1101">
        <v>1</v>
      </c>
      <c r="J1101">
        <v>52</v>
      </c>
      <c r="K1101">
        <v>1</v>
      </c>
      <c r="L1101">
        <v>1</v>
      </c>
      <c r="M1101">
        <v>1</v>
      </c>
      <c r="N1101">
        <v>1</v>
      </c>
      <c r="O1101">
        <v>1</v>
      </c>
      <c r="P1101">
        <v>1</v>
      </c>
      <c r="R1101">
        <v>52</v>
      </c>
      <c r="S1101">
        <v>1</v>
      </c>
      <c r="T1101">
        <v>1</v>
      </c>
      <c r="U1101">
        <v>1</v>
      </c>
      <c r="V1101">
        <v>1</v>
      </c>
      <c r="W1101">
        <v>1</v>
      </c>
      <c r="X1101">
        <v>1</v>
      </c>
      <c r="AA1101">
        <v>-5009.4771000000001</v>
      </c>
      <c r="AB1101">
        <v>-5009.4771000000001</v>
      </c>
      <c r="AC1101">
        <v>-5009.4771000000001</v>
      </c>
      <c r="AD1101">
        <v>-5009.4771000000001</v>
      </c>
      <c r="AE1101">
        <v>-5009.4771000000001</v>
      </c>
      <c r="AF1101">
        <v>-5009.4771000000001</v>
      </c>
    </row>
    <row r="1102" spans="2:32" x14ac:dyDescent="0.25">
      <c r="B1102">
        <v>53</v>
      </c>
      <c r="C1102">
        <v>1</v>
      </c>
      <c r="D1102">
        <v>1</v>
      </c>
      <c r="E1102">
        <v>1</v>
      </c>
      <c r="F1102">
        <v>1</v>
      </c>
      <c r="G1102">
        <v>1</v>
      </c>
      <c r="H1102">
        <v>1</v>
      </c>
      <c r="J1102">
        <v>53</v>
      </c>
      <c r="K1102">
        <v>1</v>
      </c>
      <c r="L1102">
        <v>1</v>
      </c>
      <c r="M1102">
        <v>1</v>
      </c>
      <c r="N1102">
        <v>1</v>
      </c>
      <c r="O1102">
        <v>1</v>
      </c>
      <c r="P1102">
        <v>1</v>
      </c>
      <c r="R1102">
        <v>53</v>
      </c>
      <c r="S1102">
        <v>1</v>
      </c>
      <c r="T1102">
        <v>1</v>
      </c>
      <c r="U1102">
        <v>1</v>
      </c>
      <c r="V1102">
        <v>1</v>
      </c>
      <c r="W1102">
        <v>1</v>
      </c>
      <c r="X1102">
        <v>1</v>
      </c>
      <c r="AA1102">
        <v>-4991.6184000000003</v>
      </c>
      <c r="AB1102">
        <v>-4991.6184000000003</v>
      </c>
      <c r="AC1102">
        <v>-4991.6184000000003</v>
      </c>
      <c r="AD1102">
        <v>-4991.6184000000003</v>
      </c>
      <c r="AE1102">
        <v>-4991.6184000000003</v>
      </c>
      <c r="AF1102">
        <v>-4991.6184000000003</v>
      </c>
    </row>
    <row r="1103" spans="2:32" x14ac:dyDescent="0.25">
      <c r="B1103">
        <v>54</v>
      </c>
      <c r="C1103">
        <v>1</v>
      </c>
      <c r="D1103">
        <v>1</v>
      </c>
      <c r="E1103">
        <v>1</v>
      </c>
      <c r="F1103">
        <v>1</v>
      </c>
      <c r="G1103">
        <v>1</v>
      </c>
      <c r="H1103">
        <v>1</v>
      </c>
      <c r="J1103">
        <v>54</v>
      </c>
      <c r="K1103">
        <v>1</v>
      </c>
      <c r="L1103">
        <v>1</v>
      </c>
      <c r="M1103">
        <v>1</v>
      </c>
      <c r="N1103">
        <v>1</v>
      </c>
      <c r="O1103">
        <v>1</v>
      </c>
      <c r="P1103">
        <v>1</v>
      </c>
      <c r="R1103">
        <v>54</v>
      </c>
      <c r="S1103">
        <v>1</v>
      </c>
      <c r="T1103">
        <v>1</v>
      </c>
      <c r="U1103">
        <v>1</v>
      </c>
      <c r="V1103">
        <v>1</v>
      </c>
      <c r="W1103">
        <v>1</v>
      </c>
      <c r="X1103">
        <v>1</v>
      </c>
      <c r="AA1103">
        <v>-4972.1588000000002</v>
      </c>
      <c r="AB1103">
        <v>-4972.1588000000002</v>
      </c>
      <c r="AC1103">
        <v>-4972.1588000000002</v>
      </c>
      <c r="AD1103">
        <v>-4972.1588000000002</v>
      </c>
      <c r="AE1103">
        <v>-4972.1588000000002</v>
      </c>
      <c r="AF1103">
        <v>-4972.1588000000002</v>
      </c>
    </row>
    <row r="1104" spans="2:32" x14ac:dyDescent="0.25">
      <c r="B1104">
        <v>55</v>
      </c>
      <c r="C1104">
        <v>1</v>
      </c>
      <c r="D1104">
        <v>1</v>
      </c>
      <c r="E1104">
        <v>1</v>
      </c>
      <c r="F1104">
        <v>1</v>
      </c>
      <c r="G1104">
        <v>1</v>
      </c>
      <c r="H1104">
        <v>1</v>
      </c>
      <c r="J1104">
        <v>55</v>
      </c>
      <c r="K1104">
        <v>1</v>
      </c>
      <c r="L1104">
        <v>1</v>
      </c>
      <c r="M1104">
        <v>1</v>
      </c>
      <c r="N1104">
        <v>1</v>
      </c>
      <c r="O1104">
        <v>1</v>
      </c>
      <c r="P1104">
        <v>1</v>
      </c>
      <c r="R1104">
        <v>55</v>
      </c>
      <c r="S1104">
        <v>1</v>
      </c>
      <c r="T1104">
        <v>1</v>
      </c>
      <c r="U1104">
        <v>1</v>
      </c>
      <c r="V1104">
        <v>1</v>
      </c>
      <c r="W1104">
        <v>1</v>
      </c>
      <c r="X1104">
        <v>1</v>
      </c>
      <c r="AA1104">
        <v>-4950.9426000000003</v>
      </c>
      <c r="AB1104">
        <v>-4950.9426000000003</v>
      </c>
      <c r="AC1104">
        <v>-4950.9426000000003</v>
      </c>
      <c r="AD1104">
        <v>-4950.9426000000003</v>
      </c>
      <c r="AE1104">
        <v>-4950.9426000000003</v>
      </c>
      <c r="AF1104">
        <v>-4950.9426000000003</v>
      </c>
    </row>
    <row r="1107" spans="2:32" x14ac:dyDescent="0.25">
      <c r="B1107" t="s">
        <v>46</v>
      </c>
      <c r="C1107">
        <v>100000</v>
      </c>
      <c r="D1107">
        <v>250000</v>
      </c>
      <c r="E1107">
        <v>500000</v>
      </c>
      <c r="F1107">
        <v>1000000</v>
      </c>
      <c r="G1107">
        <v>2000000</v>
      </c>
      <c r="J1107" t="s">
        <v>32</v>
      </c>
      <c r="K1107">
        <v>100000</v>
      </c>
      <c r="L1107">
        <v>250000</v>
      </c>
      <c r="M1107">
        <v>500000</v>
      </c>
      <c r="N1107">
        <v>1000000</v>
      </c>
      <c r="O1107">
        <v>2000000</v>
      </c>
      <c r="R1107" t="s">
        <v>48</v>
      </c>
      <c r="S1107">
        <v>100000</v>
      </c>
      <c r="T1107">
        <v>250000</v>
      </c>
      <c r="U1107">
        <v>500000</v>
      </c>
      <c r="V1107">
        <v>1000000</v>
      </c>
      <c r="W1107">
        <v>2000000</v>
      </c>
    </row>
    <row r="1108" spans="2:32" x14ac:dyDescent="0.25">
      <c r="B1108">
        <v>35</v>
      </c>
      <c r="C1108">
        <v>1</v>
      </c>
      <c r="D1108">
        <v>1</v>
      </c>
      <c r="E1108">
        <v>1</v>
      </c>
      <c r="F1108">
        <v>1</v>
      </c>
      <c r="G1108">
        <v>1</v>
      </c>
      <c r="J1108">
        <v>35</v>
      </c>
      <c r="K1108">
        <v>1</v>
      </c>
      <c r="L1108">
        <v>1</v>
      </c>
      <c r="M1108">
        <v>1</v>
      </c>
      <c r="N1108">
        <v>1</v>
      </c>
      <c r="O1108">
        <v>1</v>
      </c>
      <c r="R1108">
        <v>35</v>
      </c>
      <c r="S1108">
        <v>1</v>
      </c>
      <c r="T1108">
        <v>1</v>
      </c>
      <c r="U1108">
        <v>1</v>
      </c>
      <c r="V1108">
        <v>1</v>
      </c>
      <c r="W1108">
        <v>1</v>
      </c>
      <c r="AA1108">
        <v>-8996.1419000000005</v>
      </c>
      <c r="AB1108">
        <v>-8996.1419000000005</v>
      </c>
      <c r="AC1108">
        <v>-8996.1419000000005</v>
      </c>
      <c r="AD1108">
        <v>-8996.1419000000005</v>
      </c>
      <c r="AE1108">
        <v>-8996.1419000000005</v>
      </c>
      <c r="AF1108">
        <v>-759112.79520000005</v>
      </c>
    </row>
    <row r="1109" spans="2:32" x14ac:dyDescent="0.25">
      <c r="B1109">
        <f t="shared" ref="B1109:B1138" si="48">B1108+1</f>
        <v>36</v>
      </c>
      <c r="C1109">
        <v>1</v>
      </c>
      <c r="D1109">
        <v>1</v>
      </c>
      <c r="E1109">
        <v>1</v>
      </c>
      <c r="F1109">
        <v>1</v>
      </c>
      <c r="G1109">
        <v>1</v>
      </c>
      <c r="J1109">
        <f t="shared" ref="J1109:J1138" si="49">J1108+1</f>
        <v>36</v>
      </c>
      <c r="K1109">
        <v>1</v>
      </c>
      <c r="L1109">
        <v>1</v>
      </c>
      <c r="M1109">
        <v>1</v>
      </c>
      <c r="N1109">
        <v>1</v>
      </c>
      <c r="O1109">
        <v>1</v>
      </c>
      <c r="R1109">
        <f t="shared" ref="R1109:R1138" si="50">R1108+1</f>
        <v>36</v>
      </c>
      <c r="S1109">
        <v>1</v>
      </c>
      <c r="T1109">
        <v>1</v>
      </c>
      <c r="U1109">
        <v>1</v>
      </c>
      <c r="V1109">
        <v>1</v>
      </c>
      <c r="W1109">
        <v>1</v>
      </c>
      <c r="AA1109">
        <v>-8902.6679999999997</v>
      </c>
      <c r="AB1109">
        <v>-8902.6679999999997</v>
      </c>
      <c r="AC1109">
        <v>-8902.6679999999997</v>
      </c>
      <c r="AD1109">
        <v>-8902.6679999999997</v>
      </c>
      <c r="AE1109">
        <v>-8902.6679999999997</v>
      </c>
      <c r="AF1109">
        <v>-737070.86179999996</v>
      </c>
    </row>
    <row r="1110" spans="2:32" x14ac:dyDescent="0.25">
      <c r="B1110">
        <f t="shared" si="48"/>
        <v>37</v>
      </c>
      <c r="C1110">
        <v>1</v>
      </c>
      <c r="D1110">
        <v>1</v>
      </c>
      <c r="E1110">
        <v>1</v>
      </c>
      <c r="F1110">
        <v>1</v>
      </c>
      <c r="G1110">
        <v>1</v>
      </c>
      <c r="J1110">
        <f t="shared" si="49"/>
        <v>37</v>
      </c>
      <c r="K1110">
        <v>1</v>
      </c>
      <c r="L1110">
        <v>1</v>
      </c>
      <c r="M1110">
        <v>1</v>
      </c>
      <c r="N1110">
        <v>1</v>
      </c>
      <c r="O1110">
        <v>1</v>
      </c>
      <c r="R1110">
        <f t="shared" si="50"/>
        <v>37</v>
      </c>
      <c r="S1110">
        <v>1</v>
      </c>
      <c r="T1110">
        <v>1</v>
      </c>
      <c r="U1110">
        <v>1</v>
      </c>
      <c r="V1110">
        <v>1</v>
      </c>
      <c r="W1110">
        <v>1</v>
      </c>
      <c r="AA1110">
        <v>-8806.7960000000003</v>
      </c>
      <c r="AB1110">
        <v>-8806.7960000000003</v>
      </c>
      <c r="AC1110">
        <v>-8806.7960000000003</v>
      </c>
      <c r="AD1110">
        <v>-8806.7960000000003</v>
      </c>
      <c r="AE1110">
        <v>-8806.7960000000003</v>
      </c>
      <c r="AF1110">
        <v>-765978.91940000001</v>
      </c>
    </row>
    <row r="1111" spans="2:32" x14ac:dyDescent="0.25">
      <c r="B1111">
        <f t="shared" si="48"/>
        <v>38</v>
      </c>
      <c r="C1111">
        <v>1</v>
      </c>
      <c r="D1111">
        <v>1</v>
      </c>
      <c r="E1111">
        <v>1</v>
      </c>
      <c r="F1111">
        <v>1</v>
      </c>
      <c r="G1111">
        <v>1</v>
      </c>
      <c r="J1111">
        <f t="shared" si="49"/>
        <v>38</v>
      </c>
      <c r="K1111">
        <v>1</v>
      </c>
      <c r="L1111">
        <v>1</v>
      </c>
      <c r="M1111">
        <v>1</v>
      </c>
      <c r="N1111">
        <v>1</v>
      </c>
      <c r="O1111">
        <v>1</v>
      </c>
      <c r="R1111">
        <f t="shared" si="50"/>
        <v>38</v>
      </c>
      <c r="S1111">
        <v>1</v>
      </c>
      <c r="T1111">
        <v>1</v>
      </c>
      <c r="U1111">
        <v>1</v>
      </c>
      <c r="V1111">
        <v>1</v>
      </c>
      <c r="W1111">
        <v>1</v>
      </c>
      <c r="AA1111">
        <v>-8708.6234000000004</v>
      </c>
      <c r="AB1111">
        <v>-8708.6234000000004</v>
      </c>
      <c r="AC1111">
        <v>-8708.6234000000004</v>
      </c>
      <c r="AD1111">
        <v>-8708.6234000000004</v>
      </c>
      <c r="AE1111">
        <v>-8708.6234000000004</v>
      </c>
      <c r="AF1111">
        <v>-783780.576</v>
      </c>
    </row>
    <row r="1112" spans="2:32" x14ac:dyDescent="0.25">
      <c r="B1112">
        <f t="shared" si="48"/>
        <v>39</v>
      </c>
      <c r="C1112">
        <v>1</v>
      </c>
      <c r="D1112">
        <v>1</v>
      </c>
      <c r="E1112">
        <v>1</v>
      </c>
      <c r="F1112">
        <v>1</v>
      </c>
      <c r="G1112">
        <v>1</v>
      </c>
      <c r="J1112">
        <f t="shared" si="49"/>
        <v>39</v>
      </c>
      <c r="K1112">
        <v>1</v>
      </c>
      <c r="L1112">
        <v>1</v>
      </c>
      <c r="M1112">
        <v>1</v>
      </c>
      <c r="N1112">
        <v>1</v>
      </c>
      <c r="O1112">
        <v>1</v>
      </c>
      <c r="R1112">
        <f t="shared" si="50"/>
        <v>39</v>
      </c>
      <c r="S1112">
        <v>1</v>
      </c>
      <c r="T1112">
        <v>1</v>
      </c>
      <c r="U1112">
        <v>1</v>
      </c>
      <c r="V1112">
        <v>1</v>
      </c>
      <c r="W1112">
        <v>1</v>
      </c>
      <c r="AA1112">
        <v>-8608.1594000000005</v>
      </c>
      <c r="AB1112">
        <v>-8608.1594000000005</v>
      </c>
      <c r="AC1112">
        <v>-8608.1594000000005</v>
      </c>
      <c r="AD1112">
        <v>-8608.1594000000005</v>
      </c>
      <c r="AE1112">
        <v>-8608.1594000000005</v>
      </c>
      <c r="AF1112">
        <v>-769662.22069999995</v>
      </c>
    </row>
    <row r="1113" spans="2:32" x14ac:dyDescent="0.25">
      <c r="B1113">
        <f t="shared" si="48"/>
        <v>40</v>
      </c>
      <c r="C1113">
        <v>1</v>
      </c>
      <c r="D1113">
        <v>1</v>
      </c>
      <c r="E1113">
        <v>1</v>
      </c>
      <c r="F1113">
        <v>1</v>
      </c>
      <c r="G1113">
        <v>1</v>
      </c>
      <c r="J1113">
        <f t="shared" si="49"/>
        <v>40</v>
      </c>
      <c r="K1113">
        <v>1</v>
      </c>
      <c r="L1113">
        <v>1</v>
      </c>
      <c r="M1113">
        <v>1</v>
      </c>
      <c r="N1113">
        <v>1</v>
      </c>
      <c r="O1113">
        <v>1</v>
      </c>
      <c r="R1113">
        <f t="shared" si="50"/>
        <v>40</v>
      </c>
      <c r="S1113">
        <v>1</v>
      </c>
      <c r="T1113">
        <v>1</v>
      </c>
      <c r="U1113">
        <v>1</v>
      </c>
      <c r="V1113">
        <v>1</v>
      </c>
      <c r="W1113">
        <v>1</v>
      </c>
      <c r="AA1113">
        <v>-8505.3439999999991</v>
      </c>
      <c r="AB1113">
        <v>-8505.3439999999991</v>
      </c>
      <c r="AC1113">
        <v>-8505.3439999999991</v>
      </c>
      <c r="AD1113">
        <v>-8505.3439999999991</v>
      </c>
      <c r="AE1113">
        <v>-8505.3439999999991</v>
      </c>
      <c r="AF1113">
        <v>-798570.41119999997</v>
      </c>
    </row>
    <row r="1114" spans="2:32" x14ac:dyDescent="0.25">
      <c r="B1114">
        <f t="shared" si="48"/>
        <v>41</v>
      </c>
      <c r="C1114">
        <v>1</v>
      </c>
      <c r="D1114">
        <v>1</v>
      </c>
      <c r="E1114">
        <v>1</v>
      </c>
      <c r="F1114">
        <v>1</v>
      </c>
      <c r="G1114">
        <v>1</v>
      </c>
      <c r="J1114">
        <f t="shared" si="49"/>
        <v>41</v>
      </c>
      <c r="K1114">
        <v>1</v>
      </c>
      <c r="L1114">
        <v>1</v>
      </c>
      <c r="M1114">
        <v>1</v>
      </c>
      <c r="N1114">
        <v>1</v>
      </c>
      <c r="O1114">
        <v>1</v>
      </c>
      <c r="R1114">
        <f t="shared" si="50"/>
        <v>41</v>
      </c>
      <c r="S1114">
        <v>1</v>
      </c>
      <c r="T1114">
        <v>1</v>
      </c>
      <c r="U1114">
        <v>1</v>
      </c>
      <c r="V1114">
        <v>1</v>
      </c>
      <c r="W1114">
        <v>1</v>
      </c>
      <c r="AA1114">
        <v>-8400.1087000000007</v>
      </c>
      <c r="AB1114">
        <v>-8400.1087000000007</v>
      </c>
      <c r="AC1114">
        <v>-8400.1087000000007</v>
      </c>
      <c r="AD1114">
        <v>-8400.1087000000007</v>
      </c>
      <c r="AE1114">
        <v>-8400.1087000000007</v>
      </c>
      <c r="AF1114">
        <v>-803549.96459999995</v>
      </c>
    </row>
    <row r="1115" spans="2:32" x14ac:dyDescent="0.25">
      <c r="B1115">
        <f t="shared" si="48"/>
        <v>42</v>
      </c>
      <c r="C1115">
        <v>1</v>
      </c>
      <c r="D1115">
        <v>1</v>
      </c>
      <c r="E1115">
        <v>1</v>
      </c>
      <c r="F1115">
        <v>1</v>
      </c>
      <c r="G1115">
        <v>1</v>
      </c>
      <c r="J1115">
        <f t="shared" si="49"/>
        <v>42</v>
      </c>
      <c r="K1115">
        <v>1</v>
      </c>
      <c r="L1115">
        <v>1</v>
      </c>
      <c r="M1115">
        <v>1</v>
      </c>
      <c r="N1115">
        <v>1</v>
      </c>
      <c r="O1115">
        <v>1</v>
      </c>
      <c r="R1115">
        <f t="shared" si="50"/>
        <v>42</v>
      </c>
      <c r="S1115">
        <v>1</v>
      </c>
      <c r="T1115">
        <v>1</v>
      </c>
      <c r="U1115">
        <v>1</v>
      </c>
      <c r="V1115">
        <v>1</v>
      </c>
      <c r="W1115">
        <v>1</v>
      </c>
      <c r="AA1115">
        <v>-8292.4974999999995</v>
      </c>
      <c r="AB1115">
        <v>-8292.4974999999995</v>
      </c>
      <c r="AC1115">
        <v>-8292.4974999999995</v>
      </c>
      <c r="AD1115">
        <v>-8292.4974999999995</v>
      </c>
      <c r="AE1115">
        <v>-8292.4974999999995</v>
      </c>
      <c r="AF1115">
        <v>-803549.96459999995</v>
      </c>
    </row>
    <row r="1116" spans="2:32" x14ac:dyDescent="0.25">
      <c r="B1116">
        <f t="shared" si="48"/>
        <v>43</v>
      </c>
      <c r="C1116">
        <v>1</v>
      </c>
      <c r="D1116">
        <v>1</v>
      </c>
      <c r="E1116">
        <v>1</v>
      </c>
      <c r="F1116">
        <v>1</v>
      </c>
      <c r="G1116">
        <v>1</v>
      </c>
      <c r="J1116">
        <f t="shared" si="49"/>
        <v>43</v>
      </c>
      <c r="K1116">
        <v>1</v>
      </c>
      <c r="L1116">
        <v>1</v>
      </c>
      <c r="M1116">
        <v>1</v>
      </c>
      <c r="N1116">
        <v>1</v>
      </c>
      <c r="O1116">
        <v>1</v>
      </c>
      <c r="R1116">
        <f t="shared" si="50"/>
        <v>43</v>
      </c>
      <c r="S1116">
        <v>1</v>
      </c>
      <c r="T1116">
        <v>1</v>
      </c>
      <c r="U1116">
        <v>1</v>
      </c>
      <c r="V1116">
        <v>1</v>
      </c>
      <c r="W1116">
        <v>1</v>
      </c>
      <c r="AA1116">
        <v>-8182.3909999999996</v>
      </c>
      <c r="AB1116">
        <v>-8182.3909999999996</v>
      </c>
      <c r="AC1116">
        <v>-8182.3909999999996</v>
      </c>
      <c r="AD1116">
        <v>-8182.3909999999996</v>
      </c>
      <c r="AE1116">
        <v>-8182.3909999999996</v>
      </c>
      <c r="AF1116">
        <v>-844950.93949999998</v>
      </c>
    </row>
    <row r="1117" spans="2:32" x14ac:dyDescent="0.25">
      <c r="B1117">
        <f t="shared" si="48"/>
        <v>44</v>
      </c>
      <c r="C1117">
        <v>1</v>
      </c>
      <c r="D1117">
        <v>1</v>
      </c>
      <c r="E1117">
        <v>1</v>
      </c>
      <c r="F1117">
        <v>1</v>
      </c>
      <c r="G1117">
        <v>1</v>
      </c>
      <c r="J1117">
        <f t="shared" si="49"/>
        <v>44</v>
      </c>
      <c r="K1117">
        <v>1</v>
      </c>
      <c r="L1117">
        <v>1</v>
      </c>
      <c r="M1117">
        <v>1</v>
      </c>
      <c r="N1117">
        <v>1</v>
      </c>
      <c r="O1117">
        <v>1</v>
      </c>
      <c r="R1117">
        <f t="shared" si="50"/>
        <v>44</v>
      </c>
      <c r="S1117">
        <v>1</v>
      </c>
      <c r="T1117">
        <v>1</v>
      </c>
      <c r="U1117">
        <v>1</v>
      </c>
      <c r="V1117">
        <v>1</v>
      </c>
      <c r="W1117">
        <v>1</v>
      </c>
      <c r="AA1117">
        <v>-8069.8261000000002</v>
      </c>
      <c r="AB1117">
        <v>-8069.8261000000002</v>
      </c>
      <c r="AC1117">
        <v>-8069.8261000000002</v>
      </c>
      <c r="AD1117">
        <v>-8069.8261000000002</v>
      </c>
      <c r="AE1117">
        <v>-8069.8261000000002</v>
      </c>
      <c r="AF1117">
        <v>-851265.64670000004</v>
      </c>
    </row>
    <row r="1118" spans="2:32" x14ac:dyDescent="0.25">
      <c r="B1118">
        <f t="shared" si="48"/>
        <v>45</v>
      </c>
      <c r="C1118">
        <v>1</v>
      </c>
      <c r="D1118">
        <v>1</v>
      </c>
      <c r="E1118">
        <v>1</v>
      </c>
      <c r="F1118">
        <v>1</v>
      </c>
      <c r="G1118">
        <v>1</v>
      </c>
      <c r="J1118">
        <f t="shared" si="49"/>
        <v>45</v>
      </c>
      <c r="K1118">
        <v>1</v>
      </c>
      <c r="L1118">
        <v>1</v>
      </c>
      <c r="M1118">
        <v>1</v>
      </c>
      <c r="N1118">
        <v>1</v>
      </c>
      <c r="O1118">
        <v>1</v>
      </c>
      <c r="R1118">
        <f t="shared" si="50"/>
        <v>45</v>
      </c>
      <c r="S1118">
        <v>1</v>
      </c>
      <c r="T1118">
        <v>1</v>
      </c>
      <c r="U1118">
        <v>1</v>
      </c>
      <c r="V1118">
        <v>1</v>
      </c>
      <c r="W1118">
        <v>1</v>
      </c>
      <c r="AA1118">
        <v>-7954.7533999999996</v>
      </c>
      <c r="AB1118">
        <v>-7954.7533999999996</v>
      </c>
      <c r="AC1118">
        <v>-7954.7533999999996</v>
      </c>
      <c r="AD1118">
        <v>-7954.7533999999996</v>
      </c>
      <c r="AE1118">
        <v>-7954.7533999999996</v>
      </c>
      <c r="AF1118">
        <v>-870649.02139999997</v>
      </c>
    </row>
    <row r="1119" spans="2:32" x14ac:dyDescent="0.25">
      <c r="B1119">
        <f t="shared" si="48"/>
        <v>46</v>
      </c>
      <c r="C1119">
        <v>1</v>
      </c>
      <c r="D1119">
        <v>1</v>
      </c>
      <c r="E1119">
        <v>1</v>
      </c>
      <c r="F1119">
        <v>1</v>
      </c>
      <c r="G1119">
        <v>1</v>
      </c>
      <c r="J1119">
        <f t="shared" si="49"/>
        <v>46</v>
      </c>
      <c r="K1119">
        <v>1</v>
      </c>
      <c r="L1119">
        <v>1</v>
      </c>
      <c r="M1119">
        <v>1</v>
      </c>
      <c r="N1119">
        <v>1</v>
      </c>
      <c r="O1119">
        <v>1</v>
      </c>
      <c r="R1119">
        <f t="shared" si="50"/>
        <v>46</v>
      </c>
      <c r="S1119">
        <v>1</v>
      </c>
      <c r="T1119">
        <v>1</v>
      </c>
      <c r="U1119">
        <v>1</v>
      </c>
      <c r="V1119">
        <v>1</v>
      </c>
      <c r="W1119">
        <v>1</v>
      </c>
      <c r="AA1119">
        <v>-7837.1754000000001</v>
      </c>
      <c r="AB1119">
        <v>-7837.1754000000001</v>
      </c>
      <c r="AC1119">
        <v>-7837.1754000000001</v>
      </c>
      <c r="AD1119">
        <v>-7837.1754000000001</v>
      </c>
      <c r="AE1119">
        <v>-7837.1754000000001</v>
      </c>
      <c r="AF1119">
        <v>-892550.54509999999</v>
      </c>
    </row>
    <row r="1120" spans="2:32" x14ac:dyDescent="0.25">
      <c r="B1120">
        <f t="shared" si="48"/>
        <v>47</v>
      </c>
      <c r="C1120">
        <v>1</v>
      </c>
      <c r="D1120">
        <v>1</v>
      </c>
      <c r="E1120">
        <v>1</v>
      </c>
      <c r="F1120">
        <v>1</v>
      </c>
      <c r="G1120">
        <v>1</v>
      </c>
      <c r="J1120">
        <f t="shared" si="49"/>
        <v>47</v>
      </c>
      <c r="K1120">
        <v>1</v>
      </c>
      <c r="L1120">
        <v>1</v>
      </c>
      <c r="M1120">
        <v>1</v>
      </c>
      <c r="N1120">
        <v>1</v>
      </c>
      <c r="O1120">
        <v>1</v>
      </c>
      <c r="R1120">
        <f t="shared" si="50"/>
        <v>47</v>
      </c>
      <c r="S1120">
        <v>1</v>
      </c>
      <c r="T1120">
        <v>1</v>
      </c>
      <c r="U1120">
        <v>1</v>
      </c>
      <c r="V1120">
        <v>1</v>
      </c>
      <c r="W1120">
        <v>1</v>
      </c>
      <c r="AA1120">
        <v>-7717.0294999999996</v>
      </c>
      <c r="AB1120">
        <v>-7717.0294999999996</v>
      </c>
      <c r="AC1120">
        <v>-7717.0294999999996</v>
      </c>
      <c r="AD1120">
        <v>-7717.0294999999996</v>
      </c>
      <c r="AE1120">
        <v>-7717.0294999999996</v>
      </c>
      <c r="AF1120">
        <v>-910915.81969999999</v>
      </c>
    </row>
    <row r="1121" spans="2:32" x14ac:dyDescent="0.25">
      <c r="B1121">
        <f t="shared" si="48"/>
        <v>48</v>
      </c>
      <c r="C1121">
        <v>1</v>
      </c>
      <c r="D1121">
        <v>1</v>
      </c>
      <c r="E1121">
        <v>1</v>
      </c>
      <c r="F1121">
        <v>1</v>
      </c>
      <c r="G1121">
        <v>1</v>
      </c>
      <c r="J1121">
        <f t="shared" si="49"/>
        <v>48</v>
      </c>
      <c r="K1121">
        <v>1</v>
      </c>
      <c r="L1121">
        <v>1</v>
      </c>
      <c r="M1121">
        <v>1</v>
      </c>
      <c r="N1121">
        <v>1</v>
      </c>
      <c r="O1121">
        <v>1</v>
      </c>
      <c r="R1121">
        <f t="shared" si="50"/>
        <v>48</v>
      </c>
      <c r="S1121">
        <v>1</v>
      </c>
      <c r="T1121">
        <v>1</v>
      </c>
      <c r="U1121">
        <v>1</v>
      </c>
      <c r="V1121">
        <v>1</v>
      </c>
      <c r="W1121">
        <v>1</v>
      </c>
      <c r="AA1121">
        <v>-7594.4201000000003</v>
      </c>
      <c r="AB1121">
        <v>-7594.4201000000003</v>
      </c>
      <c r="AC1121">
        <v>-7594.4201000000003</v>
      </c>
      <c r="AD1121">
        <v>-7594.4201000000003</v>
      </c>
      <c r="AE1121">
        <v>-7594.4201000000003</v>
      </c>
      <c r="AF1121">
        <v>-917891.87360000005</v>
      </c>
    </row>
    <row r="1122" spans="2:32" x14ac:dyDescent="0.25">
      <c r="B1122">
        <f t="shared" si="48"/>
        <v>49</v>
      </c>
      <c r="C1122">
        <v>1</v>
      </c>
      <c r="D1122">
        <v>1</v>
      </c>
      <c r="E1122">
        <v>1</v>
      </c>
      <c r="F1122">
        <v>1</v>
      </c>
      <c r="G1122">
        <v>1</v>
      </c>
      <c r="J1122">
        <f t="shared" si="49"/>
        <v>49</v>
      </c>
      <c r="K1122">
        <v>1</v>
      </c>
      <c r="L1122">
        <v>1</v>
      </c>
      <c r="M1122">
        <v>1</v>
      </c>
      <c r="N1122">
        <v>1</v>
      </c>
      <c r="O1122">
        <v>1</v>
      </c>
      <c r="R1122">
        <f t="shared" si="50"/>
        <v>49</v>
      </c>
      <c r="S1122">
        <v>1</v>
      </c>
      <c r="T1122">
        <v>1</v>
      </c>
      <c r="U1122">
        <v>1</v>
      </c>
      <c r="V1122">
        <v>1</v>
      </c>
      <c r="W1122">
        <v>1</v>
      </c>
      <c r="AA1122">
        <v>-7469.3995999999997</v>
      </c>
      <c r="AB1122">
        <v>-7469.3995999999997</v>
      </c>
      <c r="AC1122">
        <v>-7469.3995999999997</v>
      </c>
      <c r="AD1122">
        <v>-7469.3995999999997</v>
      </c>
      <c r="AE1122">
        <v>-7469.3995999999997</v>
      </c>
      <c r="AF1122">
        <v>-944521.72470000002</v>
      </c>
    </row>
    <row r="1123" spans="2:32" x14ac:dyDescent="0.25">
      <c r="B1123">
        <f t="shared" si="48"/>
        <v>50</v>
      </c>
      <c r="C1123">
        <v>1</v>
      </c>
      <c r="D1123">
        <v>1</v>
      </c>
      <c r="E1123">
        <v>1</v>
      </c>
      <c r="F1123">
        <v>1</v>
      </c>
      <c r="G1123">
        <v>1</v>
      </c>
      <c r="J1123">
        <f t="shared" si="49"/>
        <v>50</v>
      </c>
      <c r="K1123">
        <v>1</v>
      </c>
      <c r="L1123">
        <v>1</v>
      </c>
      <c r="M1123">
        <v>1</v>
      </c>
      <c r="N1123">
        <v>1</v>
      </c>
      <c r="O1123">
        <v>1</v>
      </c>
      <c r="R1123">
        <f t="shared" si="50"/>
        <v>50</v>
      </c>
      <c r="S1123">
        <v>1</v>
      </c>
      <c r="T1123">
        <v>1</v>
      </c>
      <c r="U1123">
        <v>1</v>
      </c>
      <c r="V1123">
        <v>1</v>
      </c>
      <c r="W1123">
        <v>1</v>
      </c>
      <c r="AA1123">
        <v>-7341.9502000000002</v>
      </c>
      <c r="AB1123">
        <v>-7341.9502000000002</v>
      </c>
      <c r="AC1123">
        <v>-7341.9502000000002</v>
      </c>
      <c r="AD1123">
        <v>-7341.9502000000002</v>
      </c>
      <c r="AE1123">
        <v>-7341.9502000000002</v>
      </c>
      <c r="AF1123">
        <v>-963257.14989999996</v>
      </c>
    </row>
    <row r="1124" spans="2:32" x14ac:dyDescent="0.25">
      <c r="B1124">
        <f t="shared" si="48"/>
        <v>51</v>
      </c>
      <c r="C1124">
        <v>1</v>
      </c>
      <c r="D1124">
        <v>1</v>
      </c>
      <c r="E1124">
        <v>1</v>
      </c>
      <c r="F1124">
        <v>1</v>
      </c>
      <c r="G1124">
        <v>1</v>
      </c>
      <c r="J1124">
        <f t="shared" si="49"/>
        <v>51</v>
      </c>
      <c r="K1124">
        <v>1</v>
      </c>
      <c r="L1124">
        <v>1</v>
      </c>
      <c r="M1124">
        <v>1</v>
      </c>
      <c r="N1124">
        <v>1</v>
      </c>
      <c r="O1124">
        <v>1</v>
      </c>
      <c r="R1124">
        <f t="shared" si="50"/>
        <v>51</v>
      </c>
      <c r="S1124">
        <v>1</v>
      </c>
      <c r="T1124">
        <v>1</v>
      </c>
      <c r="U1124">
        <v>1</v>
      </c>
      <c r="V1124">
        <v>1</v>
      </c>
      <c r="W1124">
        <v>1</v>
      </c>
      <c r="AA1124">
        <v>-7212.0646999999999</v>
      </c>
      <c r="AB1124">
        <v>-7212.0646999999999</v>
      </c>
      <c r="AC1124">
        <v>-7212.0646999999999</v>
      </c>
      <c r="AD1124">
        <v>-7212.0646999999999</v>
      </c>
      <c r="AE1124">
        <v>-7212.0646999999999</v>
      </c>
      <c r="AF1124">
        <v>-981592.90729999996</v>
      </c>
    </row>
    <row r="1125" spans="2:32" x14ac:dyDescent="0.25">
      <c r="B1125">
        <f t="shared" si="48"/>
        <v>52</v>
      </c>
      <c r="C1125">
        <v>1</v>
      </c>
      <c r="D1125">
        <v>1</v>
      </c>
      <c r="E1125">
        <v>1</v>
      </c>
      <c r="F1125">
        <v>1</v>
      </c>
      <c r="G1125">
        <v>1</v>
      </c>
      <c r="J1125">
        <f t="shared" si="49"/>
        <v>52</v>
      </c>
      <c r="K1125">
        <v>1</v>
      </c>
      <c r="L1125">
        <v>1</v>
      </c>
      <c r="M1125">
        <v>1</v>
      </c>
      <c r="N1125">
        <v>1</v>
      </c>
      <c r="O1125">
        <v>1</v>
      </c>
      <c r="R1125">
        <f t="shared" si="50"/>
        <v>52</v>
      </c>
      <c r="S1125">
        <v>1</v>
      </c>
      <c r="T1125">
        <v>1</v>
      </c>
      <c r="U1125">
        <v>1</v>
      </c>
      <c r="V1125">
        <v>1</v>
      </c>
      <c r="W1125">
        <v>1</v>
      </c>
      <c r="AA1125">
        <v>-7079.7435999999998</v>
      </c>
      <c r="AB1125">
        <v>-7079.7435999999998</v>
      </c>
      <c r="AC1125">
        <v>-7079.7435999999998</v>
      </c>
      <c r="AD1125">
        <v>-7079.7435999999998</v>
      </c>
      <c r="AE1125">
        <v>-7079.7435999999998</v>
      </c>
      <c r="AF1125">
        <v>-998556.10360000003</v>
      </c>
    </row>
    <row r="1126" spans="2:32" x14ac:dyDescent="0.25">
      <c r="B1126">
        <f t="shared" si="48"/>
        <v>53</v>
      </c>
      <c r="C1126">
        <v>1</v>
      </c>
      <c r="D1126">
        <v>1</v>
      </c>
      <c r="E1126">
        <v>1</v>
      </c>
      <c r="F1126">
        <v>1</v>
      </c>
      <c r="G1126">
        <v>1</v>
      </c>
      <c r="J1126">
        <f t="shared" si="49"/>
        <v>53</v>
      </c>
      <c r="K1126">
        <v>1</v>
      </c>
      <c r="L1126">
        <v>1</v>
      </c>
      <c r="M1126">
        <v>1</v>
      </c>
      <c r="N1126">
        <v>1</v>
      </c>
      <c r="O1126">
        <v>1</v>
      </c>
      <c r="R1126">
        <f t="shared" si="50"/>
        <v>53</v>
      </c>
      <c r="S1126">
        <v>1</v>
      </c>
      <c r="T1126">
        <v>1</v>
      </c>
      <c r="U1126">
        <v>1</v>
      </c>
      <c r="V1126">
        <v>1</v>
      </c>
      <c r="W1126">
        <v>1</v>
      </c>
      <c r="AA1126">
        <v>-6945.0875999999998</v>
      </c>
      <c r="AB1126">
        <v>-6945.0875999999998</v>
      </c>
      <c r="AC1126">
        <v>-6945.0875999999998</v>
      </c>
      <c r="AD1126">
        <v>-6945.0875999999998</v>
      </c>
      <c r="AE1126">
        <v>-6945.0875999999998</v>
      </c>
      <c r="AF1126">
        <v>-1015461.3278</v>
      </c>
    </row>
    <row r="1127" spans="2:32" x14ac:dyDescent="0.25">
      <c r="B1127">
        <f t="shared" si="48"/>
        <v>54</v>
      </c>
      <c r="C1127">
        <v>1</v>
      </c>
      <c r="D1127">
        <v>1</v>
      </c>
      <c r="E1127">
        <v>1</v>
      </c>
      <c r="F1127">
        <v>1</v>
      </c>
      <c r="G1127">
        <v>1</v>
      </c>
      <c r="J1127">
        <f t="shared" si="49"/>
        <v>54</v>
      </c>
      <c r="K1127">
        <v>1</v>
      </c>
      <c r="L1127">
        <v>1</v>
      </c>
      <c r="M1127">
        <v>1</v>
      </c>
      <c r="N1127">
        <v>1</v>
      </c>
      <c r="O1127">
        <v>1</v>
      </c>
      <c r="R1127">
        <f t="shared" si="50"/>
        <v>54</v>
      </c>
      <c r="S1127">
        <v>1</v>
      </c>
      <c r="T1127">
        <v>1</v>
      </c>
      <c r="U1127">
        <v>1</v>
      </c>
      <c r="V1127">
        <v>1</v>
      </c>
      <c r="W1127">
        <v>1</v>
      </c>
      <c r="AA1127">
        <v>-6808.2438000000002</v>
      </c>
      <c r="AB1127">
        <v>-6808.2438000000002</v>
      </c>
      <c r="AC1127">
        <v>-6808.2438000000002</v>
      </c>
      <c r="AD1127">
        <v>-6808.2438000000002</v>
      </c>
      <c r="AE1127">
        <v>-6808.2438000000002</v>
      </c>
      <c r="AF1127">
        <v>-1033869.6813000001</v>
      </c>
    </row>
    <row r="1128" spans="2:32" x14ac:dyDescent="0.25">
      <c r="B1128">
        <f t="shared" si="48"/>
        <v>55</v>
      </c>
      <c r="C1128">
        <v>1</v>
      </c>
      <c r="D1128">
        <v>1</v>
      </c>
      <c r="E1128">
        <v>1</v>
      </c>
      <c r="F1128">
        <v>1</v>
      </c>
      <c r="G1128">
        <v>1</v>
      </c>
      <c r="J1128">
        <f t="shared" si="49"/>
        <v>55</v>
      </c>
      <c r="K1128">
        <v>1</v>
      </c>
      <c r="L1128">
        <v>1</v>
      </c>
      <c r="M1128">
        <v>1</v>
      </c>
      <c r="N1128">
        <v>1</v>
      </c>
      <c r="O1128">
        <v>1</v>
      </c>
      <c r="R1128">
        <f t="shared" si="50"/>
        <v>55</v>
      </c>
      <c r="S1128">
        <v>1</v>
      </c>
      <c r="T1128">
        <v>1</v>
      </c>
      <c r="U1128">
        <v>1</v>
      </c>
      <c r="V1128">
        <v>1</v>
      </c>
      <c r="W1128">
        <v>1</v>
      </c>
      <c r="AA1128">
        <v>-6669.2525999999998</v>
      </c>
      <c r="AB1128">
        <v>-6669.2525999999998</v>
      </c>
      <c r="AC1128">
        <v>-6669.2525999999998</v>
      </c>
      <c r="AD1128">
        <v>-6669.2525999999998</v>
      </c>
      <c r="AE1128">
        <v>-6669.2525999999998</v>
      </c>
      <c r="AF1128">
        <v>-1050810.2549999999</v>
      </c>
    </row>
    <row r="1129" spans="2:32" x14ac:dyDescent="0.25">
      <c r="B1129">
        <f t="shared" si="48"/>
        <v>56</v>
      </c>
      <c r="C1129">
        <v>1</v>
      </c>
      <c r="D1129">
        <v>1</v>
      </c>
      <c r="E1129">
        <v>1</v>
      </c>
      <c r="F1129">
        <v>1</v>
      </c>
      <c r="G1129">
        <v>1</v>
      </c>
      <c r="J1129">
        <f t="shared" si="49"/>
        <v>56</v>
      </c>
      <c r="K1129">
        <v>1</v>
      </c>
      <c r="L1129">
        <v>1</v>
      </c>
      <c r="M1129">
        <v>1</v>
      </c>
      <c r="N1129">
        <v>1</v>
      </c>
      <c r="O1129">
        <v>1</v>
      </c>
      <c r="R1129">
        <f t="shared" si="50"/>
        <v>56</v>
      </c>
      <c r="S1129">
        <v>1</v>
      </c>
      <c r="T1129">
        <v>1</v>
      </c>
      <c r="U1129">
        <v>1</v>
      </c>
      <c r="V1129">
        <v>1</v>
      </c>
      <c r="W1129">
        <v>1</v>
      </c>
      <c r="AA1129">
        <v>-6528.2992000000004</v>
      </c>
      <c r="AB1129">
        <v>-6528.2992000000004</v>
      </c>
      <c r="AC1129">
        <v>-6528.2992000000004</v>
      </c>
      <c r="AD1129">
        <v>-6528.2992000000004</v>
      </c>
      <c r="AE1129">
        <v>-6528.2992000000004</v>
      </c>
      <c r="AF1129">
        <v>-1073295.8774000001</v>
      </c>
    </row>
    <row r="1130" spans="2:32" x14ac:dyDescent="0.25">
      <c r="B1130">
        <f t="shared" si="48"/>
        <v>57</v>
      </c>
      <c r="C1130">
        <v>1</v>
      </c>
      <c r="D1130">
        <v>1</v>
      </c>
      <c r="E1130">
        <v>1</v>
      </c>
      <c r="F1130">
        <v>1</v>
      </c>
      <c r="G1130">
        <v>1</v>
      </c>
      <c r="J1130">
        <f t="shared" si="49"/>
        <v>57</v>
      </c>
      <c r="K1130">
        <v>1</v>
      </c>
      <c r="L1130">
        <v>1</v>
      </c>
      <c r="M1130">
        <v>1</v>
      </c>
      <c r="N1130">
        <v>1</v>
      </c>
      <c r="O1130">
        <v>1</v>
      </c>
      <c r="R1130">
        <f t="shared" si="50"/>
        <v>57</v>
      </c>
      <c r="S1130">
        <v>1</v>
      </c>
      <c r="T1130">
        <v>1</v>
      </c>
      <c r="U1130">
        <v>1</v>
      </c>
      <c r="V1130">
        <v>1</v>
      </c>
      <c r="W1130">
        <v>1</v>
      </c>
      <c r="AA1130">
        <v>-6385.5230000000001</v>
      </c>
      <c r="AB1130">
        <v>-6385.5230000000001</v>
      </c>
      <c r="AC1130">
        <v>-6385.5230000000001</v>
      </c>
      <c r="AD1130">
        <v>-6385.5230000000001</v>
      </c>
      <c r="AE1130">
        <v>-6385.5230000000001</v>
      </c>
      <c r="AF1130">
        <v>-1093242.6832999999</v>
      </c>
    </row>
    <row r="1131" spans="2:32" x14ac:dyDescent="0.25">
      <c r="B1131">
        <f t="shared" si="48"/>
        <v>58</v>
      </c>
      <c r="C1131">
        <v>1</v>
      </c>
      <c r="D1131">
        <v>1</v>
      </c>
      <c r="E1131">
        <v>1</v>
      </c>
      <c r="F1131">
        <v>1</v>
      </c>
      <c r="G1131">
        <v>1</v>
      </c>
      <c r="J1131">
        <f t="shared" si="49"/>
        <v>58</v>
      </c>
      <c r="K1131">
        <v>1</v>
      </c>
      <c r="L1131">
        <v>1</v>
      </c>
      <c r="M1131">
        <v>1</v>
      </c>
      <c r="N1131">
        <v>1</v>
      </c>
      <c r="O1131">
        <v>1</v>
      </c>
      <c r="R1131">
        <f t="shared" si="50"/>
        <v>58</v>
      </c>
      <c r="S1131">
        <v>1</v>
      </c>
      <c r="T1131">
        <v>1</v>
      </c>
      <c r="U1131">
        <v>1</v>
      </c>
      <c r="V1131">
        <v>1</v>
      </c>
      <c r="W1131">
        <v>1</v>
      </c>
      <c r="AA1131">
        <v>-6240.8730999999998</v>
      </c>
      <c r="AB1131">
        <v>-6240.8730999999998</v>
      </c>
      <c r="AC1131">
        <v>-6240.8730999999998</v>
      </c>
      <c r="AD1131">
        <v>-6240.8730999999998</v>
      </c>
      <c r="AE1131">
        <v>-6240.8730999999998</v>
      </c>
      <c r="AF1131">
        <v>-1093242.6832999999</v>
      </c>
    </row>
    <row r="1132" spans="2:32" x14ac:dyDescent="0.25">
      <c r="B1132">
        <f t="shared" si="48"/>
        <v>59</v>
      </c>
      <c r="C1132">
        <v>1</v>
      </c>
      <c r="D1132">
        <v>1</v>
      </c>
      <c r="E1132">
        <v>1</v>
      </c>
      <c r="F1132">
        <v>1</v>
      </c>
      <c r="G1132">
        <v>1</v>
      </c>
      <c r="J1132">
        <f t="shared" si="49"/>
        <v>59</v>
      </c>
      <c r="K1132">
        <v>1</v>
      </c>
      <c r="L1132">
        <v>1</v>
      </c>
      <c r="M1132">
        <v>1</v>
      </c>
      <c r="N1132">
        <v>1</v>
      </c>
      <c r="O1132">
        <v>1</v>
      </c>
      <c r="R1132">
        <f t="shared" si="50"/>
        <v>59</v>
      </c>
      <c r="S1132">
        <v>1</v>
      </c>
      <c r="T1132">
        <v>1</v>
      </c>
      <c r="U1132">
        <v>1</v>
      </c>
      <c r="V1132">
        <v>1</v>
      </c>
      <c r="W1132">
        <v>1</v>
      </c>
      <c r="AA1132">
        <v>-6094.3262999999997</v>
      </c>
      <c r="AB1132">
        <v>-6094.3262999999997</v>
      </c>
      <c r="AC1132">
        <v>-6094.3262999999997</v>
      </c>
      <c r="AD1132">
        <v>-6094.3262999999997</v>
      </c>
      <c r="AE1132">
        <v>-6094.3262999999997</v>
      </c>
      <c r="AF1132">
        <v>-1136284.0146999999</v>
      </c>
    </row>
    <row r="1133" spans="2:32" x14ac:dyDescent="0.25">
      <c r="B1133">
        <f t="shared" si="48"/>
        <v>60</v>
      </c>
      <c r="C1133">
        <v>1</v>
      </c>
      <c r="D1133">
        <v>1</v>
      </c>
      <c r="E1133">
        <v>1</v>
      </c>
      <c r="F1133">
        <v>1</v>
      </c>
      <c r="G1133">
        <v>1</v>
      </c>
      <c r="J1133">
        <f t="shared" si="49"/>
        <v>60</v>
      </c>
      <c r="K1133">
        <v>1</v>
      </c>
      <c r="L1133">
        <v>1</v>
      </c>
      <c r="M1133">
        <v>1</v>
      </c>
      <c r="N1133">
        <v>1</v>
      </c>
      <c r="O1133">
        <v>1</v>
      </c>
      <c r="R1133">
        <f t="shared" si="50"/>
        <v>60</v>
      </c>
      <c r="S1133">
        <v>1</v>
      </c>
      <c r="T1133">
        <v>1</v>
      </c>
      <c r="U1133">
        <v>1</v>
      </c>
      <c r="V1133">
        <v>1</v>
      </c>
      <c r="W1133">
        <v>1</v>
      </c>
      <c r="AA1133">
        <v>-5945.9960000000001</v>
      </c>
      <c r="AB1133">
        <v>-5945.9960000000001</v>
      </c>
      <c r="AC1133">
        <v>-5945.9960000000001</v>
      </c>
      <c r="AD1133">
        <v>-5945.9960000000001</v>
      </c>
      <c r="AE1133">
        <v>-5945.9960000000001</v>
      </c>
      <c r="AF1133">
        <v>-1157801.6717999999</v>
      </c>
    </row>
    <row r="1134" spans="2:32" x14ac:dyDescent="0.25">
      <c r="B1134">
        <f t="shared" si="48"/>
        <v>61</v>
      </c>
      <c r="C1134">
        <v>1</v>
      </c>
      <c r="D1134">
        <v>1</v>
      </c>
      <c r="E1134">
        <v>1</v>
      </c>
      <c r="F1134">
        <v>1</v>
      </c>
      <c r="G1134">
        <v>1</v>
      </c>
      <c r="J1134">
        <f t="shared" si="49"/>
        <v>61</v>
      </c>
      <c r="K1134">
        <v>1</v>
      </c>
      <c r="L1134">
        <v>1</v>
      </c>
      <c r="M1134">
        <v>1</v>
      </c>
      <c r="N1134">
        <v>1</v>
      </c>
      <c r="O1134">
        <v>1</v>
      </c>
      <c r="R1134">
        <f t="shared" si="50"/>
        <v>61</v>
      </c>
      <c r="S1134">
        <v>1</v>
      </c>
      <c r="T1134">
        <v>1</v>
      </c>
      <c r="U1134">
        <v>1</v>
      </c>
      <c r="V1134">
        <v>1</v>
      </c>
      <c r="W1134">
        <v>1</v>
      </c>
      <c r="AA1134">
        <v>-5796.3015999999998</v>
      </c>
      <c r="AB1134">
        <v>-5796.3015999999998</v>
      </c>
      <c r="AC1134">
        <v>-5796.3015999999998</v>
      </c>
      <c r="AD1134">
        <v>-5796.3015999999998</v>
      </c>
      <c r="AE1134">
        <v>-5796.3015999999998</v>
      </c>
      <c r="AF1134">
        <v>-1178581.4038</v>
      </c>
    </row>
    <row r="1135" spans="2:32" x14ac:dyDescent="0.25">
      <c r="B1135">
        <f t="shared" si="48"/>
        <v>62</v>
      </c>
      <c r="C1135">
        <v>1</v>
      </c>
      <c r="D1135">
        <v>1</v>
      </c>
      <c r="E1135">
        <v>1</v>
      </c>
      <c r="F1135">
        <v>1</v>
      </c>
      <c r="G1135">
        <v>1</v>
      </c>
      <c r="J1135">
        <f t="shared" si="49"/>
        <v>62</v>
      </c>
      <c r="K1135">
        <v>1</v>
      </c>
      <c r="L1135">
        <v>1</v>
      </c>
      <c r="M1135">
        <v>1</v>
      </c>
      <c r="N1135">
        <v>1</v>
      </c>
      <c r="O1135">
        <v>1</v>
      </c>
      <c r="R1135">
        <f t="shared" si="50"/>
        <v>62</v>
      </c>
      <c r="S1135">
        <v>1</v>
      </c>
      <c r="T1135">
        <v>1</v>
      </c>
      <c r="U1135">
        <v>1</v>
      </c>
      <c r="V1135">
        <v>1</v>
      </c>
      <c r="W1135">
        <v>1</v>
      </c>
      <c r="AA1135">
        <v>-5645.2415000000001</v>
      </c>
      <c r="AB1135">
        <v>-5645.2415000000001</v>
      </c>
      <c r="AC1135">
        <v>-5645.2415000000001</v>
      </c>
      <c r="AD1135">
        <v>-5645.2415000000001</v>
      </c>
      <c r="AE1135">
        <v>-5645.2415000000001</v>
      </c>
      <c r="AF1135">
        <v>-1199521.5327000001</v>
      </c>
    </row>
    <row r="1136" spans="2:32" x14ac:dyDescent="0.25">
      <c r="B1136">
        <f t="shared" si="48"/>
        <v>63</v>
      </c>
      <c r="C1136">
        <v>1</v>
      </c>
      <c r="D1136">
        <v>1</v>
      </c>
      <c r="E1136">
        <v>1</v>
      </c>
      <c r="F1136">
        <v>1</v>
      </c>
      <c r="G1136">
        <v>1</v>
      </c>
      <c r="J1136">
        <f t="shared" si="49"/>
        <v>63</v>
      </c>
      <c r="K1136">
        <v>1</v>
      </c>
      <c r="L1136">
        <v>1</v>
      </c>
      <c r="M1136">
        <v>1</v>
      </c>
      <c r="N1136">
        <v>1</v>
      </c>
      <c r="O1136">
        <v>1</v>
      </c>
      <c r="R1136">
        <f t="shared" si="50"/>
        <v>63</v>
      </c>
      <c r="S1136">
        <v>1</v>
      </c>
      <c r="T1136">
        <v>1</v>
      </c>
      <c r="U1136">
        <v>1</v>
      </c>
      <c r="V1136">
        <v>1</v>
      </c>
      <c r="W1136">
        <v>1</v>
      </c>
      <c r="AA1136">
        <v>-5492.4920000000002</v>
      </c>
      <c r="AB1136">
        <v>-5492.4920000000002</v>
      </c>
      <c r="AC1136">
        <v>-5492.4920000000002</v>
      </c>
      <c r="AD1136">
        <v>-5492.4920000000002</v>
      </c>
      <c r="AE1136">
        <v>-5492.4920000000002</v>
      </c>
      <c r="AF1136">
        <v>-1220461.6269</v>
      </c>
    </row>
    <row r="1137" spans="2:32" x14ac:dyDescent="0.25">
      <c r="B1137">
        <f t="shared" si="48"/>
        <v>64</v>
      </c>
      <c r="C1137">
        <v>1</v>
      </c>
      <c r="D1137">
        <v>1</v>
      </c>
      <c r="E1137">
        <v>1</v>
      </c>
      <c r="F1137">
        <v>1</v>
      </c>
      <c r="G1137">
        <v>1</v>
      </c>
      <c r="J1137">
        <f t="shared" si="49"/>
        <v>64</v>
      </c>
      <c r="K1137">
        <v>1</v>
      </c>
      <c r="L1137">
        <v>1</v>
      </c>
      <c r="M1137">
        <v>1</v>
      </c>
      <c r="N1137">
        <v>1</v>
      </c>
      <c r="O1137">
        <v>1</v>
      </c>
      <c r="R1137">
        <f t="shared" si="50"/>
        <v>64</v>
      </c>
      <c r="S1137">
        <v>1</v>
      </c>
      <c r="T1137">
        <v>1</v>
      </c>
      <c r="U1137">
        <v>1</v>
      </c>
      <c r="V1137">
        <v>1</v>
      </c>
      <c r="W1137">
        <v>1</v>
      </c>
      <c r="AA1137">
        <v>-5338.1817000000001</v>
      </c>
      <c r="AB1137">
        <v>-5338.1817000000001</v>
      </c>
      <c r="AC1137">
        <v>-5338.1817000000001</v>
      </c>
      <c r="AD1137">
        <v>-5338.1817000000001</v>
      </c>
      <c r="AE1137">
        <v>-5338.1817000000001</v>
      </c>
      <c r="AF1137">
        <v>-1240652.2526</v>
      </c>
    </row>
    <row r="1138" spans="2:32" x14ac:dyDescent="0.25">
      <c r="B1138">
        <f t="shared" si="48"/>
        <v>65</v>
      </c>
      <c r="C1138">
        <v>1</v>
      </c>
      <c r="D1138">
        <v>1</v>
      </c>
      <c r="E1138">
        <v>1</v>
      </c>
      <c r="F1138">
        <v>1</v>
      </c>
      <c r="G1138">
        <v>1</v>
      </c>
      <c r="J1138">
        <f t="shared" si="49"/>
        <v>65</v>
      </c>
      <c r="K1138">
        <v>1</v>
      </c>
      <c r="L1138">
        <v>1</v>
      </c>
      <c r="M1138">
        <v>1</v>
      </c>
      <c r="N1138">
        <v>1</v>
      </c>
      <c r="O1138">
        <v>1</v>
      </c>
      <c r="R1138">
        <f t="shared" si="50"/>
        <v>65</v>
      </c>
      <c r="S1138">
        <v>1</v>
      </c>
      <c r="T1138">
        <v>1</v>
      </c>
      <c r="U1138">
        <v>1</v>
      </c>
      <c r="V1138">
        <v>1</v>
      </c>
      <c r="W1138">
        <v>1</v>
      </c>
      <c r="AA1138">
        <v>-5182.2268999999997</v>
      </c>
      <c r="AB1138">
        <v>-5182.2268999999997</v>
      </c>
      <c r="AC1138">
        <v>-5182.2268999999997</v>
      </c>
      <c r="AD1138">
        <v>-5182.2268999999997</v>
      </c>
      <c r="AE1138">
        <v>-5182.2268999999997</v>
      </c>
      <c r="AF1138">
        <v>-1260049.8302</v>
      </c>
    </row>
    <row r="1141" spans="2:32" x14ac:dyDescent="0.25">
      <c r="B1141" t="s">
        <v>46</v>
      </c>
      <c r="C1141">
        <v>50000</v>
      </c>
      <c r="D1141">
        <v>100000</v>
      </c>
      <c r="E1141">
        <v>250000</v>
      </c>
      <c r="F1141">
        <v>500000</v>
      </c>
      <c r="G1141">
        <v>1000000</v>
      </c>
      <c r="H1141">
        <v>2000000</v>
      </c>
      <c r="J1141" t="s">
        <v>47</v>
      </c>
      <c r="K1141">
        <v>50000</v>
      </c>
      <c r="L1141">
        <v>100000</v>
      </c>
      <c r="M1141">
        <v>250000</v>
      </c>
      <c r="N1141">
        <v>500000</v>
      </c>
      <c r="O1141">
        <v>1000000</v>
      </c>
      <c r="P1141">
        <v>2000000</v>
      </c>
      <c r="R1141" t="s">
        <v>48</v>
      </c>
      <c r="S1141">
        <v>50000</v>
      </c>
      <c r="T1141">
        <v>100000</v>
      </c>
      <c r="U1141">
        <v>250000</v>
      </c>
      <c r="V1141">
        <v>500000</v>
      </c>
      <c r="W1141">
        <v>1000000</v>
      </c>
      <c r="X1141">
        <v>2000000</v>
      </c>
    </row>
    <row r="1142" spans="2:32" x14ac:dyDescent="0.25">
      <c r="B1142">
        <v>26</v>
      </c>
      <c r="C1142">
        <v>1</v>
      </c>
      <c r="D1142">
        <v>1</v>
      </c>
      <c r="E1142">
        <v>1</v>
      </c>
      <c r="F1142">
        <v>1</v>
      </c>
      <c r="G1142">
        <v>1</v>
      </c>
      <c r="H1142">
        <v>1</v>
      </c>
      <c r="J1142">
        <v>26</v>
      </c>
      <c r="K1142">
        <v>1</v>
      </c>
      <c r="L1142">
        <v>1</v>
      </c>
      <c r="M1142">
        <v>1</v>
      </c>
      <c r="N1142">
        <v>1</v>
      </c>
      <c r="O1142">
        <v>1</v>
      </c>
      <c r="P1142">
        <v>1</v>
      </c>
      <c r="R1142">
        <v>26</v>
      </c>
      <c r="S1142">
        <v>1</v>
      </c>
      <c r="T1142">
        <v>1</v>
      </c>
      <c r="U1142">
        <v>1</v>
      </c>
      <c r="V1142">
        <v>1</v>
      </c>
      <c r="W1142">
        <v>1</v>
      </c>
      <c r="X1142">
        <v>1</v>
      </c>
      <c r="AA1142">
        <v>-5174.8482999999997</v>
      </c>
      <c r="AB1142">
        <v>-5174.8482999999997</v>
      </c>
      <c r="AC1142">
        <v>-5174.8482999999997</v>
      </c>
      <c r="AD1142">
        <v>-5174.8482999999997</v>
      </c>
      <c r="AE1142">
        <v>-5174.8482999999997</v>
      </c>
      <c r="AF1142">
        <v>-5174.8482999999997</v>
      </c>
    </row>
    <row r="1143" spans="2:32" x14ac:dyDescent="0.25">
      <c r="B1143">
        <v>27</v>
      </c>
      <c r="C1143">
        <v>1</v>
      </c>
      <c r="D1143">
        <v>1</v>
      </c>
      <c r="E1143">
        <v>1</v>
      </c>
      <c r="F1143">
        <v>1</v>
      </c>
      <c r="G1143">
        <v>1</v>
      </c>
      <c r="H1143">
        <v>1</v>
      </c>
      <c r="J1143">
        <v>27</v>
      </c>
      <c r="K1143">
        <v>1</v>
      </c>
      <c r="L1143">
        <v>1</v>
      </c>
      <c r="M1143">
        <v>1</v>
      </c>
      <c r="N1143">
        <v>1</v>
      </c>
      <c r="O1143">
        <v>1</v>
      </c>
      <c r="P1143">
        <v>1</v>
      </c>
      <c r="R1143">
        <v>27</v>
      </c>
      <c r="S1143">
        <v>1</v>
      </c>
      <c r="T1143">
        <v>1</v>
      </c>
      <c r="U1143">
        <v>1</v>
      </c>
      <c r="V1143">
        <v>1</v>
      </c>
      <c r="W1143">
        <v>1</v>
      </c>
      <c r="X1143">
        <v>1</v>
      </c>
      <c r="AA1143">
        <v>-5173.6036999999997</v>
      </c>
      <c r="AB1143">
        <v>-5173.6036999999997</v>
      </c>
      <c r="AC1143">
        <v>-5173.6036999999997</v>
      </c>
      <c r="AD1143">
        <v>-5173.6036999999997</v>
      </c>
      <c r="AE1143">
        <v>-5173.6036999999997</v>
      </c>
      <c r="AF1143">
        <v>-5173.6036999999997</v>
      </c>
    </row>
    <row r="1144" spans="2:32" x14ac:dyDescent="0.25">
      <c r="B1144">
        <v>28</v>
      </c>
      <c r="C1144">
        <v>1</v>
      </c>
      <c r="D1144">
        <v>1</v>
      </c>
      <c r="E1144">
        <v>1</v>
      </c>
      <c r="F1144">
        <v>1</v>
      </c>
      <c r="G1144">
        <v>1</v>
      </c>
      <c r="H1144">
        <v>1</v>
      </c>
      <c r="J1144">
        <v>28</v>
      </c>
      <c r="K1144">
        <v>1</v>
      </c>
      <c r="L1144">
        <v>1</v>
      </c>
      <c r="M1144">
        <v>1</v>
      </c>
      <c r="N1144">
        <v>1</v>
      </c>
      <c r="O1144">
        <v>1</v>
      </c>
      <c r="P1144">
        <v>1</v>
      </c>
      <c r="R1144">
        <v>28</v>
      </c>
      <c r="S1144">
        <v>1</v>
      </c>
      <c r="T1144">
        <v>1</v>
      </c>
      <c r="U1144">
        <v>1</v>
      </c>
      <c r="V1144">
        <v>1</v>
      </c>
      <c r="W1144">
        <v>1</v>
      </c>
      <c r="X1144">
        <v>1</v>
      </c>
      <c r="AA1144">
        <v>-5172.1755999999996</v>
      </c>
      <c r="AB1144">
        <v>-5172.1755999999996</v>
      </c>
      <c r="AC1144">
        <v>-5172.1755999999996</v>
      </c>
      <c r="AD1144">
        <v>-5172.1755999999996</v>
      </c>
      <c r="AE1144">
        <v>-5172.1755999999996</v>
      </c>
      <c r="AF1144">
        <v>-5172.1755999999996</v>
      </c>
    </row>
    <row r="1145" spans="2:32" x14ac:dyDescent="0.25">
      <c r="B1145">
        <v>29</v>
      </c>
      <c r="C1145">
        <v>1</v>
      </c>
      <c r="D1145">
        <v>1</v>
      </c>
      <c r="E1145">
        <v>1</v>
      </c>
      <c r="F1145">
        <v>1</v>
      </c>
      <c r="G1145">
        <v>1</v>
      </c>
      <c r="H1145">
        <v>1</v>
      </c>
      <c r="J1145">
        <v>29</v>
      </c>
      <c r="K1145">
        <v>1</v>
      </c>
      <c r="L1145">
        <v>1</v>
      </c>
      <c r="M1145">
        <v>1</v>
      </c>
      <c r="N1145">
        <v>1</v>
      </c>
      <c r="O1145">
        <v>1</v>
      </c>
      <c r="P1145">
        <v>1</v>
      </c>
      <c r="R1145">
        <v>29</v>
      </c>
      <c r="S1145">
        <v>1</v>
      </c>
      <c r="T1145">
        <v>1</v>
      </c>
      <c r="U1145">
        <v>1</v>
      </c>
      <c r="V1145">
        <v>1</v>
      </c>
      <c r="W1145">
        <v>1</v>
      </c>
      <c r="X1145">
        <v>1</v>
      </c>
      <c r="AA1145">
        <v>-5170.5482000000002</v>
      </c>
      <c r="AB1145">
        <v>-5170.5482000000002</v>
      </c>
      <c r="AC1145">
        <v>-5170.5482000000002</v>
      </c>
      <c r="AD1145">
        <v>-5170.5482000000002</v>
      </c>
      <c r="AE1145">
        <v>-5170.5482000000002</v>
      </c>
      <c r="AF1145">
        <v>-5170.5482000000002</v>
      </c>
    </row>
    <row r="1146" spans="2:32" x14ac:dyDescent="0.25">
      <c r="B1146">
        <v>30</v>
      </c>
      <c r="C1146">
        <v>1</v>
      </c>
      <c r="D1146">
        <v>1</v>
      </c>
      <c r="E1146">
        <v>1</v>
      </c>
      <c r="F1146">
        <v>1</v>
      </c>
      <c r="G1146">
        <v>1</v>
      </c>
      <c r="H1146">
        <v>1</v>
      </c>
      <c r="J1146">
        <v>30</v>
      </c>
      <c r="K1146">
        <v>1</v>
      </c>
      <c r="L1146">
        <v>1</v>
      </c>
      <c r="M1146">
        <v>1</v>
      </c>
      <c r="N1146">
        <v>1</v>
      </c>
      <c r="O1146">
        <v>1</v>
      </c>
      <c r="P1146">
        <v>1</v>
      </c>
      <c r="R1146">
        <v>30</v>
      </c>
      <c r="S1146">
        <v>1</v>
      </c>
      <c r="T1146">
        <v>1</v>
      </c>
      <c r="U1146">
        <v>1</v>
      </c>
      <c r="V1146">
        <v>1</v>
      </c>
      <c r="W1146">
        <v>1</v>
      </c>
      <c r="X1146">
        <v>1</v>
      </c>
      <c r="AA1146">
        <v>-5168.6908999999996</v>
      </c>
      <c r="AB1146">
        <v>-5168.6908999999996</v>
      </c>
      <c r="AC1146">
        <v>-5168.6908999999996</v>
      </c>
      <c r="AD1146">
        <v>-5168.6908999999996</v>
      </c>
      <c r="AE1146">
        <v>-5168.6908999999996</v>
      </c>
      <c r="AF1146">
        <v>-5168.6908999999996</v>
      </c>
    </row>
    <row r="1147" spans="2:32" x14ac:dyDescent="0.25">
      <c r="B1147">
        <v>31</v>
      </c>
      <c r="C1147">
        <v>1</v>
      </c>
      <c r="D1147">
        <v>1</v>
      </c>
      <c r="E1147">
        <v>1</v>
      </c>
      <c r="F1147">
        <v>1</v>
      </c>
      <c r="G1147">
        <v>1</v>
      </c>
      <c r="H1147">
        <v>1</v>
      </c>
      <c r="J1147">
        <v>31</v>
      </c>
      <c r="K1147">
        <v>1</v>
      </c>
      <c r="L1147">
        <v>1</v>
      </c>
      <c r="M1147">
        <v>1</v>
      </c>
      <c r="N1147">
        <v>1</v>
      </c>
      <c r="O1147">
        <v>1</v>
      </c>
      <c r="P1147">
        <v>1</v>
      </c>
      <c r="R1147">
        <v>31</v>
      </c>
      <c r="S1147">
        <v>1</v>
      </c>
      <c r="T1147">
        <v>1</v>
      </c>
      <c r="U1147">
        <v>1</v>
      </c>
      <c r="V1147">
        <v>1</v>
      </c>
      <c r="W1147">
        <v>1</v>
      </c>
      <c r="X1147">
        <v>1</v>
      </c>
      <c r="AA1147">
        <v>-5166.5891000000001</v>
      </c>
      <c r="AB1147">
        <v>-5166.5891000000001</v>
      </c>
      <c r="AC1147">
        <v>-5166.5891000000001</v>
      </c>
      <c r="AD1147">
        <v>-5166.5891000000001</v>
      </c>
      <c r="AE1147">
        <v>-5166.5891000000001</v>
      </c>
      <c r="AF1147">
        <v>-5166.5891000000001</v>
      </c>
    </row>
    <row r="1148" spans="2:32" x14ac:dyDescent="0.25">
      <c r="B1148">
        <v>32</v>
      </c>
      <c r="C1148">
        <v>1</v>
      </c>
      <c r="D1148">
        <v>1</v>
      </c>
      <c r="E1148">
        <v>1</v>
      </c>
      <c r="F1148">
        <v>1</v>
      </c>
      <c r="G1148">
        <v>1</v>
      </c>
      <c r="H1148">
        <v>1</v>
      </c>
      <c r="J1148">
        <v>32</v>
      </c>
      <c r="K1148">
        <v>1</v>
      </c>
      <c r="L1148">
        <v>1</v>
      </c>
      <c r="M1148">
        <v>1</v>
      </c>
      <c r="N1148">
        <v>1</v>
      </c>
      <c r="O1148">
        <v>1</v>
      </c>
      <c r="P1148">
        <v>1</v>
      </c>
      <c r="R1148">
        <v>32</v>
      </c>
      <c r="S1148">
        <v>1</v>
      </c>
      <c r="T1148">
        <v>1</v>
      </c>
      <c r="U1148">
        <v>1</v>
      </c>
      <c r="V1148">
        <v>1</v>
      </c>
      <c r="W1148">
        <v>1</v>
      </c>
      <c r="X1148">
        <v>1</v>
      </c>
      <c r="AA1148">
        <v>-5164.2407000000003</v>
      </c>
      <c r="AB1148">
        <v>-5164.2407000000003</v>
      </c>
      <c r="AC1148">
        <v>-5164.2407000000003</v>
      </c>
      <c r="AD1148">
        <v>-5164.2407000000003</v>
      </c>
      <c r="AE1148">
        <v>-5164.2407000000003</v>
      </c>
      <c r="AF1148">
        <v>-5164.2407000000003</v>
      </c>
    </row>
    <row r="1149" spans="2:32" x14ac:dyDescent="0.25">
      <c r="B1149">
        <v>33</v>
      </c>
      <c r="C1149">
        <v>1</v>
      </c>
      <c r="D1149">
        <v>1</v>
      </c>
      <c r="E1149">
        <v>1</v>
      </c>
      <c r="F1149">
        <v>1</v>
      </c>
      <c r="G1149">
        <v>1</v>
      </c>
      <c r="H1149">
        <v>1</v>
      </c>
      <c r="J1149">
        <v>33</v>
      </c>
      <c r="K1149">
        <v>1</v>
      </c>
      <c r="L1149">
        <v>1</v>
      </c>
      <c r="M1149">
        <v>1</v>
      </c>
      <c r="N1149">
        <v>1</v>
      </c>
      <c r="O1149">
        <v>1</v>
      </c>
      <c r="P1149">
        <v>1</v>
      </c>
      <c r="R1149">
        <v>33</v>
      </c>
      <c r="S1149">
        <v>1</v>
      </c>
      <c r="T1149">
        <v>1</v>
      </c>
      <c r="U1149">
        <v>1</v>
      </c>
      <c r="V1149">
        <v>1</v>
      </c>
      <c r="W1149">
        <v>1</v>
      </c>
      <c r="X1149">
        <v>1</v>
      </c>
      <c r="AA1149">
        <v>-5161.6318000000001</v>
      </c>
      <c r="AB1149">
        <v>-5161.6318000000001</v>
      </c>
      <c r="AC1149">
        <v>-5161.6318000000001</v>
      </c>
      <c r="AD1149">
        <v>-5161.6318000000001</v>
      </c>
      <c r="AE1149">
        <v>-5161.6318000000001</v>
      </c>
      <c r="AF1149">
        <v>-5161.6318000000001</v>
      </c>
    </row>
    <row r="1150" spans="2:32" x14ac:dyDescent="0.25">
      <c r="B1150">
        <v>34</v>
      </c>
      <c r="C1150">
        <v>1</v>
      </c>
      <c r="D1150">
        <v>1</v>
      </c>
      <c r="E1150">
        <v>1</v>
      </c>
      <c r="F1150">
        <v>1</v>
      </c>
      <c r="G1150">
        <v>1</v>
      </c>
      <c r="H1150">
        <v>1</v>
      </c>
      <c r="J1150">
        <v>34</v>
      </c>
      <c r="K1150">
        <v>1</v>
      </c>
      <c r="L1150">
        <v>1</v>
      </c>
      <c r="M1150">
        <v>1</v>
      </c>
      <c r="N1150">
        <v>1</v>
      </c>
      <c r="O1150">
        <v>1</v>
      </c>
      <c r="P1150">
        <v>1</v>
      </c>
      <c r="R1150">
        <v>34</v>
      </c>
      <c r="S1150">
        <v>1</v>
      </c>
      <c r="T1150">
        <v>1</v>
      </c>
      <c r="U1150">
        <v>1</v>
      </c>
      <c r="V1150">
        <v>1</v>
      </c>
      <c r="W1150">
        <v>1</v>
      </c>
      <c r="X1150">
        <v>1</v>
      </c>
      <c r="AA1150">
        <v>-5158.7194</v>
      </c>
      <c r="AB1150">
        <v>-5158.7194</v>
      </c>
      <c r="AC1150">
        <v>-5158.7194</v>
      </c>
      <c r="AD1150">
        <v>-5158.7194</v>
      </c>
      <c r="AE1150">
        <v>-5158.7194</v>
      </c>
      <c r="AF1150">
        <v>-5158.7194</v>
      </c>
    </row>
    <row r="1151" spans="2:32" x14ac:dyDescent="0.25">
      <c r="B1151">
        <v>35</v>
      </c>
      <c r="C1151">
        <v>1</v>
      </c>
      <c r="D1151">
        <v>1</v>
      </c>
      <c r="E1151">
        <v>1</v>
      </c>
      <c r="F1151">
        <v>1</v>
      </c>
      <c r="G1151">
        <v>1</v>
      </c>
      <c r="H1151">
        <v>1</v>
      </c>
      <c r="J1151">
        <v>35</v>
      </c>
      <c r="K1151">
        <v>1</v>
      </c>
      <c r="L1151">
        <v>1</v>
      </c>
      <c r="M1151">
        <v>1</v>
      </c>
      <c r="N1151">
        <v>1</v>
      </c>
      <c r="O1151">
        <v>1</v>
      </c>
      <c r="P1151">
        <v>1</v>
      </c>
      <c r="R1151">
        <v>35</v>
      </c>
      <c r="S1151">
        <v>1</v>
      </c>
      <c r="T1151">
        <v>1</v>
      </c>
      <c r="U1151">
        <v>1</v>
      </c>
      <c r="V1151">
        <v>1</v>
      </c>
      <c r="W1151">
        <v>1</v>
      </c>
      <c r="X1151">
        <v>1</v>
      </c>
      <c r="AA1151">
        <v>-5155.4901</v>
      </c>
      <c r="AB1151">
        <v>-5155.4901</v>
      </c>
      <c r="AC1151">
        <v>-5155.4901</v>
      </c>
      <c r="AD1151">
        <v>-5155.4901</v>
      </c>
      <c r="AE1151">
        <v>-5155.4901</v>
      </c>
      <c r="AF1151">
        <v>-5155.4901</v>
      </c>
    </row>
    <row r="1152" spans="2:32" x14ac:dyDescent="0.25">
      <c r="B1152">
        <v>36</v>
      </c>
      <c r="C1152">
        <v>1</v>
      </c>
      <c r="D1152">
        <v>1</v>
      </c>
      <c r="E1152">
        <v>1</v>
      </c>
      <c r="F1152">
        <v>1</v>
      </c>
      <c r="G1152">
        <v>1</v>
      </c>
      <c r="H1152">
        <v>1</v>
      </c>
      <c r="J1152">
        <v>36</v>
      </c>
      <c r="K1152">
        <v>1</v>
      </c>
      <c r="L1152">
        <v>1</v>
      </c>
      <c r="M1152">
        <v>1</v>
      </c>
      <c r="N1152">
        <v>1</v>
      </c>
      <c r="O1152">
        <v>1</v>
      </c>
      <c r="P1152">
        <v>1</v>
      </c>
      <c r="R1152">
        <v>36</v>
      </c>
      <c r="S1152">
        <v>1</v>
      </c>
      <c r="T1152">
        <v>1</v>
      </c>
      <c r="U1152">
        <v>1</v>
      </c>
      <c r="V1152">
        <v>1</v>
      </c>
      <c r="W1152">
        <v>1</v>
      </c>
      <c r="X1152">
        <v>1</v>
      </c>
      <c r="AA1152">
        <v>-5151.8950999999997</v>
      </c>
      <c r="AB1152">
        <v>-5151.8950999999997</v>
      </c>
      <c r="AC1152">
        <v>-5151.8950999999997</v>
      </c>
      <c r="AD1152">
        <v>-5151.8950999999997</v>
      </c>
      <c r="AE1152">
        <v>-5151.8950999999997</v>
      </c>
      <c r="AF1152">
        <v>-5151.8950999999997</v>
      </c>
    </row>
    <row r="1153" spans="2:32" x14ac:dyDescent="0.25">
      <c r="B1153">
        <v>37</v>
      </c>
      <c r="C1153">
        <v>1</v>
      </c>
      <c r="D1153">
        <v>1</v>
      </c>
      <c r="E1153">
        <v>1</v>
      </c>
      <c r="F1153">
        <v>1</v>
      </c>
      <c r="G1153">
        <v>1</v>
      </c>
      <c r="H1153">
        <v>1</v>
      </c>
      <c r="J1153">
        <v>37</v>
      </c>
      <c r="K1153">
        <v>1</v>
      </c>
      <c r="L1153">
        <v>1</v>
      </c>
      <c r="M1153">
        <v>1</v>
      </c>
      <c r="N1153">
        <v>1</v>
      </c>
      <c r="O1153">
        <v>1</v>
      </c>
      <c r="P1153">
        <v>1</v>
      </c>
      <c r="R1153">
        <v>37</v>
      </c>
      <c r="S1153">
        <v>1</v>
      </c>
      <c r="T1153">
        <v>1</v>
      </c>
      <c r="U1153">
        <v>1</v>
      </c>
      <c r="V1153">
        <v>1</v>
      </c>
      <c r="W1153">
        <v>1</v>
      </c>
      <c r="X1153">
        <v>1</v>
      </c>
      <c r="AA1153">
        <v>-5147.9106000000002</v>
      </c>
      <c r="AB1153">
        <v>-5147.9106000000002</v>
      </c>
      <c r="AC1153">
        <v>-5147.9106000000002</v>
      </c>
      <c r="AD1153">
        <v>-5147.9106000000002</v>
      </c>
      <c r="AE1153">
        <v>-5147.9106000000002</v>
      </c>
      <c r="AF1153">
        <v>-5147.9106000000002</v>
      </c>
    </row>
    <row r="1154" spans="2:32" x14ac:dyDescent="0.25">
      <c r="B1154">
        <v>38</v>
      </c>
      <c r="C1154">
        <v>1</v>
      </c>
      <c r="D1154">
        <v>1</v>
      </c>
      <c r="E1154">
        <v>1</v>
      </c>
      <c r="F1154">
        <v>1</v>
      </c>
      <c r="G1154">
        <v>1</v>
      </c>
      <c r="H1154">
        <v>1</v>
      </c>
      <c r="J1154">
        <v>38</v>
      </c>
      <c r="K1154">
        <v>1</v>
      </c>
      <c r="L1154">
        <v>1</v>
      </c>
      <c r="M1154">
        <v>1</v>
      </c>
      <c r="N1154">
        <v>1</v>
      </c>
      <c r="O1154">
        <v>1</v>
      </c>
      <c r="P1154">
        <v>1</v>
      </c>
      <c r="R1154">
        <v>38</v>
      </c>
      <c r="S1154">
        <v>1</v>
      </c>
      <c r="T1154">
        <v>1</v>
      </c>
      <c r="U1154">
        <v>1</v>
      </c>
      <c r="V1154">
        <v>1</v>
      </c>
      <c r="W1154">
        <v>1</v>
      </c>
      <c r="X1154">
        <v>1</v>
      </c>
      <c r="AA1154">
        <v>-5143.5393999999997</v>
      </c>
      <c r="AB1154">
        <v>-5143.5393999999997</v>
      </c>
      <c r="AC1154">
        <v>-5143.5393999999997</v>
      </c>
      <c r="AD1154">
        <v>-5143.5393999999997</v>
      </c>
      <c r="AE1154">
        <v>-5143.5393999999997</v>
      </c>
      <c r="AF1154">
        <v>-5143.5393999999997</v>
      </c>
    </row>
    <row r="1155" spans="2:32" x14ac:dyDescent="0.25">
      <c r="B1155">
        <v>39</v>
      </c>
      <c r="C1155">
        <v>1</v>
      </c>
      <c r="D1155">
        <v>1</v>
      </c>
      <c r="E1155">
        <v>1</v>
      </c>
      <c r="F1155">
        <v>1</v>
      </c>
      <c r="G1155">
        <v>1</v>
      </c>
      <c r="H1155">
        <v>1</v>
      </c>
      <c r="J1155">
        <v>39</v>
      </c>
      <c r="K1155">
        <v>1</v>
      </c>
      <c r="L1155">
        <v>1</v>
      </c>
      <c r="M1155">
        <v>1</v>
      </c>
      <c r="N1155">
        <v>1</v>
      </c>
      <c r="O1155">
        <v>1</v>
      </c>
      <c r="P1155">
        <v>1</v>
      </c>
      <c r="R1155">
        <v>39</v>
      </c>
      <c r="S1155">
        <v>1</v>
      </c>
      <c r="T1155">
        <v>1</v>
      </c>
      <c r="U1155">
        <v>1</v>
      </c>
      <c r="V1155">
        <v>1</v>
      </c>
      <c r="W1155">
        <v>1</v>
      </c>
      <c r="X1155">
        <v>1</v>
      </c>
      <c r="AA1155">
        <v>-5138.76</v>
      </c>
      <c r="AB1155">
        <v>-5138.76</v>
      </c>
      <c r="AC1155">
        <v>-5138.76</v>
      </c>
      <c r="AD1155">
        <v>-5138.76</v>
      </c>
      <c r="AE1155">
        <v>-5138.76</v>
      </c>
      <c r="AF1155">
        <v>-5138.76</v>
      </c>
    </row>
    <row r="1156" spans="2:32" x14ac:dyDescent="0.25">
      <c r="B1156">
        <v>40</v>
      </c>
      <c r="C1156">
        <v>1</v>
      </c>
      <c r="D1156">
        <v>1</v>
      </c>
      <c r="E1156">
        <v>1</v>
      </c>
      <c r="F1156">
        <v>1</v>
      </c>
      <c r="G1156">
        <v>1</v>
      </c>
      <c r="H1156">
        <v>1</v>
      </c>
      <c r="J1156">
        <v>40</v>
      </c>
      <c r="K1156">
        <v>1</v>
      </c>
      <c r="L1156">
        <v>1</v>
      </c>
      <c r="M1156">
        <v>1</v>
      </c>
      <c r="N1156">
        <v>1</v>
      </c>
      <c r="O1156">
        <v>1</v>
      </c>
      <c r="P1156">
        <v>1</v>
      </c>
      <c r="R1156">
        <v>40</v>
      </c>
      <c r="S1156">
        <v>1</v>
      </c>
      <c r="T1156">
        <v>1</v>
      </c>
      <c r="U1156">
        <v>1</v>
      </c>
      <c r="V1156">
        <v>1</v>
      </c>
      <c r="W1156">
        <v>1</v>
      </c>
      <c r="X1156">
        <v>1</v>
      </c>
      <c r="AA1156">
        <v>-5133.5084999999999</v>
      </c>
      <c r="AB1156">
        <v>-5133.5084999999999</v>
      </c>
      <c r="AC1156">
        <v>-5133.5084999999999</v>
      </c>
      <c r="AD1156">
        <v>-5133.5084999999999</v>
      </c>
      <c r="AE1156">
        <v>-5133.5084999999999</v>
      </c>
      <c r="AF1156">
        <v>-5133.5084999999999</v>
      </c>
    </row>
    <row r="1157" spans="2:32" x14ac:dyDescent="0.25">
      <c r="B1157">
        <v>41</v>
      </c>
      <c r="C1157">
        <v>1</v>
      </c>
      <c r="D1157">
        <v>1</v>
      </c>
      <c r="E1157">
        <v>1</v>
      </c>
      <c r="F1157">
        <v>1</v>
      </c>
      <c r="G1157">
        <v>1</v>
      </c>
      <c r="H1157">
        <v>1</v>
      </c>
      <c r="J1157">
        <v>41</v>
      </c>
      <c r="K1157">
        <v>1</v>
      </c>
      <c r="L1157">
        <v>1</v>
      </c>
      <c r="M1157">
        <v>1</v>
      </c>
      <c r="N1157">
        <v>1</v>
      </c>
      <c r="O1157">
        <v>1</v>
      </c>
      <c r="P1157">
        <v>1</v>
      </c>
      <c r="R1157">
        <v>41</v>
      </c>
      <c r="S1157">
        <v>1</v>
      </c>
      <c r="T1157">
        <v>1</v>
      </c>
      <c r="U1157">
        <v>1</v>
      </c>
      <c r="V1157">
        <v>1</v>
      </c>
      <c r="W1157">
        <v>1</v>
      </c>
      <c r="X1157">
        <v>1</v>
      </c>
      <c r="AA1157">
        <v>-5127.7236000000003</v>
      </c>
      <c r="AB1157">
        <v>-5127.7236000000003</v>
      </c>
      <c r="AC1157">
        <v>-5127.7236000000003</v>
      </c>
      <c r="AD1157">
        <v>-5127.7236000000003</v>
      </c>
      <c r="AE1157">
        <v>-5127.7236000000003</v>
      </c>
      <c r="AF1157">
        <v>-5127.7236000000003</v>
      </c>
    </row>
    <row r="1158" spans="2:32" x14ac:dyDescent="0.25">
      <c r="B1158">
        <v>42</v>
      </c>
      <c r="C1158">
        <v>1</v>
      </c>
      <c r="D1158">
        <v>1</v>
      </c>
      <c r="E1158">
        <v>1</v>
      </c>
      <c r="F1158">
        <v>1</v>
      </c>
      <c r="G1158">
        <v>1</v>
      </c>
      <c r="H1158">
        <v>1</v>
      </c>
      <c r="J1158">
        <v>42</v>
      </c>
      <c r="K1158">
        <v>1</v>
      </c>
      <c r="L1158">
        <v>1</v>
      </c>
      <c r="M1158">
        <v>1</v>
      </c>
      <c r="N1158">
        <v>1</v>
      </c>
      <c r="O1158">
        <v>1</v>
      </c>
      <c r="P1158">
        <v>1</v>
      </c>
      <c r="R1158">
        <v>42</v>
      </c>
      <c r="S1158">
        <v>1</v>
      </c>
      <c r="T1158">
        <v>1</v>
      </c>
      <c r="U1158">
        <v>1</v>
      </c>
      <c r="V1158">
        <v>1</v>
      </c>
      <c r="W1158">
        <v>1</v>
      </c>
      <c r="X1158">
        <v>1</v>
      </c>
      <c r="AA1158">
        <v>-5121.3726999999999</v>
      </c>
      <c r="AB1158">
        <v>-5121.3726999999999</v>
      </c>
      <c r="AC1158">
        <v>-5121.3726999999999</v>
      </c>
      <c r="AD1158">
        <v>-5121.3726999999999</v>
      </c>
      <c r="AE1158">
        <v>-5121.3726999999999</v>
      </c>
      <c r="AF1158">
        <v>-5121.3726999999999</v>
      </c>
    </row>
    <row r="1159" spans="2:32" x14ac:dyDescent="0.25">
      <c r="B1159">
        <v>43</v>
      </c>
      <c r="C1159">
        <v>1</v>
      </c>
      <c r="D1159">
        <v>1</v>
      </c>
      <c r="E1159">
        <v>1</v>
      </c>
      <c r="F1159">
        <v>1</v>
      </c>
      <c r="G1159">
        <v>1</v>
      </c>
      <c r="H1159">
        <v>1</v>
      </c>
      <c r="J1159">
        <v>43</v>
      </c>
      <c r="K1159">
        <v>1</v>
      </c>
      <c r="L1159">
        <v>1</v>
      </c>
      <c r="M1159">
        <v>1</v>
      </c>
      <c r="N1159">
        <v>1</v>
      </c>
      <c r="O1159">
        <v>1</v>
      </c>
      <c r="P1159">
        <v>1</v>
      </c>
      <c r="R1159">
        <v>43</v>
      </c>
      <c r="S1159">
        <v>1</v>
      </c>
      <c r="T1159">
        <v>1</v>
      </c>
      <c r="U1159">
        <v>1</v>
      </c>
      <c r="V1159">
        <v>1</v>
      </c>
      <c r="W1159">
        <v>1</v>
      </c>
      <c r="X1159">
        <v>1</v>
      </c>
      <c r="AA1159">
        <v>-5114.3449000000001</v>
      </c>
      <c r="AB1159">
        <v>-5114.3449000000001</v>
      </c>
      <c r="AC1159">
        <v>-5114.3449000000001</v>
      </c>
      <c r="AD1159">
        <v>-5114.3449000000001</v>
      </c>
      <c r="AE1159">
        <v>-5114.3449000000001</v>
      </c>
      <c r="AF1159">
        <v>-5114.3449000000001</v>
      </c>
    </row>
    <row r="1160" spans="2:32" x14ac:dyDescent="0.25">
      <c r="B1160">
        <v>44</v>
      </c>
      <c r="C1160">
        <v>1</v>
      </c>
      <c r="D1160">
        <v>1</v>
      </c>
      <c r="E1160">
        <v>1</v>
      </c>
      <c r="F1160">
        <v>1</v>
      </c>
      <c r="G1160">
        <v>1</v>
      </c>
      <c r="H1160">
        <v>1</v>
      </c>
      <c r="J1160">
        <v>44</v>
      </c>
      <c r="K1160">
        <v>1</v>
      </c>
      <c r="L1160">
        <v>1</v>
      </c>
      <c r="M1160">
        <v>1</v>
      </c>
      <c r="N1160">
        <v>1</v>
      </c>
      <c r="O1160">
        <v>1</v>
      </c>
      <c r="P1160">
        <v>1</v>
      </c>
      <c r="R1160">
        <v>44</v>
      </c>
      <c r="S1160">
        <v>1</v>
      </c>
      <c r="T1160">
        <v>1</v>
      </c>
      <c r="U1160">
        <v>1</v>
      </c>
      <c r="V1160">
        <v>1</v>
      </c>
      <c r="W1160">
        <v>1</v>
      </c>
      <c r="X1160">
        <v>1</v>
      </c>
      <c r="AA1160">
        <v>-5106.5976000000001</v>
      </c>
      <c r="AB1160">
        <v>-5106.5976000000001</v>
      </c>
      <c r="AC1160">
        <v>-5106.5976000000001</v>
      </c>
      <c r="AD1160">
        <v>-5106.5976000000001</v>
      </c>
      <c r="AE1160">
        <v>-5106.5976000000001</v>
      </c>
      <c r="AF1160">
        <v>-5106.5976000000001</v>
      </c>
    </row>
    <row r="1161" spans="2:32" x14ac:dyDescent="0.25">
      <c r="B1161">
        <v>45</v>
      </c>
      <c r="C1161">
        <v>1</v>
      </c>
      <c r="D1161">
        <v>1</v>
      </c>
      <c r="E1161">
        <v>1</v>
      </c>
      <c r="F1161">
        <v>1</v>
      </c>
      <c r="G1161">
        <v>1</v>
      </c>
      <c r="H1161">
        <v>1</v>
      </c>
      <c r="J1161">
        <v>45</v>
      </c>
      <c r="K1161">
        <v>1</v>
      </c>
      <c r="L1161">
        <v>1</v>
      </c>
      <c r="M1161">
        <v>1</v>
      </c>
      <c r="N1161">
        <v>1</v>
      </c>
      <c r="O1161">
        <v>1</v>
      </c>
      <c r="P1161">
        <v>1</v>
      </c>
      <c r="R1161">
        <v>45</v>
      </c>
      <c r="S1161">
        <v>1</v>
      </c>
      <c r="T1161">
        <v>1</v>
      </c>
      <c r="U1161">
        <v>1</v>
      </c>
      <c r="V1161">
        <v>1</v>
      </c>
      <c r="W1161">
        <v>1</v>
      </c>
      <c r="X1161">
        <v>1</v>
      </c>
      <c r="AA1161">
        <v>-5098.0524999999998</v>
      </c>
      <c r="AB1161">
        <v>-5098.0524999999998</v>
      </c>
      <c r="AC1161">
        <v>-5098.0524999999998</v>
      </c>
      <c r="AD1161">
        <v>-5098.0524999999998</v>
      </c>
      <c r="AE1161">
        <v>-5098.0524999999998</v>
      </c>
      <c r="AF1161">
        <v>-5098.0524999999998</v>
      </c>
    </row>
    <row r="1162" spans="2:32" x14ac:dyDescent="0.25">
      <c r="B1162">
        <v>46</v>
      </c>
      <c r="C1162">
        <v>1</v>
      </c>
      <c r="D1162">
        <v>1</v>
      </c>
      <c r="E1162">
        <v>1</v>
      </c>
      <c r="F1162">
        <v>1</v>
      </c>
      <c r="G1162">
        <v>1</v>
      </c>
      <c r="H1162">
        <v>1</v>
      </c>
      <c r="J1162">
        <v>46</v>
      </c>
      <c r="K1162">
        <v>1</v>
      </c>
      <c r="L1162">
        <v>1</v>
      </c>
      <c r="M1162">
        <v>1</v>
      </c>
      <c r="N1162">
        <v>1</v>
      </c>
      <c r="O1162">
        <v>1</v>
      </c>
      <c r="P1162">
        <v>1</v>
      </c>
      <c r="R1162">
        <v>46</v>
      </c>
      <c r="S1162">
        <v>1</v>
      </c>
      <c r="T1162">
        <v>1</v>
      </c>
      <c r="U1162">
        <v>1</v>
      </c>
      <c r="V1162">
        <v>1</v>
      </c>
      <c r="W1162">
        <v>1</v>
      </c>
      <c r="X1162">
        <v>1</v>
      </c>
      <c r="AA1162">
        <v>-5088.6378000000004</v>
      </c>
      <c r="AB1162">
        <v>-5088.6378000000004</v>
      </c>
      <c r="AC1162">
        <v>-5088.6378000000004</v>
      </c>
      <c r="AD1162">
        <v>-5088.6378000000004</v>
      </c>
      <c r="AE1162">
        <v>-5088.6378000000004</v>
      </c>
      <c r="AF1162">
        <v>-5088.6378000000004</v>
      </c>
    </row>
    <row r="1163" spans="2:32" x14ac:dyDescent="0.25">
      <c r="B1163">
        <v>47</v>
      </c>
      <c r="C1163">
        <v>1</v>
      </c>
      <c r="D1163">
        <v>1</v>
      </c>
      <c r="E1163">
        <v>1</v>
      </c>
      <c r="F1163">
        <v>1</v>
      </c>
      <c r="G1163">
        <v>1</v>
      </c>
      <c r="H1163">
        <v>1</v>
      </c>
      <c r="J1163">
        <v>47</v>
      </c>
      <c r="K1163">
        <v>1</v>
      </c>
      <c r="L1163">
        <v>1</v>
      </c>
      <c r="M1163">
        <v>1</v>
      </c>
      <c r="N1163">
        <v>1</v>
      </c>
      <c r="O1163">
        <v>1</v>
      </c>
      <c r="P1163">
        <v>1</v>
      </c>
      <c r="R1163">
        <v>47</v>
      </c>
      <c r="S1163">
        <v>1</v>
      </c>
      <c r="T1163">
        <v>1</v>
      </c>
      <c r="U1163">
        <v>1</v>
      </c>
      <c r="V1163">
        <v>1</v>
      </c>
      <c r="W1163">
        <v>1</v>
      </c>
      <c r="X1163">
        <v>1</v>
      </c>
      <c r="AA1163">
        <v>-5078.2593999999999</v>
      </c>
      <c r="AB1163">
        <v>-5078.2593999999999</v>
      </c>
      <c r="AC1163">
        <v>-5078.2593999999999</v>
      </c>
      <c r="AD1163">
        <v>-5078.2593999999999</v>
      </c>
      <c r="AE1163">
        <v>-5078.2593999999999</v>
      </c>
      <c r="AF1163">
        <v>-5078.2593999999999</v>
      </c>
    </row>
    <row r="1164" spans="2:32" x14ac:dyDescent="0.25">
      <c r="B1164">
        <v>48</v>
      </c>
      <c r="C1164">
        <v>1</v>
      </c>
      <c r="D1164">
        <v>1</v>
      </c>
      <c r="E1164">
        <v>1</v>
      </c>
      <c r="F1164">
        <v>1</v>
      </c>
      <c r="G1164">
        <v>1</v>
      </c>
      <c r="H1164">
        <v>1</v>
      </c>
      <c r="J1164">
        <v>48</v>
      </c>
      <c r="K1164">
        <v>1</v>
      </c>
      <c r="L1164">
        <v>1</v>
      </c>
      <c r="M1164">
        <v>1</v>
      </c>
      <c r="N1164">
        <v>1</v>
      </c>
      <c r="O1164">
        <v>1</v>
      </c>
      <c r="P1164">
        <v>1</v>
      </c>
      <c r="R1164">
        <v>48</v>
      </c>
      <c r="S1164">
        <v>1</v>
      </c>
      <c r="T1164">
        <v>1</v>
      </c>
      <c r="U1164">
        <v>1</v>
      </c>
      <c r="V1164">
        <v>1</v>
      </c>
      <c r="W1164">
        <v>1</v>
      </c>
      <c r="X1164">
        <v>1</v>
      </c>
      <c r="AA1164">
        <v>-5066.8732</v>
      </c>
      <c r="AB1164">
        <v>-5066.8732</v>
      </c>
      <c r="AC1164">
        <v>-5066.8732</v>
      </c>
      <c r="AD1164">
        <v>-5066.8732</v>
      </c>
      <c r="AE1164">
        <v>-5066.8732</v>
      </c>
      <c r="AF1164">
        <v>-5066.8732</v>
      </c>
    </row>
    <row r="1165" spans="2:32" x14ac:dyDescent="0.25">
      <c r="B1165">
        <v>49</v>
      </c>
      <c r="C1165">
        <v>1</v>
      </c>
      <c r="D1165">
        <v>1</v>
      </c>
      <c r="E1165">
        <v>1</v>
      </c>
      <c r="F1165">
        <v>1</v>
      </c>
      <c r="G1165">
        <v>1</v>
      </c>
      <c r="H1165">
        <v>1</v>
      </c>
      <c r="J1165">
        <v>49</v>
      </c>
      <c r="K1165">
        <v>1</v>
      </c>
      <c r="L1165">
        <v>1</v>
      </c>
      <c r="M1165">
        <v>1</v>
      </c>
      <c r="N1165">
        <v>1</v>
      </c>
      <c r="O1165">
        <v>1</v>
      </c>
      <c r="P1165">
        <v>1</v>
      </c>
      <c r="R1165">
        <v>49</v>
      </c>
      <c r="S1165">
        <v>1</v>
      </c>
      <c r="T1165">
        <v>1</v>
      </c>
      <c r="U1165">
        <v>1</v>
      </c>
      <c r="V1165">
        <v>1</v>
      </c>
      <c r="W1165">
        <v>1</v>
      </c>
      <c r="X1165">
        <v>1</v>
      </c>
      <c r="AA1165">
        <v>-5054.4124000000002</v>
      </c>
      <c r="AB1165">
        <v>-5054.4124000000002</v>
      </c>
      <c r="AC1165">
        <v>-5054.4124000000002</v>
      </c>
      <c r="AD1165">
        <v>-5054.4124000000002</v>
      </c>
      <c r="AE1165">
        <v>-5054.4124000000002</v>
      </c>
      <c r="AF1165">
        <v>-5054.4124000000002</v>
      </c>
    </row>
    <row r="1166" spans="2:32" x14ac:dyDescent="0.25">
      <c r="B1166">
        <v>50</v>
      </c>
      <c r="C1166">
        <v>1</v>
      </c>
      <c r="D1166">
        <v>1</v>
      </c>
      <c r="E1166">
        <v>1</v>
      </c>
      <c r="F1166">
        <v>1</v>
      </c>
      <c r="G1166">
        <v>1</v>
      </c>
      <c r="H1166">
        <v>1</v>
      </c>
      <c r="J1166">
        <v>50</v>
      </c>
      <c r="K1166">
        <v>1</v>
      </c>
      <c r="L1166">
        <v>1</v>
      </c>
      <c r="M1166">
        <v>1</v>
      </c>
      <c r="N1166">
        <v>1</v>
      </c>
      <c r="O1166">
        <v>1</v>
      </c>
      <c r="P1166">
        <v>1</v>
      </c>
      <c r="R1166">
        <v>50</v>
      </c>
      <c r="S1166">
        <v>1</v>
      </c>
      <c r="T1166">
        <v>1</v>
      </c>
      <c r="U1166">
        <v>1</v>
      </c>
      <c r="V1166">
        <v>1</v>
      </c>
      <c r="W1166">
        <v>1</v>
      </c>
      <c r="X1166">
        <v>1</v>
      </c>
      <c r="AA1166">
        <v>-5040.7671</v>
      </c>
      <c r="AB1166">
        <v>-5040.7671</v>
      </c>
      <c r="AC1166">
        <v>-5040.7671</v>
      </c>
      <c r="AD1166">
        <v>-5040.7671</v>
      </c>
      <c r="AE1166">
        <v>-5040.7671</v>
      </c>
      <c r="AF1166">
        <v>-5040.7671</v>
      </c>
    </row>
    <row r="1167" spans="2:32" x14ac:dyDescent="0.25">
      <c r="B1167">
        <v>51</v>
      </c>
      <c r="C1167">
        <v>1</v>
      </c>
      <c r="D1167">
        <v>1</v>
      </c>
      <c r="E1167">
        <v>1</v>
      </c>
      <c r="F1167">
        <v>1</v>
      </c>
      <c r="G1167">
        <v>1</v>
      </c>
      <c r="H1167">
        <v>1</v>
      </c>
      <c r="J1167">
        <v>51</v>
      </c>
      <c r="K1167">
        <v>1</v>
      </c>
      <c r="L1167">
        <v>1</v>
      </c>
      <c r="M1167">
        <v>1</v>
      </c>
      <c r="N1167">
        <v>1</v>
      </c>
      <c r="O1167">
        <v>1</v>
      </c>
      <c r="P1167">
        <v>1</v>
      </c>
      <c r="R1167">
        <v>51</v>
      </c>
      <c r="S1167">
        <v>1</v>
      </c>
      <c r="T1167">
        <v>1</v>
      </c>
      <c r="U1167">
        <v>1</v>
      </c>
      <c r="V1167">
        <v>1</v>
      </c>
      <c r="W1167">
        <v>1</v>
      </c>
      <c r="X1167">
        <v>1</v>
      </c>
      <c r="AA1167">
        <v>-5025.8329000000003</v>
      </c>
      <c r="AB1167">
        <v>-5025.8329000000003</v>
      </c>
      <c r="AC1167">
        <v>-5025.8329000000003</v>
      </c>
      <c r="AD1167">
        <v>-5025.8329000000003</v>
      </c>
      <c r="AE1167">
        <v>-5025.8329000000003</v>
      </c>
      <c r="AF1167">
        <v>-5025.8329000000003</v>
      </c>
    </row>
    <row r="1168" spans="2:32" x14ac:dyDescent="0.25">
      <c r="B1168">
        <v>52</v>
      </c>
      <c r="C1168">
        <v>1</v>
      </c>
      <c r="D1168">
        <v>1</v>
      </c>
      <c r="E1168">
        <v>1</v>
      </c>
      <c r="F1168">
        <v>1</v>
      </c>
      <c r="G1168">
        <v>1</v>
      </c>
      <c r="H1168">
        <v>1</v>
      </c>
      <c r="J1168">
        <v>52</v>
      </c>
      <c r="K1168">
        <v>1</v>
      </c>
      <c r="L1168">
        <v>1</v>
      </c>
      <c r="M1168">
        <v>1</v>
      </c>
      <c r="N1168">
        <v>1</v>
      </c>
      <c r="O1168">
        <v>1</v>
      </c>
      <c r="P1168">
        <v>1</v>
      </c>
      <c r="R1168">
        <v>52</v>
      </c>
      <c r="S1168">
        <v>1</v>
      </c>
      <c r="T1168">
        <v>1</v>
      </c>
      <c r="U1168">
        <v>1</v>
      </c>
      <c r="V1168">
        <v>1</v>
      </c>
      <c r="W1168">
        <v>1</v>
      </c>
      <c r="X1168">
        <v>1</v>
      </c>
      <c r="AA1168">
        <v>-5009.4771000000001</v>
      </c>
      <c r="AB1168">
        <v>-5009.4771000000001</v>
      </c>
      <c r="AC1168">
        <v>-5009.4771000000001</v>
      </c>
      <c r="AD1168">
        <v>-5009.4771000000001</v>
      </c>
      <c r="AE1168">
        <v>-5009.4771000000001</v>
      </c>
      <c r="AF1168">
        <v>-5009.4771000000001</v>
      </c>
    </row>
    <row r="1169" spans="2:32" x14ac:dyDescent="0.25">
      <c r="B1169">
        <v>53</v>
      </c>
      <c r="C1169">
        <v>1</v>
      </c>
      <c r="D1169">
        <v>1</v>
      </c>
      <c r="E1169">
        <v>1</v>
      </c>
      <c r="F1169">
        <v>1</v>
      </c>
      <c r="G1169">
        <v>1</v>
      </c>
      <c r="H1169">
        <v>1</v>
      </c>
      <c r="J1169">
        <v>53</v>
      </c>
      <c r="K1169">
        <v>1</v>
      </c>
      <c r="L1169">
        <v>1</v>
      </c>
      <c r="M1169">
        <v>1</v>
      </c>
      <c r="N1169">
        <v>1</v>
      </c>
      <c r="O1169">
        <v>1</v>
      </c>
      <c r="P1169">
        <v>1</v>
      </c>
      <c r="R1169">
        <v>53</v>
      </c>
      <c r="S1169">
        <v>1</v>
      </c>
      <c r="T1169">
        <v>1</v>
      </c>
      <c r="U1169">
        <v>1</v>
      </c>
      <c r="V1169">
        <v>1</v>
      </c>
      <c r="W1169">
        <v>1</v>
      </c>
      <c r="X1169">
        <v>1</v>
      </c>
      <c r="AA1169">
        <v>-4991.6184000000003</v>
      </c>
      <c r="AB1169">
        <v>-4991.6184000000003</v>
      </c>
      <c r="AC1169">
        <v>-4991.6184000000003</v>
      </c>
      <c r="AD1169">
        <v>-4991.6184000000003</v>
      </c>
      <c r="AE1169">
        <v>-4991.6184000000003</v>
      </c>
      <c r="AF1169">
        <v>-4991.6184000000003</v>
      </c>
    </row>
    <row r="1170" spans="2:32" x14ac:dyDescent="0.25">
      <c r="B1170">
        <v>54</v>
      </c>
      <c r="C1170">
        <v>1</v>
      </c>
      <c r="D1170">
        <v>1</v>
      </c>
      <c r="E1170">
        <v>1</v>
      </c>
      <c r="F1170">
        <v>1</v>
      </c>
      <c r="G1170">
        <v>1</v>
      </c>
      <c r="H1170">
        <v>1</v>
      </c>
      <c r="J1170">
        <v>54</v>
      </c>
      <c r="K1170">
        <v>1</v>
      </c>
      <c r="L1170">
        <v>1</v>
      </c>
      <c r="M1170">
        <v>1</v>
      </c>
      <c r="N1170">
        <v>1</v>
      </c>
      <c r="O1170">
        <v>1</v>
      </c>
      <c r="P1170">
        <v>1</v>
      </c>
      <c r="R1170">
        <v>54</v>
      </c>
      <c r="S1170">
        <v>1</v>
      </c>
      <c r="T1170">
        <v>1</v>
      </c>
      <c r="U1170">
        <v>1</v>
      </c>
      <c r="V1170">
        <v>1</v>
      </c>
      <c r="W1170">
        <v>1</v>
      </c>
      <c r="X1170">
        <v>1</v>
      </c>
      <c r="AA1170">
        <v>-4972.1588000000002</v>
      </c>
      <c r="AB1170">
        <v>-4972.1588000000002</v>
      </c>
      <c r="AC1170">
        <v>-4972.1588000000002</v>
      </c>
      <c r="AD1170">
        <v>-4972.1588000000002</v>
      </c>
      <c r="AE1170">
        <v>-4972.1588000000002</v>
      </c>
      <c r="AF1170">
        <v>-4972.1588000000002</v>
      </c>
    </row>
    <row r="1171" spans="2:32" x14ac:dyDescent="0.25">
      <c r="B1171">
        <v>55</v>
      </c>
      <c r="C1171">
        <v>1</v>
      </c>
      <c r="D1171">
        <v>1</v>
      </c>
      <c r="E1171">
        <v>1</v>
      </c>
      <c r="F1171">
        <v>1</v>
      </c>
      <c r="G1171">
        <v>1</v>
      </c>
      <c r="H1171">
        <v>1</v>
      </c>
      <c r="J1171">
        <v>55</v>
      </c>
      <c r="K1171">
        <v>1</v>
      </c>
      <c r="L1171">
        <v>1</v>
      </c>
      <c r="M1171">
        <v>1</v>
      </c>
      <c r="N1171">
        <v>1</v>
      </c>
      <c r="O1171">
        <v>1</v>
      </c>
      <c r="P1171">
        <v>1</v>
      </c>
      <c r="R1171">
        <v>55</v>
      </c>
      <c r="S1171">
        <v>1</v>
      </c>
      <c r="T1171">
        <v>1</v>
      </c>
      <c r="U1171">
        <v>1</v>
      </c>
      <c r="V1171">
        <v>1</v>
      </c>
      <c r="W1171">
        <v>1</v>
      </c>
      <c r="X1171">
        <v>1</v>
      </c>
      <c r="AA1171">
        <v>-4950.9426000000003</v>
      </c>
      <c r="AB1171">
        <v>-4950.9426000000003</v>
      </c>
      <c r="AC1171">
        <v>-4950.9426000000003</v>
      </c>
      <c r="AD1171">
        <v>-4950.9426000000003</v>
      </c>
      <c r="AE1171">
        <v>-4950.9426000000003</v>
      </c>
      <c r="AF1171">
        <v>-4950.9426000000003</v>
      </c>
    </row>
    <row r="1174" spans="2:32" x14ac:dyDescent="0.25">
      <c r="B1174" t="s">
        <v>46</v>
      </c>
      <c r="C1174">
        <v>100000</v>
      </c>
      <c r="D1174">
        <v>250000</v>
      </c>
      <c r="E1174">
        <v>500000</v>
      </c>
      <c r="F1174">
        <v>1000000</v>
      </c>
      <c r="G1174">
        <v>2000000</v>
      </c>
      <c r="J1174" t="s">
        <v>32</v>
      </c>
      <c r="K1174">
        <v>100000</v>
      </c>
      <c r="L1174">
        <v>250000</v>
      </c>
      <c r="M1174">
        <v>500000</v>
      </c>
      <c r="N1174">
        <v>1000000</v>
      </c>
      <c r="O1174">
        <v>2000000</v>
      </c>
      <c r="R1174" t="s">
        <v>48</v>
      </c>
      <c r="S1174">
        <v>100000</v>
      </c>
      <c r="T1174">
        <v>250000</v>
      </c>
      <c r="U1174">
        <v>500000</v>
      </c>
      <c r="V1174">
        <v>1000000</v>
      </c>
      <c r="W1174">
        <v>2000000</v>
      </c>
    </row>
    <row r="1175" spans="2:32" x14ac:dyDescent="0.25">
      <c r="B1175">
        <v>35</v>
      </c>
      <c r="C1175">
        <v>1</v>
      </c>
      <c r="D1175">
        <v>1</v>
      </c>
      <c r="E1175">
        <v>1</v>
      </c>
      <c r="F1175">
        <v>1</v>
      </c>
      <c r="G1175">
        <v>1</v>
      </c>
      <c r="J1175">
        <v>35</v>
      </c>
      <c r="K1175">
        <v>1</v>
      </c>
      <c r="L1175">
        <v>1</v>
      </c>
      <c r="M1175">
        <v>1</v>
      </c>
      <c r="N1175">
        <v>1</v>
      </c>
      <c r="O1175">
        <v>1</v>
      </c>
      <c r="R1175">
        <v>35</v>
      </c>
      <c r="S1175">
        <v>1</v>
      </c>
      <c r="T1175">
        <v>1</v>
      </c>
      <c r="U1175">
        <v>1</v>
      </c>
      <c r="V1175">
        <v>1</v>
      </c>
      <c r="W1175">
        <v>1</v>
      </c>
      <c r="AA1175">
        <v>-8996.1419000000005</v>
      </c>
      <c r="AB1175">
        <v>-8996.1419000000005</v>
      </c>
      <c r="AC1175">
        <v>-8996.1419000000005</v>
      </c>
      <c r="AD1175">
        <v>-8996.1419000000005</v>
      </c>
      <c r="AE1175">
        <v>-8996.1419000000005</v>
      </c>
      <c r="AF1175">
        <v>-759112.79520000005</v>
      </c>
    </row>
    <row r="1176" spans="2:32" x14ac:dyDescent="0.25">
      <c r="B1176">
        <f t="shared" ref="B1176:B1205" si="51">B1175+1</f>
        <v>36</v>
      </c>
      <c r="C1176">
        <v>1</v>
      </c>
      <c r="D1176">
        <v>1</v>
      </c>
      <c r="E1176">
        <v>1</v>
      </c>
      <c r="F1176">
        <v>1</v>
      </c>
      <c r="G1176">
        <v>1</v>
      </c>
      <c r="J1176">
        <f t="shared" ref="J1176:J1205" si="52">J1175+1</f>
        <v>36</v>
      </c>
      <c r="K1176">
        <v>1</v>
      </c>
      <c r="L1176">
        <v>1</v>
      </c>
      <c r="M1176">
        <v>1</v>
      </c>
      <c r="N1176">
        <v>1</v>
      </c>
      <c r="O1176">
        <v>1</v>
      </c>
      <c r="R1176">
        <f t="shared" ref="R1176:R1205" si="53">R1175+1</f>
        <v>36</v>
      </c>
      <c r="S1176">
        <v>1</v>
      </c>
      <c r="T1176">
        <v>1</v>
      </c>
      <c r="U1176">
        <v>1</v>
      </c>
      <c r="V1176">
        <v>1</v>
      </c>
      <c r="W1176">
        <v>1</v>
      </c>
      <c r="AA1176">
        <v>-8902.6679999999997</v>
      </c>
      <c r="AB1176">
        <v>-8902.6679999999997</v>
      </c>
      <c r="AC1176">
        <v>-8902.6679999999997</v>
      </c>
      <c r="AD1176">
        <v>-8902.6679999999997</v>
      </c>
      <c r="AE1176">
        <v>-8902.6679999999997</v>
      </c>
      <c r="AF1176">
        <v>-737070.86179999996</v>
      </c>
    </row>
    <row r="1177" spans="2:32" x14ac:dyDescent="0.25">
      <c r="B1177">
        <f t="shared" si="51"/>
        <v>37</v>
      </c>
      <c r="C1177">
        <v>1</v>
      </c>
      <c r="D1177">
        <v>1</v>
      </c>
      <c r="E1177">
        <v>1</v>
      </c>
      <c r="F1177">
        <v>1</v>
      </c>
      <c r="G1177">
        <v>1</v>
      </c>
      <c r="J1177">
        <f t="shared" si="52"/>
        <v>37</v>
      </c>
      <c r="K1177">
        <v>1</v>
      </c>
      <c r="L1177">
        <v>1</v>
      </c>
      <c r="M1177">
        <v>1</v>
      </c>
      <c r="N1177">
        <v>1</v>
      </c>
      <c r="O1177">
        <v>1</v>
      </c>
      <c r="R1177">
        <f t="shared" si="53"/>
        <v>37</v>
      </c>
      <c r="S1177">
        <v>1</v>
      </c>
      <c r="T1177">
        <v>1</v>
      </c>
      <c r="U1177">
        <v>1</v>
      </c>
      <c r="V1177">
        <v>1</v>
      </c>
      <c r="W1177">
        <v>1</v>
      </c>
      <c r="AA1177">
        <v>-8806.7960000000003</v>
      </c>
      <c r="AB1177">
        <v>-8806.7960000000003</v>
      </c>
      <c r="AC1177">
        <v>-8806.7960000000003</v>
      </c>
      <c r="AD1177">
        <v>-8806.7960000000003</v>
      </c>
      <c r="AE1177">
        <v>-8806.7960000000003</v>
      </c>
      <c r="AF1177">
        <v>-765978.91940000001</v>
      </c>
    </row>
    <row r="1178" spans="2:32" x14ac:dyDescent="0.25">
      <c r="B1178">
        <f t="shared" si="51"/>
        <v>38</v>
      </c>
      <c r="C1178">
        <v>1</v>
      </c>
      <c r="D1178">
        <v>1</v>
      </c>
      <c r="E1178">
        <v>1</v>
      </c>
      <c r="F1178">
        <v>1</v>
      </c>
      <c r="G1178">
        <v>1</v>
      </c>
      <c r="J1178">
        <f t="shared" si="52"/>
        <v>38</v>
      </c>
      <c r="K1178">
        <v>1</v>
      </c>
      <c r="L1178">
        <v>1</v>
      </c>
      <c r="M1178">
        <v>1</v>
      </c>
      <c r="N1178">
        <v>1</v>
      </c>
      <c r="O1178">
        <v>1</v>
      </c>
      <c r="R1178">
        <f t="shared" si="53"/>
        <v>38</v>
      </c>
      <c r="S1178">
        <v>1</v>
      </c>
      <c r="T1178">
        <v>1</v>
      </c>
      <c r="U1178">
        <v>1</v>
      </c>
      <c r="V1178">
        <v>1</v>
      </c>
      <c r="W1178">
        <v>1</v>
      </c>
      <c r="AA1178">
        <v>-8708.6234000000004</v>
      </c>
      <c r="AB1178">
        <v>-8708.6234000000004</v>
      </c>
      <c r="AC1178">
        <v>-8708.6234000000004</v>
      </c>
      <c r="AD1178">
        <v>-8708.6234000000004</v>
      </c>
      <c r="AE1178">
        <v>-8708.6234000000004</v>
      </c>
      <c r="AF1178">
        <v>-783780.576</v>
      </c>
    </row>
    <row r="1179" spans="2:32" x14ac:dyDescent="0.25">
      <c r="B1179">
        <f t="shared" si="51"/>
        <v>39</v>
      </c>
      <c r="C1179">
        <v>1</v>
      </c>
      <c r="D1179">
        <v>1</v>
      </c>
      <c r="E1179">
        <v>1</v>
      </c>
      <c r="F1179">
        <v>1</v>
      </c>
      <c r="G1179">
        <v>1</v>
      </c>
      <c r="J1179">
        <f t="shared" si="52"/>
        <v>39</v>
      </c>
      <c r="K1179">
        <v>1</v>
      </c>
      <c r="L1179">
        <v>1</v>
      </c>
      <c r="M1179">
        <v>1</v>
      </c>
      <c r="N1179">
        <v>1</v>
      </c>
      <c r="O1179">
        <v>1</v>
      </c>
      <c r="R1179">
        <f t="shared" si="53"/>
        <v>39</v>
      </c>
      <c r="S1179">
        <v>1</v>
      </c>
      <c r="T1179">
        <v>1</v>
      </c>
      <c r="U1179">
        <v>1</v>
      </c>
      <c r="V1179">
        <v>1</v>
      </c>
      <c r="W1179">
        <v>1</v>
      </c>
      <c r="AA1179">
        <v>-8608.1594000000005</v>
      </c>
      <c r="AB1179">
        <v>-8608.1594000000005</v>
      </c>
      <c r="AC1179">
        <v>-8608.1594000000005</v>
      </c>
      <c r="AD1179">
        <v>-8608.1594000000005</v>
      </c>
      <c r="AE1179">
        <v>-8608.1594000000005</v>
      </c>
      <c r="AF1179">
        <v>-769662.22069999995</v>
      </c>
    </row>
    <row r="1180" spans="2:32" x14ac:dyDescent="0.25">
      <c r="B1180">
        <f t="shared" si="51"/>
        <v>40</v>
      </c>
      <c r="C1180">
        <v>1</v>
      </c>
      <c r="D1180">
        <v>1</v>
      </c>
      <c r="E1180">
        <v>1</v>
      </c>
      <c r="F1180">
        <v>1</v>
      </c>
      <c r="G1180">
        <v>1</v>
      </c>
      <c r="J1180">
        <f t="shared" si="52"/>
        <v>40</v>
      </c>
      <c r="K1180">
        <v>1</v>
      </c>
      <c r="L1180">
        <v>1</v>
      </c>
      <c r="M1180">
        <v>1</v>
      </c>
      <c r="N1180">
        <v>1</v>
      </c>
      <c r="O1180">
        <v>1</v>
      </c>
      <c r="R1180">
        <f t="shared" si="53"/>
        <v>40</v>
      </c>
      <c r="S1180">
        <v>1</v>
      </c>
      <c r="T1180">
        <v>1</v>
      </c>
      <c r="U1180">
        <v>1</v>
      </c>
      <c r="V1180">
        <v>1</v>
      </c>
      <c r="W1180">
        <v>1</v>
      </c>
      <c r="AA1180">
        <v>-8505.3439999999991</v>
      </c>
      <c r="AB1180">
        <v>-8505.3439999999991</v>
      </c>
      <c r="AC1180">
        <v>-8505.3439999999991</v>
      </c>
      <c r="AD1180">
        <v>-8505.3439999999991</v>
      </c>
      <c r="AE1180">
        <v>-8505.3439999999991</v>
      </c>
      <c r="AF1180">
        <v>-798570.41119999997</v>
      </c>
    </row>
    <row r="1181" spans="2:32" x14ac:dyDescent="0.25">
      <c r="B1181">
        <f t="shared" si="51"/>
        <v>41</v>
      </c>
      <c r="C1181">
        <v>1</v>
      </c>
      <c r="D1181">
        <v>1</v>
      </c>
      <c r="E1181">
        <v>1</v>
      </c>
      <c r="F1181">
        <v>1</v>
      </c>
      <c r="G1181">
        <v>1</v>
      </c>
      <c r="J1181">
        <f t="shared" si="52"/>
        <v>41</v>
      </c>
      <c r="K1181">
        <v>1</v>
      </c>
      <c r="L1181">
        <v>1</v>
      </c>
      <c r="M1181">
        <v>1</v>
      </c>
      <c r="N1181">
        <v>1</v>
      </c>
      <c r="O1181">
        <v>1</v>
      </c>
      <c r="R1181">
        <f t="shared" si="53"/>
        <v>41</v>
      </c>
      <c r="S1181">
        <v>1</v>
      </c>
      <c r="T1181">
        <v>1</v>
      </c>
      <c r="U1181">
        <v>1</v>
      </c>
      <c r="V1181">
        <v>1</v>
      </c>
      <c r="W1181">
        <v>1</v>
      </c>
      <c r="AA1181">
        <v>-8400.1087000000007</v>
      </c>
      <c r="AB1181">
        <v>-8400.1087000000007</v>
      </c>
      <c r="AC1181">
        <v>-8400.1087000000007</v>
      </c>
      <c r="AD1181">
        <v>-8400.1087000000007</v>
      </c>
      <c r="AE1181">
        <v>-8400.1087000000007</v>
      </c>
      <c r="AF1181">
        <v>-803549.96459999995</v>
      </c>
    </row>
    <row r="1182" spans="2:32" x14ac:dyDescent="0.25">
      <c r="B1182">
        <f t="shared" si="51"/>
        <v>42</v>
      </c>
      <c r="C1182">
        <v>1</v>
      </c>
      <c r="D1182">
        <v>1</v>
      </c>
      <c r="E1182">
        <v>1</v>
      </c>
      <c r="F1182">
        <v>1</v>
      </c>
      <c r="G1182">
        <v>1</v>
      </c>
      <c r="J1182">
        <f t="shared" si="52"/>
        <v>42</v>
      </c>
      <c r="K1182">
        <v>1</v>
      </c>
      <c r="L1182">
        <v>1</v>
      </c>
      <c r="M1182">
        <v>1</v>
      </c>
      <c r="N1182">
        <v>1</v>
      </c>
      <c r="O1182">
        <v>1</v>
      </c>
      <c r="R1182">
        <f t="shared" si="53"/>
        <v>42</v>
      </c>
      <c r="S1182">
        <v>1</v>
      </c>
      <c r="T1182">
        <v>1</v>
      </c>
      <c r="U1182">
        <v>1</v>
      </c>
      <c r="V1182">
        <v>1</v>
      </c>
      <c r="W1182">
        <v>1</v>
      </c>
      <c r="AA1182">
        <v>-8292.4974999999995</v>
      </c>
      <c r="AB1182">
        <v>-8292.4974999999995</v>
      </c>
      <c r="AC1182">
        <v>-8292.4974999999995</v>
      </c>
      <c r="AD1182">
        <v>-8292.4974999999995</v>
      </c>
      <c r="AE1182">
        <v>-8292.4974999999995</v>
      </c>
      <c r="AF1182">
        <v>-833551.75890000002</v>
      </c>
    </row>
    <row r="1183" spans="2:32" x14ac:dyDescent="0.25">
      <c r="B1183">
        <f t="shared" si="51"/>
        <v>43</v>
      </c>
      <c r="C1183">
        <v>1</v>
      </c>
      <c r="D1183">
        <v>1</v>
      </c>
      <c r="E1183">
        <v>1</v>
      </c>
      <c r="F1183">
        <v>1</v>
      </c>
      <c r="G1183">
        <v>1</v>
      </c>
      <c r="J1183">
        <f t="shared" si="52"/>
        <v>43</v>
      </c>
      <c r="K1183">
        <v>1</v>
      </c>
      <c r="L1183">
        <v>1</v>
      </c>
      <c r="M1183">
        <v>1</v>
      </c>
      <c r="N1183">
        <v>1</v>
      </c>
      <c r="O1183">
        <v>1</v>
      </c>
      <c r="R1183">
        <f t="shared" si="53"/>
        <v>43</v>
      </c>
      <c r="S1183">
        <v>1</v>
      </c>
      <c r="T1183">
        <v>1</v>
      </c>
      <c r="U1183">
        <v>1</v>
      </c>
      <c r="V1183">
        <v>1</v>
      </c>
      <c r="W1183">
        <v>1</v>
      </c>
      <c r="AA1183">
        <v>-8182.3909999999996</v>
      </c>
      <c r="AB1183">
        <v>-8182.3909999999996</v>
      </c>
      <c r="AC1183">
        <v>-8182.3909999999996</v>
      </c>
      <c r="AD1183">
        <v>-8182.3909999999996</v>
      </c>
      <c r="AE1183">
        <v>-8182.3909999999996</v>
      </c>
      <c r="AF1183">
        <v>-844950.93949999998</v>
      </c>
    </row>
    <row r="1184" spans="2:32" x14ac:dyDescent="0.25">
      <c r="B1184">
        <f t="shared" si="51"/>
        <v>44</v>
      </c>
      <c r="C1184">
        <v>1</v>
      </c>
      <c r="D1184">
        <v>1</v>
      </c>
      <c r="E1184">
        <v>1</v>
      </c>
      <c r="F1184">
        <v>1</v>
      </c>
      <c r="G1184">
        <v>1</v>
      </c>
      <c r="J1184">
        <f t="shared" si="52"/>
        <v>44</v>
      </c>
      <c r="K1184">
        <v>1</v>
      </c>
      <c r="L1184">
        <v>1</v>
      </c>
      <c r="M1184">
        <v>1</v>
      </c>
      <c r="N1184">
        <v>1</v>
      </c>
      <c r="O1184">
        <v>1</v>
      </c>
      <c r="R1184">
        <f t="shared" si="53"/>
        <v>44</v>
      </c>
      <c r="S1184">
        <v>1</v>
      </c>
      <c r="T1184">
        <v>1</v>
      </c>
      <c r="U1184">
        <v>1</v>
      </c>
      <c r="V1184">
        <v>1</v>
      </c>
      <c r="W1184">
        <v>1</v>
      </c>
      <c r="AA1184">
        <v>-8069.8261000000002</v>
      </c>
      <c r="AB1184">
        <v>-8069.8261000000002</v>
      </c>
      <c r="AC1184">
        <v>-8069.8261000000002</v>
      </c>
      <c r="AD1184">
        <v>-8069.8261000000002</v>
      </c>
      <c r="AE1184">
        <v>-8069.8261000000002</v>
      </c>
      <c r="AF1184">
        <v>-851265.64670000004</v>
      </c>
    </row>
    <row r="1185" spans="2:32" x14ac:dyDescent="0.25">
      <c r="B1185">
        <f t="shared" si="51"/>
        <v>45</v>
      </c>
      <c r="C1185">
        <v>1</v>
      </c>
      <c r="D1185">
        <v>1</v>
      </c>
      <c r="E1185">
        <v>1</v>
      </c>
      <c r="F1185">
        <v>1</v>
      </c>
      <c r="G1185">
        <v>1</v>
      </c>
      <c r="J1185">
        <f t="shared" si="52"/>
        <v>45</v>
      </c>
      <c r="K1185">
        <v>1</v>
      </c>
      <c r="L1185">
        <v>1</v>
      </c>
      <c r="M1185">
        <v>1</v>
      </c>
      <c r="N1185">
        <v>1</v>
      </c>
      <c r="O1185">
        <v>1</v>
      </c>
      <c r="R1185">
        <f t="shared" si="53"/>
        <v>45</v>
      </c>
      <c r="S1185">
        <v>1</v>
      </c>
      <c r="T1185">
        <v>1</v>
      </c>
      <c r="U1185">
        <v>1</v>
      </c>
      <c r="V1185">
        <v>1</v>
      </c>
      <c r="W1185">
        <v>1</v>
      </c>
      <c r="AA1185">
        <v>-7954.7533999999996</v>
      </c>
      <c r="AB1185">
        <v>-7954.7533999999996</v>
      </c>
      <c r="AC1185">
        <v>-7954.7533999999996</v>
      </c>
      <c r="AD1185">
        <v>-7954.7533999999996</v>
      </c>
      <c r="AE1185">
        <v>-7954.7533999999996</v>
      </c>
      <c r="AF1185">
        <v>-870649.02139999997</v>
      </c>
    </row>
    <row r="1186" spans="2:32" x14ac:dyDescent="0.25">
      <c r="B1186">
        <f t="shared" si="51"/>
        <v>46</v>
      </c>
      <c r="C1186">
        <v>1</v>
      </c>
      <c r="D1186">
        <v>1</v>
      </c>
      <c r="E1186">
        <v>1</v>
      </c>
      <c r="F1186">
        <v>1</v>
      </c>
      <c r="G1186">
        <v>1</v>
      </c>
      <c r="J1186">
        <f t="shared" si="52"/>
        <v>46</v>
      </c>
      <c r="K1186">
        <v>1</v>
      </c>
      <c r="L1186">
        <v>1</v>
      </c>
      <c r="M1186">
        <v>1</v>
      </c>
      <c r="N1186">
        <v>1</v>
      </c>
      <c r="O1186">
        <v>1</v>
      </c>
      <c r="R1186">
        <f t="shared" si="53"/>
        <v>46</v>
      </c>
      <c r="S1186">
        <v>1</v>
      </c>
      <c r="T1186">
        <v>1</v>
      </c>
      <c r="U1186">
        <v>1</v>
      </c>
      <c r="V1186">
        <v>1</v>
      </c>
      <c r="W1186">
        <v>1</v>
      </c>
      <c r="AA1186">
        <v>-7837.1754000000001</v>
      </c>
      <c r="AB1186">
        <v>-7837.1754000000001</v>
      </c>
      <c r="AC1186">
        <v>-7837.1754000000001</v>
      </c>
      <c r="AD1186">
        <v>-7837.1754000000001</v>
      </c>
      <c r="AE1186">
        <v>-7837.1754000000001</v>
      </c>
      <c r="AF1186">
        <v>-892550.54509999999</v>
      </c>
    </row>
    <row r="1187" spans="2:32" x14ac:dyDescent="0.25">
      <c r="B1187">
        <f t="shared" si="51"/>
        <v>47</v>
      </c>
      <c r="C1187">
        <v>1</v>
      </c>
      <c r="D1187">
        <v>1</v>
      </c>
      <c r="E1187">
        <v>1</v>
      </c>
      <c r="F1187">
        <v>1</v>
      </c>
      <c r="G1187">
        <v>1</v>
      </c>
      <c r="J1187">
        <f t="shared" si="52"/>
        <v>47</v>
      </c>
      <c r="K1187">
        <v>1</v>
      </c>
      <c r="L1187">
        <v>1</v>
      </c>
      <c r="M1187">
        <v>1</v>
      </c>
      <c r="N1187">
        <v>1</v>
      </c>
      <c r="O1187">
        <v>1</v>
      </c>
      <c r="R1187">
        <f t="shared" si="53"/>
        <v>47</v>
      </c>
      <c r="S1187">
        <v>1</v>
      </c>
      <c r="T1187">
        <v>1</v>
      </c>
      <c r="U1187">
        <v>1</v>
      </c>
      <c r="V1187">
        <v>1</v>
      </c>
      <c r="W1187">
        <v>1</v>
      </c>
      <c r="AA1187">
        <v>-7717.0294999999996</v>
      </c>
      <c r="AB1187">
        <v>-7717.0294999999996</v>
      </c>
      <c r="AC1187">
        <v>-7717.0294999999996</v>
      </c>
      <c r="AD1187">
        <v>-7717.0294999999996</v>
      </c>
      <c r="AE1187">
        <v>-7717.0294999999996</v>
      </c>
      <c r="AF1187">
        <v>-910915.81969999999</v>
      </c>
    </row>
    <row r="1188" spans="2:32" x14ac:dyDescent="0.25">
      <c r="B1188">
        <f t="shared" si="51"/>
        <v>48</v>
      </c>
      <c r="C1188">
        <v>1</v>
      </c>
      <c r="D1188">
        <v>1</v>
      </c>
      <c r="E1188">
        <v>1</v>
      </c>
      <c r="F1188">
        <v>1</v>
      </c>
      <c r="G1188">
        <v>1</v>
      </c>
      <c r="J1188">
        <f t="shared" si="52"/>
        <v>48</v>
      </c>
      <c r="K1188">
        <v>1</v>
      </c>
      <c r="L1188">
        <v>1</v>
      </c>
      <c r="M1188">
        <v>1</v>
      </c>
      <c r="N1188">
        <v>1</v>
      </c>
      <c r="O1188">
        <v>1</v>
      </c>
      <c r="R1188">
        <f t="shared" si="53"/>
        <v>48</v>
      </c>
      <c r="S1188">
        <v>1</v>
      </c>
      <c r="T1188">
        <v>1</v>
      </c>
      <c r="U1188">
        <v>1</v>
      </c>
      <c r="V1188">
        <v>1</v>
      </c>
      <c r="W1188">
        <v>1</v>
      </c>
      <c r="AA1188">
        <v>-7594.4201000000003</v>
      </c>
      <c r="AB1188">
        <v>-7594.4201000000003</v>
      </c>
      <c r="AC1188">
        <v>-7594.4201000000003</v>
      </c>
      <c r="AD1188">
        <v>-7594.4201000000003</v>
      </c>
      <c r="AE1188">
        <v>-7594.4201000000003</v>
      </c>
      <c r="AF1188">
        <v>-917891.87360000005</v>
      </c>
    </row>
    <row r="1189" spans="2:32" x14ac:dyDescent="0.25">
      <c r="B1189">
        <f t="shared" si="51"/>
        <v>49</v>
      </c>
      <c r="C1189">
        <v>1</v>
      </c>
      <c r="D1189">
        <v>1</v>
      </c>
      <c r="E1189">
        <v>1</v>
      </c>
      <c r="F1189">
        <v>1</v>
      </c>
      <c r="G1189">
        <v>1</v>
      </c>
      <c r="J1189">
        <f t="shared" si="52"/>
        <v>49</v>
      </c>
      <c r="K1189">
        <v>1</v>
      </c>
      <c r="L1189">
        <v>1</v>
      </c>
      <c r="M1189">
        <v>1</v>
      </c>
      <c r="N1189">
        <v>1</v>
      </c>
      <c r="O1189">
        <v>1</v>
      </c>
      <c r="R1189">
        <f t="shared" si="53"/>
        <v>49</v>
      </c>
      <c r="S1189">
        <v>1</v>
      </c>
      <c r="T1189">
        <v>1</v>
      </c>
      <c r="U1189">
        <v>1</v>
      </c>
      <c r="V1189">
        <v>1</v>
      </c>
      <c r="W1189">
        <v>1</v>
      </c>
      <c r="AA1189">
        <v>-7469.3995999999997</v>
      </c>
      <c r="AB1189">
        <v>-7469.3995999999997</v>
      </c>
      <c r="AC1189">
        <v>-7469.3995999999997</v>
      </c>
      <c r="AD1189">
        <v>-7469.3995999999997</v>
      </c>
      <c r="AE1189">
        <v>-7469.3995999999997</v>
      </c>
      <c r="AF1189">
        <v>-944521.72470000002</v>
      </c>
    </row>
    <row r="1190" spans="2:32" x14ac:dyDescent="0.25">
      <c r="B1190">
        <f t="shared" si="51"/>
        <v>50</v>
      </c>
      <c r="C1190">
        <v>1</v>
      </c>
      <c r="D1190">
        <v>1</v>
      </c>
      <c r="E1190">
        <v>1</v>
      </c>
      <c r="F1190">
        <v>1</v>
      </c>
      <c r="G1190">
        <v>1</v>
      </c>
      <c r="J1190">
        <f t="shared" si="52"/>
        <v>50</v>
      </c>
      <c r="K1190">
        <v>1</v>
      </c>
      <c r="L1190">
        <v>1</v>
      </c>
      <c r="M1190">
        <v>1</v>
      </c>
      <c r="N1190">
        <v>1</v>
      </c>
      <c r="O1190">
        <v>1</v>
      </c>
      <c r="R1190">
        <f t="shared" si="53"/>
        <v>50</v>
      </c>
      <c r="S1190">
        <v>1</v>
      </c>
      <c r="T1190">
        <v>1</v>
      </c>
      <c r="U1190">
        <v>1</v>
      </c>
      <c r="V1190">
        <v>1</v>
      </c>
      <c r="W1190">
        <v>1</v>
      </c>
      <c r="AA1190">
        <v>-7341.9502000000002</v>
      </c>
      <c r="AB1190">
        <v>-7341.9502000000002</v>
      </c>
      <c r="AC1190">
        <v>-7341.9502000000002</v>
      </c>
      <c r="AD1190">
        <v>-7341.9502000000002</v>
      </c>
      <c r="AE1190">
        <v>-7341.9502000000002</v>
      </c>
      <c r="AF1190">
        <v>-963257.14989999996</v>
      </c>
    </row>
    <row r="1191" spans="2:32" x14ac:dyDescent="0.25">
      <c r="B1191">
        <f t="shared" si="51"/>
        <v>51</v>
      </c>
      <c r="C1191">
        <v>1</v>
      </c>
      <c r="D1191">
        <v>1</v>
      </c>
      <c r="E1191">
        <v>1</v>
      </c>
      <c r="F1191">
        <v>1</v>
      </c>
      <c r="G1191">
        <v>1</v>
      </c>
      <c r="J1191">
        <f t="shared" si="52"/>
        <v>51</v>
      </c>
      <c r="K1191">
        <v>1</v>
      </c>
      <c r="L1191">
        <v>1</v>
      </c>
      <c r="M1191">
        <v>1</v>
      </c>
      <c r="N1191">
        <v>1</v>
      </c>
      <c r="O1191">
        <v>1</v>
      </c>
      <c r="R1191">
        <f t="shared" si="53"/>
        <v>51</v>
      </c>
      <c r="S1191">
        <v>1</v>
      </c>
      <c r="T1191">
        <v>1</v>
      </c>
      <c r="U1191">
        <v>1</v>
      </c>
      <c r="V1191">
        <v>1</v>
      </c>
      <c r="W1191">
        <v>1</v>
      </c>
      <c r="AA1191">
        <v>-7212.0646999999999</v>
      </c>
      <c r="AB1191">
        <v>-7212.0646999999999</v>
      </c>
      <c r="AC1191">
        <v>-7212.0646999999999</v>
      </c>
      <c r="AD1191">
        <v>-7212.0646999999999</v>
      </c>
      <c r="AE1191">
        <v>-7212.0646999999999</v>
      </c>
      <c r="AF1191">
        <v>-981592.90729999996</v>
      </c>
    </row>
    <row r="1192" spans="2:32" x14ac:dyDescent="0.25">
      <c r="B1192">
        <f t="shared" si="51"/>
        <v>52</v>
      </c>
      <c r="C1192">
        <v>1</v>
      </c>
      <c r="D1192">
        <v>1</v>
      </c>
      <c r="E1192">
        <v>1</v>
      </c>
      <c r="F1192">
        <v>1</v>
      </c>
      <c r="G1192">
        <v>1</v>
      </c>
      <c r="J1192">
        <f t="shared" si="52"/>
        <v>52</v>
      </c>
      <c r="K1192">
        <v>1</v>
      </c>
      <c r="L1192">
        <v>1</v>
      </c>
      <c r="M1192">
        <v>1</v>
      </c>
      <c r="N1192">
        <v>1</v>
      </c>
      <c r="O1192">
        <v>1</v>
      </c>
      <c r="R1192">
        <f t="shared" si="53"/>
        <v>52</v>
      </c>
      <c r="S1192">
        <v>1</v>
      </c>
      <c r="T1192">
        <v>1</v>
      </c>
      <c r="U1192">
        <v>1</v>
      </c>
      <c r="V1192">
        <v>1</v>
      </c>
      <c r="W1192">
        <v>1</v>
      </c>
      <c r="AA1192">
        <v>-7079.7435999999998</v>
      </c>
      <c r="AB1192">
        <v>-7079.7435999999998</v>
      </c>
      <c r="AC1192">
        <v>-7079.7435999999998</v>
      </c>
      <c r="AD1192">
        <v>-7079.7435999999998</v>
      </c>
      <c r="AE1192">
        <v>-7079.7435999999998</v>
      </c>
      <c r="AF1192">
        <v>-998556.10360000003</v>
      </c>
    </row>
    <row r="1193" spans="2:32" x14ac:dyDescent="0.25">
      <c r="B1193">
        <f t="shared" si="51"/>
        <v>53</v>
      </c>
      <c r="C1193">
        <v>1</v>
      </c>
      <c r="D1193">
        <v>1</v>
      </c>
      <c r="E1193">
        <v>1</v>
      </c>
      <c r="F1193">
        <v>1</v>
      </c>
      <c r="G1193">
        <v>1</v>
      </c>
      <c r="J1193">
        <f t="shared" si="52"/>
        <v>53</v>
      </c>
      <c r="K1193">
        <v>1</v>
      </c>
      <c r="L1193">
        <v>1</v>
      </c>
      <c r="M1193">
        <v>1</v>
      </c>
      <c r="N1193">
        <v>1</v>
      </c>
      <c r="O1193">
        <v>1</v>
      </c>
      <c r="R1193">
        <f t="shared" si="53"/>
        <v>53</v>
      </c>
      <c r="S1193">
        <v>1</v>
      </c>
      <c r="T1193">
        <v>1</v>
      </c>
      <c r="U1193">
        <v>1</v>
      </c>
      <c r="V1193">
        <v>1</v>
      </c>
      <c r="W1193">
        <v>1</v>
      </c>
      <c r="AA1193">
        <v>-6945.0875999999998</v>
      </c>
      <c r="AB1193">
        <v>-6945.0875999999998</v>
      </c>
      <c r="AC1193">
        <v>-6945.0875999999998</v>
      </c>
      <c r="AD1193">
        <v>-6945.0875999999998</v>
      </c>
      <c r="AE1193">
        <v>-6945.0875999999998</v>
      </c>
      <c r="AF1193">
        <v>-1015461.3278</v>
      </c>
    </row>
    <row r="1194" spans="2:32" x14ac:dyDescent="0.25">
      <c r="B1194">
        <f t="shared" si="51"/>
        <v>54</v>
      </c>
      <c r="C1194">
        <v>1</v>
      </c>
      <c r="D1194">
        <v>1</v>
      </c>
      <c r="E1194">
        <v>1</v>
      </c>
      <c r="F1194">
        <v>1</v>
      </c>
      <c r="G1194">
        <v>1</v>
      </c>
      <c r="J1194">
        <f t="shared" si="52"/>
        <v>54</v>
      </c>
      <c r="K1194">
        <v>1</v>
      </c>
      <c r="L1194">
        <v>1</v>
      </c>
      <c r="M1194">
        <v>1</v>
      </c>
      <c r="N1194">
        <v>1</v>
      </c>
      <c r="O1194">
        <v>1</v>
      </c>
      <c r="R1194">
        <f t="shared" si="53"/>
        <v>54</v>
      </c>
      <c r="S1194">
        <v>1</v>
      </c>
      <c r="T1194">
        <v>1</v>
      </c>
      <c r="U1194">
        <v>1</v>
      </c>
      <c r="V1194">
        <v>1</v>
      </c>
      <c r="W1194">
        <v>1</v>
      </c>
      <c r="AA1194">
        <v>-6808.2438000000002</v>
      </c>
      <c r="AB1194">
        <v>-6808.2438000000002</v>
      </c>
      <c r="AC1194">
        <v>-6808.2438000000002</v>
      </c>
      <c r="AD1194">
        <v>-6808.2438000000002</v>
      </c>
      <c r="AE1194">
        <v>-6808.2438000000002</v>
      </c>
      <c r="AF1194">
        <v>-1033869.6813000001</v>
      </c>
    </row>
    <row r="1195" spans="2:32" x14ac:dyDescent="0.25">
      <c r="B1195">
        <f t="shared" si="51"/>
        <v>55</v>
      </c>
      <c r="C1195">
        <v>1</v>
      </c>
      <c r="D1195">
        <v>1</v>
      </c>
      <c r="E1195">
        <v>1</v>
      </c>
      <c r="F1195">
        <v>1</v>
      </c>
      <c r="G1195">
        <v>1</v>
      </c>
      <c r="J1195">
        <f t="shared" si="52"/>
        <v>55</v>
      </c>
      <c r="K1195">
        <v>1</v>
      </c>
      <c r="L1195">
        <v>1</v>
      </c>
      <c r="M1195">
        <v>1</v>
      </c>
      <c r="N1195">
        <v>1</v>
      </c>
      <c r="O1195">
        <v>1</v>
      </c>
      <c r="R1195">
        <f t="shared" si="53"/>
        <v>55</v>
      </c>
      <c r="S1195">
        <v>1</v>
      </c>
      <c r="T1195">
        <v>1</v>
      </c>
      <c r="U1195">
        <v>1</v>
      </c>
      <c r="V1195">
        <v>1</v>
      </c>
      <c r="W1195">
        <v>1</v>
      </c>
      <c r="AA1195">
        <v>-6669.2525999999998</v>
      </c>
      <c r="AB1195">
        <v>-6669.2525999999998</v>
      </c>
      <c r="AC1195">
        <v>-6669.2525999999998</v>
      </c>
      <c r="AD1195">
        <v>-6669.2525999999998</v>
      </c>
      <c r="AE1195">
        <v>-6669.2525999999998</v>
      </c>
      <c r="AF1195">
        <v>-1050810.2549999999</v>
      </c>
    </row>
    <row r="1196" spans="2:32" x14ac:dyDescent="0.25">
      <c r="B1196">
        <f t="shared" si="51"/>
        <v>56</v>
      </c>
      <c r="C1196">
        <v>1</v>
      </c>
      <c r="D1196">
        <v>1</v>
      </c>
      <c r="E1196">
        <v>1</v>
      </c>
      <c r="F1196">
        <v>1</v>
      </c>
      <c r="G1196">
        <v>1</v>
      </c>
      <c r="J1196">
        <f t="shared" si="52"/>
        <v>56</v>
      </c>
      <c r="K1196">
        <v>1</v>
      </c>
      <c r="L1196">
        <v>1</v>
      </c>
      <c r="M1196">
        <v>1</v>
      </c>
      <c r="N1196">
        <v>1</v>
      </c>
      <c r="O1196">
        <v>1</v>
      </c>
      <c r="R1196">
        <f t="shared" si="53"/>
        <v>56</v>
      </c>
      <c r="S1196">
        <v>1</v>
      </c>
      <c r="T1196">
        <v>1</v>
      </c>
      <c r="U1196">
        <v>1</v>
      </c>
      <c r="V1196">
        <v>1</v>
      </c>
      <c r="W1196">
        <v>1</v>
      </c>
      <c r="AA1196">
        <v>-6528.2992000000004</v>
      </c>
      <c r="AB1196">
        <v>-6528.2992000000004</v>
      </c>
      <c r="AC1196">
        <v>-6528.2992000000004</v>
      </c>
      <c r="AD1196">
        <v>-6528.2992000000004</v>
      </c>
      <c r="AE1196">
        <v>-6528.2992000000004</v>
      </c>
      <c r="AF1196">
        <v>-1073295.8774000001</v>
      </c>
    </row>
    <row r="1197" spans="2:32" x14ac:dyDescent="0.25">
      <c r="B1197">
        <f t="shared" si="51"/>
        <v>57</v>
      </c>
      <c r="C1197">
        <v>1</v>
      </c>
      <c r="D1197">
        <v>1</v>
      </c>
      <c r="E1197">
        <v>1</v>
      </c>
      <c r="F1197">
        <v>1</v>
      </c>
      <c r="G1197">
        <v>1</v>
      </c>
      <c r="J1197">
        <f t="shared" si="52"/>
        <v>57</v>
      </c>
      <c r="K1197">
        <v>1</v>
      </c>
      <c r="L1197">
        <v>1</v>
      </c>
      <c r="M1197">
        <v>1</v>
      </c>
      <c r="N1197">
        <v>1</v>
      </c>
      <c r="O1197">
        <v>1</v>
      </c>
      <c r="R1197">
        <f t="shared" si="53"/>
        <v>57</v>
      </c>
      <c r="S1197">
        <v>1</v>
      </c>
      <c r="T1197">
        <v>1</v>
      </c>
      <c r="U1197">
        <v>1</v>
      </c>
      <c r="V1197">
        <v>1</v>
      </c>
      <c r="W1197">
        <v>1</v>
      </c>
      <c r="AA1197">
        <v>-6385.5230000000001</v>
      </c>
      <c r="AB1197">
        <v>-6385.5230000000001</v>
      </c>
      <c r="AC1197">
        <v>-6385.5230000000001</v>
      </c>
      <c r="AD1197">
        <v>-6385.5230000000001</v>
      </c>
      <c r="AE1197">
        <v>-6385.5230000000001</v>
      </c>
      <c r="AF1197">
        <v>-1093242.6832999999</v>
      </c>
    </row>
    <row r="1198" spans="2:32" x14ac:dyDescent="0.25">
      <c r="B1198">
        <f t="shared" si="51"/>
        <v>58</v>
      </c>
      <c r="C1198">
        <v>1</v>
      </c>
      <c r="D1198">
        <v>1</v>
      </c>
      <c r="E1198">
        <v>1</v>
      </c>
      <c r="F1198">
        <v>1</v>
      </c>
      <c r="G1198">
        <v>1</v>
      </c>
      <c r="J1198">
        <f t="shared" si="52"/>
        <v>58</v>
      </c>
      <c r="K1198">
        <v>1</v>
      </c>
      <c r="L1198">
        <v>1</v>
      </c>
      <c r="M1198">
        <v>1</v>
      </c>
      <c r="N1198">
        <v>1</v>
      </c>
      <c r="O1198">
        <v>1</v>
      </c>
      <c r="R1198">
        <f t="shared" si="53"/>
        <v>58</v>
      </c>
      <c r="S1198">
        <v>1</v>
      </c>
      <c r="T1198">
        <v>1</v>
      </c>
      <c r="U1198">
        <v>1</v>
      </c>
      <c r="V1198">
        <v>1</v>
      </c>
      <c r="W1198">
        <v>1</v>
      </c>
      <c r="AA1198">
        <v>-6240.8730999999998</v>
      </c>
      <c r="AB1198">
        <v>-6240.8730999999998</v>
      </c>
      <c r="AC1198">
        <v>-6240.8730999999998</v>
      </c>
      <c r="AD1198">
        <v>-6240.8730999999998</v>
      </c>
      <c r="AE1198">
        <v>-6240.8730999999998</v>
      </c>
      <c r="AF1198">
        <v>-1114366.6444000001</v>
      </c>
    </row>
    <row r="1199" spans="2:32" x14ac:dyDescent="0.25">
      <c r="B1199">
        <f t="shared" si="51"/>
        <v>59</v>
      </c>
      <c r="C1199">
        <v>1</v>
      </c>
      <c r="D1199">
        <v>1</v>
      </c>
      <c r="E1199">
        <v>1</v>
      </c>
      <c r="F1199">
        <v>1</v>
      </c>
      <c r="G1199">
        <v>1</v>
      </c>
      <c r="J1199">
        <f t="shared" si="52"/>
        <v>59</v>
      </c>
      <c r="K1199">
        <v>1</v>
      </c>
      <c r="L1199">
        <v>1</v>
      </c>
      <c r="M1199">
        <v>1</v>
      </c>
      <c r="N1199">
        <v>1</v>
      </c>
      <c r="O1199">
        <v>1</v>
      </c>
      <c r="R1199">
        <f t="shared" si="53"/>
        <v>59</v>
      </c>
      <c r="S1199">
        <v>1</v>
      </c>
      <c r="T1199">
        <v>1</v>
      </c>
      <c r="U1199">
        <v>1</v>
      </c>
      <c r="V1199">
        <v>1</v>
      </c>
      <c r="W1199">
        <v>1</v>
      </c>
      <c r="AA1199">
        <v>-6094.3262999999997</v>
      </c>
      <c r="AB1199">
        <v>-6094.3262999999997</v>
      </c>
      <c r="AC1199">
        <v>-6094.3262999999997</v>
      </c>
      <c r="AD1199">
        <v>-6094.3262999999997</v>
      </c>
      <c r="AE1199">
        <v>-6094.3262999999997</v>
      </c>
      <c r="AF1199">
        <v>-1136284.0146999999</v>
      </c>
    </row>
    <row r="1200" spans="2:32" x14ac:dyDescent="0.25">
      <c r="B1200">
        <f t="shared" si="51"/>
        <v>60</v>
      </c>
      <c r="C1200">
        <v>1</v>
      </c>
      <c r="D1200">
        <v>1</v>
      </c>
      <c r="E1200">
        <v>1</v>
      </c>
      <c r="F1200">
        <v>1</v>
      </c>
      <c r="G1200">
        <v>1</v>
      </c>
      <c r="J1200">
        <f t="shared" si="52"/>
        <v>60</v>
      </c>
      <c r="K1200">
        <v>1</v>
      </c>
      <c r="L1200">
        <v>1</v>
      </c>
      <c r="M1200">
        <v>1</v>
      </c>
      <c r="N1200">
        <v>1</v>
      </c>
      <c r="O1200">
        <v>1</v>
      </c>
      <c r="R1200">
        <f t="shared" si="53"/>
        <v>60</v>
      </c>
      <c r="S1200">
        <v>1</v>
      </c>
      <c r="T1200">
        <v>1</v>
      </c>
      <c r="U1200">
        <v>1</v>
      </c>
      <c r="V1200">
        <v>1</v>
      </c>
      <c r="W1200">
        <v>1</v>
      </c>
      <c r="AA1200">
        <v>-5945.9960000000001</v>
      </c>
      <c r="AB1200">
        <v>-5945.9960000000001</v>
      </c>
      <c r="AC1200">
        <v>-5945.9960000000001</v>
      </c>
      <c r="AD1200">
        <v>-5945.9960000000001</v>
      </c>
      <c r="AE1200">
        <v>-5945.9960000000001</v>
      </c>
      <c r="AF1200">
        <v>-1157801.6717999999</v>
      </c>
    </row>
    <row r="1201" spans="2:32" x14ac:dyDescent="0.25">
      <c r="B1201">
        <f t="shared" si="51"/>
        <v>61</v>
      </c>
      <c r="C1201">
        <v>1</v>
      </c>
      <c r="D1201">
        <v>1</v>
      </c>
      <c r="E1201">
        <v>1</v>
      </c>
      <c r="F1201">
        <v>1</v>
      </c>
      <c r="G1201">
        <v>1</v>
      </c>
      <c r="J1201">
        <f t="shared" si="52"/>
        <v>61</v>
      </c>
      <c r="K1201">
        <v>1</v>
      </c>
      <c r="L1201">
        <v>1</v>
      </c>
      <c r="M1201">
        <v>1</v>
      </c>
      <c r="N1201">
        <v>1</v>
      </c>
      <c r="O1201">
        <v>1</v>
      </c>
      <c r="R1201">
        <f t="shared" si="53"/>
        <v>61</v>
      </c>
      <c r="S1201">
        <v>1</v>
      </c>
      <c r="T1201">
        <v>1</v>
      </c>
      <c r="U1201">
        <v>1</v>
      </c>
      <c r="V1201">
        <v>1</v>
      </c>
      <c r="W1201">
        <v>1</v>
      </c>
      <c r="AA1201">
        <v>-5796.3015999999998</v>
      </c>
      <c r="AB1201">
        <v>-5796.3015999999998</v>
      </c>
      <c r="AC1201">
        <v>-5796.3015999999998</v>
      </c>
      <c r="AD1201">
        <v>-5796.3015999999998</v>
      </c>
      <c r="AE1201">
        <v>-5796.3015999999998</v>
      </c>
      <c r="AF1201">
        <v>-1178581.4038</v>
      </c>
    </row>
    <row r="1202" spans="2:32" x14ac:dyDescent="0.25">
      <c r="B1202">
        <f t="shared" si="51"/>
        <v>62</v>
      </c>
      <c r="C1202">
        <v>1</v>
      </c>
      <c r="D1202">
        <v>1</v>
      </c>
      <c r="E1202">
        <v>1</v>
      </c>
      <c r="F1202">
        <v>1</v>
      </c>
      <c r="G1202">
        <v>1</v>
      </c>
      <c r="J1202">
        <f t="shared" si="52"/>
        <v>62</v>
      </c>
      <c r="K1202">
        <v>1</v>
      </c>
      <c r="L1202">
        <v>1</v>
      </c>
      <c r="M1202">
        <v>1</v>
      </c>
      <c r="N1202">
        <v>1</v>
      </c>
      <c r="O1202">
        <v>1</v>
      </c>
      <c r="R1202">
        <f t="shared" si="53"/>
        <v>62</v>
      </c>
      <c r="S1202">
        <v>1</v>
      </c>
      <c r="T1202">
        <v>1</v>
      </c>
      <c r="U1202">
        <v>1</v>
      </c>
      <c r="V1202">
        <v>1</v>
      </c>
      <c r="W1202">
        <v>1</v>
      </c>
      <c r="AA1202">
        <v>-5645.2415000000001</v>
      </c>
      <c r="AB1202">
        <v>-5645.2415000000001</v>
      </c>
      <c r="AC1202">
        <v>-5645.2415000000001</v>
      </c>
      <c r="AD1202">
        <v>-5645.2415000000001</v>
      </c>
      <c r="AE1202">
        <v>-5645.2415000000001</v>
      </c>
      <c r="AF1202">
        <v>-1199521.5327000001</v>
      </c>
    </row>
    <row r="1203" spans="2:32" x14ac:dyDescent="0.25">
      <c r="B1203">
        <f t="shared" si="51"/>
        <v>63</v>
      </c>
      <c r="C1203">
        <v>1</v>
      </c>
      <c r="D1203">
        <v>1</v>
      </c>
      <c r="E1203">
        <v>1</v>
      </c>
      <c r="F1203">
        <v>1</v>
      </c>
      <c r="G1203">
        <v>1</v>
      </c>
      <c r="J1203">
        <f t="shared" si="52"/>
        <v>63</v>
      </c>
      <c r="K1203">
        <v>1</v>
      </c>
      <c r="L1203">
        <v>1</v>
      </c>
      <c r="M1203">
        <v>1</v>
      </c>
      <c r="N1203">
        <v>1</v>
      </c>
      <c r="O1203">
        <v>1</v>
      </c>
      <c r="R1203">
        <f t="shared" si="53"/>
        <v>63</v>
      </c>
      <c r="S1203">
        <v>1</v>
      </c>
      <c r="T1203">
        <v>1</v>
      </c>
      <c r="U1203">
        <v>1</v>
      </c>
      <c r="V1203">
        <v>1</v>
      </c>
      <c r="W1203">
        <v>1</v>
      </c>
      <c r="AA1203">
        <v>-5492.4920000000002</v>
      </c>
      <c r="AB1203">
        <v>-5492.4920000000002</v>
      </c>
      <c r="AC1203">
        <v>-5492.4920000000002</v>
      </c>
      <c r="AD1203">
        <v>-5492.4920000000002</v>
      </c>
      <c r="AE1203">
        <v>-5492.4920000000002</v>
      </c>
      <c r="AF1203">
        <v>-1220461.6269</v>
      </c>
    </row>
    <row r="1204" spans="2:32" x14ac:dyDescent="0.25">
      <c r="B1204">
        <f t="shared" si="51"/>
        <v>64</v>
      </c>
      <c r="C1204">
        <v>1</v>
      </c>
      <c r="D1204">
        <v>1</v>
      </c>
      <c r="E1204">
        <v>1</v>
      </c>
      <c r="F1204">
        <v>1</v>
      </c>
      <c r="G1204">
        <v>1</v>
      </c>
      <c r="J1204">
        <f t="shared" si="52"/>
        <v>64</v>
      </c>
      <c r="K1204">
        <v>1</v>
      </c>
      <c r="L1204">
        <v>1</v>
      </c>
      <c r="M1204">
        <v>1</v>
      </c>
      <c r="N1204">
        <v>1</v>
      </c>
      <c r="O1204">
        <v>1</v>
      </c>
      <c r="R1204">
        <f t="shared" si="53"/>
        <v>64</v>
      </c>
      <c r="S1204">
        <v>1</v>
      </c>
      <c r="T1204">
        <v>1</v>
      </c>
      <c r="U1204">
        <v>1</v>
      </c>
      <c r="V1204">
        <v>1</v>
      </c>
      <c r="W1204">
        <v>1</v>
      </c>
      <c r="AA1204">
        <v>-5338.1817000000001</v>
      </c>
      <c r="AB1204">
        <v>-5338.1817000000001</v>
      </c>
      <c r="AC1204">
        <v>-5338.1817000000001</v>
      </c>
      <c r="AD1204">
        <v>-5338.1817000000001</v>
      </c>
      <c r="AE1204">
        <v>-5338.1817000000001</v>
      </c>
      <c r="AF1204">
        <v>-1240652.2526</v>
      </c>
    </row>
    <row r="1205" spans="2:32" x14ac:dyDescent="0.25">
      <c r="B1205">
        <f t="shared" si="51"/>
        <v>65</v>
      </c>
      <c r="C1205">
        <v>1</v>
      </c>
      <c r="D1205">
        <v>1</v>
      </c>
      <c r="E1205">
        <v>1</v>
      </c>
      <c r="F1205">
        <v>1</v>
      </c>
      <c r="G1205">
        <v>1</v>
      </c>
      <c r="J1205">
        <f t="shared" si="52"/>
        <v>65</v>
      </c>
      <c r="K1205">
        <v>1</v>
      </c>
      <c r="L1205">
        <v>1</v>
      </c>
      <c r="M1205">
        <v>1</v>
      </c>
      <c r="N1205">
        <v>1</v>
      </c>
      <c r="O1205">
        <v>1</v>
      </c>
      <c r="R1205">
        <f t="shared" si="53"/>
        <v>65</v>
      </c>
      <c r="S1205">
        <v>1</v>
      </c>
      <c r="T1205">
        <v>1</v>
      </c>
      <c r="U1205">
        <v>1</v>
      </c>
      <c r="V1205">
        <v>1</v>
      </c>
      <c r="W1205">
        <v>1</v>
      </c>
      <c r="AA1205">
        <v>-5182.2268999999997</v>
      </c>
      <c r="AB1205">
        <v>-5182.2268999999997</v>
      </c>
      <c r="AC1205">
        <v>-5182.2268999999997</v>
      </c>
      <c r="AD1205">
        <v>-5182.2268999999997</v>
      </c>
      <c r="AE1205">
        <v>-5182.2268999999997</v>
      </c>
      <c r="AF1205">
        <v>-1260049.8302</v>
      </c>
    </row>
    <row r="1208" spans="2:32" x14ac:dyDescent="0.25">
      <c r="B1208" t="s">
        <v>46</v>
      </c>
      <c r="C1208">
        <v>50000</v>
      </c>
      <c r="D1208">
        <v>100000</v>
      </c>
      <c r="E1208">
        <v>250000</v>
      </c>
      <c r="F1208">
        <v>500000</v>
      </c>
      <c r="G1208">
        <v>1000000</v>
      </c>
      <c r="H1208">
        <v>2000000</v>
      </c>
      <c r="J1208" t="s">
        <v>47</v>
      </c>
      <c r="K1208">
        <v>50000</v>
      </c>
      <c r="L1208">
        <v>100000</v>
      </c>
      <c r="M1208">
        <v>250000</v>
      </c>
      <c r="N1208">
        <v>500000</v>
      </c>
      <c r="O1208">
        <v>1000000</v>
      </c>
      <c r="P1208">
        <v>2000000</v>
      </c>
      <c r="R1208" t="s">
        <v>48</v>
      </c>
      <c r="S1208">
        <v>50000</v>
      </c>
      <c r="T1208">
        <v>100000</v>
      </c>
      <c r="U1208">
        <v>250000</v>
      </c>
      <c r="V1208">
        <v>500000</v>
      </c>
      <c r="W1208">
        <v>1000000</v>
      </c>
      <c r="X1208">
        <v>2000000</v>
      </c>
    </row>
    <row r="1209" spans="2:32" x14ac:dyDescent="0.25">
      <c r="B1209">
        <v>26</v>
      </c>
      <c r="C1209">
        <v>1</v>
      </c>
      <c r="D1209">
        <v>1</v>
      </c>
      <c r="E1209">
        <v>1</v>
      </c>
      <c r="F1209">
        <v>1</v>
      </c>
      <c r="G1209">
        <v>1</v>
      </c>
      <c r="H1209">
        <v>1</v>
      </c>
      <c r="J1209">
        <v>26</v>
      </c>
      <c r="K1209">
        <v>1</v>
      </c>
      <c r="L1209">
        <v>1</v>
      </c>
      <c r="M1209">
        <v>1</v>
      </c>
      <c r="N1209">
        <v>1</v>
      </c>
      <c r="O1209">
        <v>1</v>
      </c>
      <c r="P1209">
        <v>1</v>
      </c>
      <c r="R1209">
        <v>26</v>
      </c>
      <c r="S1209">
        <v>1</v>
      </c>
      <c r="T1209">
        <v>1</v>
      </c>
      <c r="U1209">
        <v>1</v>
      </c>
      <c r="V1209">
        <v>1</v>
      </c>
      <c r="W1209">
        <v>1</v>
      </c>
      <c r="X1209">
        <v>1</v>
      </c>
      <c r="AA1209">
        <v>-5174.8482999999997</v>
      </c>
      <c r="AB1209">
        <v>-5174.8482999999997</v>
      </c>
      <c r="AC1209">
        <v>-5174.8482999999997</v>
      </c>
      <c r="AD1209">
        <v>-5174.8482999999997</v>
      </c>
      <c r="AE1209">
        <v>-5174.8482999999997</v>
      </c>
      <c r="AF1209">
        <v>-5174.8482999999997</v>
      </c>
    </row>
    <row r="1210" spans="2:32" x14ac:dyDescent="0.25">
      <c r="B1210">
        <v>27</v>
      </c>
      <c r="C1210">
        <v>1</v>
      </c>
      <c r="D1210">
        <v>1</v>
      </c>
      <c r="E1210">
        <v>1</v>
      </c>
      <c r="F1210">
        <v>1</v>
      </c>
      <c r="G1210">
        <v>1</v>
      </c>
      <c r="H1210">
        <v>1</v>
      </c>
      <c r="J1210">
        <v>27</v>
      </c>
      <c r="K1210">
        <v>1</v>
      </c>
      <c r="L1210">
        <v>1</v>
      </c>
      <c r="M1210">
        <v>1</v>
      </c>
      <c r="N1210">
        <v>1</v>
      </c>
      <c r="O1210">
        <v>1</v>
      </c>
      <c r="P1210">
        <v>1</v>
      </c>
      <c r="R1210">
        <v>27</v>
      </c>
      <c r="S1210">
        <v>1</v>
      </c>
      <c r="T1210">
        <v>1</v>
      </c>
      <c r="U1210">
        <v>1</v>
      </c>
      <c r="V1210">
        <v>1</v>
      </c>
      <c r="W1210">
        <v>1</v>
      </c>
      <c r="X1210">
        <v>1</v>
      </c>
      <c r="AA1210">
        <v>-5173.6036999999997</v>
      </c>
      <c r="AB1210">
        <v>-5173.6036999999997</v>
      </c>
      <c r="AC1210">
        <v>-5173.6036999999997</v>
      </c>
      <c r="AD1210">
        <v>-5173.6036999999997</v>
      </c>
      <c r="AE1210">
        <v>-5173.6036999999997</v>
      </c>
      <c r="AF1210">
        <v>-5173.6036999999997</v>
      </c>
    </row>
    <row r="1211" spans="2:32" x14ac:dyDescent="0.25">
      <c r="B1211">
        <v>28</v>
      </c>
      <c r="C1211">
        <v>1</v>
      </c>
      <c r="D1211">
        <v>1</v>
      </c>
      <c r="E1211">
        <v>1</v>
      </c>
      <c r="F1211">
        <v>1</v>
      </c>
      <c r="G1211">
        <v>1</v>
      </c>
      <c r="H1211">
        <v>1</v>
      </c>
      <c r="J1211">
        <v>28</v>
      </c>
      <c r="K1211">
        <v>1</v>
      </c>
      <c r="L1211">
        <v>1</v>
      </c>
      <c r="M1211">
        <v>1</v>
      </c>
      <c r="N1211">
        <v>1</v>
      </c>
      <c r="O1211">
        <v>1</v>
      </c>
      <c r="P1211">
        <v>1</v>
      </c>
      <c r="R1211">
        <v>28</v>
      </c>
      <c r="S1211">
        <v>1</v>
      </c>
      <c r="T1211">
        <v>1</v>
      </c>
      <c r="U1211">
        <v>1</v>
      </c>
      <c r="V1211">
        <v>1</v>
      </c>
      <c r="W1211">
        <v>1</v>
      </c>
      <c r="X1211">
        <v>1</v>
      </c>
      <c r="AA1211">
        <v>-5172.1755999999996</v>
      </c>
      <c r="AB1211">
        <v>-5172.1755999999996</v>
      </c>
      <c r="AC1211">
        <v>-5172.1755999999996</v>
      </c>
      <c r="AD1211">
        <v>-5172.1755999999996</v>
      </c>
      <c r="AE1211">
        <v>-5172.1755999999996</v>
      </c>
      <c r="AF1211">
        <v>-5172.1755999999996</v>
      </c>
    </row>
    <row r="1212" spans="2:32" x14ac:dyDescent="0.25">
      <c r="B1212">
        <v>29</v>
      </c>
      <c r="C1212">
        <v>1</v>
      </c>
      <c r="D1212">
        <v>1</v>
      </c>
      <c r="E1212">
        <v>1</v>
      </c>
      <c r="F1212">
        <v>1</v>
      </c>
      <c r="G1212">
        <v>1</v>
      </c>
      <c r="H1212">
        <v>1</v>
      </c>
      <c r="J1212">
        <v>29</v>
      </c>
      <c r="K1212">
        <v>1</v>
      </c>
      <c r="L1212">
        <v>1</v>
      </c>
      <c r="M1212">
        <v>1</v>
      </c>
      <c r="N1212">
        <v>1</v>
      </c>
      <c r="O1212">
        <v>1</v>
      </c>
      <c r="P1212">
        <v>1</v>
      </c>
      <c r="R1212">
        <v>29</v>
      </c>
      <c r="S1212">
        <v>1</v>
      </c>
      <c r="T1212">
        <v>1</v>
      </c>
      <c r="U1212">
        <v>1</v>
      </c>
      <c r="V1212">
        <v>1</v>
      </c>
      <c r="W1212">
        <v>1</v>
      </c>
      <c r="X1212">
        <v>1</v>
      </c>
      <c r="AA1212">
        <v>-5170.5482000000002</v>
      </c>
      <c r="AB1212">
        <v>-5170.5482000000002</v>
      </c>
      <c r="AC1212">
        <v>-5170.5482000000002</v>
      </c>
      <c r="AD1212">
        <v>-5170.5482000000002</v>
      </c>
      <c r="AE1212">
        <v>-5170.5482000000002</v>
      </c>
      <c r="AF1212">
        <v>-5170.5482000000002</v>
      </c>
    </row>
    <row r="1213" spans="2:32" x14ac:dyDescent="0.25">
      <c r="B1213">
        <v>30</v>
      </c>
      <c r="C1213">
        <v>1</v>
      </c>
      <c r="D1213">
        <v>1</v>
      </c>
      <c r="E1213">
        <v>1</v>
      </c>
      <c r="F1213">
        <v>1</v>
      </c>
      <c r="G1213">
        <v>1</v>
      </c>
      <c r="H1213">
        <v>1</v>
      </c>
      <c r="J1213">
        <v>30</v>
      </c>
      <c r="K1213">
        <v>1</v>
      </c>
      <c r="L1213">
        <v>1</v>
      </c>
      <c r="M1213">
        <v>1</v>
      </c>
      <c r="N1213">
        <v>1</v>
      </c>
      <c r="O1213">
        <v>1</v>
      </c>
      <c r="P1213">
        <v>1</v>
      </c>
      <c r="R1213">
        <v>30</v>
      </c>
      <c r="S1213">
        <v>1</v>
      </c>
      <c r="T1213">
        <v>1</v>
      </c>
      <c r="U1213">
        <v>1</v>
      </c>
      <c r="V1213">
        <v>1</v>
      </c>
      <c r="W1213">
        <v>1</v>
      </c>
      <c r="X1213">
        <v>1</v>
      </c>
      <c r="AA1213">
        <v>-5168.6908999999996</v>
      </c>
      <c r="AB1213">
        <v>-5168.6908999999996</v>
      </c>
      <c r="AC1213">
        <v>-5168.6908999999996</v>
      </c>
      <c r="AD1213">
        <v>-5168.6908999999996</v>
      </c>
      <c r="AE1213">
        <v>-5168.6908999999996</v>
      </c>
      <c r="AF1213">
        <v>-5168.6908999999996</v>
      </c>
    </row>
    <row r="1214" spans="2:32" x14ac:dyDescent="0.25">
      <c r="B1214">
        <v>31</v>
      </c>
      <c r="C1214">
        <v>1</v>
      </c>
      <c r="D1214">
        <v>1</v>
      </c>
      <c r="E1214">
        <v>1</v>
      </c>
      <c r="F1214">
        <v>1</v>
      </c>
      <c r="G1214">
        <v>1</v>
      </c>
      <c r="H1214">
        <v>1</v>
      </c>
      <c r="J1214">
        <v>31</v>
      </c>
      <c r="K1214">
        <v>1</v>
      </c>
      <c r="L1214">
        <v>1</v>
      </c>
      <c r="M1214">
        <v>1</v>
      </c>
      <c r="N1214">
        <v>1</v>
      </c>
      <c r="O1214">
        <v>1</v>
      </c>
      <c r="P1214">
        <v>1</v>
      </c>
      <c r="R1214">
        <v>31</v>
      </c>
      <c r="S1214">
        <v>1</v>
      </c>
      <c r="T1214">
        <v>1</v>
      </c>
      <c r="U1214">
        <v>1</v>
      </c>
      <c r="V1214">
        <v>1</v>
      </c>
      <c r="W1214">
        <v>1</v>
      </c>
      <c r="X1214">
        <v>1</v>
      </c>
      <c r="AA1214">
        <v>-5166.5891000000001</v>
      </c>
      <c r="AB1214">
        <v>-5166.5891000000001</v>
      </c>
      <c r="AC1214">
        <v>-5166.5891000000001</v>
      </c>
      <c r="AD1214">
        <v>-5166.5891000000001</v>
      </c>
      <c r="AE1214">
        <v>-5166.5891000000001</v>
      </c>
      <c r="AF1214">
        <v>-5166.5891000000001</v>
      </c>
    </row>
    <row r="1215" spans="2:32" x14ac:dyDescent="0.25">
      <c r="B1215">
        <v>32</v>
      </c>
      <c r="C1215">
        <v>1</v>
      </c>
      <c r="D1215">
        <v>1</v>
      </c>
      <c r="E1215">
        <v>1</v>
      </c>
      <c r="F1215">
        <v>1</v>
      </c>
      <c r="G1215">
        <v>1</v>
      </c>
      <c r="H1215">
        <v>1</v>
      </c>
      <c r="J1215">
        <v>32</v>
      </c>
      <c r="K1215">
        <v>1</v>
      </c>
      <c r="L1215">
        <v>1</v>
      </c>
      <c r="M1215">
        <v>1</v>
      </c>
      <c r="N1215">
        <v>1</v>
      </c>
      <c r="O1215">
        <v>1</v>
      </c>
      <c r="P1215">
        <v>1</v>
      </c>
      <c r="R1215">
        <v>32</v>
      </c>
      <c r="S1215">
        <v>1</v>
      </c>
      <c r="T1215">
        <v>1</v>
      </c>
      <c r="U1215">
        <v>1</v>
      </c>
      <c r="V1215">
        <v>1</v>
      </c>
      <c r="W1215">
        <v>1</v>
      </c>
      <c r="X1215">
        <v>1</v>
      </c>
      <c r="AA1215">
        <v>-5164.2407000000003</v>
      </c>
      <c r="AB1215">
        <v>-5164.2407000000003</v>
      </c>
      <c r="AC1215">
        <v>-5164.2407000000003</v>
      </c>
      <c r="AD1215">
        <v>-5164.2407000000003</v>
      </c>
      <c r="AE1215">
        <v>-5164.2407000000003</v>
      </c>
      <c r="AF1215">
        <v>-5164.2407000000003</v>
      </c>
    </row>
    <row r="1216" spans="2:32" x14ac:dyDescent="0.25">
      <c r="B1216">
        <v>33</v>
      </c>
      <c r="C1216">
        <v>1</v>
      </c>
      <c r="D1216">
        <v>1</v>
      </c>
      <c r="E1216">
        <v>1</v>
      </c>
      <c r="F1216">
        <v>1</v>
      </c>
      <c r="G1216">
        <v>1</v>
      </c>
      <c r="H1216">
        <v>1</v>
      </c>
      <c r="J1216">
        <v>33</v>
      </c>
      <c r="K1216">
        <v>1</v>
      </c>
      <c r="L1216">
        <v>1</v>
      </c>
      <c r="M1216">
        <v>1</v>
      </c>
      <c r="N1216">
        <v>1</v>
      </c>
      <c r="O1216">
        <v>1</v>
      </c>
      <c r="P1216">
        <v>1</v>
      </c>
      <c r="R1216">
        <v>33</v>
      </c>
      <c r="S1216">
        <v>1</v>
      </c>
      <c r="T1216">
        <v>1</v>
      </c>
      <c r="U1216">
        <v>1</v>
      </c>
      <c r="V1216">
        <v>1</v>
      </c>
      <c r="W1216">
        <v>1</v>
      </c>
      <c r="X1216">
        <v>1</v>
      </c>
      <c r="AA1216">
        <v>-5161.6318000000001</v>
      </c>
      <c r="AB1216">
        <v>-5161.6318000000001</v>
      </c>
      <c r="AC1216">
        <v>-5161.6318000000001</v>
      </c>
      <c r="AD1216">
        <v>-5161.6318000000001</v>
      </c>
      <c r="AE1216">
        <v>-5161.6318000000001</v>
      </c>
      <c r="AF1216">
        <v>-5161.6318000000001</v>
      </c>
    </row>
    <row r="1217" spans="2:32" x14ac:dyDescent="0.25">
      <c r="B1217">
        <v>34</v>
      </c>
      <c r="C1217">
        <v>1</v>
      </c>
      <c r="D1217">
        <v>1</v>
      </c>
      <c r="E1217">
        <v>1</v>
      </c>
      <c r="F1217">
        <v>1</v>
      </c>
      <c r="G1217">
        <v>1</v>
      </c>
      <c r="H1217">
        <v>1</v>
      </c>
      <c r="J1217">
        <v>34</v>
      </c>
      <c r="K1217">
        <v>1</v>
      </c>
      <c r="L1217">
        <v>1</v>
      </c>
      <c r="M1217">
        <v>1</v>
      </c>
      <c r="N1217">
        <v>1</v>
      </c>
      <c r="O1217">
        <v>1</v>
      </c>
      <c r="P1217">
        <v>1</v>
      </c>
      <c r="R1217">
        <v>34</v>
      </c>
      <c r="S1217">
        <v>1</v>
      </c>
      <c r="T1217">
        <v>1</v>
      </c>
      <c r="U1217">
        <v>1</v>
      </c>
      <c r="V1217">
        <v>1</v>
      </c>
      <c r="W1217">
        <v>1</v>
      </c>
      <c r="X1217">
        <v>1</v>
      </c>
      <c r="AA1217">
        <v>-5158.7194</v>
      </c>
      <c r="AB1217">
        <v>-5158.7194</v>
      </c>
      <c r="AC1217">
        <v>-5158.7194</v>
      </c>
      <c r="AD1217">
        <v>-5158.7194</v>
      </c>
      <c r="AE1217">
        <v>-5158.7194</v>
      </c>
      <c r="AF1217">
        <v>-5158.7194</v>
      </c>
    </row>
    <row r="1218" spans="2:32" x14ac:dyDescent="0.25">
      <c r="B1218">
        <v>35</v>
      </c>
      <c r="C1218">
        <v>1</v>
      </c>
      <c r="D1218">
        <v>1</v>
      </c>
      <c r="E1218">
        <v>1</v>
      </c>
      <c r="F1218">
        <v>1</v>
      </c>
      <c r="G1218">
        <v>1</v>
      </c>
      <c r="H1218">
        <v>1</v>
      </c>
      <c r="J1218">
        <v>35</v>
      </c>
      <c r="K1218">
        <v>1</v>
      </c>
      <c r="L1218">
        <v>1</v>
      </c>
      <c r="M1218">
        <v>1</v>
      </c>
      <c r="N1218">
        <v>1</v>
      </c>
      <c r="O1218">
        <v>1</v>
      </c>
      <c r="P1218">
        <v>1</v>
      </c>
      <c r="R1218">
        <v>35</v>
      </c>
      <c r="S1218">
        <v>1</v>
      </c>
      <c r="T1218">
        <v>1</v>
      </c>
      <c r="U1218">
        <v>1</v>
      </c>
      <c r="V1218">
        <v>1</v>
      </c>
      <c r="W1218">
        <v>1</v>
      </c>
      <c r="X1218">
        <v>1</v>
      </c>
      <c r="AA1218">
        <v>-5155.4901</v>
      </c>
      <c r="AB1218">
        <v>-5155.4901</v>
      </c>
      <c r="AC1218">
        <v>-5155.4901</v>
      </c>
      <c r="AD1218">
        <v>-5155.4901</v>
      </c>
      <c r="AE1218">
        <v>-5155.4901</v>
      </c>
      <c r="AF1218">
        <v>-5155.4901</v>
      </c>
    </row>
    <row r="1219" spans="2:32" x14ac:dyDescent="0.25">
      <c r="B1219">
        <v>36</v>
      </c>
      <c r="C1219">
        <v>1</v>
      </c>
      <c r="D1219">
        <v>1</v>
      </c>
      <c r="E1219">
        <v>1</v>
      </c>
      <c r="F1219">
        <v>1</v>
      </c>
      <c r="G1219">
        <v>1</v>
      </c>
      <c r="H1219">
        <v>1</v>
      </c>
      <c r="J1219">
        <v>36</v>
      </c>
      <c r="K1219">
        <v>1</v>
      </c>
      <c r="L1219">
        <v>1</v>
      </c>
      <c r="M1219">
        <v>1</v>
      </c>
      <c r="N1219">
        <v>1</v>
      </c>
      <c r="O1219">
        <v>1</v>
      </c>
      <c r="P1219">
        <v>1</v>
      </c>
      <c r="R1219">
        <v>36</v>
      </c>
      <c r="S1219">
        <v>1</v>
      </c>
      <c r="T1219">
        <v>1</v>
      </c>
      <c r="U1219">
        <v>1</v>
      </c>
      <c r="V1219">
        <v>1</v>
      </c>
      <c r="W1219">
        <v>1</v>
      </c>
      <c r="X1219">
        <v>1</v>
      </c>
      <c r="AA1219">
        <v>-5151.8950999999997</v>
      </c>
      <c r="AB1219">
        <v>-5151.8950999999997</v>
      </c>
      <c r="AC1219">
        <v>-5151.8950999999997</v>
      </c>
      <c r="AD1219">
        <v>-5151.8950999999997</v>
      </c>
      <c r="AE1219">
        <v>-5151.8950999999997</v>
      </c>
      <c r="AF1219">
        <v>-5151.8950999999997</v>
      </c>
    </row>
    <row r="1220" spans="2:32" x14ac:dyDescent="0.25">
      <c r="B1220">
        <v>37</v>
      </c>
      <c r="C1220">
        <v>1</v>
      </c>
      <c r="D1220">
        <v>1</v>
      </c>
      <c r="E1220">
        <v>1</v>
      </c>
      <c r="F1220">
        <v>1</v>
      </c>
      <c r="G1220">
        <v>1</v>
      </c>
      <c r="H1220">
        <v>1</v>
      </c>
      <c r="J1220">
        <v>37</v>
      </c>
      <c r="K1220">
        <v>1</v>
      </c>
      <c r="L1220">
        <v>1</v>
      </c>
      <c r="M1220">
        <v>1</v>
      </c>
      <c r="N1220">
        <v>1</v>
      </c>
      <c r="O1220">
        <v>1</v>
      </c>
      <c r="P1220">
        <v>1</v>
      </c>
      <c r="R1220">
        <v>37</v>
      </c>
      <c r="S1220">
        <v>1</v>
      </c>
      <c r="T1220">
        <v>1</v>
      </c>
      <c r="U1220">
        <v>1</v>
      </c>
      <c r="V1220">
        <v>1</v>
      </c>
      <c r="W1220">
        <v>1</v>
      </c>
      <c r="X1220">
        <v>1</v>
      </c>
      <c r="AA1220">
        <v>-5147.9106000000002</v>
      </c>
      <c r="AB1220">
        <v>-5147.9106000000002</v>
      </c>
      <c r="AC1220">
        <v>-5147.9106000000002</v>
      </c>
      <c r="AD1220">
        <v>-5147.9106000000002</v>
      </c>
      <c r="AE1220">
        <v>-5147.9106000000002</v>
      </c>
      <c r="AF1220">
        <v>-5147.9106000000002</v>
      </c>
    </row>
    <row r="1221" spans="2:32" x14ac:dyDescent="0.25">
      <c r="B1221">
        <v>38</v>
      </c>
      <c r="C1221">
        <v>1</v>
      </c>
      <c r="D1221">
        <v>1</v>
      </c>
      <c r="E1221">
        <v>1</v>
      </c>
      <c r="F1221">
        <v>1</v>
      </c>
      <c r="G1221">
        <v>1</v>
      </c>
      <c r="H1221">
        <v>1</v>
      </c>
      <c r="J1221">
        <v>38</v>
      </c>
      <c r="K1221">
        <v>1</v>
      </c>
      <c r="L1221">
        <v>1</v>
      </c>
      <c r="M1221">
        <v>1</v>
      </c>
      <c r="N1221">
        <v>1</v>
      </c>
      <c r="O1221">
        <v>1</v>
      </c>
      <c r="P1221">
        <v>1</v>
      </c>
      <c r="R1221">
        <v>38</v>
      </c>
      <c r="S1221">
        <v>1</v>
      </c>
      <c r="T1221">
        <v>1</v>
      </c>
      <c r="U1221">
        <v>1</v>
      </c>
      <c r="V1221">
        <v>1</v>
      </c>
      <c r="W1221">
        <v>1</v>
      </c>
      <c r="X1221">
        <v>1</v>
      </c>
      <c r="AA1221">
        <v>-5143.5393999999997</v>
      </c>
      <c r="AB1221">
        <v>-5143.5393999999997</v>
      </c>
      <c r="AC1221">
        <v>-5143.5393999999997</v>
      </c>
      <c r="AD1221">
        <v>-5143.5393999999997</v>
      </c>
      <c r="AE1221">
        <v>-5143.5393999999997</v>
      </c>
      <c r="AF1221">
        <v>-5143.5393999999997</v>
      </c>
    </row>
    <row r="1222" spans="2:32" x14ac:dyDescent="0.25">
      <c r="B1222">
        <v>39</v>
      </c>
      <c r="C1222">
        <v>1</v>
      </c>
      <c r="D1222">
        <v>1</v>
      </c>
      <c r="E1222">
        <v>1</v>
      </c>
      <c r="F1222">
        <v>1</v>
      </c>
      <c r="G1222">
        <v>1</v>
      </c>
      <c r="H1222">
        <v>1</v>
      </c>
      <c r="J1222">
        <v>39</v>
      </c>
      <c r="K1222">
        <v>1</v>
      </c>
      <c r="L1222">
        <v>1</v>
      </c>
      <c r="M1222">
        <v>1</v>
      </c>
      <c r="N1222">
        <v>1</v>
      </c>
      <c r="O1222">
        <v>1</v>
      </c>
      <c r="P1222">
        <v>1</v>
      </c>
      <c r="R1222">
        <v>39</v>
      </c>
      <c r="S1222">
        <v>1</v>
      </c>
      <c r="T1222">
        <v>1</v>
      </c>
      <c r="U1222">
        <v>1</v>
      </c>
      <c r="V1222">
        <v>1</v>
      </c>
      <c r="W1222">
        <v>1</v>
      </c>
      <c r="X1222">
        <v>1</v>
      </c>
      <c r="AA1222">
        <v>-5138.76</v>
      </c>
      <c r="AB1222">
        <v>-5138.76</v>
      </c>
      <c r="AC1222">
        <v>-5138.76</v>
      </c>
      <c r="AD1222">
        <v>-5138.76</v>
      </c>
      <c r="AE1222">
        <v>-5138.76</v>
      </c>
      <c r="AF1222">
        <v>-5138.76</v>
      </c>
    </row>
    <row r="1223" spans="2:32" x14ac:dyDescent="0.25">
      <c r="B1223">
        <v>40</v>
      </c>
      <c r="C1223">
        <v>1</v>
      </c>
      <c r="D1223">
        <v>1</v>
      </c>
      <c r="E1223">
        <v>1</v>
      </c>
      <c r="F1223">
        <v>1</v>
      </c>
      <c r="G1223">
        <v>1</v>
      </c>
      <c r="H1223">
        <v>1</v>
      </c>
      <c r="J1223">
        <v>40</v>
      </c>
      <c r="K1223">
        <v>1</v>
      </c>
      <c r="L1223">
        <v>1</v>
      </c>
      <c r="M1223">
        <v>1</v>
      </c>
      <c r="N1223">
        <v>1</v>
      </c>
      <c r="O1223">
        <v>1</v>
      </c>
      <c r="P1223">
        <v>1</v>
      </c>
      <c r="R1223">
        <v>40</v>
      </c>
      <c r="S1223">
        <v>1</v>
      </c>
      <c r="T1223">
        <v>1</v>
      </c>
      <c r="U1223">
        <v>1</v>
      </c>
      <c r="V1223">
        <v>1</v>
      </c>
      <c r="W1223">
        <v>1</v>
      </c>
      <c r="X1223">
        <v>1</v>
      </c>
      <c r="AA1223">
        <v>-5133.5084999999999</v>
      </c>
      <c r="AB1223">
        <v>-5133.5084999999999</v>
      </c>
      <c r="AC1223">
        <v>-5133.5084999999999</v>
      </c>
      <c r="AD1223">
        <v>-5133.5084999999999</v>
      </c>
      <c r="AE1223">
        <v>-5133.5084999999999</v>
      </c>
      <c r="AF1223">
        <v>-5133.5084999999999</v>
      </c>
    </row>
    <row r="1224" spans="2:32" x14ac:dyDescent="0.25">
      <c r="B1224">
        <v>41</v>
      </c>
      <c r="C1224">
        <v>1</v>
      </c>
      <c r="D1224">
        <v>1</v>
      </c>
      <c r="E1224">
        <v>1</v>
      </c>
      <c r="F1224">
        <v>1</v>
      </c>
      <c r="G1224">
        <v>1</v>
      </c>
      <c r="H1224">
        <v>1</v>
      </c>
      <c r="J1224">
        <v>41</v>
      </c>
      <c r="K1224">
        <v>1</v>
      </c>
      <c r="L1224">
        <v>1</v>
      </c>
      <c r="M1224">
        <v>1</v>
      </c>
      <c r="N1224">
        <v>1</v>
      </c>
      <c r="O1224">
        <v>1</v>
      </c>
      <c r="P1224">
        <v>1</v>
      </c>
      <c r="R1224">
        <v>41</v>
      </c>
      <c r="S1224">
        <v>1</v>
      </c>
      <c r="T1224">
        <v>1</v>
      </c>
      <c r="U1224">
        <v>1</v>
      </c>
      <c r="V1224">
        <v>1</v>
      </c>
      <c r="W1224">
        <v>1</v>
      </c>
      <c r="X1224">
        <v>1</v>
      </c>
      <c r="AA1224">
        <v>-5127.7236000000003</v>
      </c>
      <c r="AB1224">
        <v>-5127.7236000000003</v>
      </c>
      <c r="AC1224">
        <v>-5127.7236000000003</v>
      </c>
      <c r="AD1224">
        <v>-5127.7236000000003</v>
      </c>
      <c r="AE1224">
        <v>-5127.7236000000003</v>
      </c>
      <c r="AF1224">
        <v>-5127.7236000000003</v>
      </c>
    </row>
    <row r="1225" spans="2:32" x14ac:dyDescent="0.25">
      <c r="B1225">
        <v>42</v>
      </c>
      <c r="C1225">
        <v>1</v>
      </c>
      <c r="D1225">
        <v>1</v>
      </c>
      <c r="E1225">
        <v>1</v>
      </c>
      <c r="F1225">
        <v>1</v>
      </c>
      <c r="G1225">
        <v>1</v>
      </c>
      <c r="H1225">
        <v>1</v>
      </c>
      <c r="J1225">
        <v>42</v>
      </c>
      <c r="K1225">
        <v>1</v>
      </c>
      <c r="L1225">
        <v>1</v>
      </c>
      <c r="M1225">
        <v>1</v>
      </c>
      <c r="N1225">
        <v>1</v>
      </c>
      <c r="O1225">
        <v>1</v>
      </c>
      <c r="P1225">
        <v>1</v>
      </c>
      <c r="R1225">
        <v>42</v>
      </c>
      <c r="S1225">
        <v>1</v>
      </c>
      <c r="T1225">
        <v>1</v>
      </c>
      <c r="U1225">
        <v>1</v>
      </c>
      <c r="V1225">
        <v>1</v>
      </c>
      <c r="W1225">
        <v>1</v>
      </c>
      <c r="X1225">
        <v>1</v>
      </c>
      <c r="AA1225">
        <v>-5121.3726999999999</v>
      </c>
      <c r="AB1225">
        <v>-5121.3726999999999</v>
      </c>
      <c r="AC1225">
        <v>-5121.3726999999999</v>
      </c>
      <c r="AD1225">
        <v>-5121.3726999999999</v>
      </c>
      <c r="AE1225">
        <v>-5121.3726999999999</v>
      </c>
      <c r="AF1225">
        <v>-5121.3726999999999</v>
      </c>
    </row>
    <row r="1226" spans="2:32" x14ac:dyDescent="0.25">
      <c r="B1226">
        <v>43</v>
      </c>
      <c r="C1226">
        <v>1</v>
      </c>
      <c r="D1226">
        <v>1</v>
      </c>
      <c r="E1226">
        <v>1</v>
      </c>
      <c r="F1226">
        <v>1</v>
      </c>
      <c r="G1226">
        <v>1</v>
      </c>
      <c r="H1226">
        <v>1</v>
      </c>
      <c r="J1226">
        <v>43</v>
      </c>
      <c r="K1226">
        <v>1</v>
      </c>
      <c r="L1226">
        <v>1</v>
      </c>
      <c r="M1226">
        <v>1</v>
      </c>
      <c r="N1226">
        <v>1</v>
      </c>
      <c r="O1226">
        <v>1</v>
      </c>
      <c r="P1226">
        <v>1</v>
      </c>
      <c r="R1226">
        <v>43</v>
      </c>
      <c r="S1226">
        <v>1</v>
      </c>
      <c r="T1226">
        <v>1</v>
      </c>
      <c r="U1226">
        <v>1</v>
      </c>
      <c r="V1226">
        <v>1</v>
      </c>
      <c r="W1226">
        <v>1</v>
      </c>
      <c r="X1226">
        <v>1</v>
      </c>
      <c r="AA1226">
        <v>-5114.3449000000001</v>
      </c>
      <c r="AB1226">
        <v>-5114.3449000000001</v>
      </c>
      <c r="AC1226">
        <v>-5114.3449000000001</v>
      </c>
      <c r="AD1226">
        <v>-5114.3449000000001</v>
      </c>
      <c r="AE1226">
        <v>-5114.3449000000001</v>
      </c>
      <c r="AF1226">
        <v>-5114.3449000000001</v>
      </c>
    </row>
    <row r="1227" spans="2:32" x14ac:dyDescent="0.25">
      <c r="B1227">
        <v>44</v>
      </c>
      <c r="C1227">
        <v>1</v>
      </c>
      <c r="D1227">
        <v>1</v>
      </c>
      <c r="E1227">
        <v>1</v>
      </c>
      <c r="F1227">
        <v>1</v>
      </c>
      <c r="G1227">
        <v>1</v>
      </c>
      <c r="H1227">
        <v>1</v>
      </c>
      <c r="J1227">
        <v>44</v>
      </c>
      <c r="K1227">
        <v>1</v>
      </c>
      <c r="L1227">
        <v>1</v>
      </c>
      <c r="M1227">
        <v>1</v>
      </c>
      <c r="N1227">
        <v>1</v>
      </c>
      <c r="O1227">
        <v>1</v>
      </c>
      <c r="P1227">
        <v>1</v>
      </c>
      <c r="R1227">
        <v>44</v>
      </c>
      <c r="S1227">
        <v>1</v>
      </c>
      <c r="T1227">
        <v>1</v>
      </c>
      <c r="U1227">
        <v>1</v>
      </c>
      <c r="V1227">
        <v>1</v>
      </c>
      <c r="W1227">
        <v>1</v>
      </c>
      <c r="X1227">
        <v>1</v>
      </c>
      <c r="AA1227">
        <v>-5106.5976000000001</v>
      </c>
      <c r="AB1227">
        <v>-5106.5976000000001</v>
      </c>
      <c r="AC1227">
        <v>-5106.5976000000001</v>
      </c>
      <c r="AD1227">
        <v>-5106.5976000000001</v>
      </c>
      <c r="AE1227">
        <v>-5106.5976000000001</v>
      </c>
      <c r="AF1227">
        <v>-5106.5976000000001</v>
      </c>
    </row>
    <row r="1228" spans="2:32" x14ac:dyDescent="0.25">
      <c r="B1228">
        <v>45</v>
      </c>
      <c r="C1228">
        <v>1</v>
      </c>
      <c r="D1228">
        <v>1</v>
      </c>
      <c r="E1228">
        <v>1</v>
      </c>
      <c r="F1228">
        <v>1</v>
      </c>
      <c r="G1228">
        <v>1</v>
      </c>
      <c r="H1228">
        <v>1</v>
      </c>
      <c r="J1228">
        <v>45</v>
      </c>
      <c r="K1228">
        <v>1</v>
      </c>
      <c r="L1228">
        <v>1</v>
      </c>
      <c r="M1228">
        <v>1</v>
      </c>
      <c r="N1228">
        <v>1</v>
      </c>
      <c r="O1228">
        <v>1</v>
      </c>
      <c r="P1228">
        <v>1</v>
      </c>
      <c r="R1228">
        <v>45</v>
      </c>
      <c r="S1228">
        <v>1</v>
      </c>
      <c r="T1228">
        <v>1</v>
      </c>
      <c r="U1228">
        <v>1</v>
      </c>
      <c r="V1228">
        <v>1</v>
      </c>
      <c r="W1228">
        <v>1</v>
      </c>
      <c r="X1228">
        <v>1</v>
      </c>
      <c r="AA1228">
        <v>-5098.0524999999998</v>
      </c>
      <c r="AB1228">
        <v>-5098.0524999999998</v>
      </c>
      <c r="AC1228">
        <v>-5098.0524999999998</v>
      </c>
      <c r="AD1228">
        <v>-5098.0524999999998</v>
      </c>
      <c r="AE1228">
        <v>-5098.0524999999998</v>
      </c>
      <c r="AF1228">
        <v>-5098.0524999999998</v>
      </c>
    </row>
    <row r="1229" spans="2:32" x14ac:dyDescent="0.25">
      <c r="B1229">
        <v>46</v>
      </c>
      <c r="C1229">
        <v>1</v>
      </c>
      <c r="D1229">
        <v>1</v>
      </c>
      <c r="E1229">
        <v>1</v>
      </c>
      <c r="F1229">
        <v>1</v>
      </c>
      <c r="G1229">
        <v>1</v>
      </c>
      <c r="H1229">
        <v>1</v>
      </c>
      <c r="J1229">
        <v>46</v>
      </c>
      <c r="K1229">
        <v>1</v>
      </c>
      <c r="L1229">
        <v>1</v>
      </c>
      <c r="M1229">
        <v>1</v>
      </c>
      <c r="N1229">
        <v>1</v>
      </c>
      <c r="O1229">
        <v>1</v>
      </c>
      <c r="P1229">
        <v>1</v>
      </c>
      <c r="R1229">
        <v>46</v>
      </c>
      <c r="S1229">
        <v>1</v>
      </c>
      <c r="T1229">
        <v>1</v>
      </c>
      <c r="U1229">
        <v>1</v>
      </c>
      <c r="V1229">
        <v>1</v>
      </c>
      <c r="W1229">
        <v>1</v>
      </c>
      <c r="X1229">
        <v>1</v>
      </c>
      <c r="AA1229">
        <v>-5088.6378000000004</v>
      </c>
      <c r="AB1229">
        <v>-5088.6378000000004</v>
      </c>
      <c r="AC1229">
        <v>-5088.6378000000004</v>
      </c>
      <c r="AD1229">
        <v>-5088.6378000000004</v>
      </c>
      <c r="AE1229">
        <v>-5088.6378000000004</v>
      </c>
      <c r="AF1229">
        <v>-5088.6378000000004</v>
      </c>
    </row>
    <row r="1230" spans="2:32" x14ac:dyDescent="0.25">
      <c r="B1230">
        <v>47</v>
      </c>
      <c r="C1230">
        <v>1</v>
      </c>
      <c r="D1230">
        <v>1</v>
      </c>
      <c r="E1230">
        <v>1</v>
      </c>
      <c r="F1230">
        <v>1</v>
      </c>
      <c r="G1230">
        <v>1</v>
      </c>
      <c r="H1230">
        <v>1</v>
      </c>
      <c r="J1230">
        <v>47</v>
      </c>
      <c r="K1230">
        <v>1</v>
      </c>
      <c r="L1230">
        <v>1</v>
      </c>
      <c r="M1230">
        <v>1</v>
      </c>
      <c r="N1230">
        <v>1</v>
      </c>
      <c r="O1230">
        <v>1</v>
      </c>
      <c r="P1230">
        <v>1</v>
      </c>
      <c r="R1230">
        <v>47</v>
      </c>
      <c r="S1230">
        <v>1</v>
      </c>
      <c r="T1230">
        <v>1</v>
      </c>
      <c r="U1230">
        <v>1</v>
      </c>
      <c r="V1230">
        <v>1</v>
      </c>
      <c r="W1230">
        <v>1</v>
      </c>
      <c r="X1230">
        <v>1</v>
      </c>
      <c r="AA1230">
        <v>-5078.2593999999999</v>
      </c>
      <c r="AB1230">
        <v>-5078.2593999999999</v>
      </c>
      <c r="AC1230">
        <v>-5078.2593999999999</v>
      </c>
      <c r="AD1230">
        <v>-5078.2593999999999</v>
      </c>
      <c r="AE1230">
        <v>-5078.2593999999999</v>
      </c>
      <c r="AF1230">
        <v>-5078.2593999999999</v>
      </c>
    </row>
    <row r="1231" spans="2:32" x14ac:dyDescent="0.25">
      <c r="B1231">
        <v>48</v>
      </c>
      <c r="C1231">
        <v>1</v>
      </c>
      <c r="D1231">
        <v>1</v>
      </c>
      <c r="E1231">
        <v>1</v>
      </c>
      <c r="F1231">
        <v>1</v>
      </c>
      <c r="G1231">
        <v>1</v>
      </c>
      <c r="H1231">
        <v>1</v>
      </c>
      <c r="J1231">
        <v>48</v>
      </c>
      <c r="K1231">
        <v>1</v>
      </c>
      <c r="L1231">
        <v>1</v>
      </c>
      <c r="M1231">
        <v>1</v>
      </c>
      <c r="N1231">
        <v>1</v>
      </c>
      <c r="O1231">
        <v>1</v>
      </c>
      <c r="P1231">
        <v>1</v>
      </c>
      <c r="R1231">
        <v>48</v>
      </c>
      <c r="S1231">
        <v>1</v>
      </c>
      <c r="T1231">
        <v>1</v>
      </c>
      <c r="U1231">
        <v>1</v>
      </c>
      <c r="V1231">
        <v>1</v>
      </c>
      <c r="W1231">
        <v>1</v>
      </c>
      <c r="X1231">
        <v>1</v>
      </c>
      <c r="AA1231">
        <v>-5066.8732</v>
      </c>
      <c r="AB1231">
        <v>-5066.8732</v>
      </c>
      <c r="AC1231">
        <v>-5066.8732</v>
      </c>
      <c r="AD1231">
        <v>-5066.8732</v>
      </c>
      <c r="AE1231">
        <v>-5066.8732</v>
      </c>
      <c r="AF1231">
        <v>-5066.8732</v>
      </c>
    </row>
    <row r="1232" spans="2:32" x14ac:dyDescent="0.25">
      <c r="B1232">
        <v>49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v>1</v>
      </c>
      <c r="J1232">
        <v>49</v>
      </c>
      <c r="K1232">
        <v>1</v>
      </c>
      <c r="L1232">
        <v>1</v>
      </c>
      <c r="M1232">
        <v>1</v>
      </c>
      <c r="N1232">
        <v>1</v>
      </c>
      <c r="O1232">
        <v>1</v>
      </c>
      <c r="P1232">
        <v>1</v>
      </c>
      <c r="R1232">
        <v>49</v>
      </c>
      <c r="S1232">
        <v>1</v>
      </c>
      <c r="T1232">
        <v>1</v>
      </c>
      <c r="U1232">
        <v>1</v>
      </c>
      <c r="V1232">
        <v>1</v>
      </c>
      <c r="W1232">
        <v>1</v>
      </c>
      <c r="X1232">
        <v>1</v>
      </c>
      <c r="AA1232">
        <v>-5054.4124000000002</v>
      </c>
      <c r="AB1232">
        <v>-5054.4124000000002</v>
      </c>
      <c r="AC1232">
        <v>-5054.4124000000002</v>
      </c>
      <c r="AD1232">
        <v>-5054.4124000000002</v>
      </c>
      <c r="AE1232">
        <v>-5054.4124000000002</v>
      </c>
      <c r="AF1232">
        <v>-5054.4124000000002</v>
      </c>
    </row>
    <row r="1233" spans="2:32" x14ac:dyDescent="0.25">
      <c r="B1233">
        <v>50</v>
      </c>
      <c r="C1233">
        <v>1</v>
      </c>
      <c r="D1233">
        <v>1</v>
      </c>
      <c r="E1233">
        <v>1</v>
      </c>
      <c r="F1233">
        <v>1</v>
      </c>
      <c r="G1233">
        <v>1</v>
      </c>
      <c r="H1233">
        <v>1</v>
      </c>
      <c r="J1233">
        <v>50</v>
      </c>
      <c r="K1233">
        <v>1</v>
      </c>
      <c r="L1233">
        <v>1</v>
      </c>
      <c r="M1233">
        <v>1</v>
      </c>
      <c r="N1233">
        <v>1</v>
      </c>
      <c r="O1233">
        <v>1</v>
      </c>
      <c r="P1233">
        <v>1</v>
      </c>
      <c r="R1233">
        <v>50</v>
      </c>
      <c r="S1233">
        <v>1</v>
      </c>
      <c r="T1233">
        <v>1</v>
      </c>
      <c r="U1233">
        <v>1</v>
      </c>
      <c r="V1233">
        <v>1</v>
      </c>
      <c r="W1233">
        <v>1</v>
      </c>
      <c r="X1233">
        <v>1</v>
      </c>
      <c r="AA1233">
        <v>-5040.7671</v>
      </c>
      <c r="AB1233">
        <v>-5040.7671</v>
      </c>
      <c r="AC1233">
        <v>-5040.7671</v>
      </c>
      <c r="AD1233">
        <v>-5040.7671</v>
      </c>
      <c r="AE1233">
        <v>-5040.7671</v>
      </c>
      <c r="AF1233">
        <v>-5040.7671</v>
      </c>
    </row>
    <row r="1234" spans="2:32" x14ac:dyDescent="0.25">
      <c r="B1234">
        <v>51</v>
      </c>
      <c r="C1234">
        <v>1</v>
      </c>
      <c r="D1234">
        <v>1</v>
      </c>
      <c r="E1234">
        <v>1</v>
      </c>
      <c r="F1234">
        <v>1</v>
      </c>
      <c r="G1234">
        <v>1</v>
      </c>
      <c r="H1234">
        <v>1</v>
      </c>
      <c r="J1234">
        <v>51</v>
      </c>
      <c r="K1234">
        <v>1</v>
      </c>
      <c r="L1234">
        <v>1</v>
      </c>
      <c r="M1234">
        <v>1</v>
      </c>
      <c r="N1234">
        <v>1</v>
      </c>
      <c r="O1234">
        <v>1</v>
      </c>
      <c r="P1234">
        <v>1</v>
      </c>
      <c r="R1234">
        <v>51</v>
      </c>
      <c r="S1234">
        <v>1</v>
      </c>
      <c r="T1234">
        <v>1</v>
      </c>
      <c r="U1234">
        <v>1</v>
      </c>
      <c r="V1234">
        <v>1</v>
      </c>
      <c r="W1234">
        <v>1</v>
      </c>
      <c r="X1234">
        <v>1</v>
      </c>
      <c r="AA1234">
        <v>-5025.8329000000003</v>
      </c>
      <c r="AB1234">
        <v>-5025.8329000000003</v>
      </c>
      <c r="AC1234">
        <v>-5025.8329000000003</v>
      </c>
      <c r="AD1234">
        <v>-5025.8329000000003</v>
      </c>
      <c r="AE1234">
        <v>-5025.8329000000003</v>
      </c>
      <c r="AF1234">
        <v>-5025.8329000000003</v>
      </c>
    </row>
    <row r="1235" spans="2:32" x14ac:dyDescent="0.25">
      <c r="B1235">
        <v>52</v>
      </c>
      <c r="C1235">
        <v>1</v>
      </c>
      <c r="D1235">
        <v>1</v>
      </c>
      <c r="E1235">
        <v>1</v>
      </c>
      <c r="F1235">
        <v>1</v>
      </c>
      <c r="G1235">
        <v>1</v>
      </c>
      <c r="H1235">
        <v>1</v>
      </c>
      <c r="J1235">
        <v>52</v>
      </c>
      <c r="K1235">
        <v>1</v>
      </c>
      <c r="L1235">
        <v>1</v>
      </c>
      <c r="M1235">
        <v>1</v>
      </c>
      <c r="N1235">
        <v>1</v>
      </c>
      <c r="O1235">
        <v>1</v>
      </c>
      <c r="P1235">
        <v>1</v>
      </c>
      <c r="R1235">
        <v>52</v>
      </c>
      <c r="S1235">
        <v>1</v>
      </c>
      <c r="T1235">
        <v>1</v>
      </c>
      <c r="U1235">
        <v>1</v>
      </c>
      <c r="V1235">
        <v>1</v>
      </c>
      <c r="W1235">
        <v>1</v>
      </c>
      <c r="X1235">
        <v>1</v>
      </c>
      <c r="AA1235">
        <v>-5009.4771000000001</v>
      </c>
      <c r="AB1235">
        <v>-5009.4771000000001</v>
      </c>
      <c r="AC1235">
        <v>-5009.4771000000001</v>
      </c>
      <c r="AD1235">
        <v>-5009.4771000000001</v>
      </c>
      <c r="AE1235">
        <v>-5009.4771000000001</v>
      </c>
      <c r="AF1235">
        <v>-5009.4771000000001</v>
      </c>
    </row>
    <row r="1236" spans="2:32" x14ac:dyDescent="0.25">
      <c r="B1236">
        <v>53</v>
      </c>
      <c r="C1236">
        <v>1</v>
      </c>
      <c r="D1236">
        <v>1</v>
      </c>
      <c r="E1236">
        <v>1</v>
      </c>
      <c r="F1236">
        <v>1</v>
      </c>
      <c r="G1236">
        <v>1</v>
      </c>
      <c r="H1236">
        <v>1</v>
      </c>
      <c r="J1236">
        <v>53</v>
      </c>
      <c r="K1236">
        <v>1</v>
      </c>
      <c r="L1236">
        <v>1</v>
      </c>
      <c r="M1236">
        <v>1</v>
      </c>
      <c r="N1236">
        <v>1</v>
      </c>
      <c r="O1236">
        <v>1</v>
      </c>
      <c r="P1236">
        <v>1</v>
      </c>
      <c r="R1236">
        <v>53</v>
      </c>
      <c r="S1236">
        <v>1</v>
      </c>
      <c r="T1236">
        <v>1</v>
      </c>
      <c r="U1236">
        <v>1</v>
      </c>
      <c r="V1236">
        <v>1</v>
      </c>
      <c r="W1236">
        <v>1</v>
      </c>
      <c r="X1236">
        <v>1</v>
      </c>
      <c r="AA1236">
        <v>-4991.6184000000003</v>
      </c>
      <c r="AB1236">
        <v>-4991.6184000000003</v>
      </c>
      <c r="AC1236">
        <v>-4991.6184000000003</v>
      </c>
      <c r="AD1236">
        <v>-4991.6184000000003</v>
      </c>
      <c r="AE1236">
        <v>-4991.6184000000003</v>
      </c>
      <c r="AF1236">
        <v>-4991.6184000000003</v>
      </c>
    </row>
    <row r="1237" spans="2:32" x14ac:dyDescent="0.25">
      <c r="B1237">
        <v>54</v>
      </c>
      <c r="C1237">
        <v>1</v>
      </c>
      <c r="D1237">
        <v>1</v>
      </c>
      <c r="E1237">
        <v>1</v>
      </c>
      <c r="F1237">
        <v>1</v>
      </c>
      <c r="G1237">
        <v>1</v>
      </c>
      <c r="H1237">
        <v>1</v>
      </c>
      <c r="J1237">
        <v>54</v>
      </c>
      <c r="K1237">
        <v>1</v>
      </c>
      <c r="L1237">
        <v>1</v>
      </c>
      <c r="M1237">
        <v>1</v>
      </c>
      <c r="N1237">
        <v>1</v>
      </c>
      <c r="O1237">
        <v>1</v>
      </c>
      <c r="P1237">
        <v>1</v>
      </c>
      <c r="R1237">
        <v>54</v>
      </c>
      <c r="S1237">
        <v>1</v>
      </c>
      <c r="T1237">
        <v>1</v>
      </c>
      <c r="U1237">
        <v>1</v>
      </c>
      <c r="V1237">
        <v>1</v>
      </c>
      <c r="W1237">
        <v>1</v>
      </c>
      <c r="X1237">
        <v>1</v>
      </c>
      <c r="AA1237">
        <v>-4972.1588000000002</v>
      </c>
      <c r="AB1237">
        <v>-4972.1588000000002</v>
      </c>
      <c r="AC1237">
        <v>-4972.1588000000002</v>
      </c>
      <c r="AD1237">
        <v>-4972.1588000000002</v>
      </c>
      <c r="AE1237">
        <v>-4972.1588000000002</v>
      </c>
      <c r="AF1237">
        <v>-4972.1588000000002</v>
      </c>
    </row>
    <row r="1238" spans="2:32" x14ac:dyDescent="0.25">
      <c r="B1238">
        <v>55</v>
      </c>
      <c r="C1238">
        <v>1</v>
      </c>
      <c r="D1238">
        <v>1</v>
      </c>
      <c r="E1238">
        <v>1</v>
      </c>
      <c r="F1238">
        <v>1</v>
      </c>
      <c r="G1238">
        <v>1</v>
      </c>
      <c r="H1238">
        <v>1</v>
      </c>
      <c r="J1238">
        <v>55</v>
      </c>
      <c r="K1238">
        <v>1</v>
      </c>
      <c r="L1238">
        <v>1</v>
      </c>
      <c r="M1238">
        <v>1</v>
      </c>
      <c r="N1238">
        <v>1</v>
      </c>
      <c r="O1238">
        <v>1</v>
      </c>
      <c r="P1238">
        <v>1</v>
      </c>
      <c r="R1238">
        <v>55</v>
      </c>
      <c r="S1238">
        <v>1</v>
      </c>
      <c r="T1238">
        <v>1</v>
      </c>
      <c r="U1238">
        <v>1</v>
      </c>
      <c r="V1238">
        <v>1</v>
      </c>
      <c r="W1238">
        <v>1</v>
      </c>
      <c r="X1238">
        <v>1</v>
      </c>
      <c r="AA1238">
        <v>-4950.9426000000003</v>
      </c>
      <c r="AB1238">
        <v>-4950.9426000000003</v>
      </c>
      <c r="AC1238">
        <v>-4950.9426000000003</v>
      </c>
      <c r="AD1238">
        <v>-4950.9426000000003</v>
      </c>
      <c r="AE1238">
        <v>-4950.9426000000003</v>
      </c>
      <c r="AF1238">
        <v>-4950.9426000000003</v>
      </c>
    </row>
    <row r="1241" spans="2:32" x14ac:dyDescent="0.25">
      <c r="B1241" t="s">
        <v>46</v>
      </c>
      <c r="C1241">
        <v>100000</v>
      </c>
      <c r="D1241">
        <v>250000</v>
      </c>
      <c r="E1241">
        <v>500000</v>
      </c>
      <c r="F1241">
        <v>1000000</v>
      </c>
      <c r="G1241">
        <v>2000000</v>
      </c>
      <c r="J1241" t="s">
        <v>32</v>
      </c>
      <c r="K1241">
        <v>100000</v>
      </c>
      <c r="L1241">
        <v>250000</v>
      </c>
      <c r="M1241">
        <v>500000</v>
      </c>
      <c r="N1241">
        <v>1000000</v>
      </c>
      <c r="O1241">
        <v>2000000</v>
      </c>
      <c r="R1241" t="s">
        <v>48</v>
      </c>
      <c r="S1241">
        <v>100000</v>
      </c>
      <c r="T1241">
        <v>250000</v>
      </c>
      <c r="U1241">
        <v>500000</v>
      </c>
      <c r="V1241">
        <v>1000000</v>
      </c>
      <c r="W1241">
        <v>2000000</v>
      </c>
    </row>
    <row r="1242" spans="2:32" x14ac:dyDescent="0.25">
      <c r="B1242">
        <v>35</v>
      </c>
      <c r="C1242">
        <v>1</v>
      </c>
      <c r="D1242">
        <v>1</v>
      </c>
      <c r="E1242">
        <v>1</v>
      </c>
      <c r="F1242">
        <v>1</v>
      </c>
      <c r="G1242">
        <v>1</v>
      </c>
      <c r="J1242">
        <v>35</v>
      </c>
      <c r="K1242">
        <v>1</v>
      </c>
      <c r="L1242">
        <v>1</v>
      </c>
      <c r="M1242">
        <v>1</v>
      </c>
      <c r="N1242">
        <v>1</v>
      </c>
      <c r="O1242">
        <v>1</v>
      </c>
      <c r="R1242">
        <v>35</v>
      </c>
      <c r="S1242">
        <v>1</v>
      </c>
      <c r="T1242">
        <v>1</v>
      </c>
      <c r="U1242">
        <v>1</v>
      </c>
      <c r="V1242">
        <v>1</v>
      </c>
      <c r="W1242">
        <v>1</v>
      </c>
      <c r="AA1242">
        <v>-8996.1419000000005</v>
      </c>
      <c r="AB1242">
        <v>-8996.1419000000005</v>
      </c>
      <c r="AC1242">
        <v>-8996.1419000000005</v>
      </c>
      <c r="AD1242">
        <v>-8996.1419000000005</v>
      </c>
      <c r="AE1242">
        <v>-8996.1419000000005</v>
      </c>
      <c r="AF1242">
        <v>-759112.79520000005</v>
      </c>
    </row>
    <row r="1243" spans="2:32" x14ac:dyDescent="0.25">
      <c r="B1243">
        <f t="shared" ref="B1243:B1272" si="54">B1242+1</f>
        <v>36</v>
      </c>
      <c r="C1243">
        <v>1</v>
      </c>
      <c r="D1243">
        <v>1</v>
      </c>
      <c r="E1243">
        <v>1</v>
      </c>
      <c r="F1243">
        <v>1</v>
      </c>
      <c r="G1243">
        <v>1</v>
      </c>
      <c r="J1243">
        <f t="shared" ref="J1243:J1272" si="55">J1242+1</f>
        <v>36</v>
      </c>
      <c r="K1243">
        <v>1</v>
      </c>
      <c r="L1243">
        <v>1</v>
      </c>
      <c r="M1243">
        <v>1</v>
      </c>
      <c r="N1243">
        <v>1</v>
      </c>
      <c r="O1243">
        <v>1</v>
      </c>
      <c r="R1243">
        <f t="shared" ref="R1243:R1272" si="56">R1242+1</f>
        <v>36</v>
      </c>
      <c r="S1243">
        <v>1</v>
      </c>
      <c r="T1243">
        <v>1</v>
      </c>
      <c r="U1243">
        <v>1</v>
      </c>
      <c r="V1243">
        <v>1</v>
      </c>
      <c r="W1243">
        <v>1</v>
      </c>
      <c r="AA1243">
        <v>-8902.6679999999997</v>
      </c>
      <c r="AB1243">
        <v>-8902.6679999999997</v>
      </c>
      <c r="AC1243">
        <v>-8902.6679999999997</v>
      </c>
      <c r="AD1243">
        <v>-8902.6679999999997</v>
      </c>
      <c r="AE1243">
        <v>-8902.6679999999997</v>
      </c>
      <c r="AF1243">
        <v>-737070.86179999996</v>
      </c>
    </row>
    <row r="1244" spans="2:32" x14ac:dyDescent="0.25">
      <c r="B1244">
        <f t="shared" si="54"/>
        <v>37</v>
      </c>
      <c r="C1244">
        <v>1</v>
      </c>
      <c r="D1244">
        <v>1</v>
      </c>
      <c r="E1244">
        <v>1</v>
      </c>
      <c r="F1244">
        <v>1</v>
      </c>
      <c r="G1244">
        <v>1</v>
      </c>
      <c r="J1244">
        <f t="shared" si="55"/>
        <v>37</v>
      </c>
      <c r="K1244">
        <v>1</v>
      </c>
      <c r="L1244">
        <v>1</v>
      </c>
      <c r="M1244">
        <v>1</v>
      </c>
      <c r="N1244">
        <v>1</v>
      </c>
      <c r="O1244">
        <v>1</v>
      </c>
      <c r="R1244">
        <f t="shared" si="56"/>
        <v>37</v>
      </c>
      <c r="S1244">
        <v>1</v>
      </c>
      <c r="T1244">
        <v>1</v>
      </c>
      <c r="U1244">
        <v>1</v>
      </c>
      <c r="V1244">
        <v>1</v>
      </c>
      <c r="W1244">
        <v>1</v>
      </c>
      <c r="AA1244">
        <v>-8806.7960000000003</v>
      </c>
      <c r="AB1244">
        <v>-8806.7960000000003</v>
      </c>
      <c r="AC1244">
        <v>-8806.7960000000003</v>
      </c>
      <c r="AD1244">
        <v>-8806.7960000000003</v>
      </c>
      <c r="AE1244">
        <v>-8806.7960000000003</v>
      </c>
      <c r="AF1244">
        <v>-765978.91940000001</v>
      </c>
    </row>
    <row r="1245" spans="2:32" x14ac:dyDescent="0.25">
      <c r="B1245">
        <f t="shared" si="54"/>
        <v>38</v>
      </c>
      <c r="C1245">
        <v>1</v>
      </c>
      <c r="D1245">
        <v>1</v>
      </c>
      <c r="E1245">
        <v>1</v>
      </c>
      <c r="F1245">
        <v>1</v>
      </c>
      <c r="G1245">
        <v>1</v>
      </c>
      <c r="J1245">
        <f t="shared" si="55"/>
        <v>38</v>
      </c>
      <c r="K1245">
        <v>1</v>
      </c>
      <c r="L1245">
        <v>1</v>
      </c>
      <c r="M1245">
        <v>1</v>
      </c>
      <c r="N1245">
        <v>1</v>
      </c>
      <c r="O1245">
        <v>1</v>
      </c>
      <c r="R1245">
        <f t="shared" si="56"/>
        <v>38</v>
      </c>
      <c r="S1245">
        <v>1</v>
      </c>
      <c r="T1245">
        <v>1</v>
      </c>
      <c r="U1245">
        <v>1</v>
      </c>
      <c r="V1245">
        <v>1</v>
      </c>
      <c r="W1245">
        <v>1</v>
      </c>
      <c r="AA1245">
        <v>-8708.6234000000004</v>
      </c>
      <c r="AB1245">
        <v>-8708.6234000000004</v>
      </c>
      <c r="AC1245">
        <v>-8708.6234000000004</v>
      </c>
      <c r="AD1245">
        <v>-8708.6234000000004</v>
      </c>
      <c r="AE1245">
        <v>-8708.6234000000004</v>
      </c>
      <c r="AF1245">
        <v>-783780.576</v>
      </c>
    </row>
    <row r="1246" spans="2:32" x14ac:dyDescent="0.25">
      <c r="B1246">
        <f t="shared" si="54"/>
        <v>39</v>
      </c>
      <c r="C1246">
        <v>1</v>
      </c>
      <c r="D1246">
        <v>1</v>
      </c>
      <c r="E1246">
        <v>1</v>
      </c>
      <c r="F1246">
        <v>1</v>
      </c>
      <c r="G1246">
        <v>1</v>
      </c>
      <c r="J1246">
        <f t="shared" si="55"/>
        <v>39</v>
      </c>
      <c r="K1246">
        <v>1</v>
      </c>
      <c r="L1246">
        <v>1</v>
      </c>
      <c r="M1246">
        <v>1</v>
      </c>
      <c r="N1246">
        <v>1</v>
      </c>
      <c r="O1246">
        <v>1</v>
      </c>
      <c r="R1246">
        <f t="shared" si="56"/>
        <v>39</v>
      </c>
      <c r="S1246">
        <v>1</v>
      </c>
      <c r="T1246">
        <v>1</v>
      </c>
      <c r="U1246">
        <v>1</v>
      </c>
      <c r="V1246">
        <v>1</v>
      </c>
      <c r="W1246">
        <v>1</v>
      </c>
      <c r="AA1246">
        <v>-8608.1594000000005</v>
      </c>
      <c r="AB1246">
        <v>-8608.1594000000005</v>
      </c>
      <c r="AC1246">
        <v>-8608.1594000000005</v>
      </c>
      <c r="AD1246">
        <v>-8608.1594000000005</v>
      </c>
      <c r="AE1246">
        <v>-8608.1594000000005</v>
      </c>
      <c r="AF1246">
        <v>-769662.22069999995</v>
      </c>
    </row>
    <row r="1247" spans="2:32" x14ac:dyDescent="0.25">
      <c r="B1247">
        <f t="shared" si="54"/>
        <v>40</v>
      </c>
      <c r="C1247">
        <v>1</v>
      </c>
      <c r="D1247">
        <v>1</v>
      </c>
      <c r="E1247">
        <v>1</v>
      </c>
      <c r="F1247">
        <v>1</v>
      </c>
      <c r="G1247">
        <v>1</v>
      </c>
      <c r="J1247">
        <f t="shared" si="55"/>
        <v>40</v>
      </c>
      <c r="K1247">
        <v>1</v>
      </c>
      <c r="L1247">
        <v>1</v>
      </c>
      <c r="M1247">
        <v>1</v>
      </c>
      <c r="N1247">
        <v>1</v>
      </c>
      <c r="O1247">
        <v>1</v>
      </c>
      <c r="R1247">
        <f t="shared" si="56"/>
        <v>40</v>
      </c>
      <c r="S1247">
        <v>1</v>
      </c>
      <c r="T1247">
        <v>1</v>
      </c>
      <c r="U1247">
        <v>1</v>
      </c>
      <c r="V1247">
        <v>1</v>
      </c>
      <c r="W1247">
        <v>1</v>
      </c>
      <c r="AA1247">
        <v>-8505.3439999999991</v>
      </c>
      <c r="AB1247">
        <v>-8505.3439999999991</v>
      </c>
      <c r="AC1247">
        <v>-8505.3439999999991</v>
      </c>
      <c r="AD1247">
        <v>-8505.3439999999991</v>
      </c>
      <c r="AE1247">
        <v>-8505.3439999999991</v>
      </c>
      <c r="AF1247">
        <v>-798570.41119999997</v>
      </c>
    </row>
    <row r="1248" spans="2:32" x14ac:dyDescent="0.25">
      <c r="B1248">
        <f t="shared" si="54"/>
        <v>41</v>
      </c>
      <c r="C1248">
        <v>1</v>
      </c>
      <c r="D1248">
        <v>1</v>
      </c>
      <c r="E1248">
        <v>1</v>
      </c>
      <c r="F1248">
        <v>1</v>
      </c>
      <c r="G1248">
        <v>1</v>
      </c>
      <c r="J1248">
        <f t="shared" si="55"/>
        <v>41</v>
      </c>
      <c r="K1248">
        <v>1</v>
      </c>
      <c r="L1248">
        <v>1</v>
      </c>
      <c r="M1248">
        <v>1</v>
      </c>
      <c r="N1248">
        <v>1</v>
      </c>
      <c r="O1248">
        <v>1</v>
      </c>
      <c r="R1248">
        <f t="shared" si="56"/>
        <v>41</v>
      </c>
      <c r="S1248">
        <v>1</v>
      </c>
      <c r="T1248">
        <v>1</v>
      </c>
      <c r="U1248">
        <v>1</v>
      </c>
      <c r="V1248">
        <v>1</v>
      </c>
      <c r="W1248">
        <v>1</v>
      </c>
      <c r="AA1248">
        <v>-8400.1087000000007</v>
      </c>
      <c r="AB1248">
        <v>-8400.1087000000007</v>
      </c>
      <c r="AC1248">
        <v>-8400.1087000000007</v>
      </c>
      <c r="AD1248">
        <v>-8400.1087000000007</v>
      </c>
      <c r="AE1248">
        <v>-8400.1087000000007</v>
      </c>
      <c r="AF1248">
        <v>-803549.96459999995</v>
      </c>
    </row>
    <row r="1249" spans="2:32" x14ac:dyDescent="0.25">
      <c r="B1249">
        <f t="shared" si="54"/>
        <v>42</v>
      </c>
      <c r="C1249">
        <v>1</v>
      </c>
      <c r="D1249">
        <v>1</v>
      </c>
      <c r="E1249">
        <v>1</v>
      </c>
      <c r="F1249">
        <v>1</v>
      </c>
      <c r="G1249">
        <v>1</v>
      </c>
      <c r="J1249">
        <f t="shared" si="55"/>
        <v>42</v>
      </c>
      <c r="K1249">
        <v>1</v>
      </c>
      <c r="L1249">
        <v>1</v>
      </c>
      <c r="M1249">
        <v>1</v>
      </c>
      <c r="N1249">
        <v>1</v>
      </c>
      <c r="O1249">
        <v>1</v>
      </c>
      <c r="R1249">
        <f t="shared" si="56"/>
        <v>42</v>
      </c>
      <c r="S1249">
        <v>1</v>
      </c>
      <c r="T1249">
        <v>1</v>
      </c>
      <c r="U1249">
        <v>1</v>
      </c>
      <c r="V1249">
        <v>1</v>
      </c>
      <c r="W1249">
        <v>1</v>
      </c>
      <c r="AA1249">
        <v>-8292.4974999999995</v>
      </c>
      <c r="AB1249">
        <v>-8292.4974999999995</v>
      </c>
      <c r="AC1249">
        <v>-8292.4974999999995</v>
      </c>
      <c r="AD1249">
        <v>-8292.4974999999995</v>
      </c>
      <c r="AE1249">
        <v>-8292.4974999999995</v>
      </c>
      <c r="AF1249">
        <v>-833551.75890000002</v>
      </c>
    </row>
    <row r="1250" spans="2:32" x14ac:dyDescent="0.25">
      <c r="B1250">
        <f t="shared" si="54"/>
        <v>43</v>
      </c>
      <c r="C1250">
        <v>1</v>
      </c>
      <c r="D1250">
        <v>1</v>
      </c>
      <c r="E1250">
        <v>1</v>
      </c>
      <c r="F1250">
        <v>1</v>
      </c>
      <c r="G1250">
        <v>1</v>
      </c>
      <c r="J1250">
        <f t="shared" si="55"/>
        <v>43</v>
      </c>
      <c r="K1250">
        <v>1</v>
      </c>
      <c r="L1250">
        <v>1</v>
      </c>
      <c r="M1250">
        <v>1</v>
      </c>
      <c r="N1250">
        <v>1</v>
      </c>
      <c r="O1250">
        <v>1</v>
      </c>
      <c r="R1250">
        <f t="shared" si="56"/>
        <v>43</v>
      </c>
      <c r="S1250">
        <v>1</v>
      </c>
      <c r="T1250">
        <v>1</v>
      </c>
      <c r="U1250">
        <v>1</v>
      </c>
      <c r="V1250">
        <v>1</v>
      </c>
      <c r="W1250">
        <v>1</v>
      </c>
      <c r="AA1250">
        <v>-8182.3909999999996</v>
      </c>
      <c r="AB1250">
        <v>-8182.3909999999996</v>
      </c>
      <c r="AC1250">
        <v>-8182.3909999999996</v>
      </c>
      <c r="AD1250">
        <v>-8182.3909999999996</v>
      </c>
      <c r="AE1250">
        <v>-8182.3909999999996</v>
      </c>
      <c r="AF1250">
        <v>-844950.93949999998</v>
      </c>
    </row>
    <row r="1251" spans="2:32" x14ac:dyDescent="0.25">
      <c r="B1251">
        <f t="shared" si="54"/>
        <v>44</v>
      </c>
      <c r="C1251">
        <v>1</v>
      </c>
      <c r="D1251">
        <v>1</v>
      </c>
      <c r="E1251">
        <v>1</v>
      </c>
      <c r="F1251">
        <v>1</v>
      </c>
      <c r="G1251">
        <v>1</v>
      </c>
      <c r="J1251">
        <f t="shared" si="55"/>
        <v>44</v>
      </c>
      <c r="K1251">
        <v>1</v>
      </c>
      <c r="L1251">
        <v>1</v>
      </c>
      <c r="M1251">
        <v>1</v>
      </c>
      <c r="N1251">
        <v>1</v>
      </c>
      <c r="O1251">
        <v>1</v>
      </c>
      <c r="R1251">
        <f t="shared" si="56"/>
        <v>44</v>
      </c>
      <c r="S1251">
        <v>1</v>
      </c>
      <c r="T1251">
        <v>1</v>
      </c>
      <c r="U1251">
        <v>1</v>
      </c>
      <c r="V1251">
        <v>1</v>
      </c>
      <c r="W1251">
        <v>1</v>
      </c>
      <c r="AA1251">
        <v>-8069.8261000000002</v>
      </c>
      <c r="AB1251">
        <v>-8069.8261000000002</v>
      </c>
      <c r="AC1251">
        <v>-8069.8261000000002</v>
      </c>
      <c r="AD1251">
        <v>-8069.8261000000002</v>
      </c>
      <c r="AE1251">
        <v>-8069.8261000000002</v>
      </c>
      <c r="AF1251">
        <v>-851265.64670000004</v>
      </c>
    </row>
    <row r="1252" spans="2:32" x14ac:dyDescent="0.25">
      <c r="B1252">
        <f t="shared" si="54"/>
        <v>45</v>
      </c>
      <c r="C1252">
        <v>1</v>
      </c>
      <c r="D1252">
        <v>1</v>
      </c>
      <c r="E1252">
        <v>1</v>
      </c>
      <c r="F1252">
        <v>1</v>
      </c>
      <c r="G1252">
        <v>1</v>
      </c>
      <c r="J1252">
        <f t="shared" si="55"/>
        <v>45</v>
      </c>
      <c r="K1252">
        <v>1</v>
      </c>
      <c r="L1252">
        <v>1</v>
      </c>
      <c r="M1252">
        <v>1</v>
      </c>
      <c r="N1252">
        <v>1</v>
      </c>
      <c r="O1252">
        <v>1</v>
      </c>
      <c r="R1252">
        <f t="shared" si="56"/>
        <v>45</v>
      </c>
      <c r="S1252">
        <v>1</v>
      </c>
      <c r="T1252">
        <v>1</v>
      </c>
      <c r="U1252">
        <v>1</v>
      </c>
      <c r="V1252">
        <v>1</v>
      </c>
      <c r="W1252">
        <v>1</v>
      </c>
      <c r="AA1252">
        <v>-7954.7533999999996</v>
      </c>
      <c r="AB1252">
        <v>-7954.7533999999996</v>
      </c>
      <c r="AC1252">
        <v>-7954.7533999999996</v>
      </c>
      <c r="AD1252">
        <v>-7954.7533999999996</v>
      </c>
      <c r="AE1252">
        <v>-7954.7533999999996</v>
      </c>
      <c r="AF1252">
        <v>-870649.02139999997</v>
      </c>
    </row>
    <row r="1253" spans="2:32" x14ac:dyDescent="0.25">
      <c r="B1253">
        <f t="shared" si="54"/>
        <v>46</v>
      </c>
      <c r="C1253">
        <v>1</v>
      </c>
      <c r="D1253">
        <v>1</v>
      </c>
      <c r="E1253">
        <v>1</v>
      </c>
      <c r="F1253">
        <v>1</v>
      </c>
      <c r="G1253">
        <v>1</v>
      </c>
      <c r="J1253">
        <f t="shared" si="55"/>
        <v>46</v>
      </c>
      <c r="K1253">
        <v>1</v>
      </c>
      <c r="L1253">
        <v>1</v>
      </c>
      <c r="M1253">
        <v>1</v>
      </c>
      <c r="N1253">
        <v>1</v>
      </c>
      <c r="O1253">
        <v>1</v>
      </c>
      <c r="R1253">
        <f t="shared" si="56"/>
        <v>46</v>
      </c>
      <c r="S1253">
        <v>1</v>
      </c>
      <c r="T1253">
        <v>1</v>
      </c>
      <c r="U1253">
        <v>1</v>
      </c>
      <c r="V1253">
        <v>1</v>
      </c>
      <c r="W1253">
        <v>1</v>
      </c>
      <c r="AA1253">
        <v>-7837.1754000000001</v>
      </c>
      <c r="AB1253">
        <v>-7837.1754000000001</v>
      </c>
      <c r="AC1253">
        <v>-7837.1754000000001</v>
      </c>
      <c r="AD1253">
        <v>-7837.1754000000001</v>
      </c>
      <c r="AE1253">
        <v>-7837.1754000000001</v>
      </c>
      <c r="AF1253">
        <v>-892550.54509999999</v>
      </c>
    </row>
    <row r="1254" spans="2:32" x14ac:dyDescent="0.25">
      <c r="B1254">
        <f t="shared" si="54"/>
        <v>47</v>
      </c>
      <c r="C1254">
        <v>1</v>
      </c>
      <c r="D1254">
        <v>1</v>
      </c>
      <c r="E1254">
        <v>1</v>
      </c>
      <c r="F1254">
        <v>1</v>
      </c>
      <c r="G1254">
        <v>1</v>
      </c>
      <c r="J1254">
        <f t="shared" si="55"/>
        <v>47</v>
      </c>
      <c r="K1254">
        <v>1</v>
      </c>
      <c r="L1254">
        <v>1</v>
      </c>
      <c r="M1254">
        <v>1</v>
      </c>
      <c r="N1254">
        <v>1</v>
      </c>
      <c r="O1254">
        <v>1</v>
      </c>
      <c r="R1254">
        <f t="shared" si="56"/>
        <v>47</v>
      </c>
      <c r="S1254">
        <v>1</v>
      </c>
      <c r="T1254">
        <v>1</v>
      </c>
      <c r="U1254">
        <v>1</v>
      </c>
      <c r="V1254">
        <v>1</v>
      </c>
      <c r="W1254">
        <v>1</v>
      </c>
      <c r="AA1254">
        <v>-7717.0294999999996</v>
      </c>
      <c r="AB1254">
        <v>-7717.0294999999996</v>
      </c>
      <c r="AC1254">
        <v>-7717.0294999999996</v>
      </c>
      <c r="AD1254">
        <v>-7717.0294999999996</v>
      </c>
      <c r="AE1254">
        <v>-7717.0294999999996</v>
      </c>
      <c r="AF1254">
        <v>-910915.81969999999</v>
      </c>
    </row>
    <row r="1255" spans="2:32" x14ac:dyDescent="0.25">
      <c r="B1255">
        <f t="shared" si="54"/>
        <v>48</v>
      </c>
      <c r="C1255">
        <v>1</v>
      </c>
      <c r="D1255">
        <v>1</v>
      </c>
      <c r="E1255">
        <v>1</v>
      </c>
      <c r="F1255">
        <v>1</v>
      </c>
      <c r="G1255">
        <v>1</v>
      </c>
      <c r="J1255">
        <f t="shared" si="55"/>
        <v>48</v>
      </c>
      <c r="K1255">
        <v>1</v>
      </c>
      <c r="L1255">
        <v>1</v>
      </c>
      <c r="M1255">
        <v>1</v>
      </c>
      <c r="N1255">
        <v>1</v>
      </c>
      <c r="O1255">
        <v>1</v>
      </c>
      <c r="R1255">
        <f t="shared" si="56"/>
        <v>48</v>
      </c>
      <c r="S1255">
        <v>1</v>
      </c>
      <c r="T1255">
        <v>1</v>
      </c>
      <c r="U1255">
        <v>1</v>
      </c>
      <c r="V1255">
        <v>1</v>
      </c>
      <c r="W1255">
        <v>1</v>
      </c>
      <c r="AA1255">
        <v>-7594.4201000000003</v>
      </c>
      <c r="AB1255">
        <v>-7594.4201000000003</v>
      </c>
      <c r="AC1255">
        <v>-7594.4201000000003</v>
      </c>
      <c r="AD1255">
        <v>-7594.4201000000003</v>
      </c>
      <c r="AE1255">
        <v>-7594.4201000000003</v>
      </c>
      <c r="AF1255">
        <v>-910915.81969999999</v>
      </c>
    </row>
    <row r="1256" spans="2:32" x14ac:dyDescent="0.25">
      <c r="B1256">
        <f t="shared" si="54"/>
        <v>49</v>
      </c>
      <c r="C1256">
        <v>1</v>
      </c>
      <c r="D1256">
        <v>1</v>
      </c>
      <c r="E1256">
        <v>1</v>
      </c>
      <c r="F1256">
        <v>1</v>
      </c>
      <c r="G1256">
        <v>1</v>
      </c>
      <c r="J1256">
        <f t="shared" si="55"/>
        <v>49</v>
      </c>
      <c r="K1256">
        <v>1</v>
      </c>
      <c r="L1256">
        <v>1</v>
      </c>
      <c r="M1256">
        <v>1</v>
      </c>
      <c r="N1256">
        <v>1</v>
      </c>
      <c r="O1256">
        <v>1</v>
      </c>
      <c r="R1256">
        <f t="shared" si="56"/>
        <v>49</v>
      </c>
      <c r="S1256">
        <v>1</v>
      </c>
      <c r="T1256">
        <v>1</v>
      </c>
      <c r="U1256">
        <v>1</v>
      </c>
      <c r="V1256">
        <v>1</v>
      </c>
      <c r="W1256">
        <v>1</v>
      </c>
      <c r="AA1256">
        <v>-7469.3995999999997</v>
      </c>
      <c r="AB1256">
        <v>-7469.3995999999997</v>
      </c>
      <c r="AC1256">
        <v>-7469.3995999999997</v>
      </c>
      <c r="AD1256">
        <v>-7469.3995999999997</v>
      </c>
      <c r="AE1256">
        <v>-7469.3995999999997</v>
      </c>
      <c r="AF1256">
        <v>-944521.72470000002</v>
      </c>
    </row>
    <row r="1257" spans="2:32" x14ac:dyDescent="0.25">
      <c r="B1257">
        <f t="shared" si="54"/>
        <v>50</v>
      </c>
      <c r="C1257">
        <v>1</v>
      </c>
      <c r="D1257">
        <v>1</v>
      </c>
      <c r="E1257">
        <v>1</v>
      </c>
      <c r="F1257">
        <v>1</v>
      </c>
      <c r="G1257">
        <v>1</v>
      </c>
      <c r="J1257">
        <f t="shared" si="55"/>
        <v>50</v>
      </c>
      <c r="K1257">
        <v>1</v>
      </c>
      <c r="L1257">
        <v>1</v>
      </c>
      <c r="M1257">
        <v>1</v>
      </c>
      <c r="N1257">
        <v>1</v>
      </c>
      <c r="O1257">
        <v>1</v>
      </c>
      <c r="R1257">
        <f t="shared" si="56"/>
        <v>50</v>
      </c>
      <c r="S1257">
        <v>1</v>
      </c>
      <c r="T1257">
        <v>1</v>
      </c>
      <c r="U1257">
        <v>1</v>
      </c>
      <c r="V1257">
        <v>1</v>
      </c>
      <c r="W1257">
        <v>1</v>
      </c>
      <c r="AA1257">
        <v>-7341.9502000000002</v>
      </c>
      <c r="AB1257">
        <v>-7341.9502000000002</v>
      </c>
      <c r="AC1257">
        <v>-7341.9502000000002</v>
      </c>
      <c r="AD1257">
        <v>-7341.9502000000002</v>
      </c>
      <c r="AE1257">
        <v>-7341.9502000000002</v>
      </c>
      <c r="AF1257">
        <v>-963257.14989999996</v>
      </c>
    </row>
    <row r="1258" spans="2:32" x14ac:dyDescent="0.25">
      <c r="B1258">
        <f t="shared" si="54"/>
        <v>51</v>
      </c>
      <c r="C1258">
        <v>1</v>
      </c>
      <c r="D1258">
        <v>1</v>
      </c>
      <c r="E1258">
        <v>1</v>
      </c>
      <c r="F1258">
        <v>1</v>
      </c>
      <c r="G1258">
        <v>1</v>
      </c>
      <c r="J1258">
        <f t="shared" si="55"/>
        <v>51</v>
      </c>
      <c r="K1258">
        <v>1</v>
      </c>
      <c r="L1258">
        <v>1</v>
      </c>
      <c r="M1258">
        <v>1</v>
      </c>
      <c r="N1258">
        <v>1</v>
      </c>
      <c r="O1258">
        <v>1</v>
      </c>
      <c r="R1258">
        <f t="shared" si="56"/>
        <v>51</v>
      </c>
      <c r="S1258">
        <v>1</v>
      </c>
      <c r="T1258">
        <v>1</v>
      </c>
      <c r="U1258">
        <v>1</v>
      </c>
      <c r="V1258">
        <v>1</v>
      </c>
      <c r="W1258">
        <v>1</v>
      </c>
      <c r="AA1258">
        <v>-7212.0646999999999</v>
      </c>
      <c r="AB1258">
        <v>-7212.0646999999999</v>
      </c>
      <c r="AC1258">
        <v>-7212.0646999999999</v>
      </c>
      <c r="AD1258">
        <v>-7212.0646999999999</v>
      </c>
      <c r="AE1258">
        <v>-7212.0646999999999</v>
      </c>
      <c r="AF1258">
        <v>-981592.90729999996</v>
      </c>
    </row>
    <row r="1259" spans="2:32" x14ac:dyDescent="0.25">
      <c r="B1259">
        <f t="shared" si="54"/>
        <v>52</v>
      </c>
      <c r="C1259">
        <v>1</v>
      </c>
      <c r="D1259">
        <v>1</v>
      </c>
      <c r="E1259">
        <v>1</v>
      </c>
      <c r="F1259">
        <v>1</v>
      </c>
      <c r="G1259">
        <v>1</v>
      </c>
      <c r="J1259">
        <f t="shared" si="55"/>
        <v>52</v>
      </c>
      <c r="K1259">
        <v>1</v>
      </c>
      <c r="L1259">
        <v>1</v>
      </c>
      <c r="M1259">
        <v>1</v>
      </c>
      <c r="N1259">
        <v>1</v>
      </c>
      <c r="O1259">
        <v>1</v>
      </c>
      <c r="R1259">
        <f t="shared" si="56"/>
        <v>52</v>
      </c>
      <c r="S1259">
        <v>1</v>
      </c>
      <c r="T1259">
        <v>1</v>
      </c>
      <c r="U1259">
        <v>1</v>
      </c>
      <c r="V1259">
        <v>1</v>
      </c>
      <c r="W1259">
        <v>1</v>
      </c>
      <c r="AA1259">
        <v>-7079.7435999999998</v>
      </c>
      <c r="AB1259">
        <v>-7079.7435999999998</v>
      </c>
      <c r="AC1259">
        <v>-7079.7435999999998</v>
      </c>
      <c r="AD1259">
        <v>-7079.7435999999998</v>
      </c>
      <c r="AE1259">
        <v>-7079.7435999999998</v>
      </c>
      <c r="AF1259">
        <v>-998556.10360000003</v>
      </c>
    </row>
    <row r="1260" spans="2:32" x14ac:dyDescent="0.25">
      <c r="B1260">
        <f t="shared" si="54"/>
        <v>53</v>
      </c>
      <c r="C1260">
        <v>1</v>
      </c>
      <c r="D1260">
        <v>1</v>
      </c>
      <c r="E1260">
        <v>1</v>
      </c>
      <c r="F1260">
        <v>1</v>
      </c>
      <c r="G1260">
        <v>1</v>
      </c>
      <c r="J1260">
        <f t="shared" si="55"/>
        <v>53</v>
      </c>
      <c r="K1260">
        <v>1</v>
      </c>
      <c r="L1260">
        <v>1</v>
      </c>
      <c r="M1260">
        <v>1</v>
      </c>
      <c r="N1260">
        <v>1</v>
      </c>
      <c r="O1260">
        <v>1</v>
      </c>
      <c r="R1260">
        <f t="shared" si="56"/>
        <v>53</v>
      </c>
      <c r="S1260">
        <v>1</v>
      </c>
      <c r="T1260">
        <v>1</v>
      </c>
      <c r="U1260">
        <v>1</v>
      </c>
      <c r="V1260">
        <v>1</v>
      </c>
      <c r="W1260">
        <v>1</v>
      </c>
      <c r="AA1260">
        <v>-6945.0875999999998</v>
      </c>
      <c r="AB1260">
        <v>-6945.0875999999998</v>
      </c>
      <c r="AC1260">
        <v>-6945.0875999999998</v>
      </c>
      <c r="AD1260">
        <v>-6945.0875999999998</v>
      </c>
      <c r="AE1260">
        <v>-6945.0875999999998</v>
      </c>
      <c r="AF1260">
        <v>-1015461.3278</v>
      </c>
    </row>
    <row r="1261" spans="2:32" x14ac:dyDescent="0.25">
      <c r="B1261">
        <f t="shared" si="54"/>
        <v>54</v>
      </c>
      <c r="C1261">
        <v>1</v>
      </c>
      <c r="D1261">
        <v>1</v>
      </c>
      <c r="E1261">
        <v>1</v>
      </c>
      <c r="F1261">
        <v>1</v>
      </c>
      <c r="G1261">
        <v>1</v>
      </c>
      <c r="J1261">
        <f t="shared" si="55"/>
        <v>54</v>
      </c>
      <c r="K1261">
        <v>1</v>
      </c>
      <c r="L1261">
        <v>1</v>
      </c>
      <c r="M1261">
        <v>1</v>
      </c>
      <c r="N1261">
        <v>1</v>
      </c>
      <c r="O1261">
        <v>1</v>
      </c>
      <c r="R1261">
        <f t="shared" si="56"/>
        <v>54</v>
      </c>
      <c r="S1261">
        <v>1</v>
      </c>
      <c r="T1261">
        <v>1</v>
      </c>
      <c r="U1261">
        <v>1</v>
      </c>
      <c r="V1261">
        <v>1</v>
      </c>
      <c r="W1261">
        <v>1</v>
      </c>
      <c r="AA1261">
        <v>-6808.2438000000002</v>
      </c>
      <c r="AB1261">
        <v>-6808.2438000000002</v>
      </c>
      <c r="AC1261">
        <v>-6808.2438000000002</v>
      </c>
      <c r="AD1261">
        <v>-6808.2438000000002</v>
      </c>
      <c r="AE1261">
        <v>-6808.2438000000002</v>
      </c>
      <c r="AF1261">
        <v>-1033869.6813000001</v>
      </c>
    </row>
    <row r="1262" spans="2:32" x14ac:dyDescent="0.25">
      <c r="B1262">
        <f t="shared" si="54"/>
        <v>55</v>
      </c>
      <c r="C1262">
        <v>1</v>
      </c>
      <c r="D1262">
        <v>1</v>
      </c>
      <c r="E1262">
        <v>1</v>
      </c>
      <c r="F1262">
        <v>1</v>
      </c>
      <c r="G1262">
        <v>1</v>
      </c>
      <c r="J1262">
        <f t="shared" si="55"/>
        <v>55</v>
      </c>
      <c r="K1262">
        <v>1</v>
      </c>
      <c r="L1262">
        <v>1</v>
      </c>
      <c r="M1262">
        <v>1</v>
      </c>
      <c r="N1262">
        <v>1</v>
      </c>
      <c r="O1262">
        <v>1</v>
      </c>
      <c r="R1262">
        <f t="shared" si="56"/>
        <v>55</v>
      </c>
      <c r="S1262">
        <v>1</v>
      </c>
      <c r="T1262">
        <v>1</v>
      </c>
      <c r="U1262">
        <v>1</v>
      </c>
      <c r="V1262">
        <v>1</v>
      </c>
      <c r="W1262">
        <v>1</v>
      </c>
      <c r="AA1262">
        <v>-6669.2525999999998</v>
      </c>
      <c r="AB1262">
        <v>-6669.2525999999998</v>
      </c>
      <c r="AC1262">
        <v>-6669.2525999999998</v>
      </c>
      <c r="AD1262">
        <v>-6669.2525999999998</v>
      </c>
      <c r="AE1262">
        <v>-6669.2525999999998</v>
      </c>
      <c r="AF1262">
        <v>-1050810.2549999999</v>
      </c>
    </row>
    <row r="1263" spans="2:32" x14ac:dyDescent="0.25">
      <c r="B1263">
        <f t="shared" si="54"/>
        <v>56</v>
      </c>
      <c r="C1263">
        <v>1</v>
      </c>
      <c r="D1263">
        <v>1</v>
      </c>
      <c r="E1263">
        <v>1</v>
      </c>
      <c r="F1263">
        <v>1</v>
      </c>
      <c r="G1263">
        <v>1</v>
      </c>
      <c r="J1263">
        <f t="shared" si="55"/>
        <v>56</v>
      </c>
      <c r="K1263">
        <v>1</v>
      </c>
      <c r="L1263">
        <v>1</v>
      </c>
      <c r="M1263">
        <v>1</v>
      </c>
      <c r="N1263">
        <v>1</v>
      </c>
      <c r="O1263">
        <v>1</v>
      </c>
      <c r="R1263">
        <f t="shared" si="56"/>
        <v>56</v>
      </c>
      <c r="S1263">
        <v>1</v>
      </c>
      <c r="T1263">
        <v>1</v>
      </c>
      <c r="U1263">
        <v>1</v>
      </c>
      <c r="V1263">
        <v>1</v>
      </c>
      <c r="W1263">
        <v>1</v>
      </c>
      <c r="AA1263">
        <v>-6528.2992000000004</v>
      </c>
      <c r="AB1263">
        <v>-6528.2992000000004</v>
      </c>
      <c r="AC1263">
        <v>-6528.2992000000004</v>
      </c>
      <c r="AD1263">
        <v>-6528.2992000000004</v>
      </c>
      <c r="AE1263">
        <v>-6528.2992000000004</v>
      </c>
      <c r="AF1263">
        <v>-1073295.8774000001</v>
      </c>
    </row>
    <row r="1264" spans="2:32" x14ac:dyDescent="0.25">
      <c r="B1264">
        <f t="shared" si="54"/>
        <v>57</v>
      </c>
      <c r="C1264">
        <v>1</v>
      </c>
      <c r="D1264">
        <v>1</v>
      </c>
      <c r="E1264">
        <v>1</v>
      </c>
      <c r="F1264">
        <v>1</v>
      </c>
      <c r="G1264">
        <v>1</v>
      </c>
      <c r="J1264">
        <f t="shared" si="55"/>
        <v>57</v>
      </c>
      <c r="K1264">
        <v>1</v>
      </c>
      <c r="L1264">
        <v>1</v>
      </c>
      <c r="M1264">
        <v>1</v>
      </c>
      <c r="N1264">
        <v>1</v>
      </c>
      <c r="O1264">
        <v>1</v>
      </c>
      <c r="R1264">
        <f t="shared" si="56"/>
        <v>57</v>
      </c>
      <c r="S1264">
        <v>1</v>
      </c>
      <c r="T1264">
        <v>1</v>
      </c>
      <c r="U1264">
        <v>1</v>
      </c>
      <c r="V1264">
        <v>1</v>
      </c>
      <c r="W1264">
        <v>1</v>
      </c>
      <c r="AA1264">
        <v>-6385.5230000000001</v>
      </c>
      <c r="AB1264">
        <v>-6385.5230000000001</v>
      </c>
      <c r="AC1264">
        <v>-6385.5230000000001</v>
      </c>
      <c r="AD1264">
        <v>-6385.5230000000001</v>
      </c>
      <c r="AE1264">
        <v>-6385.5230000000001</v>
      </c>
      <c r="AF1264">
        <v>-1093242.6832999999</v>
      </c>
    </row>
    <row r="1265" spans="2:32" x14ac:dyDescent="0.25">
      <c r="B1265">
        <f t="shared" si="54"/>
        <v>58</v>
      </c>
      <c r="C1265">
        <v>1</v>
      </c>
      <c r="D1265">
        <v>1</v>
      </c>
      <c r="E1265">
        <v>1</v>
      </c>
      <c r="F1265">
        <v>1</v>
      </c>
      <c r="G1265">
        <v>1</v>
      </c>
      <c r="J1265">
        <f t="shared" si="55"/>
        <v>58</v>
      </c>
      <c r="K1265">
        <v>1</v>
      </c>
      <c r="L1265">
        <v>1</v>
      </c>
      <c r="M1265">
        <v>1</v>
      </c>
      <c r="N1265">
        <v>1</v>
      </c>
      <c r="O1265">
        <v>1</v>
      </c>
      <c r="R1265">
        <f t="shared" si="56"/>
        <v>58</v>
      </c>
      <c r="S1265">
        <v>1</v>
      </c>
      <c r="T1265">
        <v>1</v>
      </c>
      <c r="U1265">
        <v>1</v>
      </c>
      <c r="V1265">
        <v>1</v>
      </c>
      <c r="W1265">
        <v>1</v>
      </c>
      <c r="AA1265">
        <v>-6240.8730999999998</v>
      </c>
      <c r="AB1265">
        <v>-6240.8730999999998</v>
      </c>
      <c r="AC1265">
        <v>-6240.8730999999998</v>
      </c>
      <c r="AD1265">
        <v>-6240.8730999999998</v>
      </c>
      <c r="AE1265">
        <v>-6240.8730999999998</v>
      </c>
      <c r="AF1265">
        <v>-1114366.6444000001</v>
      </c>
    </row>
    <row r="1266" spans="2:32" x14ac:dyDescent="0.25">
      <c r="B1266">
        <f t="shared" si="54"/>
        <v>59</v>
      </c>
      <c r="C1266">
        <v>1</v>
      </c>
      <c r="D1266">
        <v>1</v>
      </c>
      <c r="E1266">
        <v>1</v>
      </c>
      <c r="F1266">
        <v>1</v>
      </c>
      <c r="G1266">
        <v>1</v>
      </c>
      <c r="J1266">
        <f t="shared" si="55"/>
        <v>59</v>
      </c>
      <c r="K1266">
        <v>1</v>
      </c>
      <c r="L1266">
        <v>1</v>
      </c>
      <c r="M1266">
        <v>1</v>
      </c>
      <c r="N1266">
        <v>1</v>
      </c>
      <c r="O1266">
        <v>1</v>
      </c>
      <c r="R1266">
        <f t="shared" si="56"/>
        <v>59</v>
      </c>
      <c r="S1266">
        <v>1</v>
      </c>
      <c r="T1266">
        <v>1</v>
      </c>
      <c r="U1266">
        <v>1</v>
      </c>
      <c r="V1266">
        <v>1</v>
      </c>
      <c r="W1266">
        <v>1</v>
      </c>
      <c r="AA1266">
        <v>-6094.3262999999997</v>
      </c>
      <c r="AB1266">
        <v>-6094.3262999999997</v>
      </c>
      <c r="AC1266">
        <v>-6094.3262999999997</v>
      </c>
      <c r="AD1266">
        <v>-6094.3262999999997</v>
      </c>
      <c r="AE1266">
        <v>-6094.3262999999997</v>
      </c>
      <c r="AF1266">
        <v>-1136284.0146999999</v>
      </c>
    </row>
    <row r="1267" spans="2:32" x14ac:dyDescent="0.25">
      <c r="B1267">
        <f t="shared" si="54"/>
        <v>60</v>
      </c>
      <c r="C1267">
        <v>1</v>
      </c>
      <c r="D1267">
        <v>1</v>
      </c>
      <c r="E1267">
        <v>1</v>
      </c>
      <c r="F1267">
        <v>1</v>
      </c>
      <c r="G1267">
        <v>1</v>
      </c>
      <c r="J1267">
        <f t="shared" si="55"/>
        <v>60</v>
      </c>
      <c r="K1267">
        <v>1</v>
      </c>
      <c r="L1267">
        <v>1</v>
      </c>
      <c r="M1267">
        <v>1</v>
      </c>
      <c r="N1267">
        <v>1</v>
      </c>
      <c r="O1267">
        <v>1</v>
      </c>
      <c r="R1267">
        <f t="shared" si="56"/>
        <v>60</v>
      </c>
      <c r="S1267">
        <v>1</v>
      </c>
      <c r="T1267">
        <v>1</v>
      </c>
      <c r="U1267">
        <v>1</v>
      </c>
      <c r="V1267">
        <v>1</v>
      </c>
      <c r="W1267">
        <v>1</v>
      </c>
      <c r="AA1267">
        <v>-5945.9960000000001</v>
      </c>
      <c r="AB1267">
        <v>-5945.9960000000001</v>
      </c>
      <c r="AC1267">
        <v>-5945.9960000000001</v>
      </c>
      <c r="AD1267">
        <v>-5945.9960000000001</v>
      </c>
      <c r="AE1267">
        <v>-5945.9960000000001</v>
      </c>
      <c r="AF1267">
        <v>-1157801.6717999999</v>
      </c>
    </row>
    <row r="1268" spans="2:32" x14ac:dyDescent="0.25">
      <c r="B1268">
        <f t="shared" si="54"/>
        <v>61</v>
      </c>
      <c r="C1268">
        <v>1</v>
      </c>
      <c r="D1268">
        <v>1</v>
      </c>
      <c r="E1268">
        <v>1</v>
      </c>
      <c r="F1268">
        <v>1</v>
      </c>
      <c r="G1268">
        <v>1</v>
      </c>
      <c r="J1268">
        <f t="shared" si="55"/>
        <v>61</v>
      </c>
      <c r="K1268">
        <v>1</v>
      </c>
      <c r="L1268">
        <v>1</v>
      </c>
      <c r="M1268">
        <v>1</v>
      </c>
      <c r="N1268">
        <v>1</v>
      </c>
      <c r="O1268">
        <v>1</v>
      </c>
      <c r="R1268">
        <f t="shared" si="56"/>
        <v>61</v>
      </c>
      <c r="S1268">
        <v>1</v>
      </c>
      <c r="T1268">
        <v>1</v>
      </c>
      <c r="U1268">
        <v>1</v>
      </c>
      <c r="V1268">
        <v>1</v>
      </c>
      <c r="W1268">
        <v>1</v>
      </c>
      <c r="AA1268">
        <v>-5796.3015999999998</v>
      </c>
      <c r="AB1268">
        <v>-5796.3015999999998</v>
      </c>
      <c r="AC1268">
        <v>-5796.3015999999998</v>
      </c>
      <c r="AD1268">
        <v>-5796.3015999999998</v>
      </c>
      <c r="AE1268">
        <v>-5796.3015999999998</v>
      </c>
      <c r="AF1268">
        <v>-1178581.4038</v>
      </c>
    </row>
    <row r="1269" spans="2:32" x14ac:dyDescent="0.25">
      <c r="B1269">
        <f t="shared" si="54"/>
        <v>62</v>
      </c>
      <c r="C1269">
        <v>1</v>
      </c>
      <c r="D1269">
        <v>1</v>
      </c>
      <c r="E1269">
        <v>1</v>
      </c>
      <c r="F1269">
        <v>1</v>
      </c>
      <c r="G1269">
        <v>1</v>
      </c>
      <c r="J1269">
        <f t="shared" si="55"/>
        <v>62</v>
      </c>
      <c r="K1269">
        <v>1</v>
      </c>
      <c r="L1269">
        <v>1</v>
      </c>
      <c r="M1269">
        <v>1</v>
      </c>
      <c r="N1269">
        <v>1</v>
      </c>
      <c r="O1269">
        <v>1</v>
      </c>
      <c r="R1269">
        <f t="shared" si="56"/>
        <v>62</v>
      </c>
      <c r="S1269">
        <v>1</v>
      </c>
      <c r="T1269">
        <v>1</v>
      </c>
      <c r="U1269">
        <v>1</v>
      </c>
      <c r="V1269">
        <v>1</v>
      </c>
      <c r="W1269">
        <v>1</v>
      </c>
      <c r="AA1269">
        <v>-5645.2415000000001</v>
      </c>
      <c r="AB1269">
        <v>-5645.2415000000001</v>
      </c>
      <c r="AC1269">
        <v>-5645.2415000000001</v>
      </c>
      <c r="AD1269">
        <v>-5645.2415000000001</v>
      </c>
      <c r="AE1269">
        <v>-5645.2415000000001</v>
      </c>
      <c r="AF1269">
        <v>-1199521.5327000001</v>
      </c>
    </row>
    <row r="1270" spans="2:32" x14ac:dyDescent="0.25">
      <c r="B1270">
        <f t="shared" si="54"/>
        <v>63</v>
      </c>
      <c r="C1270">
        <v>1</v>
      </c>
      <c r="D1270">
        <v>1</v>
      </c>
      <c r="E1270">
        <v>1</v>
      </c>
      <c r="F1270">
        <v>1</v>
      </c>
      <c r="G1270">
        <v>1</v>
      </c>
      <c r="J1270">
        <f t="shared" si="55"/>
        <v>63</v>
      </c>
      <c r="K1270">
        <v>1</v>
      </c>
      <c r="L1270">
        <v>1</v>
      </c>
      <c r="M1270">
        <v>1</v>
      </c>
      <c r="N1270">
        <v>1</v>
      </c>
      <c r="O1270">
        <v>1</v>
      </c>
      <c r="R1270">
        <f t="shared" si="56"/>
        <v>63</v>
      </c>
      <c r="S1270">
        <v>1</v>
      </c>
      <c r="T1270">
        <v>1</v>
      </c>
      <c r="U1270">
        <v>1</v>
      </c>
      <c r="V1270">
        <v>1</v>
      </c>
      <c r="W1270">
        <v>1</v>
      </c>
      <c r="AA1270">
        <v>-5492.4920000000002</v>
      </c>
      <c r="AB1270">
        <v>-5492.4920000000002</v>
      </c>
      <c r="AC1270">
        <v>-5492.4920000000002</v>
      </c>
      <c r="AD1270">
        <v>-5492.4920000000002</v>
      </c>
      <c r="AE1270">
        <v>-5492.4920000000002</v>
      </c>
      <c r="AF1270">
        <v>-1199521.5327000001</v>
      </c>
    </row>
    <row r="1271" spans="2:32" x14ac:dyDescent="0.25">
      <c r="B1271">
        <f t="shared" si="54"/>
        <v>64</v>
      </c>
      <c r="C1271">
        <v>1</v>
      </c>
      <c r="D1271">
        <v>1</v>
      </c>
      <c r="E1271">
        <v>1</v>
      </c>
      <c r="F1271">
        <v>1</v>
      </c>
      <c r="G1271">
        <v>1</v>
      </c>
      <c r="J1271">
        <f t="shared" si="55"/>
        <v>64</v>
      </c>
      <c r="K1271">
        <v>1</v>
      </c>
      <c r="L1271">
        <v>1</v>
      </c>
      <c r="M1271">
        <v>1</v>
      </c>
      <c r="N1271">
        <v>1</v>
      </c>
      <c r="O1271">
        <v>1</v>
      </c>
      <c r="R1271">
        <f t="shared" si="56"/>
        <v>64</v>
      </c>
      <c r="S1271">
        <v>1</v>
      </c>
      <c r="T1271">
        <v>1</v>
      </c>
      <c r="U1271">
        <v>1</v>
      </c>
      <c r="V1271">
        <v>1</v>
      </c>
      <c r="W1271">
        <v>1</v>
      </c>
      <c r="AA1271">
        <v>-5338.1817000000001</v>
      </c>
      <c r="AB1271">
        <v>-5338.1817000000001</v>
      </c>
      <c r="AC1271">
        <v>-5338.1817000000001</v>
      </c>
      <c r="AD1271">
        <v>-5338.1817000000001</v>
      </c>
      <c r="AE1271">
        <v>-5338.1817000000001</v>
      </c>
      <c r="AF1271">
        <v>-1240652.2526</v>
      </c>
    </row>
    <row r="1272" spans="2:32" x14ac:dyDescent="0.25">
      <c r="B1272">
        <f t="shared" si="54"/>
        <v>65</v>
      </c>
      <c r="C1272">
        <v>1</v>
      </c>
      <c r="D1272">
        <v>1</v>
      </c>
      <c r="E1272">
        <v>1</v>
      </c>
      <c r="F1272">
        <v>1</v>
      </c>
      <c r="G1272">
        <v>1</v>
      </c>
      <c r="J1272">
        <f t="shared" si="55"/>
        <v>65</v>
      </c>
      <c r="K1272">
        <v>1</v>
      </c>
      <c r="L1272">
        <v>1</v>
      </c>
      <c r="M1272">
        <v>1</v>
      </c>
      <c r="N1272">
        <v>1</v>
      </c>
      <c r="O1272">
        <v>1</v>
      </c>
      <c r="R1272">
        <f t="shared" si="56"/>
        <v>65</v>
      </c>
      <c r="S1272">
        <v>1</v>
      </c>
      <c r="T1272">
        <v>1</v>
      </c>
      <c r="U1272">
        <v>1</v>
      </c>
      <c r="V1272">
        <v>1</v>
      </c>
      <c r="W1272">
        <v>1</v>
      </c>
      <c r="AA1272">
        <v>-5182.2268999999997</v>
      </c>
      <c r="AB1272">
        <v>-5182.2268999999997</v>
      </c>
      <c r="AC1272">
        <v>-5182.2268999999997</v>
      </c>
      <c r="AD1272">
        <v>-5182.2268999999997</v>
      </c>
      <c r="AE1272">
        <v>-5182.2268999999997</v>
      </c>
      <c r="AF1272">
        <v>-1260049.8302</v>
      </c>
    </row>
    <row r="1275" spans="2:32" x14ac:dyDescent="0.25">
      <c r="B1275" t="s">
        <v>46</v>
      </c>
      <c r="C1275">
        <v>50000</v>
      </c>
      <c r="D1275">
        <v>100000</v>
      </c>
      <c r="E1275">
        <v>250000</v>
      </c>
      <c r="F1275">
        <v>500000</v>
      </c>
      <c r="G1275">
        <v>1000000</v>
      </c>
      <c r="H1275">
        <v>2000000</v>
      </c>
      <c r="J1275" t="s">
        <v>47</v>
      </c>
      <c r="K1275">
        <v>50000</v>
      </c>
      <c r="L1275">
        <v>100000</v>
      </c>
      <c r="M1275">
        <v>250000</v>
      </c>
      <c r="N1275">
        <v>500000</v>
      </c>
      <c r="O1275">
        <v>1000000</v>
      </c>
      <c r="P1275">
        <v>2000000</v>
      </c>
      <c r="R1275" t="s">
        <v>48</v>
      </c>
      <c r="S1275">
        <v>50000</v>
      </c>
      <c r="T1275">
        <v>100000</v>
      </c>
      <c r="U1275">
        <v>250000</v>
      </c>
      <c r="V1275">
        <v>500000</v>
      </c>
      <c r="W1275">
        <v>1000000</v>
      </c>
      <c r="X1275">
        <v>2000000</v>
      </c>
    </row>
    <row r="1276" spans="2:32" x14ac:dyDescent="0.25">
      <c r="B1276">
        <v>26</v>
      </c>
      <c r="C1276">
        <v>1</v>
      </c>
      <c r="D1276">
        <v>1</v>
      </c>
      <c r="E1276">
        <v>1</v>
      </c>
      <c r="F1276">
        <v>1</v>
      </c>
      <c r="G1276">
        <v>1</v>
      </c>
      <c r="H1276">
        <v>1</v>
      </c>
      <c r="J1276">
        <v>26</v>
      </c>
      <c r="K1276">
        <v>1</v>
      </c>
      <c r="L1276">
        <v>1</v>
      </c>
      <c r="M1276">
        <v>1</v>
      </c>
      <c r="N1276">
        <v>1</v>
      </c>
      <c r="O1276">
        <v>1</v>
      </c>
      <c r="P1276">
        <v>1</v>
      </c>
      <c r="R1276">
        <v>26</v>
      </c>
      <c r="S1276">
        <v>1</v>
      </c>
      <c r="T1276">
        <v>1</v>
      </c>
      <c r="U1276">
        <v>1</v>
      </c>
      <c r="V1276">
        <v>1</v>
      </c>
      <c r="W1276">
        <v>1</v>
      </c>
      <c r="X1276">
        <v>1</v>
      </c>
      <c r="AA1276">
        <v>-5174.8482999999997</v>
      </c>
      <c r="AB1276">
        <v>-5174.8482999999997</v>
      </c>
      <c r="AC1276">
        <v>-5174.8482999999997</v>
      </c>
      <c r="AD1276">
        <v>-5174.8482999999997</v>
      </c>
      <c r="AE1276">
        <v>-5174.8482999999997</v>
      </c>
      <c r="AF1276">
        <v>-5174.8482999999997</v>
      </c>
    </row>
    <row r="1277" spans="2:32" x14ac:dyDescent="0.25">
      <c r="B1277">
        <v>27</v>
      </c>
      <c r="C1277">
        <v>1</v>
      </c>
      <c r="D1277">
        <v>1</v>
      </c>
      <c r="E1277">
        <v>1</v>
      </c>
      <c r="F1277">
        <v>1</v>
      </c>
      <c r="G1277">
        <v>1</v>
      </c>
      <c r="H1277">
        <v>1</v>
      </c>
      <c r="J1277">
        <v>27</v>
      </c>
      <c r="K1277">
        <v>1</v>
      </c>
      <c r="L1277">
        <v>1</v>
      </c>
      <c r="M1277">
        <v>1</v>
      </c>
      <c r="N1277">
        <v>1</v>
      </c>
      <c r="O1277">
        <v>1</v>
      </c>
      <c r="P1277">
        <v>1</v>
      </c>
      <c r="R1277">
        <v>27</v>
      </c>
      <c r="S1277">
        <v>1</v>
      </c>
      <c r="T1277">
        <v>1</v>
      </c>
      <c r="U1277">
        <v>1</v>
      </c>
      <c r="V1277">
        <v>1</v>
      </c>
      <c r="W1277">
        <v>1</v>
      </c>
      <c r="X1277">
        <v>1</v>
      </c>
      <c r="AA1277">
        <v>-5173.6036999999997</v>
      </c>
      <c r="AB1277">
        <v>-5173.6036999999997</v>
      </c>
      <c r="AC1277">
        <v>-5173.6036999999997</v>
      </c>
      <c r="AD1277">
        <v>-5173.6036999999997</v>
      </c>
      <c r="AE1277">
        <v>-5173.6036999999997</v>
      </c>
      <c r="AF1277">
        <v>-5173.6036999999997</v>
      </c>
    </row>
    <row r="1278" spans="2:32" x14ac:dyDescent="0.25">
      <c r="B1278">
        <v>28</v>
      </c>
      <c r="C1278">
        <v>1</v>
      </c>
      <c r="D1278">
        <v>1</v>
      </c>
      <c r="E1278">
        <v>1</v>
      </c>
      <c r="F1278">
        <v>1</v>
      </c>
      <c r="G1278">
        <v>1</v>
      </c>
      <c r="H1278">
        <v>1</v>
      </c>
      <c r="J1278">
        <v>28</v>
      </c>
      <c r="K1278">
        <v>1</v>
      </c>
      <c r="L1278">
        <v>1</v>
      </c>
      <c r="M1278">
        <v>1</v>
      </c>
      <c r="N1278">
        <v>1</v>
      </c>
      <c r="O1278">
        <v>1</v>
      </c>
      <c r="P1278">
        <v>1</v>
      </c>
      <c r="R1278">
        <v>28</v>
      </c>
      <c r="S1278">
        <v>1</v>
      </c>
      <c r="T1278">
        <v>1</v>
      </c>
      <c r="U1278">
        <v>1</v>
      </c>
      <c r="V1278">
        <v>1</v>
      </c>
      <c r="W1278">
        <v>1</v>
      </c>
      <c r="X1278">
        <v>1</v>
      </c>
      <c r="AA1278">
        <v>-5172.1755999999996</v>
      </c>
      <c r="AB1278">
        <v>-5172.1755999999996</v>
      </c>
      <c r="AC1278">
        <v>-5172.1755999999996</v>
      </c>
      <c r="AD1278">
        <v>-5172.1755999999996</v>
      </c>
      <c r="AE1278">
        <v>-5172.1755999999996</v>
      </c>
      <c r="AF1278">
        <v>-5172.1755999999996</v>
      </c>
    </row>
    <row r="1279" spans="2:32" x14ac:dyDescent="0.25">
      <c r="B1279">
        <v>29</v>
      </c>
      <c r="C1279">
        <v>1</v>
      </c>
      <c r="D1279">
        <v>1</v>
      </c>
      <c r="E1279">
        <v>1</v>
      </c>
      <c r="F1279">
        <v>1</v>
      </c>
      <c r="G1279">
        <v>1</v>
      </c>
      <c r="H1279">
        <v>1</v>
      </c>
      <c r="J1279">
        <v>29</v>
      </c>
      <c r="K1279">
        <v>1</v>
      </c>
      <c r="L1279">
        <v>1</v>
      </c>
      <c r="M1279">
        <v>1</v>
      </c>
      <c r="N1279">
        <v>1</v>
      </c>
      <c r="O1279">
        <v>1</v>
      </c>
      <c r="P1279">
        <v>1</v>
      </c>
      <c r="R1279">
        <v>29</v>
      </c>
      <c r="S1279">
        <v>1</v>
      </c>
      <c r="T1279">
        <v>1</v>
      </c>
      <c r="U1279">
        <v>1</v>
      </c>
      <c r="V1279">
        <v>1</v>
      </c>
      <c r="W1279">
        <v>1</v>
      </c>
      <c r="X1279">
        <v>1</v>
      </c>
      <c r="AA1279">
        <v>-5170.5482000000002</v>
      </c>
      <c r="AB1279">
        <v>-5170.5482000000002</v>
      </c>
      <c r="AC1279">
        <v>-5170.5482000000002</v>
      </c>
      <c r="AD1279">
        <v>-5170.5482000000002</v>
      </c>
      <c r="AE1279">
        <v>-5170.5482000000002</v>
      </c>
      <c r="AF1279">
        <v>-5170.5482000000002</v>
      </c>
    </row>
    <row r="1280" spans="2:32" x14ac:dyDescent="0.25">
      <c r="B1280">
        <v>30</v>
      </c>
      <c r="C1280">
        <v>1</v>
      </c>
      <c r="D1280">
        <v>1</v>
      </c>
      <c r="E1280">
        <v>1</v>
      </c>
      <c r="F1280">
        <v>1</v>
      </c>
      <c r="G1280">
        <v>1</v>
      </c>
      <c r="H1280">
        <v>1</v>
      </c>
      <c r="J1280">
        <v>30</v>
      </c>
      <c r="K1280">
        <v>1</v>
      </c>
      <c r="L1280">
        <v>1</v>
      </c>
      <c r="M1280">
        <v>1</v>
      </c>
      <c r="N1280">
        <v>1</v>
      </c>
      <c r="O1280">
        <v>1</v>
      </c>
      <c r="P1280">
        <v>1</v>
      </c>
      <c r="R1280">
        <v>30</v>
      </c>
      <c r="S1280">
        <v>1</v>
      </c>
      <c r="T1280">
        <v>1</v>
      </c>
      <c r="U1280">
        <v>1</v>
      </c>
      <c r="V1280">
        <v>1</v>
      </c>
      <c r="W1280">
        <v>1</v>
      </c>
      <c r="X1280">
        <v>1</v>
      </c>
      <c r="AA1280">
        <v>-5168.6908999999996</v>
      </c>
      <c r="AB1280">
        <v>-5168.6908999999996</v>
      </c>
      <c r="AC1280">
        <v>-5168.6908999999996</v>
      </c>
      <c r="AD1280">
        <v>-5168.6908999999996</v>
      </c>
      <c r="AE1280">
        <v>-5168.6908999999996</v>
      </c>
      <c r="AF1280">
        <v>-5168.6908999999996</v>
      </c>
    </row>
    <row r="1281" spans="2:32" x14ac:dyDescent="0.25">
      <c r="B1281">
        <v>31</v>
      </c>
      <c r="C1281">
        <v>1</v>
      </c>
      <c r="D1281">
        <v>1</v>
      </c>
      <c r="E1281">
        <v>1</v>
      </c>
      <c r="F1281">
        <v>1</v>
      </c>
      <c r="G1281">
        <v>1</v>
      </c>
      <c r="H1281">
        <v>1</v>
      </c>
      <c r="J1281">
        <v>31</v>
      </c>
      <c r="K1281">
        <v>1</v>
      </c>
      <c r="L1281">
        <v>1</v>
      </c>
      <c r="M1281">
        <v>1</v>
      </c>
      <c r="N1281">
        <v>1</v>
      </c>
      <c r="O1281">
        <v>1</v>
      </c>
      <c r="P1281">
        <v>1</v>
      </c>
      <c r="R1281">
        <v>31</v>
      </c>
      <c r="S1281">
        <v>1</v>
      </c>
      <c r="T1281">
        <v>1</v>
      </c>
      <c r="U1281">
        <v>1</v>
      </c>
      <c r="V1281">
        <v>1</v>
      </c>
      <c r="W1281">
        <v>1</v>
      </c>
      <c r="X1281">
        <v>1</v>
      </c>
      <c r="AA1281">
        <v>-5166.5891000000001</v>
      </c>
      <c r="AB1281">
        <v>-5166.5891000000001</v>
      </c>
      <c r="AC1281">
        <v>-5166.5891000000001</v>
      </c>
      <c r="AD1281">
        <v>-5166.5891000000001</v>
      </c>
      <c r="AE1281">
        <v>-5166.5891000000001</v>
      </c>
      <c r="AF1281">
        <v>-5166.5891000000001</v>
      </c>
    </row>
    <row r="1282" spans="2:32" x14ac:dyDescent="0.25">
      <c r="B1282">
        <v>32</v>
      </c>
      <c r="C1282">
        <v>1</v>
      </c>
      <c r="D1282">
        <v>1</v>
      </c>
      <c r="E1282">
        <v>1</v>
      </c>
      <c r="F1282">
        <v>1</v>
      </c>
      <c r="G1282">
        <v>1</v>
      </c>
      <c r="H1282">
        <v>1</v>
      </c>
      <c r="J1282">
        <v>32</v>
      </c>
      <c r="K1282">
        <v>1</v>
      </c>
      <c r="L1282">
        <v>1</v>
      </c>
      <c r="M1282">
        <v>1</v>
      </c>
      <c r="N1282">
        <v>1</v>
      </c>
      <c r="O1282">
        <v>1</v>
      </c>
      <c r="P1282">
        <v>1</v>
      </c>
      <c r="R1282">
        <v>32</v>
      </c>
      <c r="S1282">
        <v>1</v>
      </c>
      <c r="T1282">
        <v>1</v>
      </c>
      <c r="U1282">
        <v>1</v>
      </c>
      <c r="V1282">
        <v>1</v>
      </c>
      <c r="W1282">
        <v>1</v>
      </c>
      <c r="X1282">
        <v>1</v>
      </c>
      <c r="AA1282">
        <v>-5164.2407000000003</v>
      </c>
      <c r="AB1282">
        <v>-5164.2407000000003</v>
      </c>
      <c r="AC1282">
        <v>-5164.2407000000003</v>
      </c>
      <c r="AD1282">
        <v>-5164.2407000000003</v>
      </c>
      <c r="AE1282">
        <v>-5164.2407000000003</v>
      </c>
      <c r="AF1282">
        <v>-5164.2407000000003</v>
      </c>
    </row>
    <row r="1283" spans="2:32" x14ac:dyDescent="0.25">
      <c r="B1283">
        <v>33</v>
      </c>
      <c r="C1283">
        <v>1</v>
      </c>
      <c r="D1283">
        <v>1</v>
      </c>
      <c r="E1283">
        <v>1</v>
      </c>
      <c r="F1283">
        <v>1</v>
      </c>
      <c r="G1283">
        <v>1</v>
      </c>
      <c r="H1283">
        <v>1</v>
      </c>
      <c r="J1283">
        <v>33</v>
      </c>
      <c r="K1283">
        <v>1</v>
      </c>
      <c r="L1283">
        <v>1</v>
      </c>
      <c r="M1283">
        <v>1</v>
      </c>
      <c r="N1283">
        <v>1</v>
      </c>
      <c r="O1283">
        <v>1</v>
      </c>
      <c r="P1283">
        <v>1</v>
      </c>
      <c r="R1283">
        <v>33</v>
      </c>
      <c r="S1283">
        <v>1</v>
      </c>
      <c r="T1283">
        <v>1</v>
      </c>
      <c r="U1283">
        <v>1</v>
      </c>
      <c r="V1283">
        <v>1</v>
      </c>
      <c r="W1283">
        <v>1</v>
      </c>
      <c r="X1283">
        <v>1</v>
      </c>
      <c r="AA1283">
        <v>-5161.6318000000001</v>
      </c>
      <c r="AB1283">
        <v>-5161.6318000000001</v>
      </c>
      <c r="AC1283">
        <v>-5161.6318000000001</v>
      </c>
      <c r="AD1283">
        <v>-5161.6318000000001</v>
      </c>
      <c r="AE1283">
        <v>-5161.6318000000001</v>
      </c>
      <c r="AF1283">
        <v>-5161.6318000000001</v>
      </c>
    </row>
    <row r="1284" spans="2:32" x14ac:dyDescent="0.25">
      <c r="B1284">
        <v>34</v>
      </c>
      <c r="C1284">
        <v>1</v>
      </c>
      <c r="D1284">
        <v>1</v>
      </c>
      <c r="E1284">
        <v>1</v>
      </c>
      <c r="F1284">
        <v>1</v>
      </c>
      <c r="G1284">
        <v>1</v>
      </c>
      <c r="H1284">
        <v>1</v>
      </c>
      <c r="J1284">
        <v>34</v>
      </c>
      <c r="K1284">
        <v>1</v>
      </c>
      <c r="L1284">
        <v>1</v>
      </c>
      <c r="M1284">
        <v>1</v>
      </c>
      <c r="N1284">
        <v>1</v>
      </c>
      <c r="O1284">
        <v>1</v>
      </c>
      <c r="P1284">
        <v>1</v>
      </c>
      <c r="R1284">
        <v>34</v>
      </c>
      <c r="S1284">
        <v>1</v>
      </c>
      <c r="T1284">
        <v>1</v>
      </c>
      <c r="U1284">
        <v>1</v>
      </c>
      <c r="V1284">
        <v>1</v>
      </c>
      <c r="W1284">
        <v>1</v>
      </c>
      <c r="X1284">
        <v>1</v>
      </c>
      <c r="AA1284">
        <v>-5158.7194</v>
      </c>
      <c r="AB1284">
        <v>-5158.7194</v>
      </c>
      <c r="AC1284">
        <v>-5158.7194</v>
      </c>
      <c r="AD1284">
        <v>-5158.7194</v>
      </c>
      <c r="AE1284">
        <v>-5158.7194</v>
      </c>
      <c r="AF1284">
        <v>-5158.7194</v>
      </c>
    </row>
    <row r="1285" spans="2:32" x14ac:dyDescent="0.25">
      <c r="B1285">
        <v>35</v>
      </c>
      <c r="C1285">
        <v>1</v>
      </c>
      <c r="D1285">
        <v>1</v>
      </c>
      <c r="E1285">
        <v>1</v>
      </c>
      <c r="F1285">
        <v>1</v>
      </c>
      <c r="G1285">
        <v>1</v>
      </c>
      <c r="H1285">
        <v>1</v>
      </c>
      <c r="J1285">
        <v>35</v>
      </c>
      <c r="K1285">
        <v>1</v>
      </c>
      <c r="L1285">
        <v>1</v>
      </c>
      <c r="M1285">
        <v>1</v>
      </c>
      <c r="N1285">
        <v>1</v>
      </c>
      <c r="O1285">
        <v>1</v>
      </c>
      <c r="P1285">
        <v>1</v>
      </c>
      <c r="R1285">
        <v>35</v>
      </c>
      <c r="S1285">
        <v>1</v>
      </c>
      <c r="T1285">
        <v>1</v>
      </c>
      <c r="U1285">
        <v>1</v>
      </c>
      <c r="V1285">
        <v>1</v>
      </c>
      <c r="W1285">
        <v>1</v>
      </c>
      <c r="X1285">
        <v>1</v>
      </c>
      <c r="AA1285">
        <v>-5155.4901</v>
      </c>
      <c r="AB1285">
        <v>-5155.4901</v>
      </c>
      <c r="AC1285">
        <v>-5155.4901</v>
      </c>
      <c r="AD1285">
        <v>-5155.4901</v>
      </c>
      <c r="AE1285">
        <v>-5155.4901</v>
      </c>
      <c r="AF1285">
        <v>-5155.4901</v>
      </c>
    </row>
    <row r="1286" spans="2:32" x14ac:dyDescent="0.25">
      <c r="B1286">
        <v>36</v>
      </c>
      <c r="C1286">
        <v>1</v>
      </c>
      <c r="D1286">
        <v>1</v>
      </c>
      <c r="E1286">
        <v>1</v>
      </c>
      <c r="F1286">
        <v>1</v>
      </c>
      <c r="G1286">
        <v>1</v>
      </c>
      <c r="H1286">
        <v>1</v>
      </c>
      <c r="J1286">
        <v>36</v>
      </c>
      <c r="K1286">
        <v>1</v>
      </c>
      <c r="L1286">
        <v>1</v>
      </c>
      <c r="M1286">
        <v>1</v>
      </c>
      <c r="N1286">
        <v>1</v>
      </c>
      <c r="O1286">
        <v>1</v>
      </c>
      <c r="P1286">
        <v>1</v>
      </c>
      <c r="R1286">
        <v>36</v>
      </c>
      <c r="S1286">
        <v>1</v>
      </c>
      <c r="T1286">
        <v>1</v>
      </c>
      <c r="U1286">
        <v>1</v>
      </c>
      <c r="V1286">
        <v>1</v>
      </c>
      <c r="W1286">
        <v>1</v>
      </c>
      <c r="X1286">
        <v>1</v>
      </c>
      <c r="AA1286">
        <v>-5151.8950999999997</v>
      </c>
      <c r="AB1286">
        <v>-5151.8950999999997</v>
      </c>
      <c r="AC1286">
        <v>-5151.8950999999997</v>
      </c>
      <c r="AD1286">
        <v>-5151.8950999999997</v>
      </c>
      <c r="AE1286">
        <v>-5151.8950999999997</v>
      </c>
      <c r="AF1286">
        <v>-5151.8950999999997</v>
      </c>
    </row>
    <row r="1287" spans="2:32" x14ac:dyDescent="0.25">
      <c r="B1287">
        <v>37</v>
      </c>
      <c r="C1287">
        <v>1</v>
      </c>
      <c r="D1287">
        <v>1</v>
      </c>
      <c r="E1287">
        <v>1</v>
      </c>
      <c r="F1287">
        <v>1</v>
      </c>
      <c r="G1287">
        <v>1</v>
      </c>
      <c r="H1287">
        <v>1</v>
      </c>
      <c r="J1287">
        <v>37</v>
      </c>
      <c r="K1287">
        <v>1</v>
      </c>
      <c r="L1287">
        <v>1</v>
      </c>
      <c r="M1287">
        <v>1</v>
      </c>
      <c r="N1287">
        <v>1</v>
      </c>
      <c r="O1287">
        <v>1</v>
      </c>
      <c r="P1287">
        <v>1</v>
      </c>
      <c r="R1287">
        <v>37</v>
      </c>
      <c r="S1287">
        <v>1</v>
      </c>
      <c r="T1287">
        <v>1</v>
      </c>
      <c r="U1287">
        <v>1</v>
      </c>
      <c r="V1287">
        <v>1</v>
      </c>
      <c r="W1287">
        <v>1</v>
      </c>
      <c r="X1287">
        <v>1</v>
      </c>
      <c r="AA1287">
        <v>-5147.9106000000002</v>
      </c>
      <c r="AB1287">
        <v>-5147.9106000000002</v>
      </c>
      <c r="AC1287">
        <v>-5147.9106000000002</v>
      </c>
      <c r="AD1287">
        <v>-5147.9106000000002</v>
      </c>
      <c r="AE1287">
        <v>-5147.9106000000002</v>
      </c>
      <c r="AF1287">
        <v>-5147.9106000000002</v>
      </c>
    </row>
    <row r="1288" spans="2:32" x14ac:dyDescent="0.25">
      <c r="B1288">
        <v>38</v>
      </c>
      <c r="C1288">
        <v>1</v>
      </c>
      <c r="D1288">
        <v>1</v>
      </c>
      <c r="E1288">
        <v>1</v>
      </c>
      <c r="F1288">
        <v>1</v>
      </c>
      <c r="G1288">
        <v>1</v>
      </c>
      <c r="H1288">
        <v>1</v>
      </c>
      <c r="J1288">
        <v>38</v>
      </c>
      <c r="K1288">
        <v>1</v>
      </c>
      <c r="L1288">
        <v>1</v>
      </c>
      <c r="M1288">
        <v>1</v>
      </c>
      <c r="N1288">
        <v>1</v>
      </c>
      <c r="O1288">
        <v>1</v>
      </c>
      <c r="P1288">
        <v>1</v>
      </c>
      <c r="R1288">
        <v>38</v>
      </c>
      <c r="S1288">
        <v>1</v>
      </c>
      <c r="T1288">
        <v>1</v>
      </c>
      <c r="U1288">
        <v>1</v>
      </c>
      <c r="V1288">
        <v>1</v>
      </c>
      <c r="W1288">
        <v>1</v>
      </c>
      <c r="X1288">
        <v>1</v>
      </c>
      <c r="AA1288">
        <v>-5143.5393999999997</v>
      </c>
      <c r="AB1288">
        <v>-5143.5393999999997</v>
      </c>
      <c r="AC1288">
        <v>-5143.5393999999997</v>
      </c>
      <c r="AD1288">
        <v>-5143.5393999999997</v>
      </c>
      <c r="AE1288">
        <v>-5143.5393999999997</v>
      </c>
      <c r="AF1288">
        <v>-5143.5393999999997</v>
      </c>
    </row>
    <row r="1289" spans="2:32" x14ac:dyDescent="0.25">
      <c r="B1289">
        <v>39</v>
      </c>
      <c r="C1289">
        <v>1</v>
      </c>
      <c r="D1289">
        <v>1</v>
      </c>
      <c r="E1289">
        <v>1</v>
      </c>
      <c r="F1289">
        <v>1</v>
      </c>
      <c r="G1289">
        <v>1</v>
      </c>
      <c r="H1289">
        <v>1</v>
      </c>
      <c r="J1289">
        <v>39</v>
      </c>
      <c r="K1289">
        <v>1</v>
      </c>
      <c r="L1289">
        <v>1</v>
      </c>
      <c r="M1289">
        <v>1</v>
      </c>
      <c r="N1289">
        <v>1</v>
      </c>
      <c r="O1289">
        <v>1</v>
      </c>
      <c r="P1289">
        <v>1</v>
      </c>
      <c r="R1289">
        <v>39</v>
      </c>
      <c r="S1289">
        <v>1</v>
      </c>
      <c r="T1289">
        <v>1</v>
      </c>
      <c r="U1289">
        <v>1</v>
      </c>
      <c r="V1289">
        <v>1</v>
      </c>
      <c r="W1289">
        <v>1</v>
      </c>
      <c r="X1289">
        <v>1</v>
      </c>
      <c r="AA1289">
        <v>-5138.76</v>
      </c>
      <c r="AB1289">
        <v>-5138.76</v>
      </c>
      <c r="AC1289">
        <v>-5138.76</v>
      </c>
      <c r="AD1289">
        <v>-5138.76</v>
      </c>
      <c r="AE1289">
        <v>-5138.76</v>
      </c>
      <c r="AF1289">
        <v>-5138.76</v>
      </c>
    </row>
    <row r="1290" spans="2:32" x14ac:dyDescent="0.25">
      <c r="B1290">
        <v>40</v>
      </c>
      <c r="C1290">
        <v>1</v>
      </c>
      <c r="D1290">
        <v>1</v>
      </c>
      <c r="E1290">
        <v>1</v>
      </c>
      <c r="F1290">
        <v>1</v>
      </c>
      <c r="G1290">
        <v>1</v>
      </c>
      <c r="H1290">
        <v>1</v>
      </c>
      <c r="J1290">
        <v>40</v>
      </c>
      <c r="K1290">
        <v>1</v>
      </c>
      <c r="L1290">
        <v>1</v>
      </c>
      <c r="M1290">
        <v>1</v>
      </c>
      <c r="N1290">
        <v>1</v>
      </c>
      <c r="O1290">
        <v>1</v>
      </c>
      <c r="P1290">
        <v>1</v>
      </c>
      <c r="R1290">
        <v>40</v>
      </c>
      <c r="S1290">
        <v>1</v>
      </c>
      <c r="T1290">
        <v>1</v>
      </c>
      <c r="U1290">
        <v>1</v>
      </c>
      <c r="V1290">
        <v>1</v>
      </c>
      <c r="W1290">
        <v>1</v>
      </c>
      <c r="X1290">
        <v>1</v>
      </c>
      <c r="AA1290">
        <v>-5133.5084999999999</v>
      </c>
      <c r="AB1290">
        <v>-5133.5084999999999</v>
      </c>
      <c r="AC1290">
        <v>-5133.5084999999999</v>
      </c>
      <c r="AD1290">
        <v>-5133.5084999999999</v>
      </c>
      <c r="AE1290">
        <v>-5133.5084999999999</v>
      </c>
      <c r="AF1290">
        <v>-5133.5084999999999</v>
      </c>
    </row>
    <row r="1291" spans="2:32" x14ac:dyDescent="0.25">
      <c r="B1291">
        <v>41</v>
      </c>
      <c r="C1291">
        <v>1</v>
      </c>
      <c r="D1291">
        <v>1</v>
      </c>
      <c r="E1291">
        <v>1</v>
      </c>
      <c r="F1291">
        <v>1</v>
      </c>
      <c r="G1291">
        <v>1</v>
      </c>
      <c r="H1291">
        <v>1</v>
      </c>
      <c r="J1291">
        <v>41</v>
      </c>
      <c r="K1291">
        <v>1</v>
      </c>
      <c r="L1291">
        <v>1</v>
      </c>
      <c r="M1291">
        <v>1</v>
      </c>
      <c r="N1291">
        <v>1</v>
      </c>
      <c r="O1291">
        <v>1</v>
      </c>
      <c r="P1291">
        <v>1</v>
      </c>
      <c r="R1291">
        <v>41</v>
      </c>
      <c r="S1291">
        <v>1</v>
      </c>
      <c r="T1291">
        <v>1</v>
      </c>
      <c r="U1291">
        <v>1</v>
      </c>
      <c r="V1291">
        <v>1</v>
      </c>
      <c r="W1291">
        <v>1</v>
      </c>
      <c r="X1291">
        <v>1</v>
      </c>
      <c r="AA1291">
        <v>-5127.7236000000003</v>
      </c>
      <c r="AB1291">
        <v>-5127.7236000000003</v>
      </c>
      <c r="AC1291">
        <v>-5127.7236000000003</v>
      </c>
      <c r="AD1291">
        <v>-5127.7236000000003</v>
      </c>
      <c r="AE1291">
        <v>-5127.7236000000003</v>
      </c>
      <c r="AF1291">
        <v>-5127.7236000000003</v>
      </c>
    </row>
    <row r="1292" spans="2:32" x14ac:dyDescent="0.25">
      <c r="B1292">
        <v>42</v>
      </c>
      <c r="C1292">
        <v>1</v>
      </c>
      <c r="D1292">
        <v>1</v>
      </c>
      <c r="E1292">
        <v>1</v>
      </c>
      <c r="F1292">
        <v>1</v>
      </c>
      <c r="G1292">
        <v>1</v>
      </c>
      <c r="H1292">
        <v>1</v>
      </c>
      <c r="J1292">
        <v>42</v>
      </c>
      <c r="K1292">
        <v>1</v>
      </c>
      <c r="L1292">
        <v>1</v>
      </c>
      <c r="M1292">
        <v>1</v>
      </c>
      <c r="N1292">
        <v>1</v>
      </c>
      <c r="O1292">
        <v>1</v>
      </c>
      <c r="P1292">
        <v>1</v>
      </c>
      <c r="R1292">
        <v>42</v>
      </c>
      <c r="S1292">
        <v>1</v>
      </c>
      <c r="T1292">
        <v>1</v>
      </c>
      <c r="U1292">
        <v>1</v>
      </c>
      <c r="V1292">
        <v>1</v>
      </c>
      <c r="W1292">
        <v>1</v>
      </c>
      <c r="X1292">
        <v>1</v>
      </c>
      <c r="AA1292">
        <v>-5121.3726999999999</v>
      </c>
      <c r="AB1292">
        <v>-5121.3726999999999</v>
      </c>
      <c r="AC1292">
        <v>-5121.3726999999999</v>
      </c>
      <c r="AD1292">
        <v>-5121.3726999999999</v>
      </c>
      <c r="AE1292">
        <v>-5121.3726999999999</v>
      </c>
      <c r="AF1292">
        <v>-5121.3726999999999</v>
      </c>
    </row>
    <row r="1293" spans="2:32" x14ac:dyDescent="0.25">
      <c r="B1293">
        <v>43</v>
      </c>
      <c r="C1293">
        <v>1</v>
      </c>
      <c r="D1293">
        <v>1</v>
      </c>
      <c r="E1293">
        <v>1</v>
      </c>
      <c r="F1293">
        <v>1</v>
      </c>
      <c r="G1293">
        <v>1</v>
      </c>
      <c r="H1293">
        <v>1</v>
      </c>
      <c r="J1293">
        <v>43</v>
      </c>
      <c r="K1293">
        <v>1</v>
      </c>
      <c r="L1293">
        <v>1</v>
      </c>
      <c r="M1293">
        <v>1</v>
      </c>
      <c r="N1293">
        <v>1</v>
      </c>
      <c r="O1293">
        <v>1</v>
      </c>
      <c r="P1293">
        <v>1</v>
      </c>
      <c r="R1293">
        <v>43</v>
      </c>
      <c r="S1293">
        <v>1</v>
      </c>
      <c r="T1293">
        <v>1</v>
      </c>
      <c r="U1293">
        <v>1</v>
      </c>
      <c r="V1293">
        <v>1</v>
      </c>
      <c r="W1293">
        <v>1</v>
      </c>
      <c r="X1293">
        <v>1</v>
      </c>
      <c r="AA1293">
        <v>-5114.3449000000001</v>
      </c>
      <c r="AB1293">
        <v>-5114.3449000000001</v>
      </c>
      <c r="AC1293">
        <v>-5114.3449000000001</v>
      </c>
      <c r="AD1293">
        <v>-5114.3449000000001</v>
      </c>
      <c r="AE1293">
        <v>-5114.3449000000001</v>
      </c>
      <c r="AF1293">
        <v>-5114.3449000000001</v>
      </c>
    </row>
    <row r="1294" spans="2:32" x14ac:dyDescent="0.25">
      <c r="B1294">
        <v>44</v>
      </c>
      <c r="C1294">
        <v>1</v>
      </c>
      <c r="D1294">
        <v>1</v>
      </c>
      <c r="E1294">
        <v>1</v>
      </c>
      <c r="F1294">
        <v>1</v>
      </c>
      <c r="G1294">
        <v>1</v>
      </c>
      <c r="H1294">
        <v>1</v>
      </c>
      <c r="J1294">
        <v>44</v>
      </c>
      <c r="K1294">
        <v>1</v>
      </c>
      <c r="L1294">
        <v>1</v>
      </c>
      <c r="M1294">
        <v>1</v>
      </c>
      <c r="N1294">
        <v>1</v>
      </c>
      <c r="O1294">
        <v>1</v>
      </c>
      <c r="P1294">
        <v>1</v>
      </c>
      <c r="R1294">
        <v>44</v>
      </c>
      <c r="S1294">
        <v>1</v>
      </c>
      <c r="T1294">
        <v>1</v>
      </c>
      <c r="U1294">
        <v>1</v>
      </c>
      <c r="V1294">
        <v>1</v>
      </c>
      <c r="W1294">
        <v>1</v>
      </c>
      <c r="X1294">
        <v>1</v>
      </c>
      <c r="AA1294">
        <v>-5106.5976000000001</v>
      </c>
      <c r="AB1294">
        <v>-5106.5976000000001</v>
      </c>
      <c r="AC1294">
        <v>-5106.5976000000001</v>
      </c>
      <c r="AD1294">
        <v>-5106.5976000000001</v>
      </c>
      <c r="AE1294">
        <v>-5106.5976000000001</v>
      </c>
      <c r="AF1294">
        <v>-5106.5976000000001</v>
      </c>
    </row>
    <row r="1295" spans="2:32" x14ac:dyDescent="0.25">
      <c r="B1295">
        <v>45</v>
      </c>
      <c r="C1295">
        <v>1</v>
      </c>
      <c r="D1295">
        <v>1</v>
      </c>
      <c r="E1295">
        <v>1</v>
      </c>
      <c r="F1295">
        <v>1</v>
      </c>
      <c r="G1295">
        <v>1</v>
      </c>
      <c r="H1295">
        <v>1</v>
      </c>
      <c r="J1295">
        <v>45</v>
      </c>
      <c r="K1295">
        <v>1</v>
      </c>
      <c r="L1295">
        <v>1</v>
      </c>
      <c r="M1295">
        <v>1</v>
      </c>
      <c r="N1295">
        <v>1</v>
      </c>
      <c r="O1295">
        <v>1</v>
      </c>
      <c r="P1295">
        <v>1</v>
      </c>
      <c r="R1295">
        <v>45</v>
      </c>
      <c r="S1295">
        <v>1</v>
      </c>
      <c r="T1295">
        <v>1</v>
      </c>
      <c r="U1295">
        <v>1</v>
      </c>
      <c r="V1295">
        <v>1</v>
      </c>
      <c r="W1295">
        <v>1</v>
      </c>
      <c r="X1295">
        <v>1</v>
      </c>
      <c r="AA1295">
        <v>-5098.0524999999998</v>
      </c>
      <c r="AB1295">
        <v>-5098.0524999999998</v>
      </c>
      <c r="AC1295">
        <v>-5098.0524999999998</v>
      </c>
      <c r="AD1295">
        <v>-5098.0524999999998</v>
      </c>
      <c r="AE1295">
        <v>-5098.0524999999998</v>
      </c>
      <c r="AF1295">
        <v>-5098.0524999999998</v>
      </c>
    </row>
    <row r="1296" spans="2:32" x14ac:dyDescent="0.25">
      <c r="B1296">
        <v>46</v>
      </c>
      <c r="C1296">
        <v>1</v>
      </c>
      <c r="D1296">
        <v>1</v>
      </c>
      <c r="E1296">
        <v>1</v>
      </c>
      <c r="F1296">
        <v>1</v>
      </c>
      <c r="G1296">
        <v>1</v>
      </c>
      <c r="H1296">
        <v>1</v>
      </c>
      <c r="J1296">
        <v>46</v>
      </c>
      <c r="K1296">
        <v>1</v>
      </c>
      <c r="L1296">
        <v>1</v>
      </c>
      <c r="M1296">
        <v>1</v>
      </c>
      <c r="N1296">
        <v>1</v>
      </c>
      <c r="O1296">
        <v>1</v>
      </c>
      <c r="P1296">
        <v>1</v>
      </c>
      <c r="R1296">
        <v>46</v>
      </c>
      <c r="S1296">
        <v>1</v>
      </c>
      <c r="T1296">
        <v>1</v>
      </c>
      <c r="U1296">
        <v>1</v>
      </c>
      <c r="V1296">
        <v>1</v>
      </c>
      <c r="W1296">
        <v>1</v>
      </c>
      <c r="X1296">
        <v>1</v>
      </c>
      <c r="AA1296">
        <v>-5088.6378000000004</v>
      </c>
      <c r="AB1296">
        <v>-5088.6378000000004</v>
      </c>
      <c r="AC1296">
        <v>-5088.6378000000004</v>
      </c>
      <c r="AD1296">
        <v>-5088.6378000000004</v>
      </c>
      <c r="AE1296">
        <v>-5088.6378000000004</v>
      </c>
      <c r="AF1296">
        <v>-5088.6378000000004</v>
      </c>
    </row>
    <row r="1297" spans="2:32" x14ac:dyDescent="0.25">
      <c r="B1297">
        <v>47</v>
      </c>
      <c r="C1297">
        <v>1</v>
      </c>
      <c r="D1297">
        <v>1</v>
      </c>
      <c r="E1297">
        <v>1</v>
      </c>
      <c r="F1297">
        <v>1</v>
      </c>
      <c r="G1297">
        <v>1</v>
      </c>
      <c r="H1297">
        <v>1</v>
      </c>
      <c r="J1297">
        <v>47</v>
      </c>
      <c r="K1297">
        <v>1</v>
      </c>
      <c r="L1297">
        <v>1</v>
      </c>
      <c r="M1297">
        <v>1</v>
      </c>
      <c r="N1297">
        <v>1</v>
      </c>
      <c r="O1297">
        <v>1</v>
      </c>
      <c r="P1297">
        <v>1</v>
      </c>
      <c r="R1297">
        <v>47</v>
      </c>
      <c r="S1297">
        <v>1</v>
      </c>
      <c r="T1297">
        <v>1</v>
      </c>
      <c r="U1297">
        <v>1</v>
      </c>
      <c r="V1297">
        <v>1</v>
      </c>
      <c r="W1297">
        <v>1</v>
      </c>
      <c r="X1297">
        <v>1</v>
      </c>
      <c r="AA1297">
        <v>-5078.2593999999999</v>
      </c>
      <c r="AB1297">
        <v>-5078.2593999999999</v>
      </c>
      <c r="AC1297">
        <v>-5078.2593999999999</v>
      </c>
      <c r="AD1297">
        <v>-5078.2593999999999</v>
      </c>
      <c r="AE1297">
        <v>-5078.2593999999999</v>
      </c>
      <c r="AF1297">
        <v>-5078.2593999999999</v>
      </c>
    </row>
    <row r="1298" spans="2:32" x14ac:dyDescent="0.25">
      <c r="B1298">
        <v>48</v>
      </c>
      <c r="C1298">
        <v>1</v>
      </c>
      <c r="D1298">
        <v>1</v>
      </c>
      <c r="E1298">
        <v>1</v>
      </c>
      <c r="F1298">
        <v>1</v>
      </c>
      <c r="G1298">
        <v>1</v>
      </c>
      <c r="H1298">
        <v>1</v>
      </c>
      <c r="J1298">
        <v>48</v>
      </c>
      <c r="K1298">
        <v>1</v>
      </c>
      <c r="L1298">
        <v>1</v>
      </c>
      <c r="M1298">
        <v>1</v>
      </c>
      <c r="N1298">
        <v>1</v>
      </c>
      <c r="O1298">
        <v>1</v>
      </c>
      <c r="P1298">
        <v>1</v>
      </c>
      <c r="R1298">
        <v>48</v>
      </c>
      <c r="S1298">
        <v>1</v>
      </c>
      <c r="T1298">
        <v>1</v>
      </c>
      <c r="U1298">
        <v>1</v>
      </c>
      <c r="V1298">
        <v>1</v>
      </c>
      <c r="W1298">
        <v>1</v>
      </c>
      <c r="X1298">
        <v>1</v>
      </c>
      <c r="AA1298">
        <v>-5066.8732</v>
      </c>
      <c r="AB1298">
        <v>-5066.8732</v>
      </c>
      <c r="AC1298">
        <v>-5066.8732</v>
      </c>
      <c r="AD1298">
        <v>-5066.8732</v>
      </c>
      <c r="AE1298">
        <v>-5066.8732</v>
      </c>
      <c r="AF1298">
        <v>-5066.8732</v>
      </c>
    </row>
    <row r="1299" spans="2:32" x14ac:dyDescent="0.25">
      <c r="B1299">
        <v>49</v>
      </c>
      <c r="C1299">
        <v>1</v>
      </c>
      <c r="D1299">
        <v>1</v>
      </c>
      <c r="E1299">
        <v>1</v>
      </c>
      <c r="F1299">
        <v>1</v>
      </c>
      <c r="G1299">
        <v>1</v>
      </c>
      <c r="H1299">
        <v>1</v>
      </c>
      <c r="J1299">
        <v>49</v>
      </c>
      <c r="K1299">
        <v>1</v>
      </c>
      <c r="L1299">
        <v>1</v>
      </c>
      <c r="M1299">
        <v>1</v>
      </c>
      <c r="N1299">
        <v>1</v>
      </c>
      <c r="O1299">
        <v>1</v>
      </c>
      <c r="P1299">
        <v>1</v>
      </c>
      <c r="R1299">
        <v>49</v>
      </c>
      <c r="S1299">
        <v>1</v>
      </c>
      <c r="T1299">
        <v>1</v>
      </c>
      <c r="U1299">
        <v>1</v>
      </c>
      <c r="V1299">
        <v>1</v>
      </c>
      <c r="W1299">
        <v>1</v>
      </c>
      <c r="X1299">
        <v>1</v>
      </c>
      <c r="AA1299">
        <v>-5054.4124000000002</v>
      </c>
      <c r="AB1299">
        <v>-5054.4124000000002</v>
      </c>
      <c r="AC1299">
        <v>-5054.4124000000002</v>
      </c>
      <c r="AD1299">
        <v>-5054.4124000000002</v>
      </c>
      <c r="AE1299">
        <v>-5054.4124000000002</v>
      </c>
      <c r="AF1299">
        <v>-5054.4124000000002</v>
      </c>
    </row>
    <row r="1300" spans="2:32" x14ac:dyDescent="0.25">
      <c r="B1300">
        <v>50</v>
      </c>
      <c r="C1300">
        <v>1</v>
      </c>
      <c r="D1300">
        <v>1</v>
      </c>
      <c r="E1300">
        <v>1</v>
      </c>
      <c r="F1300">
        <v>1</v>
      </c>
      <c r="G1300">
        <v>1</v>
      </c>
      <c r="H1300">
        <v>1</v>
      </c>
      <c r="J1300">
        <v>50</v>
      </c>
      <c r="K1300">
        <v>1</v>
      </c>
      <c r="L1300">
        <v>1</v>
      </c>
      <c r="M1300">
        <v>1</v>
      </c>
      <c r="N1300">
        <v>1</v>
      </c>
      <c r="O1300">
        <v>1</v>
      </c>
      <c r="P1300">
        <v>1</v>
      </c>
      <c r="R1300">
        <v>50</v>
      </c>
      <c r="S1300">
        <v>1</v>
      </c>
      <c r="T1300">
        <v>1</v>
      </c>
      <c r="U1300">
        <v>1</v>
      </c>
      <c r="V1300">
        <v>1</v>
      </c>
      <c r="W1300">
        <v>1</v>
      </c>
      <c r="X1300">
        <v>1</v>
      </c>
      <c r="AA1300">
        <v>-5040.7671</v>
      </c>
      <c r="AB1300">
        <v>-5040.7671</v>
      </c>
      <c r="AC1300">
        <v>-5040.7671</v>
      </c>
      <c r="AD1300">
        <v>-5040.7671</v>
      </c>
      <c r="AE1300">
        <v>-5040.7671</v>
      </c>
      <c r="AF1300">
        <v>-5040.7671</v>
      </c>
    </row>
    <row r="1301" spans="2:32" x14ac:dyDescent="0.25">
      <c r="B1301">
        <v>51</v>
      </c>
      <c r="C1301">
        <v>1</v>
      </c>
      <c r="D1301">
        <v>1</v>
      </c>
      <c r="E1301">
        <v>1</v>
      </c>
      <c r="F1301">
        <v>1</v>
      </c>
      <c r="G1301">
        <v>1</v>
      </c>
      <c r="H1301">
        <v>1</v>
      </c>
      <c r="J1301">
        <v>51</v>
      </c>
      <c r="K1301">
        <v>1</v>
      </c>
      <c r="L1301">
        <v>1</v>
      </c>
      <c r="M1301">
        <v>1</v>
      </c>
      <c r="N1301">
        <v>1</v>
      </c>
      <c r="O1301">
        <v>1</v>
      </c>
      <c r="P1301">
        <v>1</v>
      </c>
      <c r="R1301">
        <v>51</v>
      </c>
      <c r="S1301">
        <v>1</v>
      </c>
      <c r="T1301">
        <v>1</v>
      </c>
      <c r="U1301">
        <v>1</v>
      </c>
      <c r="V1301">
        <v>1</v>
      </c>
      <c r="W1301">
        <v>1</v>
      </c>
      <c r="X1301">
        <v>1</v>
      </c>
      <c r="AA1301">
        <v>-5025.8329000000003</v>
      </c>
      <c r="AB1301">
        <v>-5025.8329000000003</v>
      </c>
      <c r="AC1301">
        <v>-5025.8329000000003</v>
      </c>
      <c r="AD1301">
        <v>-5025.8329000000003</v>
      </c>
      <c r="AE1301">
        <v>-5025.8329000000003</v>
      </c>
      <c r="AF1301">
        <v>-5025.8329000000003</v>
      </c>
    </row>
    <row r="1302" spans="2:32" x14ac:dyDescent="0.25">
      <c r="B1302">
        <v>52</v>
      </c>
      <c r="C1302">
        <v>1</v>
      </c>
      <c r="D1302">
        <v>1</v>
      </c>
      <c r="E1302">
        <v>1</v>
      </c>
      <c r="F1302">
        <v>1</v>
      </c>
      <c r="G1302">
        <v>1</v>
      </c>
      <c r="H1302">
        <v>1</v>
      </c>
      <c r="J1302">
        <v>52</v>
      </c>
      <c r="K1302">
        <v>1</v>
      </c>
      <c r="L1302">
        <v>1</v>
      </c>
      <c r="M1302">
        <v>1</v>
      </c>
      <c r="N1302">
        <v>1</v>
      </c>
      <c r="O1302">
        <v>1</v>
      </c>
      <c r="P1302">
        <v>1</v>
      </c>
      <c r="R1302">
        <v>52</v>
      </c>
      <c r="S1302">
        <v>1</v>
      </c>
      <c r="T1302">
        <v>1</v>
      </c>
      <c r="U1302">
        <v>1</v>
      </c>
      <c r="V1302">
        <v>1</v>
      </c>
      <c r="W1302">
        <v>1</v>
      </c>
      <c r="X1302">
        <v>1</v>
      </c>
      <c r="AA1302">
        <v>-5009.4771000000001</v>
      </c>
      <c r="AB1302">
        <v>-5009.4771000000001</v>
      </c>
      <c r="AC1302">
        <v>-5009.4771000000001</v>
      </c>
      <c r="AD1302">
        <v>-5009.4771000000001</v>
      </c>
      <c r="AE1302">
        <v>-5009.4771000000001</v>
      </c>
      <c r="AF1302">
        <v>-5009.4771000000001</v>
      </c>
    </row>
    <row r="1303" spans="2:32" x14ac:dyDescent="0.25">
      <c r="B1303">
        <v>53</v>
      </c>
      <c r="C1303">
        <v>1</v>
      </c>
      <c r="D1303">
        <v>1</v>
      </c>
      <c r="E1303">
        <v>1</v>
      </c>
      <c r="F1303">
        <v>1</v>
      </c>
      <c r="G1303">
        <v>1</v>
      </c>
      <c r="H1303">
        <v>1</v>
      </c>
      <c r="J1303">
        <v>53</v>
      </c>
      <c r="K1303">
        <v>1</v>
      </c>
      <c r="L1303">
        <v>1</v>
      </c>
      <c r="M1303">
        <v>1</v>
      </c>
      <c r="N1303">
        <v>1</v>
      </c>
      <c r="O1303">
        <v>1</v>
      </c>
      <c r="P1303">
        <v>1</v>
      </c>
      <c r="R1303">
        <v>53</v>
      </c>
      <c r="S1303">
        <v>1</v>
      </c>
      <c r="T1303">
        <v>1</v>
      </c>
      <c r="U1303">
        <v>1</v>
      </c>
      <c r="V1303">
        <v>1</v>
      </c>
      <c r="W1303">
        <v>1</v>
      </c>
      <c r="X1303">
        <v>1</v>
      </c>
      <c r="AA1303">
        <v>-4991.6184000000003</v>
      </c>
      <c r="AB1303">
        <v>-4991.6184000000003</v>
      </c>
      <c r="AC1303">
        <v>-4991.6184000000003</v>
      </c>
      <c r="AD1303">
        <v>-4991.6184000000003</v>
      </c>
      <c r="AE1303">
        <v>-4991.6184000000003</v>
      </c>
      <c r="AF1303">
        <v>-4991.6184000000003</v>
      </c>
    </row>
    <row r="1304" spans="2:32" x14ac:dyDescent="0.25">
      <c r="B1304">
        <v>54</v>
      </c>
      <c r="C1304">
        <v>1</v>
      </c>
      <c r="D1304">
        <v>1</v>
      </c>
      <c r="E1304">
        <v>1</v>
      </c>
      <c r="F1304">
        <v>1</v>
      </c>
      <c r="G1304">
        <v>1</v>
      </c>
      <c r="H1304">
        <v>1</v>
      </c>
      <c r="J1304">
        <v>54</v>
      </c>
      <c r="K1304">
        <v>1</v>
      </c>
      <c r="L1304">
        <v>1</v>
      </c>
      <c r="M1304">
        <v>1</v>
      </c>
      <c r="N1304">
        <v>1</v>
      </c>
      <c r="O1304">
        <v>1</v>
      </c>
      <c r="P1304">
        <v>1</v>
      </c>
      <c r="R1304">
        <v>54</v>
      </c>
      <c r="S1304">
        <v>1</v>
      </c>
      <c r="T1304">
        <v>1</v>
      </c>
      <c r="U1304">
        <v>1</v>
      </c>
      <c r="V1304">
        <v>1</v>
      </c>
      <c r="W1304">
        <v>1</v>
      </c>
      <c r="X1304">
        <v>1</v>
      </c>
      <c r="AA1304">
        <v>-4972.1588000000002</v>
      </c>
      <c r="AB1304">
        <v>-4972.1588000000002</v>
      </c>
      <c r="AC1304">
        <v>-4972.1588000000002</v>
      </c>
      <c r="AD1304">
        <v>-4972.1588000000002</v>
      </c>
      <c r="AE1304">
        <v>-4972.1588000000002</v>
      </c>
      <c r="AF1304">
        <v>-4972.1588000000002</v>
      </c>
    </row>
    <row r="1305" spans="2:32" x14ac:dyDescent="0.25">
      <c r="B1305">
        <v>55</v>
      </c>
      <c r="C1305">
        <v>1</v>
      </c>
      <c r="D1305">
        <v>1</v>
      </c>
      <c r="E1305">
        <v>1</v>
      </c>
      <c r="F1305">
        <v>1</v>
      </c>
      <c r="G1305">
        <v>1</v>
      </c>
      <c r="H1305">
        <v>1</v>
      </c>
      <c r="J1305">
        <v>55</v>
      </c>
      <c r="K1305">
        <v>1</v>
      </c>
      <c r="L1305">
        <v>1</v>
      </c>
      <c r="M1305">
        <v>1</v>
      </c>
      <c r="N1305">
        <v>1</v>
      </c>
      <c r="O1305">
        <v>1</v>
      </c>
      <c r="P1305">
        <v>1</v>
      </c>
      <c r="R1305">
        <v>55</v>
      </c>
      <c r="S1305">
        <v>1</v>
      </c>
      <c r="T1305">
        <v>1</v>
      </c>
      <c r="U1305">
        <v>1</v>
      </c>
      <c r="V1305">
        <v>1</v>
      </c>
      <c r="W1305">
        <v>1</v>
      </c>
      <c r="X1305">
        <v>1</v>
      </c>
      <c r="AA1305">
        <v>-4950.9426000000003</v>
      </c>
      <c r="AB1305">
        <v>-4950.9426000000003</v>
      </c>
      <c r="AC1305">
        <v>-4950.9426000000003</v>
      </c>
      <c r="AD1305">
        <v>-4950.9426000000003</v>
      </c>
      <c r="AE1305">
        <v>-4950.9426000000003</v>
      </c>
      <c r="AF1305">
        <v>-4950.9426000000003</v>
      </c>
    </row>
    <row r="1308" spans="2:32" x14ac:dyDescent="0.25">
      <c r="B1308" t="s">
        <v>46</v>
      </c>
      <c r="C1308">
        <v>100000</v>
      </c>
      <c r="D1308">
        <v>250000</v>
      </c>
      <c r="E1308">
        <v>500000</v>
      </c>
      <c r="F1308">
        <v>1000000</v>
      </c>
      <c r="G1308">
        <v>2000000</v>
      </c>
      <c r="J1308" t="s">
        <v>32</v>
      </c>
      <c r="K1308">
        <v>100000</v>
      </c>
      <c r="L1308">
        <v>250000</v>
      </c>
      <c r="M1308">
        <v>500000</v>
      </c>
      <c r="N1308">
        <v>1000000</v>
      </c>
      <c r="O1308">
        <v>2000000</v>
      </c>
      <c r="R1308" t="s">
        <v>48</v>
      </c>
      <c r="S1308">
        <v>100000</v>
      </c>
      <c r="T1308">
        <v>250000</v>
      </c>
      <c r="U1308">
        <v>500000</v>
      </c>
      <c r="V1308">
        <v>1000000</v>
      </c>
      <c r="W1308">
        <v>2000000</v>
      </c>
    </row>
    <row r="1309" spans="2:32" x14ac:dyDescent="0.25">
      <c r="B1309">
        <v>35</v>
      </c>
      <c r="C1309">
        <v>1</v>
      </c>
      <c r="D1309">
        <v>1</v>
      </c>
      <c r="E1309">
        <v>1</v>
      </c>
      <c r="F1309">
        <v>1</v>
      </c>
      <c r="G1309">
        <v>1</v>
      </c>
      <c r="J1309">
        <v>35</v>
      </c>
      <c r="K1309">
        <v>1</v>
      </c>
      <c r="L1309">
        <v>1</v>
      </c>
      <c r="M1309">
        <v>1</v>
      </c>
      <c r="N1309">
        <v>1</v>
      </c>
      <c r="O1309">
        <v>1</v>
      </c>
      <c r="R1309">
        <v>35</v>
      </c>
      <c r="S1309">
        <v>1</v>
      </c>
      <c r="T1309">
        <v>1</v>
      </c>
      <c r="U1309">
        <v>1</v>
      </c>
      <c r="V1309">
        <v>1</v>
      </c>
      <c r="W1309">
        <v>1</v>
      </c>
      <c r="AA1309">
        <v>-8996.1419000000005</v>
      </c>
      <c r="AB1309">
        <v>-8996.1419000000005</v>
      </c>
      <c r="AC1309">
        <v>-8996.1419000000005</v>
      </c>
      <c r="AD1309">
        <v>-8996.1419000000005</v>
      </c>
      <c r="AE1309">
        <v>-8996.1419000000005</v>
      </c>
      <c r="AF1309">
        <v>-759112.79520000005</v>
      </c>
    </row>
    <row r="1310" spans="2:32" x14ac:dyDescent="0.25">
      <c r="B1310">
        <f t="shared" ref="B1310:B1339" si="57">B1309+1</f>
        <v>36</v>
      </c>
      <c r="C1310">
        <v>1</v>
      </c>
      <c r="D1310">
        <v>1</v>
      </c>
      <c r="E1310">
        <v>1</v>
      </c>
      <c r="F1310">
        <v>1</v>
      </c>
      <c r="G1310">
        <v>1</v>
      </c>
      <c r="J1310">
        <f t="shared" ref="J1310:J1339" si="58">J1309+1</f>
        <v>36</v>
      </c>
      <c r="K1310">
        <v>1</v>
      </c>
      <c r="L1310">
        <v>1</v>
      </c>
      <c r="M1310">
        <v>1</v>
      </c>
      <c r="N1310">
        <v>1</v>
      </c>
      <c r="O1310">
        <v>1</v>
      </c>
      <c r="R1310">
        <f t="shared" ref="R1310:R1339" si="59">R1309+1</f>
        <v>36</v>
      </c>
      <c r="S1310">
        <v>1</v>
      </c>
      <c r="T1310">
        <v>1</v>
      </c>
      <c r="U1310">
        <v>1</v>
      </c>
      <c r="V1310">
        <v>1</v>
      </c>
      <c r="W1310">
        <v>1</v>
      </c>
      <c r="AA1310">
        <v>-8902.6679999999997</v>
      </c>
      <c r="AB1310">
        <v>-8902.6679999999997</v>
      </c>
      <c r="AC1310">
        <v>-8902.6679999999997</v>
      </c>
      <c r="AD1310">
        <v>-8902.6679999999997</v>
      </c>
      <c r="AE1310">
        <v>-8902.6679999999997</v>
      </c>
      <c r="AF1310">
        <v>-759112.79520000005</v>
      </c>
    </row>
    <row r="1311" spans="2:32" x14ac:dyDescent="0.25">
      <c r="B1311">
        <f t="shared" si="57"/>
        <v>37</v>
      </c>
      <c r="C1311">
        <v>1</v>
      </c>
      <c r="D1311">
        <v>1</v>
      </c>
      <c r="E1311">
        <v>1</v>
      </c>
      <c r="F1311">
        <v>1</v>
      </c>
      <c r="G1311">
        <v>1</v>
      </c>
      <c r="J1311">
        <f t="shared" si="58"/>
        <v>37</v>
      </c>
      <c r="K1311">
        <v>1</v>
      </c>
      <c r="L1311">
        <v>1</v>
      </c>
      <c r="M1311">
        <v>1</v>
      </c>
      <c r="N1311">
        <v>1</v>
      </c>
      <c r="O1311">
        <v>1</v>
      </c>
      <c r="R1311">
        <f t="shared" si="59"/>
        <v>37</v>
      </c>
      <c r="S1311">
        <v>1</v>
      </c>
      <c r="T1311">
        <v>1</v>
      </c>
      <c r="U1311">
        <v>1</v>
      </c>
      <c r="V1311">
        <v>1</v>
      </c>
      <c r="W1311">
        <v>1</v>
      </c>
      <c r="AA1311">
        <v>-8806.7960000000003</v>
      </c>
      <c r="AB1311">
        <v>-8806.7960000000003</v>
      </c>
      <c r="AC1311">
        <v>-8806.7960000000003</v>
      </c>
      <c r="AD1311">
        <v>-8806.7960000000003</v>
      </c>
      <c r="AE1311">
        <v>-8806.7960000000003</v>
      </c>
      <c r="AF1311">
        <v>-765978.91940000001</v>
      </c>
    </row>
    <row r="1312" spans="2:32" x14ac:dyDescent="0.25">
      <c r="B1312">
        <f t="shared" si="57"/>
        <v>38</v>
      </c>
      <c r="C1312">
        <v>1</v>
      </c>
      <c r="D1312">
        <v>1</v>
      </c>
      <c r="E1312">
        <v>1</v>
      </c>
      <c r="F1312">
        <v>1</v>
      </c>
      <c r="G1312">
        <v>1</v>
      </c>
      <c r="J1312">
        <f t="shared" si="58"/>
        <v>38</v>
      </c>
      <c r="K1312">
        <v>1</v>
      </c>
      <c r="L1312">
        <v>1</v>
      </c>
      <c r="M1312">
        <v>1</v>
      </c>
      <c r="N1312">
        <v>1</v>
      </c>
      <c r="O1312">
        <v>1</v>
      </c>
      <c r="R1312">
        <f t="shared" si="59"/>
        <v>38</v>
      </c>
      <c r="S1312">
        <v>1</v>
      </c>
      <c r="T1312">
        <v>1</v>
      </c>
      <c r="U1312">
        <v>1</v>
      </c>
      <c r="V1312">
        <v>1</v>
      </c>
      <c r="W1312">
        <v>1</v>
      </c>
      <c r="AA1312">
        <v>-8708.6234000000004</v>
      </c>
      <c r="AB1312">
        <v>-8708.6234000000004</v>
      </c>
      <c r="AC1312">
        <v>-8708.6234000000004</v>
      </c>
      <c r="AD1312">
        <v>-8708.6234000000004</v>
      </c>
      <c r="AE1312">
        <v>-8708.6234000000004</v>
      </c>
      <c r="AF1312">
        <v>-783780.576</v>
      </c>
    </row>
    <row r="1313" spans="2:32" x14ac:dyDescent="0.25">
      <c r="B1313">
        <f t="shared" si="57"/>
        <v>39</v>
      </c>
      <c r="C1313">
        <v>1</v>
      </c>
      <c r="D1313">
        <v>1</v>
      </c>
      <c r="E1313">
        <v>1</v>
      </c>
      <c r="F1313">
        <v>1</v>
      </c>
      <c r="G1313">
        <v>1</v>
      </c>
      <c r="J1313">
        <f t="shared" si="58"/>
        <v>39</v>
      </c>
      <c r="K1313">
        <v>1</v>
      </c>
      <c r="L1313">
        <v>1</v>
      </c>
      <c r="M1313">
        <v>1</v>
      </c>
      <c r="N1313">
        <v>1</v>
      </c>
      <c r="O1313">
        <v>1</v>
      </c>
      <c r="R1313">
        <f t="shared" si="59"/>
        <v>39</v>
      </c>
      <c r="S1313">
        <v>1</v>
      </c>
      <c r="T1313">
        <v>1</v>
      </c>
      <c r="U1313">
        <v>1</v>
      </c>
      <c r="V1313">
        <v>1</v>
      </c>
      <c r="W1313">
        <v>1</v>
      </c>
      <c r="AA1313">
        <v>-8608.1594000000005</v>
      </c>
      <c r="AB1313">
        <v>-8608.1594000000005</v>
      </c>
      <c r="AC1313">
        <v>-8608.1594000000005</v>
      </c>
      <c r="AD1313">
        <v>-8608.1594000000005</v>
      </c>
      <c r="AE1313">
        <v>-8608.1594000000005</v>
      </c>
      <c r="AF1313">
        <v>-769662.22069999995</v>
      </c>
    </row>
    <row r="1314" spans="2:32" x14ac:dyDescent="0.25">
      <c r="B1314">
        <f t="shared" si="57"/>
        <v>40</v>
      </c>
      <c r="C1314">
        <v>1</v>
      </c>
      <c r="D1314">
        <v>1</v>
      </c>
      <c r="E1314">
        <v>1</v>
      </c>
      <c r="F1314">
        <v>1</v>
      </c>
      <c r="G1314">
        <v>1</v>
      </c>
      <c r="J1314">
        <f t="shared" si="58"/>
        <v>40</v>
      </c>
      <c r="K1314">
        <v>1</v>
      </c>
      <c r="L1314">
        <v>1</v>
      </c>
      <c r="M1314">
        <v>1</v>
      </c>
      <c r="N1314">
        <v>1</v>
      </c>
      <c r="O1314">
        <v>1</v>
      </c>
      <c r="R1314">
        <f t="shared" si="59"/>
        <v>40</v>
      </c>
      <c r="S1314">
        <v>1</v>
      </c>
      <c r="T1314">
        <v>1</v>
      </c>
      <c r="U1314">
        <v>1</v>
      </c>
      <c r="V1314">
        <v>1</v>
      </c>
      <c r="W1314">
        <v>1</v>
      </c>
      <c r="AA1314">
        <v>-8505.3439999999991</v>
      </c>
      <c r="AB1314">
        <v>-8505.3439999999991</v>
      </c>
      <c r="AC1314">
        <v>-8505.3439999999991</v>
      </c>
      <c r="AD1314">
        <v>-8505.3439999999991</v>
      </c>
      <c r="AE1314">
        <v>-8505.3439999999991</v>
      </c>
      <c r="AF1314">
        <v>-798570.41119999997</v>
      </c>
    </row>
    <row r="1315" spans="2:32" x14ac:dyDescent="0.25">
      <c r="B1315">
        <f t="shared" si="57"/>
        <v>41</v>
      </c>
      <c r="C1315">
        <v>1</v>
      </c>
      <c r="D1315">
        <v>1</v>
      </c>
      <c r="E1315">
        <v>1</v>
      </c>
      <c r="F1315">
        <v>1</v>
      </c>
      <c r="G1315">
        <v>1</v>
      </c>
      <c r="J1315">
        <f t="shared" si="58"/>
        <v>41</v>
      </c>
      <c r="K1315">
        <v>1</v>
      </c>
      <c r="L1315">
        <v>1</v>
      </c>
      <c r="M1315">
        <v>1</v>
      </c>
      <c r="N1315">
        <v>1</v>
      </c>
      <c r="O1315">
        <v>1</v>
      </c>
      <c r="R1315">
        <f t="shared" si="59"/>
        <v>41</v>
      </c>
      <c r="S1315">
        <v>1</v>
      </c>
      <c r="T1315">
        <v>1</v>
      </c>
      <c r="U1315">
        <v>1</v>
      </c>
      <c r="V1315">
        <v>1</v>
      </c>
      <c r="W1315">
        <v>1</v>
      </c>
      <c r="AA1315">
        <v>-8400.1087000000007</v>
      </c>
      <c r="AB1315">
        <v>-8400.1087000000007</v>
      </c>
      <c r="AC1315">
        <v>-8400.1087000000007</v>
      </c>
      <c r="AD1315">
        <v>-8400.1087000000007</v>
      </c>
      <c r="AE1315">
        <v>-8400.1087000000007</v>
      </c>
      <c r="AF1315">
        <v>-803549.96459999995</v>
      </c>
    </row>
    <row r="1316" spans="2:32" x14ac:dyDescent="0.25">
      <c r="B1316">
        <f t="shared" si="57"/>
        <v>42</v>
      </c>
      <c r="C1316">
        <v>1</v>
      </c>
      <c r="D1316">
        <v>1</v>
      </c>
      <c r="E1316">
        <v>1</v>
      </c>
      <c r="F1316">
        <v>1</v>
      </c>
      <c r="G1316">
        <v>1</v>
      </c>
      <c r="J1316">
        <f t="shared" si="58"/>
        <v>42</v>
      </c>
      <c r="K1316">
        <v>1</v>
      </c>
      <c r="L1316">
        <v>1</v>
      </c>
      <c r="M1316">
        <v>1</v>
      </c>
      <c r="N1316">
        <v>1</v>
      </c>
      <c r="O1316">
        <v>1</v>
      </c>
      <c r="R1316">
        <f t="shared" si="59"/>
        <v>42</v>
      </c>
      <c r="S1316">
        <v>1</v>
      </c>
      <c r="T1316">
        <v>1</v>
      </c>
      <c r="U1316">
        <v>1</v>
      </c>
      <c r="V1316">
        <v>1</v>
      </c>
      <c r="W1316">
        <v>1</v>
      </c>
      <c r="AA1316">
        <v>-8292.4974999999995</v>
      </c>
      <c r="AB1316">
        <v>-8292.4974999999995</v>
      </c>
      <c r="AC1316">
        <v>-8292.4974999999995</v>
      </c>
      <c r="AD1316">
        <v>-8292.4974999999995</v>
      </c>
      <c r="AE1316">
        <v>-8292.4974999999995</v>
      </c>
      <c r="AF1316">
        <v>-833551.75890000002</v>
      </c>
    </row>
    <row r="1317" spans="2:32" x14ac:dyDescent="0.25">
      <c r="B1317">
        <f t="shared" si="57"/>
        <v>43</v>
      </c>
      <c r="C1317">
        <v>1</v>
      </c>
      <c r="D1317">
        <v>1</v>
      </c>
      <c r="E1317">
        <v>1</v>
      </c>
      <c r="F1317">
        <v>1</v>
      </c>
      <c r="G1317">
        <v>1</v>
      </c>
      <c r="J1317">
        <f t="shared" si="58"/>
        <v>43</v>
      </c>
      <c r="K1317">
        <v>1</v>
      </c>
      <c r="L1317">
        <v>1</v>
      </c>
      <c r="M1317">
        <v>1</v>
      </c>
      <c r="N1317">
        <v>1</v>
      </c>
      <c r="O1317">
        <v>1</v>
      </c>
      <c r="R1317">
        <f t="shared" si="59"/>
        <v>43</v>
      </c>
      <c r="S1317">
        <v>1</v>
      </c>
      <c r="T1317">
        <v>1</v>
      </c>
      <c r="U1317">
        <v>1</v>
      </c>
      <c r="V1317">
        <v>1</v>
      </c>
      <c r="W1317">
        <v>1</v>
      </c>
      <c r="AA1317">
        <v>-8182.3909999999996</v>
      </c>
      <c r="AB1317">
        <v>-8182.3909999999996</v>
      </c>
      <c r="AC1317">
        <v>-8182.3909999999996</v>
      </c>
      <c r="AD1317">
        <v>-8182.3909999999996</v>
      </c>
      <c r="AE1317">
        <v>-8182.3909999999996</v>
      </c>
      <c r="AF1317">
        <v>-844950.93949999998</v>
      </c>
    </row>
    <row r="1318" spans="2:32" x14ac:dyDescent="0.25">
      <c r="B1318">
        <f t="shared" si="57"/>
        <v>44</v>
      </c>
      <c r="C1318">
        <v>1</v>
      </c>
      <c r="D1318">
        <v>1</v>
      </c>
      <c r="E1318">
        <v>1</v>
      </c>
      <c r="F1318">
        <v>1</v>
      </c>
      <c r="G1318">
        <v>1</v>
      </c>
      <c r="J1318">
        <f t="shared" si="58"/>
        <v>44</v>
      </c>
      <c r="K1318">
        <v>1</v>
      </c>
      <c r="L1318">
        <v>1</v>
      </c>
      <c r="M1318">
        <v>1</v>
      </c>
      <c r="N1318">
        <v>1</v>
      </c>
      <c r="O1318">
        <v>1</v>
      </c>
      <c r="R1318">
        <f t="shared" si="59"/>
        <v>44</v>
      </c>
      <c r="S1318">
        <v>1</v>
      </c>
      <c r="T1318">
        <v>1</v>
      </c>
      <c r="U1318">
        <v>1</v>
      </c>
      <c r="V1318">
        <v>1</v>
      </c>
      <c r="W1318">
        <v>1</v>
      </c>
      <c r="AA1318">
        <v>-8069.8261000000002</v>
      </c>
      <c r="AB1318">
        <v>-8069.8261000000002</v>
      </c>
      <c r="AC1318">
        <v>-8069.8261000000002</v>
      </c>
      <c r="AD1318">
        <v>-8069.8261000000002</v>
      </c>
      <c r="AE1318">
        <v>-8069.8261000000002</v>
      </c>
      <c r="AF1318">
        <v>-851265.64670000004</v>
      </c>
    </row>
    <row r="1319" spans="2:32" x14ac:dyDescent="0.25">
      <c r="B1319">
        <f t="shared" si="57"/>
        <v>45</v>
      </c>
      <c r="C1319">
        <v>1</v>
      </c>
      <c r="D1319">
        <v>1</v>
      </c>
      <c r="E1319">
        <v>1</v>
      </c>
      <c r="F1319">
        <v>1</v>
      </c>
      <c r="G1319">
        <v>1</v>
      </c>
      <c r="J1319">
        <f t="shared" si="58"/>
        <v>45</v>
      </c>
      <c r="K1319">
        <v>1</v>
      </c>
      <c r="L1319">
        <v>1</v>
      </c>
      <c r="M1319">
        <v>1</v>
      </c>
      <c r="N1319">
        <v>1</v>
      </c>
      <c r="O1319">
        <v>1</v>
      </c>
      <c r="R1319">
        <f t="shared" si="59"/>
        <v>45</v>
      </c>
      <c r="S1319">
        <v>1</v>
      </c>
      <c r="T1319">
        <v>1</v>
      </c>
      <c r="U1319">
        <v>1</v>
      </c>
      <c r="V1319">
        <v>1</v>
      </c>
      <c r="W1319">
        <v>1</v>
      </c>
      <c r="AA1319">
        <v>-7954.7533999999996</v>
      </c>
      <c r="AB1319">
        <v>-7954.7533999999996</v>
      </c>
      <c r="AC1319">
        <v>-7954.7533999999996</v>
      </c>
      <c r="AD1319">
        <v>-7954.7533999999996</v>
      </c>
      <c r="AE1319">
        <v>-7954.7533999999996</v>
      </c>
      <c r="AF1319">
        <v>-851265.64670000004</v>
      </c>
    </row>
    <row r="1320" spans="2:32" x14ac:dyDescent="0.25">
      <c r="B1320">
        <f t="shared" si="57"/>
        <v>46</v>
      </c>
      <c r="C1320">
        <v>1</v>
      </c>
      <c r="D1320">
        <v>1</v>
      </c>
      <c r="E1320">
        <v>1</v>
      </c>
      <c r="F1320">
        <v>1</v>
      </c>
      <c r="G1320">
        <v>1</v>
      </c>
      <c r="J1320">
        <f t="shared" si="58"/>
        <v>46</v>
      </c>
      <c r="K1320">
        <v>1</v>
      </c>
      <c r="L1320">
        <v>1</v>
      </c>
      <c r="M1320">
        <v>1</v>
      </c>
      <c r="N1320">
        <v>1</v>
      </c>
      <c r="O1320">
        <v>1</v>
      </c>
      <c r="R1320">
        <f t="shared" si="59"/>
        <v>46</v>
      </c>
      <c r="S1320">
        <v>1</v>
      </c>
      <c r="T1320">
        <v>1</v>
      </c>
      <c r="U1320">
        <v>1</v>
      </c>
      <c r="V1320">
        <v>1</v>
      </c>
      <c r="W1320">
        <v>1</v>
      </c>
      <c r="AA1320">
        <v>-7837.1754000000001</v>
      </c>
      <c r="AB1320">
        <v>-7837.1754000000001</v>
      </c>
      <c r="AC1320">
        <v>-7837.1754000000001</v>
      </c>
      <c r="AD1320">
        <v>-7837.1754000000001</v>
      </c>
      <c r="AE1320">
        <v>-7837.1754000000001</v>
      </c>
      <c r="AF1320">
        <v>-892550.54509999999</v>
      </c>
    </row>
    <row r="1321" spans="2:32" x14ac:dyDescent="0.25">
      <c r="B1321">
        <f t="shared" si="57"/>
        <v>47</v>
      </c>
      <c r="C1321">
        <v>1</v>
      </c>
      <c r="D1321">
        <v>1</v>
      </c>
      <c r="E1321">
        <v>1</v>
      </c>
      <c r="F1321">
        <v>1</v>
      </c>
      <c r="G1321">
        <v>1</v>
      </c>
      <c r="J1321">
        <f t="shared" si="58"/>
        <v>47</v>
      </c>
      <c r="K1321">
        <v>1</v>
      </c>
      <c r="L1321">
        <v>1</v>
      </c>
      <c r="M1321">
        <v>1</v>
      </c>
      <c r="N1321">
        <v>1</v>
      </c>
      <c r="O1321">
        <v>1</v>
      </c>
      <c r="R1321">
        <f t="shared" si="59"/>
        <v>47</v>
      </c>
      <c r="S1321">
        <v>1</v>
      </c>
      <c r="T1321">
        <v>1</v>
      </c>
      <c r="U1321">
        <v>1</v>
      </c>
      <c r="V1321">
        <v>1</v>
      </c>
      <c r="W1321">
        <v>1</v>
      </c>
      <c r="AA1321">
        <v>-7717.0294999999996</v>
      </c>
      <c r="AB1321">
        <v>-7717.0294999999996</v>
      </c>
      <c r="AC1321">
        <v>-7717.0294999999996</v>
      </c>
      <c r="AD1321">
        <v>-7717.0294999999996</v>
      </c>
      <c r="AE1321">
        <v>-7717.0294999999996</v>
      </c>
      <c r="AF1321">
        <v>-910915.81969999999</v>
      </c>
    </row>
    <row r="1322" spans="2:32" x14ac:dyDescent="0.25">
      <c r="B1322">
        <f t="shared" si="57"/>
        <v>48</v>
      </c>
      <c r="C1322">
        <v>1</v>
      </c>
      <c r="D1322">
        <v>1</v>
      </c>
      <c r="E1322">
        <v>1</v>
      </c>
      <c r="F1322">
        <v>1</v>
      </c>
      <c r="G1322">
        <v>1</v>
      </c>
      <c r="J1322">
        <f t="shared" si="58"/>
        <v>48</v>
      </c>
      <c r="K1322">
        <v>1</v>
      </c>
      <c r="L1322">
        <v>1</v>
      </c>
      <c r="M1322">
        <v>1</v>
      </c>
      <c r="N1322">
        <v>1</v>
      </c>
      <c r="O1322">
        <v>1</v>
      </c>
      <c r="R1322">
        <f t="shared" si="59"/>
        <v>48</v>
      </c>
      <c r="S1322">
        <v>1</v>
      </c>
      <c r="T1322">
        <v>1</v>
      </c>
      <c r="U1322">
        <v>1</v>
      </c>
      <c r="V1322">
        <v>1</v>
      </c>
      <c r="W1322">
        <v>1</v>
      </c>
      <c r="AA1322">
        <v>-7594.4201000000003</v>
      </c>
      <c r="AB1322">
        <v>-7594.4201000000003</v>
      </c>
      <c r="AC1322">
        <v>-7594.4201000000003</v>
      </c>
      <c r="AD1322">
        <v>-7594.4201000000003</v>
      </c>
      <c r="AE1322">
        <v>-7594.4201000000003</v>
      </c>
      <c r="AF1322">
        <v>-917891.87360000005</v>
      </c>
    </row>
    <row r="1323" spans="2:32" x14ac:dyDescent="0.25">
      <c r="B1323">
        <f t="shared" si="57"/>
        <v>49</v>
      </c>
      <c r="C1323">
        <v>1</v>
      </c>
      <c r="D1323">
        <v>1</v>
      </c>
      <c r="E1323">
        <v>1</v>
      </c>
      <c r="F1323">
        <v>1</v>
      </c>
      <c r="G1323">
        <v>1</v>
      </c>
      <c r="J1323">
        <f t="shared" si="58"/>
        <v>49</v>
      </c>
      <c r="K1323">
        <v>1</v>
      </c>
      <c r="L1323">
        <v>1</v>
      </c>
      <c r="M1323">
        <v>1</v>
      </c>
      <c r="N1323">
        <v>1</v>
      </c>
      <c r="O1323">
        <v>1</v>
      </c>
      <c r="R1323">
        <f t="shared" si="59"/>
        <v>49</v>
      </c>
      <c r="S1323">
        <v>1</v>
      </c>
      <c r="T1323">
        <v>1</v>
      </c>
      <c r="U1323">
        <v>1</v>
      </c>
      <c r="V1323">
        <v>1</v>
      </c>
      <c r="W1323">
        <v>1</v>
      </c>
      <c r="AA1323">
        <v>-7469.3995999999997</v>
      </c>
      <c r="AB1323">
        <v>-7469.3995999999997</v>
      </c>
      <c r="AC1323">
        <v>-7469.3995999999997</v>
      </c>
      <c r="AD1323">
        <v>-7469.3995999999997</v>
      </c>
      <c r="AE1323">
        <v>-7469.3995999999997</v>
      </c>
      <c r="AF1323">
        <v>-944521.72470000002</v>
      </c>
    </row>
    <row r="1324" spans="2:32" x14ac:dyDescent="0.25">
      <c r="B1324">
        <f t="shared" si="57"/>
        <v>50</v>
      </c>
      <c r="C1324">
        <v>1</v>
      </c>
      <c r="D1324">
        <v>1</v>
      </c>
      <c r="E1324">
        <v>1</v>
      </c>
      <c r="F1324">
        <v>1</v>
      </c>
      <c r="G1324">
        <v>1</v>
      </c>
      <c r="J1324">
        <f t="shared" si="58"/>
        <v>50</v>
      </c>
      <c r="K1324">
        <v>1</v>
      </c>
      <c r="L1324">
        <v>1</v>
      </c>
      <c r="M1324">
        <v>1</v>
      </c>
      <c r="N1324">
        <v>1</v>
      </c>
      <c r="O1324">
        <v>1</v>
      </c>
      <c r="R1324">
        <f t="shared" si="59"/>
        <v>50</v>
      </c>
      <c r="S1324">
        <v>1</v>
      </c>
      <c r="T1324">
        <v>1</v>
      </c>
      <c r="U1324">
        <v>1</v>
      </c>
      <c r="V1324">
        <v>1</v>
      </c>
      <c r="W1324">
        <v>1</v>
      </c>
      <c r="AA1324">
        <v>-7341.9502000000002</v>
      </c>
      <c r="AB1324">
        <v>-7341.9502000000002</v>
      </c>
      <c r="AC1324">
        <v>-7341.9502000000002</v>
      </c>
      <c r="AD1324">
        <v>-7341.9502000000002</v>
      </c>
      <c r="AE1324">
        <v>-7341.9502000000002</v>
      </c>
      <c r="AF1324">
        <v>-963257.14989999996</v>
      </c>
    </row>
    <row r="1325" spans="2:32" x14ac:dyDescent="0.25">
      <c r="B1325">
        <f t="shared" si="57"/>
        <v>51</v>
      </c>
      <c r="C1325">
        <v>1</v>
      </c>
      <c r="D1325">
        <v>1</v>
      </c>
      <c r="E1325">
        <v>1</v>
      </c>
      <c r="F1325">
        <v>1</v>
      </c>
      <c r="G1325">
        <v>1</v>
      </c>
      <c r="J1325">
        <f t="shared" si="58"/>
        <v>51</v>
      </c>
      <c r="K1325">
        <v>1</v>
      </c>
      <c r="L1325">
        <v>1</v>
      </c>
      <c r="M1325">
        <v>1</v>
      </c>
      <c r="N1325">
        <v>1</v>
      </c>
      <c r="O1325">
        <v>1</v>
      </c>
      <c r="R1325">
        <f t="shared" si="59"/>
        <v>51</v>
      </c>
      <c r="S1325">
        <v>1</v>
      </c>
      <c r="T1325">
        <v>1</v>
      </c>
      <c r="U1325">
        <v>1</v>
      </c>
      <c r="V1325">
        <v>1</v>
      </c>
      <c r="W1325">
        <v>1</v>
      </c>
      <c r="AA1325">
        <v>-7212.0646999999999</v>
      </c>
      <c r="AB1325">
        <v>-7212.0646999999999</v>
      </c>
      <c r="AC1325">
        <v>-7212.0646999999999</v>
      </c>
      <c r="AD1325">
        <v>-7212.0646999999999</v>
      </c>
      <c r="AE1325">
        <v>-7212.0646999999999</v>
      </c>
      <c r="AF1325">
        <v>-981592.90729999996</v>
      </c>
    </row>
    <row r="1326" spans="2:32" x14ac:dyDescent="0.25">
      <c r="B1326">
        <f t="shared" si="57"/>
        <v>52</v>
      </c>
      <c r="C1326">
        <v>1</v>
      </c>
      <c r="D1326">
        <v>1</v>
      </c>
      <c r="E1326">
        <v>1</v>
      </c>
      <c r="F1326">
        <v>1</v>
      </c>
      <c r="G1326">
        <v>1</v>
      </c>
      <c r="J1326">
        <f t="shared" si="58"/>
        <v>52</v>
      </c>
      <c r="K1326">
        <v>1</v>
      </c>
      <c r="L1326">
        <v>1</v>
      </c>
      <c r="M1326">
        <v>1</v>
      </c>
      <c r="N1326">
        <v>1</v>
      </c>
      <c r="O1326">
        <v>1</v>
      </c>
      <c r="R1326">
        <f t="shared" si="59"/>
        <v>52</v>
      </c>
      <c r="S1326">
        <v>1</v>
      </c>
      <c r="T1326">
        <v>1</v>
      </c>
      <c r="U1326">
        <v>1</v>
      </c>
      <c r="V1326">
        <v>1</v>
      </c>
      <c r="W1326">
        <v>1</v>
      </c>
      <c r="AA1326">
        <v>-7079.7435999999998</v>
      </c>
      <c r="AB1326">
        <v>-7079.7435999999998</v>
      </c>
      <c r="AC1326">
        <v>-7079.7435999999998</v>
      </c>
      <c r="AD1326">
        <v>-7079.7435999999998</v>
      </c>
      <c r="AE1326">
        <v>-7079.7435999999998</v>
      </c>
      <c r="AF1326">
        <v>-998556.10360000003</v>
      </c>
    </row>
    <row r="1327" spans="2:32" x14ac:dyDescent="0.25">
      <c r="B1327">
        <f t="shared" si="57"/>
        <v>53</v>
      </c>
      <c r="C1327">
        <v>1</v>
      </c>
      <c r="D1327">
        <v>1</v>
      </c>
      <c r="E1327">
        <v>1</v>
      </c>
      <c r="F1327">
        <v>1</v>
      </c>
      <c r="G1327">
        <v>1</v>
      </c>
      <c r="J1327">
        <f t="shared" si="58"/>
        <v>53</v>
      </c>
      <c r="K1327">
        <v>1</v>
      </c>
      <c r="L1327">
        <v>1</v>
      </c>
      <c r="M1327">
        <v>1</v>
      </c>
      <c r="N1327">
        <v>1</v>
      </c>
      <c r="O1327">
        <v>1</v>
      </c>
      <c r="R1327">
        <f t="shared" si="59"/>
        <v>53</v>
      </c>
      <c r="S1327">
        <v>1</v>
      </c>
      <c r="T1327">
        <v>1</v>
      </c>
      <c r="U1327">
        <v>1</v>
      </c>
      <c r="V1327">
        <v>1</v>
      </c>
      <c r="W1327">
        <v>1</v>
      </c>
      <c r="AA1327">
        <v>-6945.0875999999998</v>
      </c>
      <c r="AB1327">
        <v>-6945.0875999999998</v>
      </c>
      <c r="AC1327">
        <v>-6945.0875999999998</v>
      </c>
      <c r="AD1327">
        <v>-6945.0875999999998</v>
      </c>
      <c r="AE1327">
        <v>-6945.0875999999998</v>
      </c>
      <c r="AF1327">
        <v>-1015461.3278</v>
      </c>
    </row>
    <row r="1328" spans="2:32" x14ac:dyDescent="0.25">
      <c r="B1328">
        <f t="shared" si="57"/>
        <v>54</v>
      </c>
      <c r="C1328">
        <v>1</v>
      </c>
      <c r="D1328">
        <v>1</v>
      </c>
      <c r="E1328">
        <v>1</v>
      </c>
      <c r="F1328">
        <v>1</v>
      </c>
      <c r="G1328">
        <v>1</v>
      </c>
      <c r="J1328">
        <f t="shared" si="58"/>
        <v>54</v>
      </c>
      <c r="K1328">
        <v>1</v>
      </c>
      <c r="L1328">
        <v>1</v>
      </c>
      <c r="M1328">
        <v>1</v>
      </c>
      <c r="N1328">
        <v>1</v>
      </c>
      <c r="O1328">
        <v>1</v>
      </c>
      <c r="R1328">
        <f t="shared" si="59"/>
        <v>54</v>
      </c>
      <c r="S1328">
        <v>1</v>
      </c>
      <c r="T1328">
        <v>1</v>
      </c>
      <c r="U1328">
        <v>1</v>
      </c>
      <c r="V1328">
        <v>1</v>
      </c>
      <c r="W1328">
        <v>1</v>
      </c>
      <c r="AA1328">
        <v>-6808.2438000000002</v>
      </c>
      <c r="AB1328">
        <v>-6808.2438000000002</v>
      </c>
      <c r="AC1328">
        <v>-6808.2438000000002</v>
      </c>
      <c r="AD1328">
        <v>-6808.2438000000002</v>
      </c>
      <c r="AE1328">
        <v>-6808.2438000000002</v>
      </c>
      <c r="AF1328">
        <v>-1033869.6813000001</v>
      </c>
    </row>
    <row r="1329" spans="2:32" x14ac:dyDescent="0.25">
      <c r="B1329">
        <f t="shared" si="57"/>
        <v>55</v>
      </c>
      <c r="C1329">
        <v>1</v>
      </c>
      <c r="D1329">
        <v>1</v>
      </c>
      <c r="E1329">
        <v>1</v>
      </c>
      <c r="F1329">
        <v>1</v>
      </c>
      <c r="G1329">
        <v>1</v>
      </c>
      <c r="J1329">
        <f t="shared" si="58"/>
        <v>55</v>
      </c>
      <c r="K1329">
        <v>1</v>
      </c>
      <c r="L1329">
        <v>1</v>
      </c>
      <c r="M1329">
        <v>1</v>
      </c>
      <c r="N1329">
        <v>1</v>
      </c>
      <c r="O1329">
        <v>1</v>
      </c>
      <c r="R1329">
        <f t="shared" si="59"/>
        <v>55</v>
      </c>
      <c r="S1329">
        <v>1</v>
      </c>
      <c r="T1329">
        <v>1</v>
      </c>
      <c r="U1329">
        <v>1</v>
      </c>
      <c r="V1329">
        <v>1</v>
      </c>
      <c r="W1329">
        <v>1</v>
      </c>
      <c r="AA1329">
        <v>-6669.2525999999998</v>
      </c>
      <c r="AB1329">
        <v>-6669.2525999999998</v>
      </c>
      <c r="AC1329">
        <v>-6669.2525999999998</v>
      </c>
      <c r="AD1329">
        <v>-6669.2525999999998</v>
      </c>
      <c r="AE1329">
        <v>-6669.2525999999998</v>
      </c>
      <c r="AF1329">
        <v>-1050810.2549999999</v>
      </c>
    </row>
    <row r="1330" spans="2:32" x14ac:dyDescent="0.25">
      <c r="B1330">
        <f t="shared" si="57"/>
        <v>56</v>
      </c>
      <c r="C1330">
        <v>1</v>
      </c>
      <c r="D1330">
        <v>1</v>
      </c>
      <c r="E1330">
        <v>1</v>
      </c>
      <c r="F1330">
        <v>1</v>
      </c>
      <c r="G1330">
        <v>1</v>
      </c>
      <c r="J1330">
        <f t="shared" si="58"/>
        <v>56</v>
      </c>
      <c r="K1330">
        <v>1</v>
      </c>
      <c r="L1330">
        <v>1</v>
      </c>
      <c r="M1330">
        <v>1</v>
      </c>
      <c r="N1330">
        <v>1</v>
      </c>
      <c r="O1330">
        <v>1</v>
      </c>
      <c r="R1330">
        <f t="shared" si="59"/>
        <v>56</v>
      </c>
      <c r="S1330">
        <v>1</v>
      </c>
      <c r="T1330">
        <v>1</v>
      </c>
      <c r="U1330">
        <v>1</v>
      </c>
      <c r="V1330">
        <v>1</v>
      </c>
      <c r="W1330">
        <v>1</v>
      </c>
      <c r="AA1330">
        <v>-6528.2992000000004</v>
      </c>
      <c r="AB1330">
        <v>-6528.2992000000004</v>
      </c>
      <c r="AC1330">
        <v>-6528.2992000000004</v>
      </c>
      <c r="AD1330">
        <v>-6528.2992000000004</v>
      </c>
      <c r="AE1330">
        <v>-6528.2992000000004</v>
      </c>
      <c r="AF1330">
        <v>-1073295.8774000001</v>
      </c>
    </row>
    <row r="1331" spans="2:32" x14ac:dyDescent="0.25">
      <c r="B1331">
        <f t="shared" si="57"/>
        <v>57</v>
      </c>
      <c r="C1331">
        <v>1</v>
      </c>
      <c r="D1331">
        <v>1</v>
      </c>
      <c r="E1331">
        <v>1</v>
      </c>
      <c r="F1331">
        <v>1</v>
      </c>
      <c r="G1331">
        <v>1</v>
      </c>
      <c r="J1331">
        <f t="shared" si="58"/>
        <v>57</v>
      </c>
      <c r="K1331">
        <v>1</v>
      </c>
      <c r="L1331">
        <v>1</v>
      </c>
      <c r="M1331">
        <v>1</v>
      </c>
      <c r="N1331">
        <v>1</v>
      </c>
      <c r="O1331">
        <v>1</v>
      </c>
      <c r="R1331">
        <f t="shared" si="59"/>
        <v>57</v>
      </c>
      <c r="S1331">
        <v>1</v>
      </c>
      <c r="T1331">
        <v>1</v>
      </c>
      <c r="U1331">
        <v>1</v>
      </c>
      <c r="V1331">
        <v>1</v>
      </c>
      <c r="W1331">
        <v>1</v>
      </c>
      <c r="AA1331">
        <v>-6385.5230000000001</v>
      </c>
      <c r="AB1331">
        <v>-6385.5230000000001</v>
      </c>
      <c r="AC1331">
        <v>-6385.5230000000001</v>
      </c>
      <c r="AD1331">
        <v>-6385.5230000000001</v>
      </c>
      <c r="AE1331">
        <v>-6385.5230000000001</v>
      </c>
      <c r="AF1331">
        <v>-1093242.6832999999</v>
      </c>
    </row>
    <row r="1332" spans="2:32" x14ac:dyDescent="0.25">
      <c r="B1332">
        <f t="shared" si="57"/>
        <v>58</v>
      </c>
      <c r="C1332">
        <v>1</v>
      </c>
      <c r="D1332">
        <v>1</v>
      </c>
      <c r="E1332">
        <v>1</v>
      </c>
      <c r="F1332">
        <v>1</v>
      </c>
      <c r="G1332">
        <v>1</v>
      </c>
      <c r="J1332">
        <f t="shared" si="58"/>
        <v>58</v>
      </c>
      <c r="K1332">
        <v>1</v>
      </c>
      <c r="L1332">
        <v>1</v>
      </c>
      <c r="M1332">
        <v>1</v>
      </c>
      <c r="N1332">
        <v>1</v>
      </c>
      <c r="O1332">
        <v>1</v>
      </c>
      <c r="R1332">
        <f t="shared" si="59"/>
        <v>58</v>
      </c>
      <c r="S1332">
        <v>1</v>
      </c>
      <c r="T1332">
        <v>1</v>
      </c>
      <c r="U1332">
        <v>1</v>
      </c>
      <c r="V1332">
        <v>1</v>
      </c>
      <c r="W1332">
        <v>1</v>
      </c>
      <c r="AA1332">
        <v>-6240.8730999999998</v>
      </c>
      <c r="AB1332">
        <v>-6240.8730999999998</v>
      </c>
      <c r="AC1332">
        <v>-6240.8730999999998</v>
      </c>
      <c r="AD1332">
        <v>-6240.8730999999998</v>
      </c>
      <c r="AE1332">
        <v>-6240.8730999999998</v>
      </c>
      <c r="AF1332">
        <v>-1114366.6444000001</v>
      </c>
    </row>
    <row r="1333" spans="2:32" x14ac:dyDescent="0.25">
      <c r="B1333">
        <f t="shared" si="57"/>
        <v>59</v>
      </c>
      <c r="C1333">
        <v>1</v>
      </c>
      <c r="D1333">
        <v>1</v>
      </c>
      <c r="E1333">
        <v>1</v>
      </c>
      <c r="F1333">
        <v>1</v>
      </c>
      <c r="G1333">
        <v>1</v>
      </c>
      <c r="J1333">
        <f t="shared" si="58"/>
        <v>59</v>
      </c>
      <c r="K1333">
        <v>1</v>
      </c>
      <c r="L1333">
        <v>1</v>
      </c>
      <c r="M1333">
        <v>1</v>
      </c>
      <c r="N1333">
        <v>1</v>
      </c>
      <c r="O1333">
        <v>1</v>
      </c>
      <c r="R1333">
        <f t="shared" si="59"/>
        <v>59</v>
      </c>
      <c r="S1333">
        <v>1</v>
      </c>
      <c r="T1333">
        <v>1</v>
      </c>
      <c r="U1333">
        <v>1</v>
      </c>
      <c r="V1333">
        <v>1</v>
      </c>
      <c r="W1333">
        <v>1</v>
      </c>
      <c r="AA1333">
        <v>-6094.3262999999997</v>
      </c>
      <c r="AB1333">
        <v>-6094.3262999999997</v>
      </c>
      <c r="AC1333">
        <v>-6094.3262999999997</v>
      </c>
      <c r="AD1333">
        <v>-6094.3262999999997</v>
      </c>
      <c r="AE1333">
        <v>-6094.3262999999997</v>
      </c>
      <c r="AF1333">
        <v>-1136284.0146999999</v>
      </c>
    </row>
    <row r="1334" spans="2:32" x14ac:dyDescent="0.25">
      <c r="B1334">
        <f t="shared" si="57"/>
        <v>60</v>
      </c>
      <c r="C1334">
        <v>1</v>
      </c>
      <c r="D1334">
        <v>1</v>
      </c>
      <c r="E1334">
        <v>1</v>
      </c>
      <c r="F1334">
        <v>1</v>
      </c>
      <c r="G1334">
        <v>1</v>
      </c>
      <c r="J1334">
        <f t="shared" si="58"/>
        <v>60</v>
      </c>
      <c r="K1334">
        <v>1</v>
      </c>
      <c r="L1334">
        <v>1</v>
      </c>
      <c r="M1334">
        <v>1</v>
      </c>
      <c r="N1334">
        <v>1</v>
      </c>
      <c r="O1334">
        <v>1</v>
      </c>
      <c r="R1334">
        <f t="shared" si="59"/>
        <v>60</v>
      </c>
      <c r="S1334">
        <v>1</v>
      </c>
      <c r="T1334">
        <v>1</v>
      </c>
      <c r="U1334">
        <v>1</v>
      </c>
      <c r="V1334">
        <v>1</v>
      </c>
      <c r="W1334">
        <v>1</v>
      </c>
      <c r="AA1334">
        <v>-5945.9960000000001</v>
      </c>
      <c r="AB1334">
        <v>-5945.9960000000001</v>
      </c>
      <c r="AC1334">
        <v>-5945.9960000000001</v>
      </c>
      <c r="AD1334">
        <v>-5945.9960000000001</v>
      </c>
      <c r="AE1334">
        <v>-5945.9960000000001</v>
      </c>
      <c r="AF1334">
        <v>-1157801.6717999999</v>
      </c>
    </row>
    <row r="1335" spans="2:32" x14ac:dyDescent="0.25">
      <c r="B1335">
        <f t="shared" si="57"/>
        <v>61</v>
      </c>
      <c r="C1335">
        <v>1</v>
      </c>
      <c r="D1335">
        <v>1</v>
      </c>
      <c r="E1335">
        <v>1</v>
      </c>
      <c r="F1335">
        <v>1</v>
      </c>
      <c r="G1335">
        <v>1</v>
      </c>
      <c r="J1335">
        <f t="shared" si="58"/>
        <v>61</v>
      </c>
      <c r="K1335">
        <v>1</v>
      </c>
      <c r="L1335">
        <v>1</v>
      </c>
      <c r="M1335">
        <v>1</v>
      </c>
      <c r="N1335">
        <v>1</v>
      </c>
      <c r="O1335">
        <v>1</v>
      </c>
      <c r="R1335">
        <f t="shared" si="59"/>
        <v>61</v>
      </c>
      <c r="S1335">
        <v>1</v>
      </c>
      <c r="T1335">
        <v>1</v>
      </c>
      <c r="U1335">
        <v>1</v>
      </c>
      <c r="V1335">
        <v>1</v>
      </c>
      <c r="W1335">
        <v>1</v>
      </c>
      <c r="AA1335">
        <v>-5796.3015999999998</v>
      </c>
      <c r="AB1335">
        <v>-5796.3015999999998</v>
      </c>
      <c r="AC1335">
        <v>-5796.3015999999998</v>
      </c>
      <c r="AD1335">
        <v>-5796.3015999999998</v>
      </c>
      <c r="AE1335">
        <v>-5796.3015999999998</v>
      </c>
      <c r="AF1335">
        <v>-1178581.4038</v>
      </c>
    </row>
    <row r="1336" spans="2:32" x14ac:dyDescent="0.25">
      <c r="B1336">
        <f t="shared" si="57"/>
        <v>62</v>
      </c>
      <c r="C1336">
        <v>1</v>
      </c>
      <c r="D1336">
        <v>1</v>
      </c>
      <c r="E1336">
        <v>1</v>
      </c>
      <c r="F1336">
        <v>1</v>
      </c>
      <c r="G1336">
        <v>1</v>
      </c>
      <c r="J1336">
        <f t="shared" si="58"/>
        <v>62</v>
      </c>
      <c r="K1336">
        <v>1</v>
      </c>
      <c r="L1336">
        <v>1</v>
      </c>
      <c r="M1336">
        <v>1</v>
      </c>
      <c r="N1336">
        <v>1</v>
      </c>
      <c r="O1336">
        <v>1</v>
      </c>
      <c r="R1336">
        <f t="shared" si="59"/>
        <v>62</v>
      </c>
      <c r="S1336">
        <v>1</v>
      </c>
      <c r="T1336">
        <v>1</v>
      </c>
      <c r="U1336">
        <v>1</v>
      </c>
      <c r="V1336">
        <v>1</v>
      </c>
      <c r="W1336">
        <v>1</v>
      </c>
      <c r="AA1336">
        <v>-5645.2415000000001</v>
      </c>
      <c r="AB1336">
        <v>-5645.2415000000001</v>
      </c>
      <c r="AC1336">
        <v>-5645.2415000000001</v>
      </c>
      <c r="AD1336">
        <v>-5645.2415000000001</v>
      </c>
      <c r="AE1336">
        <v>-5645.2415000000001</v>
      </c>
      <c r="AF1336">
        <v>-1199521.5327000001</v>
      </c>
    </row>
    <row r="1337" spans="2:32" x14ac:dyDescent="0.25">
      <c r="B1337">
        <f t="shared" si="57"/>
        <v>63</v>
      </c>
      <c r="C1337">
        <v>1</v>
      </c>
      <c r="D1337">
        <v>1</v>
      </c>
      <c r="E1337">
        <v>1</v>
      </c>
      <c r="F1337">
        <v>1</v>
      </c>
      <c r="G1337">
        <v>1</v>
      </c>
      <c r="J1337">
        <f t="shared" si="58"/>
        <v>63</v>
      </c>
      <c r="K1337">
        <v>1</v>
      </c>
      <c r="L1337">
        <v>1</v>
      </c>
      <c r="M1337">
        <v>1</v>
      </c>
      <c r="N1337">
        <v>1</v>
      </c>
      <c r="O1337">
        <v>1</v>
      </c>
      <c r="R1337">
        <f t="shared" si="59"/>
        <v>63</v>
      </c>
      <c r="S1337">
        <v>1</v>
      </c>
      <c r="T1337">
        <v>1</v>
      </c>
      <c r="U1337">
        <v>1</v>
      </c>
      <c r="V1337">
        <v>1</v>
      </c>
      <c r="W1337">
        <v>1</v>
      </c>
      <c r="AA1337">
        <v>-5492.4920000000002</v>
      </c>
      <c r="AB1337">
        <v>-5492.4920000000002</v>
      </c>
      <c r="AC1337">
        <v>-5492.4920000000002</v>
      </c>
      <c r="AD1337">
        <v>-5492.4920000000002</v>
      </c>
      <c r="AE1337">
        <v>-5492.4920000000002</v>
      </c>
      <c r="AF1337">
        <v>-1220461.6269</v>
      </c>
    </row>
    <row r="1338" spans="2:32" x14ac:dyDescent="0.25">
      <c r="B1338">
        <f t="shared" si="57"/>
        <v>64</v>
      </c>
      <c r="C1338">
        <v>1</v>
      </c>
      <c r="D1338">
        <v>1</v>
      </c>
      <c r="E1338">
        <v>1</v>
      </c>
      <c r="F1338">
        <v>1</v>
      </c>
      <c r="G1338">
        <v>1</v>
      </c>
      <c r="J1338">
        <f t="shared" si="58"/>
        <v>64</v>
      </c>
      <c r="K1338">
        <v>1</v>
      </c>
      <c r="L1338">
        <v>1</v>
      </c>
      <c r="M1338">
        <v>1</v>
      </c>
      <c r="N1338">
        <v>1</v>
      </c>
      <c r="O1338">
        <v>1</v>
      </c>
      <c r="R1338">
        <f t="shared" si="59"/>
        <v>64</v>
      </c>
      <c r="S1338">
        <v>1</v>
      </c>
      <c r="T1338">
        <v>1</v>
      </c>
      <c r="U1338">
        <v>1</v>
      </c>
      <c r="V1338">
        <v>1</v>
      </c>
      <c r="W1338">
        <v>1</v>
      </c>
      <c r="AA1338">
        <v>-5338.1817000000001</v>
      </c>
      <c r="AB1338">
        <v>-5338.1817000000001</v>
      </c>
      <c r="AC1338">
        <v>-5338.1817000000001</v>
      </c>
      <c r="AD1338">
        <v>-5338.1817000000001</v>
      </c>
      <c r="AE1338">
        <v>-5338.1817000000001</v>
      </c>
      <c r="AF1338">
        <v>-1240652.2526</v>
      </c>
    </row>
    <row r="1339" spans="2:32" x14ac:dyDescent="0.25">
      <c r="B1339">
        <f t="shared" si="57"/>
        <v>65</v>
      </c>
      <c r="C1339">
        <v>1</v>
      </c>
      <c r="D1339">
        <v>1</v>
      </c>
      <c r="E1339">
        <v>1</v>
      </c>
      <c r="F1339">
        <v>1</v>
      </c>
      <c r="G1339">
        <v>1</v>
      </c>
      <c r="J1339">
        <f t="shared" si="58"/>
        <v>65</v>
      </c>
      <c r="K1339">
        <v>1</v>
      </c>
      <c r="L1339">
        <v>1</v>
      </c>
      <c r="M1339">
        <v>1</v>
      </c>
      <c r="N1339">
        <v>1</v>
      </c>
      <c r="O1339">
        <v>1</v>
      </c>
      <c r="R1339">
        <f t="shared" si="59"/>
        <v>65</v>
      </c>
      <c r="S1339">
        <v>1</v>
      </c>
      <c r="T1339">
        <v>1</v>
      </c>
      <c r="U1339">
        <v>1</v>
      </c>
      <c r="V1339">
        <v>1</v>
      </c>
      <c r="W1339">
        <v>1</v>
      </c>
      <c r="AA1339">
        <v>-5182.2268999999997</v>
      </c>
      <c r="AB1339">
        <v>-5182.2268999999997</v>
      </c>
      <c r="AC1339">
        <v>-5182.2268999999997</v>
      </c>
      <c r="AD1339">
        <v>-5182.2268999999997</v>
      </c>
      <c r="AE1339">
        <v>-5182.2268999999997</v>
      </c>
      <c r="AF1339">
        <v>-1260049.8302</v>
      </c>
    </row>
    <row r="1342" spans="2:32" x14ac:dyDescent="0.25">
      <c r="B1342" t="s">
        <v>46</v>
      </c>
      <c r="C1342">
        <v>50000</v>
      </c>
      <c r="D1342">
        <v>100000</v>
      </c>
      <c r="E1342">
        <v>250000</v>
      </c>
      <c r="F1342">
        <v>500000</v>
      </c>
      <c r="G1342">
        <v>1000000</v>
      </c>
      <c r="H1342">
        <v>2000000</v>
      </c>
      <c r="J1342" t="s">
        <v>47</v>
      </c>
      <c r="K1342">
        <v>50000</v>
      </c>
      <c r="L1342">
        <v>100000</v>
      </c>
      <c r="M1342">
        <v>250000</v>
      </c>
      <c r="N1342">
        <v>500000</v>
      </c>
      <c r="O1342">
        <v>1000000</v>
      </c>
      <c r="P1342">
        <v>2000000</v>
      </c>
      <c r="R1342" t="s">
        <v>48</v>
      </c>
      <c r="S1342">
        <v>50000</v>
      </c>
      <c r="T1342">
        <v>100000</v>
      </c>
      <c r="U1342">
        <v>250000</v>
      </c>
      <c r="V1342">
        <v>500000</v>
      </c>
      <c r="W1342">
        <v>1000000</v>
      </c>
      <c r="X1342">
        <v>2000000</v>
      </c>
    </row>
    <row r="1343" spans="2:32" x14ac:dyDescent="0.25">
      <c r="B1343">
        <v>26</v>
      </c>
      <c r="C1343">
        <v>1</v>
      </c>
      <c r="D1343">
        <v>1</v>
      </c>
      <c r="E1343">
        <v>1</v>
      </c>
      <c r="F1343">
        <v>1</v>
      </c>
      <c r="G1343">
        <v>1</v>
      </c>
      <c r="H1343">
        <v>1</v>
      </c>
      <c r="J1343">
        <v>26</v>
      </c>
      <c r="K1343">
        <v>1</v>
      </c>
      <c r="L1343">
        <v>1</v>
      </c>
      <c r="M1343">
        <v>1</v>
      </c>
      <c r="N1343">
        <v>1</v>
      </c>
      <c r="O1343">
        <v>1</v>
      </c>
      <c r="P1343">
        <v>1</v>
      </c>
      <c r="R1343">
        <v>26</v>
      </c>
      <c r="S1343">
        <v>1</v>
      </c>
      <c r="T1343">
        <v>1</v>
      </c>
      <c r="U1343">
        <v>1</v>
      </c>
      <c r="V1343">
        <v>1</v>
      </c>
      <c r="W1343">
        <v>1</v>
      </c>
      <c r="X1343">
        <v>1</v>
      </c>
    </row>
    <row r="1344" spans="2:32" x14ac:dyDescent="0.25">
      <c r="B1344">
        <v>27</v>
      </c>
      <c r="C1344">
        <v>1</v>
      </c>
      <c r="D1344">
        <v>1</v>
      </c>
      <c r="E1344">
        <v>1</v>
      </c>
      <c r="F1344">
        <v>1</v>
      </c>
      <c r="G1344">
        <v>1</v>
      </c>
      <c r="H1344">
        <v>1</v>
      </c>
      <c r="J1344">
        <v>27</v>
      </c>
      <c r="K1344">
        <v>1</v>
      </c>
      <c r="L1344">
        <v>1</v>
      </c>
      <c r="M1344">
        <v>1</v>
      </c>
      <c r="N1344">
        <v>1</v>
      </c>
      <c r="O1344">
        <v>1</v>
      </c>
      <c r="P1344">
        <v>1</v>
      </c>
      <c r="R1344">
        <v>27</v>
      </c>
      <c r="S1344">
        <v>1</v>
      </c>
      <c r="T1344">
        <v>1</v>
      </c>
      <c r="U1344">
        <v>1</v>
      </c>
      <c r="V1344">
        <v>1</v>
      </c>
      <c r="W1344">
        <v>1</v>
      </c>
      <c r="X1344">
        <v>1</v>
      </c>
    </row>
    <row r="1345" spans="2:24" x14ac:dyDescent="0.25">
      <c r="B1345">
        <v>28</v>
      </c>
      <c r="C1345">
        <v>1</v>
      </c>
      <c r="D1345">
        <v>1</v>
      </c>
      <c r="E1345">
        <v>1</v>
      </c>
      <c r="F1345">
        <v>1</v>
      </c>
      <c r="G1345">
        <v>1</v>
      </c>
      <c r="H1345">
        <v>1</v>
      </c>
      <c r="J1345">
        <v>28</v>
      </c>
      <c r="K1345">
        <v>1</v>
      </c>
      <c r="L1345">
        <v>1</v>
      </c>
      <c r="M1345">
        <v>1</v>
      </c>
      <c r="N1345">
        <v>1</v>
      </c>
      <c r="O1345">
        <v>1</v>
      </c>
      <c r="P1345">
        <v>1</v>
      </c>
      <c r="R1345">
        <v>28</v>
      </c>
      <c r="S1345">
        <v>1</v>
      </c>
      <c r="T1345">
        <v>1</v>
      </c>
      <c r="U1345">
        <v>1</v>
      </c>
      <c r="V1345">
        <v>1</v>
      </c>
      <c r="W1345">
        <v>1</v>
      </c>
      <c r="X1345">
        <v>1</v>
      </c>
    </row>
    <row r="1346" spans="2:24" x14ac:dyDescent="0.25">
      <c r="B1346">
        <v>29</v>
      </c>
      <c r="C1346">
        <v>1</v>
      </c>
      <c r="D1346">
        <v>1</v>
      </c>
      <c r="E1346">
        <v>1</v>
      </c>
      <c r="F1346">
        <v>1</v>
      </c>
      <c r="G1346">
        <v>1</v>
      </c>
      <c r="H1346">
        <v>1</v>
      </c>
      <c r="J1346">
        <v>29</v>
      </c>
      <c r="K1346">
        <v>1</v>
      </c>
      <c r="L1346">
        <v>1</v>
      </c>
      <c r="M1346">
        <v>1</v>
      </c>
      <c r="N1346">
        <v>1</v>
      </c>
      <c r="O1346">
        <v>1</v>
      </c>
      <c r="P1346">
        <v>1</v>
      </c>
      <c r="R1346">
        <v>29</v>
      </c>
      <c r="S1346">
        <v>1</v>
      </c>
      <c r="T1346">
        <v>1</v>
      </c>
      <c r="U1346">
        <v>1</v>
      </c>
      <c r="V1346">
        <v>1</v>
      </c>
      <c r="W1346">
        <v>1</v>
      </c>
      <c r="X1346">
        <v>1</v>
      </c>
    </row>
    <row r="1347" spans="2:24" x14ac:dyDescent="0.25">
      <c r="B1347">
        <v>30</v>
      </c>
      <c r="C1347">
        <v>1</v>
      </c>
      <c r="D1347">
        <v>1</v>
      </c>
      <c r="E1347">
        <v>1</v>
      </c>
      <c r="F1347">
        <v>1</v>
      </c>
      <c r="G1347">
        <v>1</v>
      </c>
      <c r="H1347">
        <v>1</v>
      </c>
      <c r="J1347">
        <v>30</v>
      </c>
      <c r="K1347">
        <v>1</v>
      </c>
      <c r="L1347">
        <v>1</v>
      </c>
      <c r="M1347">
        <v>1</v>
      </c>
      <c r="N1347">
        <v>1</v>
      </c>
      <c r="O1347">
        <v>1</v>
      </c>
      <c r="P1347">
        <v>1</v>
      </c>
      <c r="R1347">
        <v>30</v>
      </c>
      <c r="S1347">
        <v>1</v>
      </c>
      <c r="T1347">
        <v>1</v>
      </c>
      <c r="U1347">
        <v>1</v>
      </c>
      <c r="V1347">
        <v>1</v>
      </c>
      <c r="W1347">
        <v>1</v>
      </c>
      <c r="X1347">
        <v>1</v>
      </c>
    </row>
    <row r="1348" spans="2:24" x14ac:dyDescent="0.25">
      <c r="B1348">
        <v>31</v>
      </c>
      <c r="C1348">
        <v>1</v>
      </c>
      <c r="D1348">
        <v>1</v>
      </c>
      <c r="E1348">
        <v>1</v>
      </c>
      <c r="F1348">
        <v>1</v>
      </c>
      <c r="G1348">
        <v>1</v>
      </c>
      <c r="H1348">
        <v>1</v>
      </c>
      <c r="J1348">
        <v>31</v>
      </c>
      <c r="K1348">
        <v>1</v>
      </c>
      <c r="L1348">
        <v>1</v>
      </c>
      <c r="M1348">
        <v>1</v>
      </c>
      <c r="N1348">
        <v>1</v>
      </c>
      <c r="O1348">
        <v>1</v>
      </c>
      <c r="P1348">
        <v>1</v>
      </c>
      <c r="R1348">
        <v>31</v>
      </c>
      <c r="S1348">
        <v>1</v>
      </c>
      <c r="T1348">
        <v>1</v>
      </c>
      <c r="U1348">
        <v>1</v>
      </c>
      <c r="V1348">
        <v>1</v>
      </c>
      <c r="W1348">
        <v>1</v>
      </c>
      <c r="X1348">
        <v>1</v>
      </c>
    </row>
    <row r="1349" spans="2:24" x14ac:dyDescent="0.25">
      <c r="B1349">
        <v>32</v>
      </c>
      <c r="C1349">
        <v>1</v>
      </c>
      <c r="D1349">
        <v>1</v>
      </c>
      <c r="E1349">
        <v>1</v>
      </c>
      <c r="F1349">
        <v>1</v>
      </c>
      <c r="G1349">
        <v>1</v>
      </c>
      <c r="H1349">
        <v>1</v>
      </c>
      <c r="J1349">
        <v>32</v>
      </c>
      <c r="K1349">
        <v>1</v>
      </c>
      <c r="L1349">
        <v>1</v>
      </c>
      <c r="M1349">
        <v>1</v>
      </c>
      <c r="N1349">
        <v>1</v>
      </c>
      <c r="O1349">
        <v>1</v>
      </c>
      <c r="P1349">
        <v>1</v>
      </c>
      <c r="R1349">
        <v>32</v>
      </c>
      <c r="S1349">
        <v>1</v>
      </c>
      <c r="T1349">
        <v>1</v>
      </c>
      <c r="U1349">
        <v>1</v>
      </c>
      <c r="V1349">
        <v>1</v>
      </c>
      <c r="W1349">
        <v>1</v>
      </c>
      <c r="X1349">
        <v>1</v>
      </c>
    </row>
    <row r="1350" spans="2:24" x14ac:dyDescent="0.25">
      <c r="B1350">
        <v>33</v>
      </c>
      <c r="C1350">
        <v>1</v>
      </c>
      <c r="D1350">
        <v>1</v>
      </c>
      <c r="E1350">
        <v>1</v>
      </c>
      <c r="F1350">
        <v>1</v>
      </c>
      <c r="G1350">
        <v>1</v>
      </c>
      <c r="H1350">
        <v>1</v>
      </c>
      <c r="J1350">
        <v>33</v>
      </c>
      <c r="K1350">
        <v>1</v>
      </c>
      <c r="L1350">
        <v>1</v>
      </c>
      <c r="M1350">
        <v>1</v>
      </c>
      <c r="N1350">
        <v>1</v>
      </c>
      <c r="O1350">
        <v>1</v>
      </c>
      <c r="P1350">
        <v>1</v>
      </c>
      <c r="R1350">
        <v>33</v>
      </c>
      <c r="S1350">
        <v>1</v>
      </c>
      <c r="T1350">
        <v>1</v>
      </c>
      <c r="U1350">
        <v>1</v>
      </c>
      <c r="V1350">
        <v>1</v>
      </c>
      <c r="W1350">
        <v>1</v>
      </c>
      <c r="X1350">
        <v>1</v>
      </c>
    </row>
    <row r="1351" spans="2:24" x14ac:dyDescent="0.25">
      <c r="B1351">
        <v>34</v>
      </c>
      <c r="C1351">
        <v>1</v>
      </c>
      <c r="D1351">
        <v>1</v>
      </c>
      <c r="E1351">
        <v>1</v>
      </c>
      <c r="F1351">
        <v>1</v>
      </c>
      <c r="G1351">
        <v>1</v>
      </c>
      <c r="H1351">
        <v>1</v>
      </c>
      <c r="J1351">
        <v>34</v>
      </c>
      <c r="K1351">
        <v>1</v>
      </c>
      <c r="L1351">
        <v>1</v>
      </c>
      <c r="M1351">
        <v>1</v>
      </c>
      <c r="N1351">
        <v>1</v>
      </c>
      <c r="O1351">
        <v>1</v>
      </c>
      <c r="P1351">
        <v>1</v>
      </c>
      <c r="R1351">
        <v>34</v>
      </c>
      <c r="S1351">
        <v>1</v>
      </c>
      <c r="T1351">
        <v>1</v>
      </c>
      <c r="U1351">
        <v>1</v>
      </c>
      <c r="V1351">
        <v>1</v>
      </c>
      <c r="W1351">
        <v>1</v>
      </c>
      <c r="X1351">
        <v>1</v>
      </c>
    </row>
    <row r="1352" spans="2:24" x14ac:dyDescent="0.25">
      <c r="B1352">
        <v>35</v>
      </c>
      <c r="C1352">
        <v>1</v>
      </c>
      <c r="D1352">
        <v>1</v>
      </c>
      <c r="E1352">
        <v>1</v>
      </c>
      <c r="F1352">
        <v>1</v>
      </c>
      <c r="G1352">
        <v>1</v>
      </c>
      <c r="H1352">
        <v>1</v>
      </c>
      <c r="J1352">
        <v>35</v>
      </c>
      <c r="K1352">
        <v>1</v>
      </c>
      <c r="L1352">
        <v>1</v>
      </c>
      <c r="M1352">
        <v>1</v>
      </c>
      <c r="N1352">
        <v>1</v>
      </c>
      <c r="O1352">
        <v>1</v>
      </c>
      <c r="P1352">
        <v>1</v>
      </c>
      <c r="R1352">
        <v>35</v>
      </c>
      <c r="S1352">
        <v>1</v>
      </c>
      <c r="T1352">
        <v>1</v>
      </c>
      <c r="U1352">
        <v>1</v>
      </c>
      <c r="V1352">
        <v>1</v>
      </c>
      <c r="W1352">
        <v>1</v>
      </c>
      <c r="X1352">
        <v>1</v>
      </c>
    </row>
    <row r="1353" spans="2:24" x14ac:dyDescent="0.25">
      <c r="B1353">
        <v>36</v>
      </c>
      <c r="C1353">
        <v>1</v>
      </c>
      <c r="D1353">
        <v>1</v>
      </c>
      <c r="E1353">
        <v>1</v>
      </c>
      <c r="F1353">
        <v>1</v>
      </c>
      <c r="G1353">
        <v>1</v>
      </c>
      <c r="H1353">
        <v>1</v>
      </c>
      <c r="J1353">
        <v>36</v>
      </c>
      <c r="K1353">
        <v>1</v>
      </c>
      <c r="L1353">
        <v>1</v>
      </c>
      <c r="M1353">
        <v>1</v>
      </c>
      <c r="N1353">
        <v>1</v>
      </c>
      <c r="O1353">
        <v>1</v>
      </c>
      <c r="P1353">
        <v>1</v>
      </c>
      <c r="R1353">
        <v>36</v>
      </c>
      <c r="S1353">
        <v>1</v>
      </c>
      <c r="T1353">
        <v>1</v>
      </c>
      <c r="U1353">
        <v>1</v>
      </c>
      <c r="V1353">
        <v>1</v>
      </c>
      <c r="W1353">
        <v>1</v>
      </c>
      <c r="X1353">
        <v>1</v>
      </c>
    </row>
    <row r="1354" spans="2:24" x14ac:dyDescent="0.25">
      <c r="B1354">
        <v>37</v>
      </c>
      <c r="C1354">
        <v>1</v>
      </c>
      <c r="D1354">
        <v>1</v>
      </c>
      <c r="E1354">
        <v>1</v>
      </c>
      <c r="F1354">
        <v>1</v>
      </c>
      <c r="G1354">
        <v>1</v>
      </c>
      <c r="H1354">
        <v>1</v>
      </c>
      <c r="J1354">
        <v>37</v>
      </c>
      <c r="K1354">
        <v>1</v>
      </c>
      <c r="L1354">
        <v>1</v>
      </c>
      <c r="M1354">
        <v>1</v>
      </c>
      <c r="N1354">
        <v>1</v>
      </c>
      <c r="O1354">
        <v>1</v>
      </c>
      <c r="P1354">
        <v>1</v>
      </c>
      <c r="R1354">
        <v>37</v>
      </c>
      <c r="S1354">
        <v>1</v>
      </c>
      <c r="T1354">
        <v>1</v>
      </c>
      <c r="U1354">
        <v>1</v>
      </c>
      <c r="V1354">
        <v>1</v>
      </c>
      <c r="W1354">
        <v>1</v>
      </c>
      <c r="X1354">
        <v>1</v>
      </c>
    </row>
    <row r="1355" spans="2:24" x14ac:dyDescent="0.25">
      <c r="B1355">
        <v>38</v>
      </c>
      <c r="C1355">
        <v>1</v>
      </c>
      <c r="D1355">
        <v>1</v>
      </c>
      <c r="E1355">
        <v>1</v>
      </c>
      <c r="F1355">
        <v>1</v>
      </c>
      <c r="G1355">
        <v>1</v>
      </c>
      <c r="H1355">
        <v>1</v>
      </c>
      <c r="J1355">
        <v>38</v>
      </c>
      <c r="K1355">
        <v>1</v>
      </c>
      <c r="L1355">
        <v>1</v>
      </c>
      <c r="M1355">
        <v>1</v>
      </c>
      <c r="N1355">
        <v>1</v>
      </c>
      <c r="O1355">
        <v>1</v>
      </c>
      <c r="P1355">
        <v>1</v>
      </c>
      <c r="R1355">
        <v>38</v>
      </c>
      <c r="S1355">
        <v>1</v>
      </c>
      <c r="T1355">
        <v>1</v>
      </c>
      <c r="U1355">
        <v>1</v>
      </c>
      <c r="V1355">
        <v>1</v>
      </c>
      <c r="W1355">
        <v>1</v>
      </c>
      <c r="X1355">
        <v>1</v>
      </c>
    </row>
    <row r="1356" spans="2:24" x14ac:dyDescent="0.25">
      <c r="B1356">
        <v>39</v>
      </c>
      <c r="C1356">
        <v>1</v>
      </c>
      <c r="D1356">
        <v>1</v>
      </c>
      <c r="E1356">
        <v>1</v>
      </c>
      <c r="F1356">
        <v>1</v>
      </c>
      <c r="G1356">
        <v>1</v>
      </c>
      <c r="H1356">
        <v>1</v>
      </c>
      <c r="J1356">
        <v>39</v>
      </c>
      <c r="K1356">
        <v>1</v>
      </c>
      <c r="L1356">
        <v>1</v>
      </c>
      <c r="M1356">
        <v>1</v>
      </c>
      <c r="N1356">
        <v>1</v>
      </c>
      <c r="O1356">
        <v>1</v>
      </c>
      <c r="P1356">
        <v>1</v>
      </c>
      <c r="R1356">
        <v>39</v>
      </c>
      <c r="S1356">
        <v>1</v>
      </c>
      <c r="T1356">
        <v>1</v>
      </c>
      <c r="U1356">
        <v>1</v>
      </c>
      <c r="V1356">
        <v>1</v>
      </c>
      <c r="W1356">
        <v>1</v>
      </c>
      <c r="X1356">
        <v>1</v>
      </c>
    </row>
    <row r="1357" spans="2:24" x14ac:dyDescent="0.25">
      <c r="B1357">
        <v>40</v>
      </c>
      <c r="C1357">
        <v>1</v>
      </c>
      <c r="D1357">
        <v>1</v>
      </c>
      <c r="E1357">
        <v>1</v>
      </c>
      <c r="F1357">
        <v>1</v>
      </c>
      <c r="G1357">
        <v>1</v>
      </c>
      <c r="H1357">
        <v>1</v>
      </c>
      <c r="J1357">
        <v>40</v>
      </c>
      <c r="K1357">
        <v>1</v>
      </c>
      <c r="L1357">
        <v>1</v>
      </c>
      <c r="M1357">
        <v>1</v>
      </c>
      <c r="N1357">
        <v>1</v>
      </c>
      <c r="O1357">
        <v>1</v>
      </c>
      <c r="P1357">
        <v>1</v>
      </c>
      <c r="R1357">
        <v>40</v>
      </c>
      <c r="S1357">
        <v>1</v>
      </c>
      <c r="T1357">
        <v>1</v>
      </c>
      <c r="U1357">
        <v>1</v>
      </c>
      <c r="V1357">
        <v>1</v>
      </c>
      <c r="W1357">
        <v>1</v>
      </c>
      <c r="X1357">
        <v>1</v>
      </c>
    </row>
    <row r="1358" spans="2:24" x14ac:dyDescent="0.25">
      <c r="B1358">
        <v>41</v>
      </c>
      <c r="C1358">
        <v>1</v>
      </c>
      <c r="D1358">
        <v>1</v>
      </c>
      <c r="E1358">
        <v>1</v>
      </c>
      <c r="F1358">
        <v>1</v>
      </c>
      <c r="G1358">
        <v>1</v>
      </c>
      <c r="H1358">
        <v>1</v>
      </c>
      <c r="J1358">
        <v>41</v>
      </c>
      <c r="K1358">
        <v>1</v>
      </c>
      <c r="L1358">
        <v>1</v>
      </c>
      <c r="M1358">
        <v>1</v>
      </c>
      <c r="N1358">
        <v>1</v>
      </c>
      <c r="O1358">
        <v>1</v>
      </c>
      <c r="P1358">
        <v>1</v>
      </c>
      <c r="R1358">
        <v>41</v>
      </c>
      <c r="S1358">
        <v>1</v>
      </c>
      <c r="T1358">
        <v>1</v>
      </c>
      <c r="U1358">
        <v>1</v>
      </c>
      <c r="V1358">
        <v>1</v>
      </c>
      <c r="W1358">
        <v>1</v>
      </c>
      <c r="X1358">
        <v>1</v>
      </c>
    </row>
    <row r="1359" spans="2:24" x14ac:dyDescent="0.25">
      <c r="B1359">
        <v>42</v>
      </c>
      <c r="C1359">
        <v>1</v>
      </c>
      <c r="D1359">
        <v>1</v>
      </c>
      <c r="E1359">
        <v>1</v>
      </c>
      <c r="F1359">
        <v>1</v>
      </c>
      <c r="G1359">
        <v>1</v>
      </c>
      <c r="H1359">
        <v>1</v>
      </c>
      <c r="J1359">
        <v>42</v>
      </c>
      <c r="K1359">
        <v>1</v>
      </c>
      <c r="L1359">
        <v>1</v>
      </c>
      <c r="M1359">
        <v>1</v>
      </c>
      <c r="N1359">
        <v>1</v>
      </c>
      <c r="O1359">
        <v>1</v>
      </c>
      <c r="P1359">
        <v>1</v>
      </c>
      <c r="R1359">
        <v>42</v>
      </c>
      <c r="S1359">
        <v>1</v>
      </c>
      <c r="T1359">
        <v>1</v>
      </c>
      <c r="U1359">
        <v>1</v>
      </c>
      <c r="V1359">
        <v>1</v>
      </c>
      <c r="W1359">
        <v>1</v>
      </c>
      <c r="X1359">
        <v>1</v>
      </c>
    </row>
    <row r="1360" spans="2:24" x14ac:dyDescent="0.25">
      <c r="B1360">
        <v>43</v>
      </c>
      <c r="C1360">
        <v>1</v>
      </c>
      <c r="D1360">
        <v>1</v>
      </c>
      <c r="E1360">
        <v>1</v>
      </c>
      <c r="F1360">
        <v>1</v>
      </c>
      <c r="G1360">
        <v>1</v>
      </c>
      <c r="H1360">
        <v>1</v>
      </c>
      <c r="J1360">
        <v>43</v>
      </c>
      <c r="K1360">
        <v>1</v>
      </c>
      <c r="L1360">
        <v>1</v>
      </c>
      <c r="M1360">
        <v>1</v>
      </c>
      <c r="N1360">
        <v>1</v>
      </c>
      <c r="O1360">
        <v>1</v>
      </c>
      <c r="P1360">
        <v>1</v>
      </c>
      <c r="R1360">
        <v>43</v>
      </c>
      <c r="S1360">
        <v>1</v>
      </c>
      <c r="T1360">
        <v>1</v>
      </c>
      <c r="U1360">
        <v>1</v>
      </c>
      <c r="V1360">
        <v>1</v>
      </c>
      <c r="W1360">
        <v>1</v>
      </c>
      <c r="X1360">
        <v>1</v>
      </c>
    </row>
    <row r="1361" spans="2:24" x14ac:dyDescent="0.25">
      <c r="B1361">
        <v>44</v>
      </c>
      <c r="C1361">
        <v>1</v>
      </c>
      <c r="D1361">
        <v>1</v>
      </c>
      <c r="E1361">
        <v>1</v>
      </c>
      <c r="F1361">
        <v>1</v>
      </c>
      <c r="G1361">
        <v>1</v>
      </c>
      <c r="H1361">
        <v>1</v>
      </c>
      <c r="J1361">
        <v>44</v>
      </c>
      <c r="K1361">
        <v>1</v>
      </c>
      <c r="L1361">
        <v>1</v>
      </c>
      <c r="M1361">
        <v>1</v>
      </c>
      <c r="N1361">
        <v>1</v>
      </c>
      <c r="O1361">
        <v>1</v>
      </c>
      <c r="P1361">
        <v>1</v>
      </c>
      <c r="R1361">
        <v>44</v>
      </c>
      <c r="S1361">
        <v>1</v>
      </c>
      <c r="T1361">
        <v>1</v>
      </c>
      <c r="U1361">
        <v>1</v>
      </c>
      <c r="V1361">
        <v>1</v>
      </c>
      <c r="W1361">
        <v>1</v>
      </c>
      <c r="X1361">
        <v>1</v>
      </c>
    </row>
    <row r="1362" spans="2:24" x14ac:dyDescent="0.25">
      <c r="B1362">
        <v>45</v>
      </c>
      <c r="C1362">
        <v>1</v>
      </c>
      <c r="D1362">
        <v>1</v>
      </c>
      <c r="E1362">
        <v>1</v>
      </c>
      <c r="F1362">
        <v>1</v>
      </c>
      <c r="G1362">
        <v>1</v>
      </c>
      <c r="H1362">
        <v>1</v>
      </c>
      <c r="J1362">
        <v>45</v>
      </c>
      <c r="K1362">
        <v>1</v>
      </c>
      <c r="L1362">
        <v>1</v>
      </c>
      <c r="M1362">
        <v>1</v>
      </c>
      <c r="N1362">
        <v>1</v>
      </c>
      <c r="O1362">
        <v>1</v>
      </c>
      <c r="P1362">
        <v>1</v>
      </c>
      <c r="R1362">
        <v>45</v>
      </c>
      <c r="S1362">
        <v>1</v>
      </c>
      <c r="T1362">
        <v>1</v>
      </c>
      <c r="U1362">
        <v>1</v>
      </c>
      <c r="V1362">
        <v>1</v>
      </c>
      <c r="W1362">
        <v>1</v>
      </c>
      <c r="X1362">
        <v>1</v>
      </c>
    </row>
    <row r="1363" spans="2:24" x14ac:dyDescent="0.25">
      <c r="B1363">
        <v>46</v>
      </c>
      <c r="C1363">
        <v>1</v>
      </c>
      <c r="D1363">
        <v>1</v>
      </c>
      <c r="E1363">
        <v>1</v>
      </c>
      <c r="F1363">
        <v>1</v>
      </c>
      <c r="G1363">
        <v>1</v>
      </c>
      <c r="H1363">
        <v>1</v>
      </c>
      <c r="J1363">
        <v>46</v>
      </c>
      <c r="K1363">
        <v>1</v>
      </c>
      <c r="L1363">
        <v>1</v>
      </c>
      <c r="M1363">
        <v>1</v>
      </c>
      <c r="N1363">
        <v>1</v>
      </c>
      <c r="O1363">
        <v>1</v>
      </c>
      <c r="P1363">
        <v>1</v>
      </c>
      <c r="R1363">
        <v>46</v>
      </c>
      <c r="S1363">
        <v>1</v>
      </c>
      <c r="T1363">
        <v>1</v>
      </c>
      <c r="U1363">
        <v>1</v>
      </c>
      <c r="V1363">
        <v>1</v>
      </c>
      <c r="W1363">
        <v>1</v>
      </c>
      <c r="X1363">
        <v>1</v>
      </c>
    </row>
    <row r="1364" spans="2:24" x14ac:dyDescent="0.25">
      <c r="B1364">
        <v>47</v>
      </c>
      <c r="C1364">
        <v>1</v>
      </c>
      <c r="D1364">
        <v>1</v>
      </c>
      <c r="E1364">
        <v>1</v>
      </c>
      <c r="F1364">
        <v>1</v>
      </c>
      <c r="G1364">
        <v>1</v>
      </c>
      <c r="H1364">
        <v>1</v>
      </c>
      <c r="J1364">
        <v>47</v>
      </c>
      <c r="K1364">
        <v>1</v>
      </c>
      <c r="L1364">
        <v>1</v>
      </c>
      <c r="M1364">
        <v>1</v>
      </c>
      <c r="N1364">
        <v>1</v>
      </c>
      <c r="O1364">
        <v>1</v>
      </c>
      <c r="P1364">
        <v>1</v>
      </c>
      <c r="R1364">
        <v>47</v>
      </c>
      <c r="S1364">
        <v>1</v>
      </c>
      <c r="T1364">
        <v>1</v>
      </c>
      <c r="U1364">
        <v>1</v>
      </c>
      <c r="V1364">
        <v>1</v>
      </c>
      <c r="W1364">
        <v>1</v>
      </c>
      <c r="X1364">
        <v>1</v>
      </c>
    </row>
    <row r="1365" spans="2:24" x14ac:dyDescent="0.25">
      <c r="B1365">
        <v>48</v>
      </c>
      <c r="C1365">
        <v>1</v>
      </c>
      <c r="D1365">
        <v>1</v>
      </c>
      <c r="E1365">
        <v>1</v>
      </c>
      <c r="F1365">
        <v>1</v>
      </c>
      <c r="G1365">
        <v>1</v>
      </c>
      <c r="H1365">
        <v>1</v>
      </c>
      <c r="J1365">
        <v>48</v>
      </c>
      <c r="K1365">
        <v>1</v>
      </c>
      <c r="L1365">
        <v>1</v>
      </c>
      <c r="M1365">
        <v>1</v>
      </c>
      <c r="N1365">
        <v>1</v>
      </c>
      <c r="O1365">
        <v>1</v>
      </c>
      <c r="P1365">
        <v>1</v>
      </c>
      <c r="R1365">
        <v>48</v>
      </c>
      <c r="S1365">
        <v>1</v>
      </c>
      <c r="T1365">
        <v>1</v>
      </c>
      <c r="U1365">
        <v>1</v>
      </c>
      <c r="V1365">
        <v>1</v>
      </c>
      <c r="W1365">
        <v>1</v>
      </c>
      <c r="X1365">
        <v>1</v>
      </c>
    </row>
    <row r="1366" spans="2:24" x14ac:dyDescent="0.25">
      <c r="B1366">
        <v>49</v>
      </c>
      <c r="C1366">
        <v>1</v>
      </c>
      <c r="D1366">
        <v>1</v>
      </c>
      <c r="E1366">
        <v>1</v>
      </c>
      <c r="F1366">
        <v>1</v>
      </c>
      <c r="G1366">
        <v>1</v>
      </c>
      <c r="H1366">
        <v>1</v>
      </c>
      <c r="J1366">
        <v>49</v>
      </c>
      <c r="K1366">
        <v>1</v>
      </c>
      <c r="L1366">
        <v>1</v>
      </c>
      <c r="M1366">
        <v>1</v>
      </c>
      <c r="N1366">
        <v>1</v>
      </c>
      <c r="O1366">
        <v>1</v>
      </c>
      <c r="P1366">
        <v>1</v>
      </c>
      <c r="R1366">
        <v>49</v>
      </c>
      <c r="S1366">
        <v>1</v>
      </c>
      <c r="T1366">
        <v>1</v>
      </c>
      <c r="U1366">
        <v>1</v>
      </c>
      <c r="V1366">
        <v>1</v>
      </c>
      <c r="W1366">
        <v>1</v>
      </c>
      <c r="X1366">
        <v>1</v>
      </c>
    </row>
    <row r="1367" spans="2:24" x14ac:dyDescent="0.25">
      <c r="B1367">
        <v>50</v>
      </c>
      <c r="C1367">
        <v>1</v>
      </c>
      <c r="D1367">
        <v>1</v>
      </c>
      <c r="E1367">
        <v>1</v>
      </c>
      <c r="F1367">
        <v>1</v>
      </c>
      <c r="G1367">
        <v>1</v>
      </c>
      <c r="H1367">
        <v>1</v>
      </c>
      <c r="J1367">
        <v>50</v>
      </c>
      <c r="K1367">
        <v>1</v>
      </c>
      <c r="L1367">
        <v>1</v>
      </c>
      <c r="M1367">
        <v>1</v>
      </c>
      <c r="N1367">
        <v>1</v>
      </c>
      <c r="O1367">
        <v>1</v>
      </c>
      <c r="P1367">
        <v>1</v>
      </c>
      <c r="R1367">
        <v>50</v>
      </c>
      <c r="S1367">
        <v>1</v>
      </c>
      <c r="T1367">
        <v>1</v>
      </c>
      <c r="U1367">
        <v>1</v>
      </c>
      <c r="V1367">
        <v>1</v>
      </c>
      <c r="W1367">
        <v>1</v>
      </c>
      <c r="X1367">
        <v>1</v>
      </c>
    </row>
    <row r="1368" spans="2:24" x14ac:dyDescent="0.25">
      <c r="B1368">
        <v>51</v>
      </c>
      <c r="C1368">
        <v>1</v>
      </c>
      <c r="D1368">
        <v>1</v>
      </c>
      <c r="E1368">
        <v>1</v>
      </c>
      <c r="F1368">
        <v>1</v>
      </c>
      <c r="G1368">
        <v>1</v>
      </c>
      <c r="H1368">
        <v>1</v>
      </c>
      <c r="J1368">
        <v>51</v>
      </c>
      <c r="K1368">
        <v>1</v>
      </c>
      <c r="L1368">
        <v>1</v>
      </c>
      <c r="M1368">
        <v>1</v>
      </c>
      <c r="N1368">
        <v>1</v>
      </c>
      <c r="O1368">
        <v>1</v>
      </c>
      <c r="P1368">
        <v>1</v>
      </c>
      <c r="R1368">
        <v>51</v>
      </c>
      <c r="S1368">
        <v>1</v>
      </c>
      <c r="T1368">
        <v>1</v>
      </c>
      <c r="U1368">
        <v>1</v>
      </c>
      <c r="V1368">
        <v>1</v>
      </c>
      <c r="W1368">
        <v>1</v>
      </c>
      <c r="X1368">
        <v>1</v>
      </c>
    </row>
    <row r="1369" spans="2:24" x14ac:dyDescent="0.25">
      <c r="B1369">
        <v>52</v>
      </c>
      <c r="C1369">
        <v>1</v>
      </c>
      <c r="D1369">
        <v>1</v>
      </c>
      <c r="E1369">
        <v>1</v>
      </c>
      <c r="F1369">
        <v>1</v>
      </c>
      <c r="G1369">
        <v>1</v>
      </c>
      <c r="H1369">
        <v>1</v>
      </c>
      <c r="J1369">
        <v>52</v>
      </c>
      <c r="K1369">
        <v>1</v>
      </c>
      <c r="L1369">
        <v>1</v>
      </c>
      <c r="M1369">
        <v>1</v>
      </c>
      <c r="N1369">
        <v>1</v>
      </c>
      <c r="O1369">
        <v>1</v>
      </c>
      <c r="P1369">
        <v>1</v>
      </c>
      <c r="R1369">
        <v>52</v>
      </c>
      <c r="S1369">
        <v>1</v>
      </c>
      <c r="T1369">
        <v>1</v>
      </c>
      <c r="U1369">
        <v>1</v>
      </c>
      <c r="V1369">
        <v>1</v>
      </c>
      <c r="W1369">
        <v>1</v>
      </c>
      <c r="X1369">
        <v>1</v>
      </c>
    </row>
    <row r="1370" spans="2:24" x14ac:dyDescent="0.25">
      <c r="B1370">
        <v>53</v>
      </c>
      <c r="C1370">
        <v>1</v>
      </c>
      <c r="D1370">
        <v>1</v>
      </c>
      <c r="E1370">
        <v>1</v>
      </c>
      <c r="F1370">
        <v>1</v>
      </c>
      <c r="G1370">
        <v>1</v>
      </c>
      <c r="H1370">
        <v>1</v>
      </c>
      <c r="J1370">
        <v>53</v>
      </c>
      <c r="K1370">
        <v>1</v>
      </c>
      <c r="L1370">
        <v>1</v>
      </c>
      <c r="M1370">
        <v>1</v>
      </c>
      <c r="N1370">
        <v>1</v>
      </c>
      <c r="O1370">
        <v>1</v>
      </c>
      <c r="P1370">
        <v>1</v>
      </c>
      <c r="R1370">
        <v>53</v>
      </c>
      <c r="S1370">
        <v>1</v>
      </c>
      <c r="T1370">
        <v>1</v>
      </c>
      <c r="U1370">
        <v>1</v>
      </c>
      <c r="V1370">
        <v>1</v>
      </c>
      <c r="W1370">
        <v>1</v>
      </c>
      <c r="X1370">
        <v>1</v>
      </c>
    </row>
    <row r="1371" spans="2:24" x14ac:dyDescent="0.25">
      <c r="B1371">
        <v>54</v>
      </c>
      <c r="C1371">
        <v>1</v>
      </c>
      <c r="D1371">
        <v>1</v>
      </c>
      <c r="E1371">
        <v>1</v>
      </c>
      <c r="F1371">
        <v>1</v>
      </c>
      <c r="G1371">
        <v>1</v>
      </c>
      <c r="H1371">
        <v>1</v>
      </c>
      <c r="J1371">
        <v>54</v>
      </c>
      <c r="K1371">
        <v>1</v>
      </c>
      <c r="L1371">
        <v>1</v>
      </c>
      <c r="M1371">
        <v>1</v>
      </c>
      <c r="N1371">
        <v>1</v>
      </c>
      <c r="O1371">
        <v>1</v>
      </c>
      <c r="P1371">
        <v>1</v>
      </c>
      <c r="R1371">
        <v>54</v>
      </c>
      <c r="S1371">
        <v>1</v>
      </c>
      <c r="T1371">
        <v>1</v>
      </c>
      <c r="U1371">
        <v>1</v>
      </c>
      <c r="V1371">
        <v>1</v>
      </c>
      <c r="W1371">
        <v>1</v>
      </c>
      <c r="X1371">
        <v>1</v>
      </c>
    </row>
    <row r="1372" spans="2:24" x14ac:dyDescent="0.25">
      <c r="B1372">
        <v>55</v>
      </c>
      <c r="C1372">
        <v>1</v>
      </c>
      <c r="D1372">
        <v>1</v>
      </c>
      <c r="E1372">
        <v>1</v>
      </c>
      <c r="F1372">
        <v>1</v>
      </c>
      <c r="G1372">
        <v>1</v>
      </c>
      <c r="H1372">
        <v>1</v>
      </c>
      <c r="J1372">
        <v>55</v>
      </c>
      <c r="K1372">
        <v>1</v>
      </c>
      <c r="L1372">
        <v>1</v>
      </c>
      <c r="M1372">
        <v>1</v>
      </c>
      <c r="N1372">
        <v>1</v>
      </c>
      <c r="O1372">
        <v>1</v>
      </c>
      <c r="P1372">
        <v>1</v>
      </c>
      <c r="R1372">
        <v>55</v>
      </c>
      <c r="S1372">
        <v>1</v>
      </c>
      <c r="T1372">
        <v>1</v>
      </c>
      <c r="U1372">
        <v>1</v>
      </c>
      <c r="V1372">
        <v>1</v>
      </c>
      <c r="W1372">
        <v>1</v>
      </c>
      <c r="X1372">
        <v>1</v>
      </c>
    </row>
    <row r="1375" spans="2:24" x14ac:dyDescent="0.25">
      <c r="B1375" t="s">
        <v>46</v>
      </c>
      <c r="C1375">
        <v>100000</v>
      </c>
      <c r="D1375">
        <v>250000</v>
      </c>
      <c r="E1375">
        <v>500000</v>
      </c>
      <c r="F1375">
        <v>1000000</v>
      </c>
      <c r="G1375">
        <v>2000000</v>
      </c>
      <c r="J1375" t="s">
        <v>32</v>
      </c>
      <c r="K1375">
        <v>100000</v>
      </c>
      <c r="L1375">
        <v>250000</v>
      </c>
      <c r="M1375">
        <v>500000</v>
      </c>
      <c r="N1375">
        <v>1000000</v>
      </c>
      <c r="O1375">
        <v>2000000</v>
      </c>
      <c r="R1375" t="s">
        <v>48</v>
      </c>
      <c r="S1375">
        <v>100000</v>
      </c>
      <c r="T1375">
        <v>250000</v>
      </c>
      <c r="U1375">
        <v>500000</v>
      </c>
      <c r="V1375">
        <v>1000000</v>
      </c>
      <c r="W1375">
        <v>2000000</v>
      </c>
    </row>
    <row r="1376" spans="2:24" x14ac:dyDescent="0.25">
      <c r="B1376">
        <v>35</v>
      </c>
      <c r="C1376">
        <v>1</v>
      </c>
      <c r="D1376">
        <v>1</v>
      </c>
      <c r="E1376">
        <v>1</v>
      </c>
      <c r="F1376">
        <v>1</v>
      </c>
      <c r="G1376">
        <v>1</v>
      </c>
      <c r="J1376">
        <v>35</v>
      </c>
      <c r="K1376">
        <v>1</v>
      </c>
      <c r="L1376">
        <v>1</v>
      </c>
      <c r="M1376">
        <v>1</v>
      </c>
      <c r="N1376">
        <v>1</v>
      </c>
      <c r="O1376">
        <v>1</v>
      </c>
      <c r="R1376">
        <v>35</v>
      </c>
      <c r="S1376">
        <v>1</v>
      </c>
      <c r="T1376">
        <v>1</v>
      </c>
      <c r="U1376">
        <v>1</v>
      </c>
      <c r="V1376">
        <v>1</v>
      </c>
      <c r="W1376">
        <v>1</v>
      </c>
    </row>
    <row r="1377" spans="2:23" x14ac:dyDescent="0.25">
      <c r="B1377">
        <f t="shared" ref="B1377:B1406" si="60">B1376+1</f>
        <v>36</v>
      </c>
      <c r="C1377">
        <v>1</v>
      </c>
      <c r="D1377">
        <v>1</v>
      </c>
      <c r="E1377">
        <v>1</v>
      </c>
      <c r="F1377">
        <v>1</v>
      </c>
      <c r="G1377">
        <v>1</v>
      </c>
      <c r="J1377">
        <f t="shared" ref="J1377:J1406" si="61">J1376+1</f>
        <v>36</v>
      </c>
      <c r="K1377">
        <v>1</v>
      </c>
      <c r="L1377">
        <v>1</v>
      </c>
      <c r="M1377">
        <v>1</v>
      </c>
      <c r="N1377">
        <v>1</v>
      </c>
      <c r="O1377">
        <v>1</v>
      </c>
      <c r="R1377">
        <f t="shared" ref="R1377:R1406" si="62">R1376+1</f>
        <v>36</v>
      </c>
      <c r="S1377">
        <v>1</v>
      </c>
      <c r="T1377">
        <v>1</v>
      </c>
      <c r="U1377">
        <v>1</v>
      </c>
      <c r="V1377">
        <v>1</v>
      </c>
      <c r="W1377">
        <v>1</v>
      </c>
    </row>
    <row r="1378" spans="2:23" x14ac:dyDescent="0.25">
      <c r="B1378">
        <f t="shared" si="60"/>
        <v>37</v>
      </c>
      <c r="C1378">
        <v>1</v>
      </c>
      <c r="D1378">
        <v>1</v>
      </c>
      <c r="E1378">
        <v>1</v>
      </c>
      <c r="F1378">
        <v>1</v>
      </c>
      <c r="G1378">
        <v>1</v>
      </c>
      <c r="J1378">
        <f t="shared" si="61"/>
        <v>37</v>
      </c>
      <c r="K1378">
        <v>1</v>
      </c>
      <c r="L1378">
        <v>1</v>
      </c>
      <c r="M1378">
        <v>1</v>
      </c>
      <c r="N1378">
        <v>1</v>
      </c>
      <c r="O1378">
        <v>1</v>
      </c>
      <c r="R1378">
        <f t="shared" si="62"/>
        <v>37</v>
      </c>
      <c r="S1378">
        <v>1</v>
      </c>
      <c r="T1378">
        <v>1</v>
      </c>
      <c r="U1378">
        <v>1</v>
      </c>
      <c r="V1378">
        <v>1</v>
      </c>
      <c r="W1378">
        <v>1</v>
      </c>
    </row>
    <row r="1379" spans="2:23" x14ac:dyDescent="0.25">
      <c r="B1379">
        <f t="shared" si="60"/>
        <v>38</v>
      </c>
      <c r="C1379">
        <v>1</v>
      </c>
      <c r="D1379">
        <v>1</v>
      </c>
      <c r="E1379">
        <v>1</v>
      </c>
      <c r="F1379">
        <v>1</v>
      </c>
      <c r="G1379">
        <v>1</v>
      </c>
      <c r="J1379">
        <f t="shared" si="61"/>
        <v>38</v>
      </c>
      <c r="K1379">
        <v>1</v>
      </c>
      <c r="L1379">
        <v>1</v>
      </c>
      <c r="M1379">
        <v>1</v>
      </c>
      <c r="N1379">
        <v>1</v>
      </c>
      <c r="O1379">
        <v>1</v>
      </c>
      <c r="R1379">
        <f t="shared" si="62"/>
        <v>38</v>
      </c>
      <c r="S1379">
        <v>1</v>
      </c>
      <c r="T1379">
        <v>1</v>
      </c>
      <c r="U1379">
        <v>1</v>
      </c>
      <c r="V1379">
        <v>1</v>
      </c>
      <c r="W1379">
        <v>1</v>
      </c>
    </row>
    <row r="1380" spans="2:23" x14ac:dyDescent="0.25">
      <c r="B1380">
        <f t="shared" si="60"/>
        <v>39</v>
      </c>
      <c r="C1380">
        <v>1</v>
      </c>
      <c r="D1380">
        <v>1</v>
      </c>
      <c r="E1380">
        <v>1</v>
      </c>
      <c r="F1380">
        <v>1</v>
      </c>
      <c r="G1380">
        <v>1</v>
      </c>
      <c r="J1380">
        <f t="shared" si="61"/>
        <v>39</v>
      </c>
      <c r="K1380">
        <v>1</v>
      </c>
      <c r="L1380">
        <v>1</v>
      </c>
      <c r="M1380">
        <v>1</v>
      </c>
      <c r="N1380">
        <v>1</v>
      </c>
      <c r="O1380">
        <v>1</v>
      </c>
      <c r="R1380">
        <f t="shared" si="62"/>
        <v>39</v>
      </c>
      <c r="S1380">
        <v>1</v>
      </c>
      <c r="T1380">
        <v>1</v>
      </c>
      <c r="U1380">
        <v>1</v>
      </c>
      <c r="V1380">
        <v>1</v>
      </c>
      <c r="W1380">
        <v>1</v>
      </c>
    </row>
    <row r="1381" spans="2:23" x14ac:dyDescent="0.25">
      <c r="B1381">
        <f t="shared" si="60"/>
        <v>40</v>
      </c>
      <c r="C1381">
        <v>1</v>
      </c>
      <c r="D1381">
        <v>1</v>
      </c>
      <c r="E1381">
        <v>1</v>
      </c>
      <c r="F1381">
        <v>1</v>
      </c>
      <c r="G1381">
        <v>1</v>
      </c>
      <c r="J1381">
        <f t="shared" si="61"/>
        <v>40</v>
      </c>
      <c r="K1381">
        <v>1</v>
      </c>
      <c r="L1381">
        <v>1</v>
      </c>
      <c r="M1381">
        <v>1</v>
      </c>
      <c r="N1381">
        <v>1</v>
      </c>
      <c r="O1381">
        <v>1</v>
      </c>
      <c r="R1381">
        <f t="shared" si="62"/>
        <v>40</v>
      </c>
      <c r="S1381">
        <v>1</v>
      </c>
      <c r="T1381">
        <v>1</v>
      </c>
      <c r="U1381">
        <v>1</v>
      </c>
      <c r="V1381">
        <v>1</v>
      </c>
      <c r="W1381">
        <v>1</v>
      </c>
    </row>
    <row r="1382" spans="2:23" x14ac:dyDescent="0.25">
      <c r="B1382">
        <f t="shared" si="60"/>
        <v>41</v>
      </c>
      <c r="C1382">
        <v>1</v>
      </c>
      <c r="D1382">
        <v>1</v>
      </c>
      <c r="E1382">
        <v>1</v>
      </c>
      <c r="F1382">
        <v>1</v>
      </c>
      <c r="G1382">
        <v>1</v>
      </c>
      <c r="J1382">
        <f t="shared" si="61"/>
        <v>41</v>
      </c>
      <c r="K1382">
        <v>1</v>
      </c>
      <c r="L1382">
        <v>1</v>
      </c>
      <c r="M1382">
        <v>1</v>
      </c>
      <c r="N1382">
        <v>1</v>
      </c>
      <c r="O1382">
        <v>1</v>
      </c>
      <c r="R1382">
        <f t="shared" si="62"/>
        <v>41</v>
      </c>
      <c r="S1382">
        <v>1</v>
      </c>
      <c r="T1382">
        <v>1</v>
      </c>
      <c r="U1382">
        <v>1</v>
      </c>
      <c r="V1382">
        <v>1</v>
      </c>
      <c r="W1382">
        <v>1</v>
      </c>
    </row>
    <row r="1383" spans="2:23" x14ac:dyDescent="0.25">
      <c r="B1383">
        <f t="shared" si="60"/>
        <v>42</v>
      </c>
      <c r="C1383">
        <v>1</v>
      </c>
      <c r="D1383">
        <v>1</v>
      </c>
      <c r="E1383">
        <v>1</v>
      </c>
      <c r="F1383">
        <v>1</v>
      </c>
      <c r="G1383">
        <v>1</v>
      </c>
      <c r="J1383">
        <f t="shared" si="61"/>
        <v>42</v>
      </c>
      <c r="K1383">
        <v>1</v>
      </c>
      <c r="L1383">
        <v>1</v>
      </c>
      <c r="M1383">
        <v>1</v>
      </c>
      <c r="N1383">
        <v>1</v>
      </c>
      <c r="O1383">
        <v>1</v>
      </c>
      <c r="R1383">
        <f t="shared" si="62"/>
        <v>42</v>
      </c>
      <c r="S1383">
        <v>1</v>
      </c>
      <c r="T1383">
        <v>1</v>
      </c>
      <c r="U1383">
        <v>1</v>
      </c>
      <c r="V1383">
        <v>1</v>
      </c>
      <c r="W1383">
        <v>1</v>
      </c>
    </row>
    <row r="1384" spans="2:23" x14ac:dyDescent="0.25">
      <c r="B1384">
        <f t="shared" si="60"/>
        <v>43</v>
      </c>
      <c r="C1384">
        <v>1</v>
      </c>
      <c r="D1384">
        <v>1</v>
      </c>
      <c r="E1384">
        <v>1</v>
      </c>
      <c r="F1384">
        <v>1</v>
      </c>
      <c r="G1384">
        <v>1</v>
      </c>
      <c r="J1384">
        <f t="shared" si="61"/>
        <v>43</v>
      </c>
      <c r="K1384">
        <v>1</v>
      </c>
      <c r="L1384">
        <v>1</v>
      </c>
      <c r="M1384">
        <v>1</v>
      </c>
      <c r="N1384">
        <v>1</v>
      </c>
      <c r="O1384">
        <v>1</v>
      </c>
      <c r="R1384">
        <f t="shared" si="62"/>
        <v>43</v>
      </c>
      <c r="S1384">
        <v>1</v>
      </c>
      <c r="T1384">
        <v>1</v>
      </c>
      <c r="U1384">
        <v>1</v>
      </c>
      <c r="V1384">
        <v>1</v>
      </c>
      <c r="W1384">
        <v>1</v>
      </c>
    </row>
    <row r="1385" spans="2:23" x14ac:dyDescent="0.25">
      <c r="B1385">
        <f t="shared" si="60"/>
        <v>44</v>
      </c>
      <c r="C1385">
        <v>1</v>
      </c>
      <c r="D1385">
        <v>1</v>
      </c>
      <c r="E1385">
        <v>1</v>
      </c>
      <c r="F1385">
        <v>1</v>
      </c>
      <c r="G1385">
        <v>1</v>
      </c>
      <c r="J1385">
        <f t="shared" si="61"/>
        <v>44</v>
      </c>
      <c r="K1385">
        <v>1</v>
      </c>
      <c r="L1385">
        <v>1</v>
      </c>
      <c r="M1385">
        <v>1</v>
      </c>
      <c r="N1385">
        <v>1</v>
      </c>
      <c r="O1385">
        <v>1</v>
      </c>
      <c r="R1385">
        <f t="shared" si="62"/>
        <v>44</v>
      </c>
      <c r="S1385">
        <v>1</v>
      </c>
      <c r="T1385">
        <v>1</v>
      </c>
      <c r="U1385">
        <v>1</v>
      </c>
      <c r="V1385">
        <v>1</v>
      </c>
      <c r="W1385">
        <v>1</v>
      </c>
    </row>
    <row r="1386" spans="2:23" x14ac:dyDescent="0.25">
      <c r="B1386">
        <f t="shared" si="60"/>
        <v>45</v>
      </c>
      <c r="C1386">
        <v>1</v>
      </c>
      <c r="D1386">
        <v>1</v>
      </c>
      <c r="E1386">
        <v>1</v>
      </c>
      <c r="F1386">
        <v>1</v>
      </c>
      <c r="G1386">
        <v>1</v>
      </c>
      <c r="J1386">
        <f t="shared" si="61"/>
        <v>45</v>
      </c>
      <c r="K1386">
        <v>1</v>
      </c>
      <c r="L1386">
        <v>1</v>
      </c>
      <c r="M1386">
        <v>1</v>
      </c>
      <c r="N1386">
        <v>1</v>
      </c>
      <c r="O1386">
        <v>1</v>
      </c>
      <c r="R1386">
        <f t="shared" si="62"/>
        <v>45</v>
      </c>
      <c r="S1386">
        <v>1</v>
      </c>
      <c r="T1386">
        <v>1</v>
      </c>
      <c r="U1386">
        <v>1</v>
      </c>
      <c r="V1386">
        <v>1</v>
      </c>
      <c r="W1386">
        <v>1</v>
      </c>
    </row>
    <row r="1387" spans="2:23" x14ac:dyDescent="0.25">
      <c r="B1387">
        <f t="shared" si="60"/>
        <v>46</v>
      </c>
      <c r="C1387">
        <v>1</v>
      </c>
      <c r="D1387">
        <v>1</v>
      </c>
      <c r="E1387">
        <v>1</v>
      </c>
      <c r="F1387">
        <v>1</v>
      </c>
      <c r="G1387">
        <v>1</v>
      </c>
      <c r="J1387">
        <f t="shared" si="61"/>
        <v>46</v>
      </c>
      <c r="K1387">
        <v>1</v>
      </c>
      <c r="L1387">
        <v>1</v>
      </c>
      <c r="M1387">
        <v>1</v>
      </c>
      <c r="N1387">
        <v>1</v>
      </c>
      <c r="O1387">
        <v>1</v>
      </c>
      <c r="R1387">
        <f t="shared" si="62"/>
        <v>46</v>
      </c>
      <c r="S1387">
        <v>1</v>
      </c>
      <c r="T1387">
        <v>1</v>
      </c>
      <c r="U1387">
        <v>1</v>
      </c>
      <c r="V1387">
        <v>1</v>
      </c>
      <c r="W1387">
        <v>1</v>
      </c>
    </row>
    <row r="1388" spans="2:23" x14ac:dyDescent="0.25">
      <c r="B1388">
        <f t="shared" si="60"/>
        <v>47</v>
      </c>
      <c r="C1388">
        <v>1</v>
      </c>
      <c r="D1388">
        <v>1</v>
      </c>
      <c r="E1388">
        <v>1</v>
      </c>
      <c r="F1388">
        <v>1</v>
      </c>
      <c r="G1388">
        <v>1</v>
      </c>
      <c r="J1388">
        <f t="shared" si="61"/>
        <v>47</v>
      </c>
      <c r="K1388">
        <v>1</v>
      </c>
      <c r="L1388">
        <v>1</v>
      </c>
      <c r="M1388">
        <v>1</v>
      </c>
      <c r="N1388">
        <v>1</v>
      </c>
      <c r="O1388">
        <v>1</v>
      </c>
      <c r="R1388">
        <f t="shared" si="62"/>
        <v>47</v>
      </c>
      <c r="S1388">
        <v>1</v>
      </c>
      <c r="T1388">
        <v>1</v>
      </c>
      <c r="U1388">
        <v>1</v>
      </c>
      <c r="V1388">
        <v>1</v>
      </c>
      <c r="W1388">
        <v>1</v>
      </c>
    </row>
    <row r="1389" spans="2:23" x14ac:dyDescent="0.25">
      <c r="B1389">
        <f t="shared" si="60"/>
        <v>48</v>
      </c>
      <c r="C1389">
        <v>1</v>
      </c>
      <c r="D1389">
        <v>1</v>
      </c>
      <c r="E1389">
        <v>1</v>
      </c>
      <c r="F1389">
        <v>1</v>
      </c>
      <c r="G1389">
        <v>1</v>
      </c>
      <c r="J1389">
        <f t="shared" si="61"/>
        <v>48</v>
      </c>
      <c r="K1389">
        <v>1</v>
      </c>
      <c r="L1389">
        <v>1</v>
      </c>
      <c r="M1389">
        <v>1</v>
      </c>
      <c r="N1389">
        <v>1</v>
      </c>
      <c r="O1389">
        <v>1</v>
      </c>
      <c r="R1389">
        <f t="shared" si="62"/>
        <v>48</v>
      </c>
      <c r="S1389">
        <v>1</v>
      </c>
      <c r="T1389">
        <v>1</v>
      </c>
      <c r="U1389">
        <v>1</v>
      </c>
      <c r="V1389">
        <v>1</v>
      </c>
      <c r="W1389">
        <v>1</v>
      </c>
    </row>
    <row r="1390" spans="2:23" x14ac:dyDescent="0.25">
      <c r="B1390">
        <f t="shared" si="60"/>
        <v>49</v>
      </c>
      <c r="C1390">
        <v>1</v>
      </c>
      <c r="D1390">
        <v>1</v>
      </c>
      <c r="E1390">
        <v>1</v>
      </c>
      <c r="F1390">
        <v>1</v>
      </c>
      <c r="G1390">
        <v>1</v>
      </c>
      <c r="J1390">
        <f t="shared" si="61"/>
        <v>49</v>
      </c>
      <c r="K1390">
        <v>1</v>
      </c>
      <c r="L1390">
        <v>1</v>
      </c>
      <c r="M1390">
        <v>1</v>
      </c>
      <c r="N1390">
        <v>1</v>
      </c>
      <c r="O1390">
        <v>1</v>
      </c>
      <c r="R1390">
        <f t="shared" si="62"/>
        <v>49</v>
      </c>
      <c r="S1390">
        <v>1</v>
      </c>
      <c r="T1390">
        <v>1</v>
      </c>
      <c r="U1390">
        <v>1</v>
      </c>
      <c r="V1390">
        <v>1</v>
      </c>
      <c r="W1390">
        <v>1</v>
      </c>
    </row>
    <row r="1391" spans="2:23" x14ac:dyDescent="0.25">
      <c r="B1391">
        <f t="shared" si="60"/>
        <v>50</v>
      </c>
      <c r="C1391">
        <v>1</v>
      </c>
      <c r="D1391">
        <v>1</v>
      </c>
      <c r="E1391">
        <v>1</v>
      </c>
      <c r="F1391">
        <v>1</v>
      </c>
      <c r="G1391">
        <v>1</v>
      </c>
      <c r="J1391">
        <f t="shared" si="61"/>
        <v>50</v>
      </c>
      <c r="K1391">
        <v>1</v>
      </c>
      <c r="L1391">
        <v>1</v>
      </c>
      <c r="M1391">
        <v>1</v>
      </c>
      <c r="N1391">
        <v>1</v>
      </c>
      <c r="O1391">
        <v>1</v>
      </c>
      <c r="R1391">
        <f t="shared" si="62"/>
        <v>50</v>
      </c>
      <c r="S1391">
        <v>1</v>
      </c>
      <c r="T1391">
        <v>1</v>
      </c>
      <c r="U1391">
        <v>1</v>
      </c>
      <c r="V1391">
        <v>1</v>
      </c>
      <c r="W1391">
        <v>1</v>
      </c>
    </row>
    <row r="1392" spans="2:23" x14ac:dyDescent="0.25">
      <c r="B1392">
        <f t="shared" si="60"/>
        <v>51</v>
      </c>
      <c r="C1392">
        <v>1</v>
      </c>
      <c r="D1392">
        <v>1</v>
      </c>
      <c r="E1392">
        <v>1</v>
      </c>
      <c r="F1392">
        <v>1</v>
      </c>
      <c r="G1392">
        <v>1</v>
      </c>
      <c r="J1392">
        <f t="shared" si="61"/>
        <v>51</v>
      </c>
      <c r="K1392">
        <v>1</v>
      </c>
      <c r="L1392">
        <v>1</v>
      </c>
      <c r="M1392">
        <v>1</v>
      </c>
      <c r="N1392">
        <v>1</v>
      </c>
      <c r="O1392">
        <v>1</v>
      </c>
      <c r="R1392">
        <f t="shared" si="62"/>
        <v>51</v>
      </c>
      <c r="S1392">
        <v>1</v>
      </c>
      <c r="T1392">
        <v>1</v>
      </c>
      <c r="U1392">
        <v>1</v>
      </c>
      <c r="V1392">
        <v>1</v>
      </c>
      <c r="W1392">
        <v>1</v>
      </c>
    </row>
    <row r="1393" spans="2:23" x14ac:dyDescent="0.25">
      <c r="B1393">
        <f t="shared" si="60"/>
        <v>52</v>
      </c>
      <c r="C1393">
        <v>1</v>
      </c>
      <c r="D1393">
        <v>1</v>
      </c>
      <c r="E1393">
        <v>1</v>
      </c>
      <c r="F1393">
        <v>1</v>
      </c>
      <c r="G1393">
        <v>1</v>
      </c>
      <c r="J1393">
        <f t="shared" si="61"/>
        <v>52</v>
      </c>
      <c r="K1393">
        <v>1</v>
      </c>
      <c r="L1393">
        <v>1</v>
      </c>
      <c r="M1393">
        <v>1</v>
      </c>
      <c r="N1393">
        <v>1</v>
      </c>
      <c r="O1393">
        <v>1</v>
      </c>
      <c r="R1393">
        <f t="shared" si="62"/>
        <v>52</v>
      </c>
      <c r="S1393">
        <v>1</v>
      </c>
      <c r="T1393">
        <v>1</v>
      </c>
      <c r="U1393">
        <v>1</v>
      </c>
      <c r="V1393">
        <v>1</v>
      </c>
      <c r="W1393">
        <v>1</v>
      </c>
    </row>
    <row r="1394" spans="2:23" x14ac:dyDescent="0.25">
      <c r="B1394">
        <f t="shared" si="60"/>
        <v>53</v>
      </c>
      <c r="C1394">
        <v>1</v>
      </c>
      <c r="D1394">
        <v>1</v>
      </c>
      <c r="E1394">
        <v>1</v>
      </c>
      <c r="F1394">
        <v>1</v>
      </c>
      <c r="G1394">
        <v>1</v>
      </c>
      <c r="J1394">
        <f t="shared" si="61"/>
        <v>53</v>
      </c>
      <c r="K1394">
        <v>1</v>
      </c>
      <c r="L1394">
        <v>1</v>
      </c>
      <c r="M1394">
        <v>1</v>
      </c>
      <c r="N1394">
        <v>1</v>
      </c>
      <c r="O1394">
        <v>1</v>
      </c>
      <c r="R1394">
        <f t="shared" si="62"/>
        <v>53</v>
      </c>
      <c r="S1394">
        <v>1</v>
      </c>
      <c r="T1394">
        <v>1</v>
      </c>
      <c r="U1394">
        <v>1</v>
      </c>
      <c r="V1394">
        <v>1</v>
      </c>
      <c r="W1394">
        <v>1</v>
      </c>
    </row>
    <row r="1395" spans="2:23" x14ac:dyDescent="0.25">
      <c r="B1395">
        <f t="shared" si="60"/>
        <v>54</v>
      </c>
      <c r="C1395">
        <v>1</v>
      </c>
      <c r="D1395">
        <v>1</v>
      </c>
      <c r="E1395">
        <v>1</v>
      </c>
      <c r="F1395">
        <v>1</v>
      </c>
      <c r="G1395">
        <v>1</v>
      </c>
      <c r="J1395">
        <f t="shared" si="61"/>
        <v>54</v>
      </c>
      <c r="K1395">
        <v>1</v>
      </c>
      <c r="L1395">
        <v>1</v>
      </c>
      <c r="M1395">
        <v>1</v>
      </c>
      <c r="N1395">
        <v>1</v>
      </c>
      <c r="O1395">
        <v>1</v>
      </c>
      <c r="R1395">
        <f t="shared" si="62"/>
        <v>54</v>
      </c>
      <c r="S1395">
        <v>1</v>
      </c>
      <c r="T1395">
        <v>1</v>
      </c>
      <c r="U1395">
        <v>1</v>
      </c>
      <c r="V1395">
        <v>1</v>
      </c>
      <c r="W1395">
        <v>1</v>
      </c>
    </row>
    <row r="1396" spans="2:23" x14ac:dyDescent="0.25">
      <c r="B1396">
        <f t="shared" si="60"/>
        <v>55</v>
      </c>
      <c r="C1396">
        <v>1</v>
      </c>
      <c r="D1396">
        <v>1</v>
      </c>
      <c r="E1396">
        <v>1</v>
      </c>
      <c r="F1396">
        <v>1</v>
      </c>
      <c r="G1396">
        <v>1</v>
      </c>
      <c r="J1396">
        <f t="shared" si="61"/>
        <v>55</v>
      </c>
      <c r="K1396">
        <v>1</v>
      </c>
      <c r="L1396">
        <v>1</v>
      </c>
      <c r="M1396">
        <v>1</v>
      </c>
      <c r="N1396">
        <v>1</v>
      </c>
      <c r="O1396">
        <v>1</v>
      </c>
      <c r="R1396">
        <f t="shared" si="62"/>
        <v>55</v>
      </c>
      <c r="S1396">
        <v>1</v>
      </c>
      <c r="T1396">
        <v>1</v>
      </c>
      <c r="U1396">
        <v>1</v>
      </c>
      <c r="V1396">
        <v>1</v>
      </c>
      <c r="W1396">
        <v>1</v>
      </c>
    </row>
    <row r="1397" spans="2:23" x14ac:dyDescent="0.25">
      <c r="B1397">
        <f t="shared" si="60"/>
        <v>56</v>
      </c>
      <c r="C1397">
        <v>1</v>
      </c>
      <c r="D1397">
        <v>1</v>
      </c>
      <c r="E1397">
        <v>1</v>
      </c>
      <c r="F1397">
        <v>1</v>
      </c>
      <c r="G1397">
        <v>1</v>
      </c>
      <c r="J1397">
        <f t="shared" si="61"/>
        <v>56</v>
      </c>
      <c r="K1397">
        <v>1</v>
      </c>
      <c r="L1397">
        <v>1</v>
      </c>
      <c r="M1397">
        <v>1</v>
      </c>
      <c r="N1397">
        <v>1</v>
      </c>
      <c r="O1397">
        <v>1</v>
      </c>
      <c r="R1397">
        <f t="shared" si="62"/>
        <v>56</v>
      </c>
      <c r="S1397">
        <v>1</v>
      </c>
      <c r="T1397">
        <v>1</v>
      </c>
      <c r="U1397">
        <v>1</v>
      </c>
      <c r="V1397">
        <v>1</v>
      </c>
      <c r="W1397">
        <v>1</v>
      </c>
    </row>
    <row r="1398" spans="2:23" x14ac:dyDescent="0.25">
      <c r="B1398">
        <f t="shared" si="60"/>
        <v>57</v>
      </c>
      <c r="C1398">
        <v>1</v>
      </c>
      <c r="D1398">
        <v>1</v>
      </c>
      <c r="E1398">
        <v>1</v>
      </c>
      <c r="F1398">
        <v>1</v>
      </c>
      <c r="G1398">
        <v>1</v>
      </c>
      <c r="J1398">
        <f t="shared" si="61"/>
        <v>57</v>
      </c>
      <c r="K1398">
        <v>1</v>
      </c>
      <c r="L1398">
        <v>1</v>
      </c>
      <c r="M1398">
        <v>1</v>
      </c>
      <c r="N1398">
        <v>1</v>
      </c>
      <c r="O1398">
        <v>1</v>
      </c>
      <c r="R1398">
        <f t="shared" si="62"/>
        <v>57</v>
      </c>
      <c r="S1398">
        <v>1</v>
      </c>
      <c r="T1398">
        <v>1</v>
      </c>
      <c r="U1398">
        <v>1</v>
      </c>
      <c r="V1398">
        <v>1</v>
      </c>
      <c r="W1398">
        <v>1</v>
      </c>
    </row>
    <row r="1399" spans="2:23" x14ac:dyDescent="0.25">
      <c r="B1399">
        <f t="shared" si="60"/>
        <v>58</v>
      </c>
      <c r="C1399">
        <v>1</v>
      </c>
      <c r="D1399">
        <v>1</v>
      </c>
      <c r="E1399">
        <v>1</v>
      </c>
      <c r="F1399">
        <v>1</v>
      </c>
      <c r="G1399">
        <v>1</v>
      </c>
      <c r="J1399">
        <f t="shared" si="61"/>
        <v>58</v>
      </c>
      <c r="K1399">
        <v>1</v>
      </c>
      <c r="L1399">
        <v>1</v>
      </c>
      <c r="M1399">
        <v>1</v>
      </c>
      <c r="N1399">
        <v>1</v>
      </c>
      <c r="O1399">
        <v>1</v>
      </c>
      <c r="R1399">
        <f t="shared" si="62"/>
        <v>58</v>
      </c>
      <c r="S1399">
        <v>1</v>
      </c>
      <c r="T1399">
        <v>1</v>
      </c>
      <c r="U1399">
        <v>1</v>
      </c>
      <c r="V1399">
        <v>1</v>
      </c>
      <c r="W1399">
        <v>1</v>
      </c>
    </row>
    <row r="1400" spans="2:23" x14ac:dyDescent="0.25">
      <c r="B1400">
        <f t="shared" si="60"/>
        <v>59</v>
      </c>
      <c r="C1400">
        <v>1</v>
      </c>
      <c r="D1400">
        <v>1</v>
      </c>
      <c r="E1400">
        <v>1</v>
      </c>
      <c r="F1400">
        <v>1</v>
      </c>
      <c r="G1400">
        <v>1</v>
      </c>
      <c r="J1400">
        <f t="shared" si="61"/>
        <v>59</v>
      </c>
      <c r="K1400">
        <v>1</v>
      </c>
      <c r="L1400">
        <v>1</v>
      </c>
      <c r="M1400">
        <v>1</v>
      </c>
      <c r="N1400">
        <v>1</v>
      </c>
      <c r="O1400">
        <v>1</v>
      </c>
      <c r="R1400">
        <f t="shared" si="62"/>
        <v>59</v>
      </c>
      <c r="S1400">
        <v>1</v>
      </c>
      <c r="T1400">
        <v>1</v>
      </c>
      <c r="U1400">
        <v>1</v>
      </c>
      <c r="V1400">
        <v>1</v>
      </c>
      <c r="W1400">
        <v>1</v>
      </c>
    </row>
    <row r="1401" spans="2:23" x14ac:dyDescent="0.25">
      <c r="B1401">
        <f t="shared" si="60"/>
        <v>60</v>
      </c>
      <c r="C1401">
        <v>1</v>
      </c>
      <c r="D1401">
        <v>1</v>
      </c>
      <c r="E1401">
        <v>1</v>
      </c>
      <c r="F1401">
        <v>1</v>
      </c>
      <c r="G1401">
        <v>1</v>
      </c>
      <c r="J1401">
        <f t="shared" si="61"/>
        <v>60</v>
      </c>
      <c r="K1401">
        <v>1</v>
      </c>
      <c r="L1401">
        <v>1</v>
      </c>
      <c r="M1401">
        <v>1</v>
      </c>
      <c r="N1401">
        <v>1</v>
      </c>
      <c r="O1401">
        <v>1</v>
      </c>
      <c r="R1401">
        <f t="shared" si="62"/>
        <v>60</v>
      </c>
      <c r="S1401">
        <v>1</v>
      </c>
      <c r="T1401">
        <v>1</v>
      </c>
      <c r="U1401">
        <v>1</v>
      </c>
      <c r="V1401">
        <v>1</v>
      </c>
      <c r="W1401">
        <v>1</v>
      </c>
    </row>
    <row r="1402" spans="2:23" x14ac:dyDescent="0.25">
      <c r="B1402">
        <f t="shared" si="60"/>
        <v>61</v>
      </c>
      <c r="C1402">
        <v>1</v>
      </c>
      <c r="D1402">
        <v>1</v>
      </c>
      <c r="E1402">
        <v>1</v>
      </c>
      <c r="F1402">
        <v>1</v>
      </c>
      <c r="G1402">
        <v>1</v>
      </c>
      <c r="J1402">
        <f t="shared" si="61"/>
        <v>61</v>
      </c>
      <c r="K1402">
        <v>1</v>
      </c>
      <c r="L1402">
        <v>1</v>
      </c>
      <c r="M1402">
        <v>1</v>
      </c>
      <c r="N1402">
        <v>1</v>
      </c>
      <c r="O1402">
        <v>1</v>
      </c>
      <c r="R1402">
        <f t="shared" si="62"/>
        <v>61</v>
      </c>
      <c r="S1402">
        <v>1</v>
      </c>
      <c r="T1402">
        <v>1</v>
      </c>
      <c r="U1402">
        <v>1</v>
      </c>
      <c r="V1402">
        <v>1</v>
      </c>
      <c r="W1402">
        <v>1</v>
      </c>
    </row>
    <row r="1403" spans="2:23" x14ac:dyDescent="0.25">
      <c r="B1403">
        <f t="shared" si="60"/>
        <v>62</v>
      </c>
      <c r="C1403">
        <v>1</v>
      </c>
      <c r="D1403">
        <v>1</v>
      </c>
      <c r="E1403">
        <v>1</v>
      </c>
      <c r="F1403">
        <v>1</v>
      </c>
      <c r="G1403">
        <v>1</v>
      </c>
      <c r="J1403">
        <f t="shared" si="61"/>
        <v>62</v>
      </c>
      <c r="K1403">
        <v>1</v>
      </c>
      <c r="L1403">
        <v>1</v>
      </c>
      <c r="M1403">
        <v>1</v>
      </c>
      <c r="N1403">
        <v>1</v>
      </c>
      <c r="O1403">
        <v>1</v>
      </c>
      <c r="R1403">
        <f t="shared" si="62"/>
        <v>62</v>
      </c>
      <c r="S1403">
        <v>1</v>
      </c>
      <c r="T1403">
        <v>1</v>
      </c>
      <c r="U1403">
        <v>1</v>
      </c>
      <c r="V1403">
        <v>1</v>
      </c>
      <c r="W1403">
        <v>1</v>
      </c>
    </row>
    <row r="1404" spans="2:23" x14ac:dyDescent="0.25">
      <c r="B1404">
        <f t="shared" si="60"/>
        <v>63</v>
      </c>
      <c r="C1404">
        <v>1</v>
      </c>
      <c r="D1404">
        <v>1</v>
      </c>
      <c r="E1404">
        <v>1</v>
      </c>
      <c r="F1404">
        <v>1</v>
      </c>
      <c r="G1404">
        <v>1</v>
      </c>
      <c r="J1404">
        <f t="shared" si="61"/>
        <v>63</v>
      </c>
      <c r="K1404">
        <v>1</v>
      </c>
      <c r="L1404">
        <v>1</v>
      </c>
      <c r="M1404">
        <v>1</v>
      </c>
      <c r="N1404">
        <v>1</v>
      </c>
      <c r="O1404">
        <v>1</v>
      </c>
      <c r="R1404">
        <f t="shared" si="62"/>
        <v>63</v>
      </c>
      <c r="S1404">
        <v>1</v>
      </c>
      <c r="T1404">
        <v>1</v>
      </c>
      <c r="U1404">
        <v>1</v>
      </c>
      <c r="V1404">
        <v>1</v>
      </c>
      <c r="W1404">
        <v>1</v>
      </c>
    </row>
    <row r="1405" spans="2:23" x14ac:dyDescent="0.25">
      <c r="B1405">
        <f t="shared" si="60"/>
        <v>64</v>
      </c>
      <c r="C1405">
        <v>1</v>
      </c>
      <c r="D1405">
        <v>1</v>
      </c>
      <c r="E1405">
        <v>1</v>
      </c>
      <c r="F1405">
        <v>1</v>
      </c>
      <c r="G1405">
        <v>1</v>
      </c>
      <c r="J1405">
        <f t="shared" si="61"/>
        <v>64</v>
      </c>
      <c r="K1405">
        <v>1</v>
      </c>
      <c r="L1405">
        <v>1</v>
      </c>
      <c r="M1405">
        <v>1</v>
      </c>
      <c r="N1405">
        <v>1</v>
      </c>
      <c r="O1405">
        <v>1</v>
      </c>
      <c r="R1405">
        <f t="shared" si="62"/>
        <v>64</v>
      </c>
      <c r="S1405">
        <v>1</v>
      </c>
      <c r="T1405">
        <v>1</v>
      </c>
      <c r="U1405">
        <v>1</v>
      </c>
      <c r="V1405">
        <v>1</v>
      </c>
      <c r="W1405">
        <v>1</v>
      </c>
    </row>
    <row r="1406" spans="2:23" x14ac:dyDescent="0.25">
      <c r="B1406">
        <f t="shared" si="60"/>
        <v>65</v>
      </c>
      <c r="C1406">
        <v>1</v>
      </c>
      <c r="D1406">
        <v>1</v>
      </c>
      <c r="E1406">
        <v>1</v>
      </c>
      <c r="F1406">
        <v>1</v>
      </c>
      <c r="G1406">
        <v>1</v>
      </c>
      <c r="J1406">
        <f t="shared" si="61"/>
        <v>65</v>
      </c>
      <c r="K1406">
        <v>1</v>
      </c>
      <c r="L1406">
        <v>1</v>
      </c>
      <c r="M1406">
        <v>1</v>
      </c>
      <c r="N1406">
        <v>1</v>
      </c>
      <c r="O1406">
        <v>1</v>
      </c>
      <c r="R1406">
        <f t="shared" si="62"/>
        <v>65</v>
      </c>
      <c r="S1406">
        <v>1</v>
      </c>
      <c r="T1406">
        <v>1</v>
      </c>
      <c r="U1406">
        <v>1</v>
      </c>
      <c r="V1406">
        <v>1</v>
      </c>
      <c r="W140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0885-691A-463D-B448-D6E97F10CDF4}">
  <sheetPr codeName="Sheet33">
    <tabColor theme="5" tint="0.79998168889431442"/>
  </sheetPr>
  <dimension ref="A1:AF1406"/>
  <sheetViews>
    <sheetView topLeftCell="C530" workbookViewId="0">
      <selection activeCell="AA639" sqref="AA639"/>
    </sheetView>
  </sheetViews>
  <sheetFormatPr defaultColWidth="8.85546875" defaultRowHeight="15" x14ac:dyDescent="0.25"/>
  <sheetData>
    <row r="1" spans="1:32" x14ac:dyDescent="0.25">
      <c r="A1" t="s">
        <v>62</v>
      </c>
      <c r="B1" t="s">
        <v>65</v>
      </c>
    </row>
    <row r="2" spans="1:32" x14ac:dyDescent="0.25">
      <c r="B2" t="s">
        <v>46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47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48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32" x14ac:dyDescent="0.25">
      <c r="B3">
        <v>26</v>
      </c>
      <c r="C3">
        <v>259.99247578291249</v>
      </c>
      <c r="D3">
        <v>319.66446469156756</v>
      </c>
      <c r="E3">
        <v>498.68043141740628</v>
      </c>
      <c r="F3">
        <v>797.04037596052819</v>
      </c>
      <c r="G3">
        <v>1393.7602203433671</v>
      </c>
      <c r="H3">
        <v>2587.2000432192272</v>
      </c>
      <c r="J3">
        <v>26</v>
      </c>
      <c r="K3">
        <v>336.94199067526733</v>
      </c>
      <c r="L3">
        <v>379.67846974549661</v>
      </c>
      <c r="M3">
        <v>507.88790695469243</v>
      </c>
      <c r="N3">
        <v>721.57030230402961</v>
      </c>
      <c r="O3">
        <v>1148.934565040614</v>
      </c>
      <c r="P3">
        <v>2003.6646743996644</v>
      </c>
      <c r="R3">
        <v>26</v>
      </c>
      <c r="S3">
        <v>4.7656281248256604E-2</v>
      </c>
      <c r="T3">
        <v>4.4824561671182206E-2</v>
      </c>
      <c r="U3">
        <v>4.1254618309779056E-2</v>
      </c>
      <c r="V3">
        <v>3.9298947471034129E-2</v>
      </c>
      <c r="W3">
        <v>3.8062758762242854E-2</v>
      </c>
      <c r="X3">
        <v>3.7358901629375829E-2</v>
      </c>
      <c r="AA3">
        <v>-7435.5060999999996</v>
      </c>
      <c r="AB3">
        <v>-7435.5060999999996</v>
      </c>
      <c r="AC3">
        <v>-7435.5060999999996</v>
      </c>
      <c r="AD3">
        <v>-7435.5060999999996</v>
      </c>
      <c r="AE3">
        <v>-7435.5060999999996</v>
      </c>
      <c r="AF3">
        <v>-7435.5060999999996</v>
      </c>
    </row>
    <row r="4" spans="1:32" x14ac:dyDescent="0.25">
      <c r="B4">
        <v>27</v>
      </c>
      <c r="C4">
        <v>267.52687751817865</v>
      </c>
      <c r="D4">
        <v>334.60985847066337</v>
      </c>
      <c r="E4">
        <v>535.8587930515298</v>
      </c>
      <c r="F4">
        <v>871.27369383724249</v>
      </c>
      <c r="G4">
        <v>1542.1034898062685</v>
      </c>
      <c r="H4">
        <v>2883.76315984141</v>
      </c>
      <c r="J4">
        <v>27</v>
      </c>
      <c r="K4">
        <v>342.33808290796151</v>
      </c>
      <c r="L4">
        <v>390.38226063569414</v>
      </c>
      <c r="M4">
        <v>534.51469614000143</v>
      </c>
      <c r="N4">
        <v>774.73553784619617</v>
      </c>
      <c r="O4">
        <v>1255.1771551400125</v>
      </c>
      <c r="P4">
        <v>2216.0613114163207</v>
      </c>
      <c r="R4">
        <v>27</v>
      </c>
      <c r="S4">
        <v>4.7221833791847079E-2</v>
      </c>
      <c r="T4">
        <v>4.4350981783764398E-2</v>
      </c>
      <c r="U4">
        <v>4.0885394102811112E-2</v>
      </c>
      <c r="V4">
        <v>3.9055869188807213E-2</v>
      </c>
      <c r="W4">
        <v>3.7923673702479732E-2</v>
      </c>
      <c r="X4">
        <v>3.7287254433263861E-2</v>
      </c>
      <c r="AA4">
        <v>-7434.2619000000004</v>
      </c>
      <c r="AB4">
        <v>-7434.2619000000004</v>
      </c>
      <c r="AC4">
        <v>-7434.2619000000004</v>
      </c>
      <c r="AD4">
        <v>-7434.2619000000004</v>
      </c>
      <c r="AE4">
        <v>-7434.2619000000004</v>
      </c>
      <c r="AF4">
        <v>-7434.2619000000004</v>
      </c>
    </row>
    <row r="5" spans="1:32" x14ac:dyDescent="0.25">
      <c r="B5">
        <v>28</v>
      </c>
      <c r="C5">
        <v>275.90029293288637</v>
      </c>
      <c r="D5">
        <v>351.22063093275403</v>
      </c>
      <c r="E5">
        <v>577.18160944378963</v>
      </c>
      <c r="F5">
        <v>953.78326108975273</v>
      </c>
      <c r="G5">
        <v>1706.9865631990554</v>
      </c>
      <c r="H5">
        <v>3213.3932478209626</v>
      </c>
      <c r="J5">
        <v>28</v>
      </c>
      <c r="K5">
        <v>348.3350476797209</v>
      </c>
      <c r="L5">
        <v>402.27881291353515</v>
      </c>
      <c r="M5">
        <v>564.1096901166793</v>
      </c>
      <c r="N5">
        <v>833.82806400425579</v>
      </c>
      <c r="O5">
        <v>1373.2647978333407</v>
      </c>
      <c r="P5">
        <v>2452.1392136460199</v>
      </c>
      <c r="R5">
        <v>28</v>
      </c>
      <c r="S5">
        <v>4.6780252724898386E-2</v>
      </c>
      <c r="T5">
        <v>4.3888232746045031E-2</v>
      </c>
      <c r="U5">
        <v>4.0541809144339913E-2</v>
      </c>
      <c r="V5">
        <v>3.8835958511882707E-2</v>
      </c>
      <c r="W5">
        <v>3.7800611775931969E-2</v>
      </c>
      <c r="X5">
        <v>3.7225330331319917E-2</v>
      </c>
      <c r="AA5">
        <v>-7432.8334999999997</v>
      </c>
      <c r="AB5">
        <v>-7432.8334999999997</v>
      </c>
      <c r="AC5">
        <v>-7432.8334999999997</v>
      </c>
      <c r="AD5">
        <v>-7432.8334999999997</v>
      </c>
      <c r="AE5">
        <v>-7432.8334999999997</v>
      </c>
      <c r="AF5">
        <v>-7432.8334999999997</v>
      </c>
    </row>
    <row r="6" spans="1:32" x14ac:dyDescent="0.25">
      <c r="B6">
        <v>29</v>
      </c>
      <c r="C6">
        <v>285.20932367899468</v>
      </c>
      <c r="D6">
        <v>369.68840277263831</v>
      </c>
      <c r="E6">
        <v>623.1256309195943</v>
      </c>
      <c r="F6">
        <v>1045.5210197732838</v>
      </c>
      <c r="G6">
        <v>1890.3118037600054</v>
      </c>
      <c r="H6">
        <v>3579.8934524890606</v>
      </c>
      <c r="J6">
        <v>29</v>
      </c>
      <c r="K6">
        <v>355.00209209482136</v>
      </c>
      <c r="L6">
        <v>415.50518265541086</v>
      </c>
      <c r="M6">
        <v>597.01434671901279</v>
      </c>
      <c r="N6">
        <v>899.52972158837474</v>
      </c>
      <c r="O6">
        <v>1504.5605453114695</v>
      </c>
      <c r="P6">
        <v>2714.6231442351345</v>
      </c>
      <c r="R6">
        <v>29</v>
      </c>
      <c r="S6">
        <v>4.6333959262748303E-2</v>
      </c>
      <c r="T6">
        <v>4.3438631295058538E-2</v>
      </c>
      <c r="U6">
        <v>4.0223433980384415E-2</v>
      </c>
      <c r="V6">
        <v>3.8637682709994792E-2</v>
      </c>
      <c r="W6">
        <v>3.7692197547978923E-2</v>
      </c>
      <c r="X6">
        <v>3.7172298466259246E-2</v>
      </c>
      <c r="AA6">
        <v>-7431.2058999999999</v>
      </c>
      <c r="AB6">
        <v>-7431.2058999999999</v>
      </c>
      <c r="AC6">
        <v>-7431.2058999999999</v>
      </c>
      <c r="AD6">
        <v>-7431.2058999999999</v>
      </c>
      <c r="AE6">
        <v>-7431.2058999999999</v>
      </c>
      <c r="AF6">
        <v>-7431.2058999999999</v>
      </c>
    </row>
    <row r="7" spans="1:32" x14ac:dyDescent="0.25">
      <c r="B7">
        <v>30</v>
      </c>
      <c r="C7">
        <v>295.73264251580213</v>
      </c>
      <c r="D7">
        <v>390.5660781482016</v>
      </c>
      <c r="E7">
        <v>675.06639630006123</v>
      </c>
      <c r="F7">
        <v>1149.2336088596621</v>
      </c>
      <c r="G7">
        <v>2097.5680253100868</v>
      </c>
      <c r="H7">
        <v>3994.2369601213913</v>
      </c>
      <c r="J7">
        <v>30</v>
      </c>
      <c r="K7">
        <v>362.53879914790946</v>
      </c>
      <c r="L7">
        <v>430.45750852787796</v>
      </c>
      <c r="M7">
        <v>634.21376914229768</v>
      </c>
      <c r="N7">
        <v>973.80772092377629</v>
      </c>
      <c r="O7">
        <v>1652.9955224497317</v>
      </c>
      <c r="P7">
        <v>3011.3723250523908</v>
      </c>
      <c r="R7">
        <v>30</v>
      </c>
      <c r="S7">
        <v>4.5878523580256125E-2</v>
      </c>
      <c r="T7">
        <v>4.2997655675071744E-2</v>
      </c>
      <c r="U7">
        <v>3.9925309034178458E-2</v>
      </c>
      <c r="V7">
        <v>3.8456994664014088E-2</v>
      </c>
      <c r="W7">
        <v>3.7595860527527947E-2</v>
      </c>
      <c r="X7">
        <v>3.7126840097361891E-2</v>
      </c>
      <c r="AA7">
        <v>-7429.3476000000001</v>
      </c>
      <c r="AB7">
        <v>-7429.3476000000001</v>
      </c>
      <c r="AC7">
        <v>-7429.3476000000001</v>
      </c>
      <c r="AD7">
        <v>-7429.3476000000001</v>
      </c>
      <c r="AE7">
        <v>-7429.3476000000001</v>
      </c>
      <c r="AF7">
        <v>-7429.3476000000001</v>
      </c>
    </row>
    <row r="8" spans="1:32" x14ac:dyDescent="0.25">
      <c r="B8">
        <v>31</v>
      </c>
      <c r="C8">
        <v>303.50218849007132</v>
      </c>
      <c r="D8">
        <v>405.98295585325633</v>
      </c>
      <c r="E8">
        <v>713.42522322907735</v>
      </c>
      <c r="F8">
        <v>1225.8290121162702</v>
      </c>
      <c r="G8">
        <v>2250.6365875029906</v>
      </c>
      <c r="H8">
        <v>4300.251751595214</v>
      </c>
      <c r="J8">
        <v>31</v>
      </c>
      <c r="K8">
        <v>368.10324174778043</v>
      </c>
      <c r="L8">
        <v>441.49904341714182</v>
      </c>
      <c r="M8">
        <v>661.68604011122534</v>
      </c>
      <c r="N8">
        <v>1028.664484705012</v>
      </c>
      <c r="O8">
        <v>1762.6213458080965</v>
      </c>
      <c r="P8">
        <v>3230.5352246740586</v>
      </c>
      <c r="R8">
        <v>31</v>
      </c>
      <c r="S8">
        <v>4.5570438329604723E-2</v>
      </c>
      <c r="T8">
        <v>4.270901734481547E-2</v>
      </c>
      <c r="U8">
        <v>3.9737203378634511E-2</v>
      </c>
      <c r="V8">
        <v>3.8345260259475378E-2</v>
      </c>
      <c r="W8">
        <v>3.7537299866756468E-2</v>
      </c>
      <c r="X8">
        <v>3.7099826271416392E-2</v>
      </c>
      <c r="AA8">
        <v>-7427.2446</v>
      </c>
      <c r="AB8">
        <v>-7427.2446</v>
      </c>
      <c r="AC8">
        <v>-7427.2446</v>
      </c>
      <c r="AD8">
        <v>-7427.2446</v>
      </c>
      <c r="AE8">
        <v>-7427.2446</v>
      </c>
      <c r="AF8">
        <v>-7427.2446</v>
      </c>
    </row>
    <row r="9" spans="1:32" x14ac:dyDescent="0.25">
      <c r="B9">
        <v>32</v>
      </c>
      <c r="C9">
        <v>300.82782207623239</v>
      </c>
      <c r="D9">
        <v>400.6846551436559</v>
      </c>
      <c r="E9">
        <v>700.25501192148454</v>
      </c>
      <c r="F9">
        <v>1199.5389916164258</v>
      </c>
      <c r="G9">
        <v>2198.1069274123793</v>
      </c>
      <c r="H9">
        <v>4195.2430626853493</v>
      </c>
      <c r="J9">
        <v>32</v>
      </c>
      <c r="K9">
        <v>366.18793399859555</v>
      </c>
      <c r="L9">
        <v>437.70474667590997</v>
      </c>
      <c r="M9">
        <v>652.25350896590498</v>
      </c>
      <c r="N9">
        <v>1009.8353881179592</v>
      </c>
      <c r="O9">
        <v>1724.9988688198755</v>
      </c>
      <c r="P9">
        <v>3155.3289326506128</v>
      </c>
      <c r="R9">
        <v>32</v>
      </c>
      <c r="S9">
        <v>4.566962533054264E-2</v>
      </c>
      <c r="T9">
        <v>4.2800571730732928E-2</v>
      </c>
      <c r="U9">
        <v>3.9794967065012399E-2</v>
      </c>
      <c r="V9">
        <v>3.8377987168750849E-2</v>
      </c>
      <c r="W9">
        <v>3.755275536605418E-2</v>
      </c>
      <c r="X9">
        <v>3.7105090008038522E-2</v>
      </c>
      <c r="AA9">
        <v>-7424.8944000000001</v>
      </c>
      <c r="AB9">
        <v>-7424.8944000000001</v>
      </c>
      <c r="AC9">
        <v>-7424.8944000000001</v>
      </c>
      <c r="AD9">
        <v>-7424.8944000000001</v>
      </c>
      <c r="AE9">
        <v>-7424.8944000000001</v>
      </c>
      <c r="AF9">
        <v>-7424.8944000000001</v>
      </c>
    </row>
    <row r="10" spans="1:32" x14ac:dyDescent="0.25">
      <c r="B10">
        <v>33</v>
      </c>
      <c r="C10">
        <v>284.73079777536759</v>
      </c>
      <c r="D10">
        <v>368.76034378501754</v>
      </c>
      <c r="E10">
        <v>620.84889015513477</v>
      </c>
      <c r="F10">
        <v>1040.9964654397279</v>
      </c>
      <c r="G10">
        <v>1881.2914962669031</v>
      </c>
      <c r="H10">
        <v>3561.8816961767234</v>
      </c>
      <c r="J10">
        <v>33</v>
      </c>
      <c r="K10">
        <v>354.6592334634397</v>
      </c>
      <c r="L10">
        <v>414.84074887637689</v>
      </c>
      <c r="M10">
        <v>595.38421497308536</v>
      </c>
      <c r="N10">
        <v>896.28996824472233</v>
      </c>
      <c r="O10">
        <v>1498.1000637031757</v>
      </c>
      <c r="P10">
        <v>2701.7218838744666</v>
      </c>
      <c r="R10">
        <v>33</v>
      </c>
      <c r="S10">
        <v>4.6343892854540769E-2</v>
      </c>
      <c r="T10">
        <v>4.3447147655794494E-2</v>
      </c>
      <c r="U10">
        <v>4.0225878029370499E-2</v>
      </c>
      <c r="V10">
        <v>3.8635379757668398E-2</v>
      </c>
      <c r="W10">
        <v>3.7686501178683107E-2</v>
      </c>
      <c r="X10">
        <v>3.7164559926859075E-2</v>
      </c>
      <c r="AA10">
        <v>-7422.2834000000003</v>
      </c>
      <c r="AB10">
        <v>-7422.2834000000003</v>
      </c>
      <c r="AC10">
        <v>-7422.2834000000003</v>
      </c>
      <c r="AD10">
        <v>-7422.2834000000003</v>
      </c>
      <c r="AE10">
        <v>-7422.2834000000003</v>
      </c>
      <c r="AF10">
        <v>-7422.2834000000003</v>
      </c>
    </row>
    <row r="11" spans="1:32" x14ac:dyDescent="0.25">
      <c r="B11">
        <v>34</v>
      </c>
      <c r="C11">
        <v>298.49954295462885</v>
      </c>
      <c r="D11">
        <v>396.07905102102586</v>
      </c>
      <c r="E11">
        <v>688.81755076190029</v>
      </c>
      <c r="F11">
        <v>1176.7150679301926</v>
      </c>
      <c r="G11">
        <v>2152.5101533106845</v>
      </c>
      <c r="H11">
        <v>4104.0998497785104</v>
      </c>
      <c r="J11">
        <v>34</v>
      </c>
      <c r="K11">
        <v>364.52038669847184</v>
      </c>
      <c r="L11">
        <v>434.40592212671345</v>
      </c>
      <c r="M11">
        <v>644.06224055063558</v>
      </c>
      <c r="N11">
        <v>993.48964506804805</v>
      </c>
      <c r="O11">
        <v>1692.3450548613073</v>
      </c>
      <c r="P11">
        <v>3090.0502922807791</v>
      </c>
      <c r="R11">
        <v>34</v>
      </c>
      <c r="S11">
        <v>4.5754425109738373E-2</v>
      </c>
      <c r="T11">
        <v>4.2879006590443414E-2</v>
      </c>
      <c r="U11">
        <v>3.9843802850813459E-2</v>
      </c>
      <c r="V11">
        <v>3.8404588492242597E-2</v>
      </c>
      <c r="W11">
        <v>3.7563932148869661E-2</v>
      </c>
      <c r="X11">
        <v>3.7107109725849519E-2</v>
      </c>
      <c r="AA11">
        <v>-7419.3683000000001</v>
      </c>
      <c r="AB11">
        <v>-7419.3683000000001</v>
      </c>
      <c r="AC11">
        <v>-7419.3683000000001</v>
      </c>
      <c r="AD11">
        <v>-7419.3683000000001</v>
      </c>
      <c r="AE11">
        <v>-7419.3683000000001</v>
      </c>
      <c r="AF11">
        <v>-7419.3683000000001</v>
      </c>
    </row>
    <row r="12" spans="1:32" x14ac:dyDescent="0.25">
      <c r="B12">
        <v>35</v>
      </c>
      <c r="C12">
        <v>347.17955168495678</v>
      </c>
      <c r="D12">
        <v>492.65443217442078</v>
      </c>
      <c r="E12">
        <v>929.07892018269308</v>
      </c>
      <c r="F12">
        <v>1656.4533091440651</v>
      </c>
      <c r="G12">
        <v>3111.2017236962347</v>
      </c>
      <c r="H12">
        <v>6020.698756784338</v>
      </c>
      <c r="J12">
        <v>35</v>
      </c>
      <c r="K12">
        <v>399.38458771415526</v>
      </c>
      <c r="L12">
        <v>503.5724577638166</v>
      </c>
      <c r="M12">
        <v>816.13426996031194</v>
      </c>
      <c r="N12">
        <v>1337.0734622060372</v>
      </c>
      <c r="O12">
        <v>2378.9475894153584</v>
      </c>
      <c r="P12">
        <v>4462.6982337260124</v>
      </c>
      <c r="R12">
        <v>35</v>
      </c>
      <c r="S12">
        <v>4.419245372588998E-2</v>
      </c>
      <c r="T12">
        <v>4.1508419574647792E-2</v>
      </c>
      <c r="U12">
        <v>3.9015256851652858E-2</v>
      </c>
      <c r="V12">
        <v>3.7938122731073554E-2</v>
      </c>
      <c r="W12">
        <v>3.7337159328302061E-2</v>
      </c>
      <c r="X12">
        <v>3.7018897171332998E-2</v>
      </c>
      <c r="AA12">
        <v>-7416.1363000000001</v>
      </c>
      <c r="AB12">
        <v>-7416.1363000000001</v>
      </c>
      <c r="AC12">
        <v>-7416.1363000000001</v>
      </c>
      <c r="AD12">
        <v>-7416.1363000000001</v>
      </c>
      <c r="AE12">
        <v>-7416.1363000000001</v>
      </c>
      <c r="AF12">
        <v>-7416.1363000000001</v>
      </c>
    </row>
    <row r="13" spans="1:32" x14ac:dyDescent="0.25">
      <c r="B13">
        <v>36</v>
      </c>
      <c r="C13">
        <v>322.49654161106264</v>
      </c>
      <c r="D13">
        <v>443.69805786985472</v>
      </c>
      <c r="E13">
        <v>807.30263991346669</v>
      </c>
      <c r="F13">
        <v>1413.3102766528159</v>
      </c>
      <c r="G13">
        <v>2625.3253855859966</v>
      </c>
      <c r="H13">
        <v>5049.3559020457378</v>
      </c>
      <c r="J13">
        <v>36</v>
      </c>
      <c r="K13">
        <v>381.70689707572001</v>
      </c>
      <c r="L13">
        <v>468.51008330060222</v>
      </c>
      <c r="M13">
        <v>728.92003266571919</v>
      </c>
      <c r="N13">
        <v>1162.9366149408597</v>
      </c>
      <c r="O13">
        <v>2030.967847068332</v>
      </c>
      <c r="P13">
        <v>3767.0338180043836</v>
      </c>
      <c r="R13">
        <v>36</v>
      </c>
      <c r="S13">
        <v>4.48948324286218E-2</v>
      </c>
      <c r="T13">
        <v>4.2100809262056504E-2</v>
      </c>
      <c r="U13">
        <v>3.93559219015156E-2</v>
      </c>
      <c r="V13">
        <v>3.8121954191285168E-2</v>
      </c>
      <c r="W13">
        <v>3.7420198901459534E-2</v>
      </c>
      <c r="X13">
        <v>3.7044597892272879E-2</v>
      </c>
      <c r="AA13">
        <v>-7412.5378000000001</v>
      </c>
      <c r="AB13">
        <v>-7412.5378000000001</v>
      </c>
      <c r="AC13">
        <v>-7412.5378000000001</v>
      </c>
      <c r="AD13">
        <v>-7412.5378000000001</v>
      </c>
      <c r="AE13">
        <v>-7412.5378000000001</v>
      </c>
      <c r="AF13">
        <v>-7412.5378000000001</v>
      </c>
    </row>
    <row r="14" spans="1:32" x14ac:dyDescent="0.25">
      <c r="B14">
        <v>37</v>
      </c>
      <c r="C14">
        <v>354.32321729595503</v>
      </c>
      <c r="D14">
        <v>506.84631055720871</v>
      </c>
      <c r="E14">
        <v>964.41560252908687</v>
      </c>
      <c r="F14">
        <v>1727.0310067422611</v>
      </c>
      <c r="G14">
        <v>3252.2617993049694</v>
      </c>
      <c r="H14">
        <v>6302.7235491625834</v>
      </c>
      <c r="J14">
        <v>37</v>
      </c>
      <c r="K14">
        <v>404.5007388353481</v>
      </c>
      <c r="L14">
        <v>513.73639597885312</v>
      </c>
      <c r="M14">
        <v>841.44351013006417</v>
      </c>
      <c r="N14">
        <v>1387.6210687484418</v>
      </c>
      <c r="O14">
        <v>2479.9760002247567</v>
      </c>
      <c r="P14">
        <v>4664.6877921623382</v>
      </c>
      <c r="R14">
        <v>37</v>
      </c>
      <c r="S14">
        <v>4.4005619978403354E-2</v>
      </c>
      <c r="T14">
        <v>4.1355411335499692E-2</v>
      </c>
      <c r="U14">
        <v>3.8928229657211544E-2</v>
      </c>
      <c r="V14">
        <v>3.7889771140385387E-2</v>
      </c>
      <c r="W14">
        <v>3.7313057632142987E-2</v>
      </c>
      <c r="X14">
        <v>3.7008407480503047E-2</v>
      </c>
      <c r="AA14">
        <v>-7408.55</v>
      </c>
      <c r="AB14">
        <v>-7408.55</v>
      </c>
      <c r="AC14">
        <v>-7408.55</v>
      </c>
      <c r="AD14">
        <v>-7408.55</v>
      </c>
      <c r="AE14">
        <v>-7408.55</v>
      </c>
      <c r="AF14">
        <v>-7408.55</v>
      </c>
    </row>
    <row r="15" spans="1:32" x14ac:dyDescent="0.25">
      <c r="B15">
        <v>38</v>
      </c>
      <c r="C15">
        <v>376.71437787707612</v>
      </c>
      <c r="D15">
        <v>551.27891748902687</v>
      </c>
      <c r="E15">
        <v>1074.972562847003</v>
      </c>
      <c r="F15">
        <v>1947.7952864992969</v>
      </c>
      <c r="G15">
        <v>3693.4408084751508</v>
      </c>
      <c r="H15">
        <v>7184.7319047487235</v>
      </c>
      <c r="J15">
        <v>38</v>
      </c>
      <c r="K15">
        <v>420.53708028693018</v>
      </c>
      <c r="L15">
        <v>545.55841797841094</v>
      </c>
      <c r="M15">
        <v>920.62274099929527</v>
      </c>
      <c r="N15">
        <v>1545.7297285397144</v>
      </c>
      <c r="O15">
        <v>2795.9445762540272</v>
      </c>
      <c r="P15">
        <v>5296.3748831335688</v>
      </c>
      <c r="R15">
        <v>38</v>
      </c>
      <c r="S15">
        <v>4.3500997145391462E-2</v>
      </c>
      <c r="T15">
        <v>4.0957552878396974E-2</v>
      </c>
      <c r="U15">
        <v>3.8715330059807318E-2</v>
      </c>
      <c r="V15">
        <v>3.7780505602925896E-2</v>
      </c>
      <c r="W15">
        <v>3.726754033741031E-2</v>
      </c>
      <c r="X15">
        <v>3.6998329398503227E-2</v>
      </c>
      <c r="AA15">
        <v>-7404.1752999999999</v>
      </c>
      <c r="AB15">
        <v>-7404.1752999999999</v>
      </c>
      <c r="AC15">
        <v>-7404.1752999999999</v>
      </c>
      <c r="AD15">
        <v>-7404.1752999999999</v>
      </c>
      <c r="AE15">
        <v>-7404.1752999999999</v>
      </c>
      <c r="AF15">
        <v>-7404.1752999999999</v>
      </c>
    </row>
    <row r="16" spans="1:32" x14ac:dyDescent="0.25">
      <c r="B16">
        <v>39</v>
      </c>
      <c r="C16">
        <v>357.57898549175439</v>
      </c>
      <c r="D16">
        <v>513.32716225884292</v>
      </c>
      <c r="E16">
        <v>980.57140332551728</v>
      </c>
      <c r="F16">
        <v>1759.3119102913979</v>
      </c>
      <c r="G16">
        <v>3316.7930985874723</v>
      </c>
      <c r="H16">
        <v>6431.7549072878801</v>
      </c>
      <c r="J16">
        <v>39</v>
      </c>
      <c r="K16">
        <v>406.83209045929584</v>
      </c>
      <c r="L16">
        <v>518.37811065242067</v>
      </c>
      <c r="M16">
        <v>853.01278488679236</v>
      </c>
      <c r="N16">
        <v>1410.7384734812913</v>
      </c>
      <c r="O16">
        <v>2526.1918921194811</v>
      </c>
      <c r="P16">
        <v>4757.0920805460337</v>
      </c>
      <c r="R16">
        <v>39</v>
      </c>
      <c r="S16">
        <v>4.3919079245299919E-2</v>
      </c>
      <c r="T16">
        <v>4.1284555935904521E-2</v>
      </c>
      <c r="U16">
        <v>3.8886849335747486E-2</v>
      </c>
      <c r="V16">
        <v>3.7865435415853854E-2</v>
      </c>
      <c r="W16">
        <v>3.7299340286865101E-2</v>
      </c>
      <c r="X16">
        <v>3.7000617710706729E-2</v>
      </c>
      <c r="AA16">
        <v>-7399.3923999999997</v>
      </c>
      <c r="AB16">
        <v>-7399.3923999999997</v>
      </c>
      <c r="AC16">
        <v>-7399.3923999999997</v>
      </c>
      <c r="AD16">
        <v>-7399.3923999999997</v>
      </c>
      <c r="AE16">
        <v>-7399.3923999999997</v>
      </c>
      <c r="AF16">
        <v>-7399.3923999999997</v>
      </c>
    </row>
    <row r="17" spans="2:32" x14ac:dyDescent="0.25">
      <c r="B17">
        <v>40</v>
      </c>
      <c r="C17">
        <v>396.76886825736409</v>
      </c>
      <c r="D17">
        <v>591.09224654149477</v>
      </c>
      <c r="E17">
        <v>1174.0623085869686</v>
      </c>
      <c r="F17">
        <v>2145.6790792062757</v>
      </c>
      <c r="G17">
        <v>4088.9122078767273</v>
      </c>
      <c r="H17">
        <v>7975.3795807985671</v>
      </c>
      <c r="J17">
        <v>40</v>
      </c>
      <c r="K17">
        <v>434.89987670671053</v>
      </c>
      <c r="L17">
        <v>574.07267873944966</v>
      </c>
      <c r="M17">
        <v>991.59023541948045</v>
      </c>
      <c r="N17">
        <v>1687.4528362272576</v>
      </c>
      <c r="O17">
        <v>3079.1732245240928</v>
      </c>
      <c r="P17">
        <v>5862.6270162922447</v>
      </c>
      <c r="R17">
        <v>40</v>
      </c>
      <c r="S17">
        <v>4.3109097086894588E-2</v>
      </c>
      <c r="T17">
        <v>4.065988735206072E-2</v>
      </c>
      <c r="U17">
        <v>3.8561857096255148E-2</v>
      </c>
      <c r="V17">
        <v>3.7703618931814509E-2</v>
      </c>
      <c r="W17">
        <v>3.7236718534936486E-2</v>
      </c>
      <c r="X17">
        <v>3.6992838755788959E-2</v>
      </c>
      <c r="AA17">
        <v>-7394.1365999999998</v>
      </c>
      <c r="AB17">
        <v>-7394.1365999999998</v>
      </c>
      <c r="AC17">
        <v>-7394.1365999999998</v>
      </c>
      <c r="AD17">
        <v>-7394.1365999999998</v>
      </c>
      <c r="AE17">
        <v>-7394.1365999999998</v>
      </c>
      <c r="AF17">
        <v>-7394.1365999999998</v>
      </c>
    </row>
    <row r="18" spans="2:32" x14ac:dyDescent="0.25">
      <c r="B18">
        <v>41</v>
      </c>
      <c r="C18">
        <v>403.81257849715666</v>
      </c>
      <c r="D18">
        <v>605.08143119890383</v>
      </c>
      <c r="E18">
        <v>1208.8879554132077</v>
      </c>
      <c r="F18">
        <v>2215.232182548385</v>
      </c>
      <c r="G18">
        <v>4227.9206397907465</v>
      </c>
      <c r="H18">
        <v>8253.2975565937268</v>
      </c>
      <c r="J18">
        <v>41</v>
      </c>
      <c r="K18">
        <v>439.94452284643739</v>
      </c>
      <c r="L18">
        <v>584.09135030903781</v>
      </c>
      <c r="M18">
        <v>1016.53143751891</v>
      </c>
      <c r="N18">
        <v>1737.2651507059236</v>
      </c>
      <c r="O18">
        <v>3178.732611734391</v>
      </c>
      <c r="P18">
        <v>6061.6675608228106</v>
      </c>
      <c r="R18">
        <v>41</v>
      </c>
      <c r="S18">
        <v>4.2982280149887142E-2</v>
      </c>
      <c r="T18">
        <v>4.056548576147101E-2</v>
      </c>
      <c r="U18">
        <v>3.8513997716049353E-2</v>
      </c>
      <c r="V18">
        <v>3.7679773851595044E-2</v>
      </c>
      <c r="W18">
        <v>3.7227160457568464E-2</v>
      </c>
      <c r="X18">
        <v>3.6991068038753294E-2</v>
      </c>
      <c r="AA18">
        <v>-7388.3469999999998</v>
      </c>
      <c r="AB18">
        <v>-7388.3469999999998</v>
      </c>
      <c r="AC18">
        <v>-7388.3469999999998</v>
      </c>
      <c r="AD18">
        <v>-7388.3469999999998</v>
      </c>
      <c r="AE18">
        <v>-7388.3469999999998</v>
      </c>
      <c r="AF18">
        <v>-7388.3469999999998</v>
      </c>
    </row>
    <row r="19" spans="2:32" x14ac:dyDescent="0.25">
      <c r="B19">
        <v>42</v>
      </c>
      <c r="C19">
        <v>454.1982977902066</v>
      </c>
      <c r="D19">
        <v>705.06735415979745</v>
      </c>
      <c r="E19">
        <v>1457.6743785765952</v>
      </c>
      <c r="F19">
        <v>2712.0195351190637</v>
      </c>
      <c r="G19">
        <v>5220.7102478041161</v>
      </c>
      <c r="H19">
        <v>10238.091372866482</v>
      </c>
      <c r="J19">
        <v>42</v>
      </c>
      <c r="K19">
        <v>476.03029785192666</v>
      </c>
      <c r="L19">
        <v>655.70030680435775</v>
      </c>
      <c r="M19">
        <v>1194.7086540597629</v>
      </c>
      <c r="N19">
        <v>2093.0572442607336</v>
      </c>
      <c r="O19">
        <v>3889.7590632690117</v>
      </c>
      <c r="P19">
        <v>7483.1592152771045</v>
      </c>
      <c r="R19">
        <v>42</v>
      </c>
      <c r="S19">
        <v>4.2250752291772775E-2</v>
      </c>
      <c r="T19">
        <v>4.0048324951173164E-2</v>
      </c>
      <c r="U19">
        <v>3.8274750199693175E-2</v>
      </c>
      <c r="V19">
        <v>3.7577388253804189E-2</v>
      </c>
      <c r="W19">
        <v>3.7204618993568861E-2</v>
      </c>
      <c r="X19">
        <v>3.7011706668539368E-2</v>
      </c>
      <c r="AA19">
        <v>-7381.9919</v>
      </c>
      <c r="AB19">
        <v>-7381.9919</v>
      </c>
      <c r="AC19">
        <v>-7381.9919</v>
      </c>
      <c r="AD19">
        <v>-7381.9919</v>
      </c>
      <c r="AE19">
        <v>-7381.9919</v>
      </c>
      <c r="AF19">
        <v>-7381.9919</v>
      </c>
    </row>
    <row r="20" spans="2:32" x14ac:dyDescent="0.25">
      <c r="B20">
        <v>43</v>
      </c>
      <c r="C20">
        <v>475.6927167506156</v>
      </c>
      <c r="D20">
        <v>747.73378270713226</v>
      </c>
      <c r="E20">
        <v>1563.8569595823365</v>
      </c>
      <c r="F20">
        <v>2924.0622774141616</v>
      </c>
      <c r="G20">
        <v>5644.4729152782138</v>
      </c>
      <c r="H20">
        <v>11085.294192437796</v>
      </c>
      <c r="J20">
        <v>43</v>
      </c>
      <c r="K20">
        <v>491.42443383311365</v>
      </c>
      <c r="L20">
        <v>686.25755041925822</v>
      </c>
      <c r="M20">
        <v>1270.7566569167811</v>
      </c>
      <c r="N20">
        <v>2244.9221013743991</v>
      </c>
      <c r="O20">
        <v>4193.2530157856017</v>
      </c>
      <c r="P20">
        <v>8089.9148611945129</v>
      </c>
      <c r="R20">
        <v>43</v>
      </c>
      <c r="S20">
        <v>4.1998620462495362E-2</v>
      </c>
      <c r="T20">
        <v>3.9878656988956873E-2</v>
      </c>
      <c r="U20">
        <v>3.8201617970724744E-2</v>
      </c>
      <c r="V20">
        <v>3.754946725646513E-2</v>
      </c>
      <c r="W20">
        <v>3.7202524768319201E-2</v>
      </c>
      <c r="X20">
        <v>3.702343576329703E-2</v>
      </c>
      <c r="AA20">
        <v>-7374.9579999999996</v>
      </c>
      <c r="AB20">
        <v>-7374.9579999999996</v>
      </c>
      <c r="AC20">
        <v>-7374.9579999999996</v>
      </c>
      <c r="AD20">
        <v>-7374.9579999999996</v>
      </c>
      <c r="AE20">
        <v>-7374.9579999999996</v>
      </c>
      <c r="AF20">
        <v>-7374.9579999999996</v>
      </c>
    </row>
    <row r="21" spans="2:32" x14ac:dyDescent="0.25">
      <c r="B21">
        <v>44</v>
      </c>
      <c r="C21">
        <v>488.22840060652459</v>
      </c>
      <c r="D21">
        <v>772.62699877661737</v>
      </c>
      <c r="E21">
        <v>1625.8228234376868</v>
      </c>
      <c r="F21">
        <v>3047.815865813875</v>
      </c>
      <c r="G21">
        <v>5891.8019491565383</v>
      </c>
      <c r="H21">
        <v>11579.77411365753</v>
      </c>
      <c r="J21">
        <v>44</v>
      </c>
      <c r="K21">
        <v>500.40236683869489</v>
      </c>
      <c r="L21">
        <v>704.08570840145876</v>
      </c>
      <c r="M21">
        <v>1315.1360820978371</v>
      </c>
      <c r="N21">
        <v>2333.5533863435776</v>
      </c>
      <c r="O21">
        <v>4370.3879785170284</v>
      </c>
      <c r="P21">
        <v>8444.0571375793661</v>
      </c>
      <c r="R21">
        <v>44</v>
      </c>
      <c r="S21">
        <v>4.1863043603600714E-2</v>
      </c>
      <c r="T21">
        <v>3.9788862541138892E-2</v>
      </c>
      <c r="U21">
        <v>3.8163454659488227E-2</v>
      </c>
      <c r="V21">
        <v>3.7535041268236258E-2</v>
      </c>
      <c r="W21">
        <v>3.7201560680678813E-2</v>
      </c>
      <c r="X21">
        <v>3.7029647039208191E-2</v>
      </c>
      <c r="AA21">
        <v>-7367.2034999999996</v>
      </c>
      <c r="AB21">
        <v>-7367.2034999999996</v>
      </c>
      <c r="AC21">
        <v>-7367.2034999999996</v>
      </c>
      <c r="AD21">
        <v>-7367.2034999999996</v>
      </c>
      <c r="AE21">
        <v>-7367.2034999999996</v>
      </c>
      <c r="AF21">
        <v>-7367.2034999999996</v>
      </c>
    </row>
    <row r="22" spans="2:32" x14ac:dyDescent="0.25">
      <c r="B22">
        <v>45</v>
      </c>
      <c r="C22">
        <v>530.35334637064966</v>
      </c>
      <c r="D22">
        <v>856.2342068687143</v>
      </c>
      <c r="E22">
        <v>1833.8768028711193</v>
      </c>
      <c r="F22">
        <v>3463.2811862617259</v>
      </c>
      <c r="G22">
        <v>6722.0900078345176</v>
      </c>
      <c r="H22">
        <v>13239.707695481597</v>
      </c>
      <c r="J22">
        <v>45</v>
      </c>
      <c r="K22">
        <v>530.57175908383988</v>
      </c>
      <c r="L22">
        <v>763.96438282084546</v>
      </c>
      <c r="M22">
        <v>1464.1424213618702</v>
      </c>
      <c r="N22">
        <v>2631.1064731078732</v>
      </c>
      <c r="O22">
        <v>4965.0352085368795</v>
      </c>
      <c r="P22">
        <v>9632.8931926515361</v>
      </c>
      <c r="R22">
        <v>45</v>
      </c>
      <c r="S22">
        <v>4.1480792859383442E-2</v>
      </c>
      <c r="T22">
        <v>3.9546802520690649E-2</v>
      </c>
      <c r="U22">
        <v>3.8071748974324304E-2</v>
      </c>
      <c r="V22">
        <v>3.7510769005149491E-2</v>
      </c>
      <c r="W22">
        <v>3.7215151147413028E-2</v>
      </c>
      <c r="X22">
        <v>3.7063315769840344E-2</v>
      </c>
      <c r="AA22">
        <v>-7358.6491999999998</v>
      </c>
      <c r="AB22">
        <v>-7358.6491999999998</v>
      </c>
      <c r="AC22">
        <v>-7358.6491999999998</v>
      </c>
      <c r="AD22">
        <v>-7358.6491999999998</v>
      </c>
      <c r="AE22">
        <v>-7358.6491999999998</v>
      </c>
      <c r="AF22">
        <v>-7358.6491999999998</v>
      </c>
    </row>
    <row r="23" spans="2:32" x14ac:dyDescent="0.25">
      <c r="B23">
        <v>46</v>
      </c>
      <c r="C23">
        <v>584.13309309790702</v>
      </c>
      <c r="D23">
        <v>962.97150253706593</v>
      </c>
      <c r="E23">
        <v>2099.486689974538</v>
      </c>
      <c r="F23">
        <v>3993.6782525996505</v>
      </c>
      <c r="G23">
        <v>7782.0624947454853</v>
      </c>
      <c r="H23">
        <v>15358.830350888873</v>
      </c>
      <c r="J23">
        <v>46</v>
      </c>
      <c r="K23">
        <v>569.08826509033952</v>
      </c>
      <c r="L23">
        <v>840.40885292639905</v>
      </c>
      <c r="M23">
        <v>1654.3701471225468</v>
      </c>
      <c r="N23">
        <v>3010.9675233180023</v>
      </c>
      <c r="O23">
        <v>5724.1750979318895</v>
      </c>
      <c r="P23">
        <v>11150.583035870339</v>
      </c>
      <c r="R23">
        <v>46</v>
      </c>
      <c r="S23">
        <v>4.1101729476304971E-2</v>
      </c>
      <c r="T23">
        <v>3.9321342668628523E-2</v>
      </c>
      <c r="U23">
        <v>3.7999870193903051E-2</v>
      </c>
      <c r="V23">
        <v>3.7505352589693119E-2</v>
      </c>
      <c r="W23">
        <v>3.7246536512406836E-2</v>
      </c>
      <c r="X23">
        <v>3.7114068597286387E-2</v>
      </c>
      <c r="AA23">
        <v>-7349.2232000000004</v>
      </c>
      <c r="AB23">
        <v>-7349.2232000000004</v>
      </c>
      <c r="AC23">
        <v>-7349.2232000000004</v>
      </c>
      <c r="AD23">
        <v>-7349.2232000000004</v>
      </c>
      <c r="AE23">
        <v>-7349.2232000000004</v>
      </c>
      <c r="AF23">
        <v>-7349.2232000000004</v>
      </c>
    </row>
    <row r="24" spans="2:32" x14ac:dyDescent="0.25">
      <c r="B24">
        <v>47</v>
      </c>
      <c r="C24">
        <v>634.95346739845354</v>
      </c>
      <c r="D24">
        <v>1063.8410658531409</v>
      </c>
      <c r="E24">
        <v>2350.503867704756</v>
      </c>
      <c r="F24">
        <v>4494.9419088527447</v>
      </c>
      <c r="G24">
        <v>8783.8180224698062</v>
      </c>
      <c r="H24">
        <v>17361.570273661448</v>
      </c>
      <c r="J24">
        <v>47</v>
      </c>
      <c r="K24">
        <v>605.48529174462692</v>
      </c>
      <c r="L24">
        <v>912.65032012182019</v>
      </c>
      <c r="M24">
        <v>1834.145479411407</v>
      </c>
      <c r="N24">
        <v>3369.9711799732831</v>
      </c>
      <c r="O24">
        <v>6441.6229391225497</v>
      </c>
      <c r="P24">
        <v>12584.926731274987</v>
      </c>
      <c r="R24">
        <v>47</v>
      </c>
      <c r="S24">
        <v>4.0824418048289957E-2</v>
      </c>
      <c r="T24">
        <v>3.9167580679172476E-2</v>
      </c>
      <c r="U24">
        <v>3.79625941698436E-2</v>
      </c>
      <c r="V24">
        <v>3.7517012622868551E-2</v>
      </c>
      <c r="W24">
        <v>3.7284941014365414E-2</v>
      </c>
      <c r="X24">
        <v>3.716646935915402E-2</v>
      </c>
      <c r="AA24">
        <v>-7338.8310000000001</v>
      </c>
      <c r="AB24">
        <v>-7338.8310000000001</v>
      </c>
      <c r="AC24">
        <v>-7338.8310000000001</v>
      </c>
      <c r="AD24">
        <v>-7338.8310000000001</v>
      </c>
      <c r="AE24">
        <v>-7338.8310000000001</v>
      </c>
      <c r="AF24">
        <v>-7338.8310000000001</v>
      </c>
    </row>
    <row r="25" spans="2:32" x14ac:dyDescent="0.25">
      <c r="B25">
        <v>48</v>
      </c>
      <c r="C25">
        <v>656.46108139122612</v>
      </c>
      <c r="D25">
        <v>1106.5503208043649</v>
      </c>
      <c r="E25">
        <v>2456.8181233178589</v>
      </c>
      <c r="F25">
        <v>4707.2644531415253</v>
      </c>
      <c r="G25">
        <v>9208.1571043621079</v>
      </c>
      <c r="H25">
        <v>18209.942400193533</v>
      </c>
      <c r="J25">
        <v>48</v>
      </c>
      <c r="K25">
        <v>620.88914524379197</v>
      </c>
      <c r="L25">
        <v>943.23827637842987</v>
      </c>
      <c r="M25">
        <v>1910.2866314782041</v>
      </c>
      <c r="N25">
        <v>3522.0338021225325</v>
      </c>
      <c r="O25">
        <v>6745.5280472490558</v>
      </c>
      <c r="P25">
        <v>13192.516462075</v>
      </c>
      <c r="R25">
        <v>48</v>
      </c>
      <c r="S25">
        <v>4.0722046538131718E-2</v>
      </c>
      <c r="T25">
        <v>3.9112484002014059E-2</v>
      </c>
      <c r="U25">
        <v>3.7950616618892763E-2</v>
      </c>
      <c r="V25">
        <v>3.7522835542051602E-2</v>
      </c>
      <c r="W25">
        <v>3.7300430978332244E-2</v>
      </c>
      <c r="X25">
        <v>3.7186998790161185E-2</v>
      </c>
      <c r="AA25">
        <v>-7327.4297999999999</v>
      </c>
      <c r="AB25">
        <v>-7327.4297999999999</v>
      </c>
      <c r="AC25">
        <v>-7327.4297999999999</v>
      </c>
      <c r="AD25">
        <v>-7327.4297999999999</v>
      </c>
      <c r="AE25">
        <v>-7327.4297999999999</v>
      </c>
      <c r="AF25">
        <v>-7327.4297999999999</v>
      </c>
    </row>
    <row r="26" spans="2:32" x14ac:dyDescent="0.25">
      <c r="B26">
        <v>49</v>
      </c>
      <c r="C26">
        <v>743.65217629258143</v>
      </c>
      <c r="D26">
        <v>1279.597815583503</v>
      </c>
      <c r="E26">
        <v>2887.4344367357512</v>
      </c>
      <c r="F26">
        <v>5567.162899494163</v>
      </c>
      <c r="G26">
        <v>10926.619286404988</v>
      </c>
      <c r="H26">
        <v>21645.532035587941</v>
      </c>
      <c r="J26">
        <v>49</v>
      </c>
      <c r="K26">
        <v>683.33450923179589</v>
      </c>
      <c r="L26">
        <v>1067.1736110814654</v>
      </c>
      <c r="M26">
        <v>2218.687555621229</v>
      </c>
      <c r="N26">
        <v>4137.8860813430147</v>
      </c>
      <c r="O26">
        <v>7976.2770318948751</v>
      </c>
      <c r="P26">
        <v>15653.058653911314</v>
      </c>
      <c r="R26">
        <v>49</v>
      </c>
      <c r="S26">
        <v>4.0411344081058509E-2</v>
      </c>
      <c r="T26">
        <v>3.8965187463513518E-2</v>
      </c>
      <c r="U26">
        <v>3.7946727443835204E-2</v>
      </c>
      <c r="V26">
        <v>3.7577017493686471E-2</v>
      </c>
      <c r="W26">
        <v>3.7385902083991063E-2</v>
      </c>
      <c r="X26">
        <v>3.7288717223711965E-2</v>
      </c>
      <c r="AA26">
        <v>-7314.951</v>
      </c>
      <c r="AB26">
        <v>-7314.951</v>
      </c>
      <c r="AC26">
        <v>-7314.951</v>
      </c>
      <c r="AD26">
        <v>-7314.951</v>
      </c>
      <c r="AE26">
        <v>-7314.951</v>
      </c>
      <c r="AF26">
        <v>-7314.951</v>
      </c>
    </row>
    <row r="27" spans="2:32" x14ac:dyDescent="0.25">
      <c r="B27">
        <v>50</v>
      </c>
      <c r="C27">
        <v>813.84747830250808</v>
      </c>
      <c r="D27">
        <v>1418.9246844304466</v>
      </c>
      <c r="E27">
        <v>3234.1562928679191</v>
      </c>
      <c r="F27">
        <v>6259.5423602735109</v>
      </c>
      <c r="G27">
        <v>12310.31451956361</v>
      </c>
      <c r="H27">
        <v>24411.858854943323</v>
      </c>
      <c r="J27">
        <v>50</v>
      </c>
      <c r="K27">
        <v>733.60743780929079</v>
      </c>
      <c r="L27">
        <v>1166.9577629839405</v>
      </c>
      <c r="M27">
        <v>2467.0086265022765</v>
      </c>
      <c r="N27">
        <v>4633.7606663956831</v>
      </c>
      <c r="O27">
        <v>8967.2650218392082</v>
      </c>
      <c r="P27">
        <v>17634.273921905318</v>
      </c>
      <c r="R27">
        <v>50</v>
      </c>
      <c r="S27">
        <v>4.0235641488999052E-2</v>
      </c>
      <c r="T27">
        <v>3.8896438018095836E-2</v>
      </c>
      <c r="U27">
        <v>3.7967649575697315E-2</v>
      </c>
      <c r="V27">
        <v>3.7633372794085851E-2</v>
      </c>
      <c r="W27">
        <v>3.7461179659857402E-2</v>
      </c>
      <c r="X27">
        <v>3.7373773755706718E-2</v>
      </c>
      <c r="AA27">
        <v>-7301.2851000000001</v>
      </c>
      <c r="AB27">
        <v>-7301.2851000000001</v>
      </c>
      <c r="AC27">
        <v>-7301.2851000000001</v>
      </c>
      <c r="AD27">
        <v>-7301.2851000000001</v>
      </c>
      <c r="AE27">
        <v>-7301.2851000000001</v>
      </c>
      <c r="AF27">
        <v>-7301.2851000000001</v>
      </c>
    </row>
    <row r="28" spans="2:32" x14ac:dyDescent="0.25">
      <c r="B28">
        <v>51</v>
      </c>
      <c r="C28">
        <v>890.21531783407909</v>
      </c>
      <c r="D28">
        <v>1570.5027333264966</v>
      </c>
      <c r="E28">
        <v>3611.3649598618631</v>
      </c>
      <c r="F28">
        <v>7012.8020475735366</v>
      </c>
      <c r="G28">
        <v>13815.676241277602</v>
      </c>
      <c r="H28">
        <v>27421.424640946851</v>
      </c>
      <c r="J28">
        <v>51</v>
      </c>
      <c r="K28">
        <v>788.30126961003589</v>
      </c>
      <c r="L28">
        <v>1275.5164149234733</v>
      </c>
      <c r="M28">
        <v>2737.1616277175199</v>
      </c>
      <c r="N28">
        <v>5173.237468975829</v>
      </c>
      <c r="O28">
        <v>10045.389356050611</v>
      </c>
      <c r="P28">
        <v>19789.693267399969</v>
      </c>
      <c r="R28">
        <v>51</v>
      </c>
      <c r="S28">
        <v>4.0099731166475472E-2</v>
      </c>
      <c r="T28">
        <v>3.8857950601975055E-2</v>
      </c>
      <c r="U28">
        <v>3.8008232432686695E-2</v>
      </c>
      <c r="V28">
        <v>3.7704694250331849E-2</v>
      </c>
      <c r="W28">
        <v>3.754880359393753E-2</v>
      </c>
      <c r="X28">
        <v>3.7469794460733175E-2</v>
      </c>
      <c r="AA28">
        <v>-7286.3271000000004</v>
      </c>
      <c r="AB28">
        <v>-7286.3271000000004</v>
      </c>
      <c r="AC28">
        <v>-7286.3271000000004</v>
      </c>
      <c r="AD28">
        <v>-7286.3271000000004</v>
      </c>
      <c r="AE28">
        <v>-7286.3271000000004</v>
      </c>
      <c r="AF28">
        <v>-7286.3271000000004</v>
      </c>
    </row>
    <row r="29" spans="2:32" x14ac:dyDescent="0.25">
      <c r="B29">
        <v>52</v>
      </c>
      <c r="C29">
        <v>968.585439690832</v>
      </c>
      <c r="D29">
        <v>1726.0565676053102</v>
      </c>
      <c r="E29">
        <v>3998.469881339071</v>
      </c>
      <c r="F29">
        <v>7785.8255188920593</v>
      </c>
      <c r="G29">
        <v>15360.536832217293</v>
      </c>
      <c r="H29">
        <v>30509.959483544182</v>
      </c>
      <c r="J29">
        <v>52</v>
      </c>
      <c r="K29">
        <v>844.42916819718266</v>
      </c>
      <c r="L29">
        <v>1386.922717399033</v>
      </c>
      <c r="M29">
        <v>3014.4025866459706</v>
      </c>
      <c r="N29">
        <v>5726.8703102037689</v>
      </c>
      <c r="O29">
        <v>11151.806182236236</v>
      </c>
      <c r="P29">
        <v>22001.678200650495</v>
      </c>
      <c r="R29">
        <v>52</v>
      </c>
      <c r="S29">
        <v>4.0004854160750059E-2</v>
      </c>
      <c r="T29">
        <v>3.8847126251727149E-2</v>
      </c>
      <c r="U29">
        <v>3.806378755380746E-2</v>
      </c>
      <c r="V29">
        <v>3.7785693966726486E-2</v>
      </c>
      <c r="W29">
        <v>3.7643223874540555E-2</v>
      </c>
      <c r="X29">
        <v>3.7571107861541275E-2</v>
      </c>
      <c r="AA29">
        <v>-7269.9448000000002</v>
      </c>
      <c r="AB29">
        <v>-7269.9448000000002</v>
      </c>
      <c r="AC29">
        <v>-7269.9448000000002</v>
      </c>
      <c r="AD29">
        <v>-7269.9448000000002</v>
      </c>
      <c r="AE29">
        <v>-7269.9448000000002</v>
      </c>
      <c r="AF29">
        <v>-7269.9448000000002</v>
      </c>
    </row>
    <row r="30" spans="2:32" x14ac:dyDescent="0.25">
      <c r="B30">
        <v>53</v>
      </c>
      <c r="C30">
        <v>1054.5145702355214</v>
      </c>
      <c r="D30">
        <v>1896.610684611391</v>
      </c>
      <c r="E30">
        <v>4422.899059985757</v>
      </c>
      <c r="F30">
        <v>8633.3797511587291</v>
      </c>
      <c r="G30">
        <v>17054.341165741385</v>
      </c>
      <c r="H30">
        <v>33896.264015295361</v>
      </c>
      <c r="J30">
        <v>53</v>
      </c>
      <c r="K30">
        <v>905.97075112338825</v>
      </c>
      <c r="L30">
        <v>1509.0715891587897</v>
      </c>
      <c r="M30">
        <v>3318.3744592641524</v>
      </c>
      <c r="N30">
        <v>6333.8799664240505</v>
      </c>
      <c r="O30">
        <v>12364.891336632078</v>
      </c>
      <c r="P30">
        <v>24426.914302135876</v>
      </c>
      <c r="R30">
        <v>53</v>
      </c>
      <c r="S30">
        <v>3.994078906564269E-2</v>
      </c>
      <c r="T30">
        <v>3.8860730434759683E-2</v>
      </c>
      <c r="U30">
        <v>3.8137321502337507E-2</v>
      </c>
      <c r="V30">
        <v>3.7881923709031096E-2</v>
      </c>
      <c r="W30">
        <v>3.7751368110846784E-2</v>
      </c>
      <c r="X30">
        <v>3.7685357075838644E-2</v>
      </c>
      <c r="AA30">
        <v>-7252.0574999999999</v>
      </c>
      <c r="AB30">
        <v>-7252.0574999999999</v>
      </c>
      <c r="AC30">
        <v>-7252.0574999999999</v>
      </c>
      <c r="AD30">
        <v>-7252.0574999999999</v>
      </c>
      <c r="AE30">
        <v>-7252.0574999999999</v>
      </c>
      <c r="AF30">
        <v>-7252.0574999999999</v>
      </c>
    </row>
    <row r="31" spans="2:32" x14ac:dyDescent="0.25">
      <c r="B31">
        <v>54</v>
      </c>
      <c r="C31">
        <v>1157.0296127329607</v>
      </c>
      <c r="D31">
        <v>2100.0730668467118</v>
      </c>
      <c r="E31">
        <v>4929.2033916238006</v>
      </c>
      <c r="F31">
        <v>9644.4206516521554</v>
      </c>
      <c r="G31">
        <v>19074.855183698397</v>
      </c>
      <c r="H31">
        <v>37935.724255283916</v>
      </c>
      <c r="J31">
        <v>54</v>
      </c>
      <c r="K31">
        <v>979.39104620682701</v>
      </c>
      <c r="L31">
        <v>1654.7894724004509</v>
      </c>
      <c r="M31">
        <v>3680.9843397505101</v>
      </c>
      <c r="N31">
        <v>7057.9763553283992</v>
      </c>
      <c r="O31">
        <v>13811.960517738684</v>
      </c>
      <c r="P31">
        <v>27319.928924588719</v>
      </c>
      <c r="R31">
        <v>54</v>
      </c>
      <c r="S31">
        <v>3.9906851915450625E-2</v>
      </c>
      <c r="T31">
        <v>3.8904041404496104E-2</v>
      </c>
      <c r="U31">
        <v>3.8238966277278408E-2</v>
      </c>
      <c r="V31">
        <v>3.8005417223754945E-2</v>
      </c>
      <c r="W31">
        <v>3.7886282084620637E-2</v>
      </c>
      <c r="X31">
        <v>3.7826110126441437E-2</v>
      </c>
      <c r="AA31">
        <v>-7232.5680000000002</v>
      </c>
      <c r="AB31">
        <v>-7232.5680000000002</v>
      </c>
      <c r="AC31">
        <v>-7232.5680000000002</v>
      </c>
      <c r="AD31">
        <v>-7232.5680000000002</v>
      </c>
      <c r="AE31">
        <v>-7232.5680000000002</v>
      </c>
      <c r="AF31">
        <v>-7232.5680000000002</v>
      </c>
    </row>
    <row r="32" spans="2:32" x14ac:dyDescent="0.25">
      <c r="B32">
        <v>55</v>
      </c>
      <c r="C32">
        <v>1261.4308494643481</v>
      </c>
      <c r="D32">
        <v>2307.2754396890214</v>
      </c>
      <c r="E32">
        <v>5444.8092253026653</v>
      </c>
      <c r="F32">
        <v>10674.032265004622</v>
      </c>
      <c r="G32">
        <v>21132.478367868378</v>
      </c>
      <c r="H32">
        <v>42049.370587870355</v>
      </c>
      <c r="J32">
        <v>55</v>
      </c>
      <c r="K32">
        <v>1054.1621185924723</v>
      </c>
      <c r="L32">
        <v>1803.1855982011257</v>
      </c>
      <c r="M32">
        <v>4050.2561991923139</v>
      </c>
      <c r="N32">
        <v>7795.3745587301673</v>
      </c>
      <c r="O32">
        <v>15285.611532455514</v>
      </c>
      <c r="P32">
        <v>30266.085634851363</v>
      </c>
      <c r="R32">
        <v>55</v>
      </c>
      <c r="S32">
        <v>3.9907541134023283E-2</v>
      </c>
      <c r="T32">
        <v>3.8970201416435701E-2</v>
      </c>
      <c r="U32">
        <v>3.8353632950376859E-2</v>
      </c>
      <c r="V32">
        <v>3.8138074027568303E-2</v>
      </c>
      <c r="W32">
        <v>3.8028306727473593E-2</v>
      </c>
      <c r="X32">
        <v>3.7972915185563672E-2</v>
      </c>
      <c r="AA32">
        <v>-7211.3207000000002</v>
      </c>
      <c r="AB32">
        <v>-7211.3207000000002</v>
      </c>
      <c r="AC32">
        <v>-7211.3207000000002</v>
      </c>
      <c r="AD32">
        <v>-7211.3207000000002</v>
      </c>
      <c r="AE32">
        <v>-7211.3207000000002</v>
      </c>
      <c r="AF32">
        <v>-7211.3207000000002</v>
      </c>
    </row>
    <row r="35" spans="2:31" x14ac:dyDescent="0.25">
      <c r="B35" t="s">
        <v>46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32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48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2:31" x14ac:dyDescent="0.25">
      <c r="B36">
        <v>35</v>
      </c>
      <c r="C36">
        <v>12054.439261689035</v>
      </c>
      <c r="D36">
        <v>36395.674914662028</v>
      </c>
      <c r="E36">
        <v>76964.401002950341</v>
      </c>
      <c r="F36">
        <v>158101.85121479773</v>
      </c>
      <c r="G36">
        <v>320376.75157821272</v>
      </c>
      <c r="J36">
        <v>35</v>
      </c>
      <c r="K36">
        <v>602.7219630831969</v>
      </c>
      <c r="L36">
        <v>1819.7837457291753</v>
      </c>
      <c r="M36">
        <v>3848.2200501390616</v>
      </c>
      <c r="N36">
        <v>7905.0891397185042</v>
      </c>
      <c r="O36">
        <v>16018.827210903517</v>
      </c>
      <c r="R36">
        <v>35</v>
      </c>
      <c r="S36">
        <v>3.1956703750270155E-2</v>
      </c>
      <c r="T36">
        <v>3.2544312563979272E-2</v>
      </c>
      <c r="U36">
        <v>3.2760539177500325E-2</v>
      </c>
      <c r="V36">
        <v>3.2872907095302217E-2</v>
      </c>
      <c r="W36">
        <v>3.2930202727809776E-2</v>
      </c>
      <c r="AA36">
        <v>-11308.6893</v>
      </c>
      <c r="AB36">
        <v>-11308.6893</v>
      </c>
      <c r="AC36">
        <v>-11308.6893</v>
      </c>
      <c r="AD36">
        <v>-11308.6893</v>
      </c>
      <c r="AE36">
        <v>-11308.6893</v>
      </c>
    </row>
    <row r="37" spans="2:31" x14ac:dyDescent="0.25">
      <c r="B37">
        <f t="shared" ref="B37:B66" si="0">B36+1</f>
        <v>36</v>
      </c>
      <c r="C37">
        <v>12813.197918439899</v>
      </c>
      <c r="D37">
        <v>38261.337696445757</v>
      </c>
      <c r="E37">
        <v>80674.904123946064</v>
      </c>
      <c r="F37">
        <v>165502.03740812914</v>
      </c>
      <c r="G37">
        <v>335156.30387047061</v>
      </c>
      <c r="J37">
        <f t="shared" ref="J37:J66" si="1">J36+1</f>
        <v>36</v>
      </c>
      <c r="K37">
        <v>640.66008514745772</v>
      </c>
      <c r="L37">
        <v>1913.06718640693</v>
      </c>
      <c r="M37">
        <v>4033.745921186608</v>
      </c>
      <c r="N37">
        <v>8275.1041540813749</v>
      </c>
      <c r="O37">
        <v>16757.820431297529</v>
      </c>
      <c r="R37">
        <f t="shared" ref="R37:R66" si="2">R36+1</f>
        <v>36</v>
      </c>
      <c r="S37">
        <v>3.2096369718349838E-2</v>
      </c>
      <c r="T37">
        <v>3.269173534473957E-2</v>
      </c>
      <c r="U37">
        <v>3.2910342331503806E-2</v>
      </c>
      <c r="V37">
        <v>3.3023848607978135E-2</v>
      </c>
      <c r="W37">
        <v>3.3081698331758558E-2</v>
      </c>
      <c r="AA37">
        <v>-11214.2592</v>
      </c>
      <c r="AB37">
        <v>-11214.2592</v>
      </c>
      <c r="AC37">
        <v>-11214.2592</v>
      </c>
      <c r="AD37">
        <v>-11214.2592</v>
      </c>
      <c r="AE37">
        <v>-11214.2592</v>
      </c>
    </row>
    <row r="38" spans="2:31" x14ac:dyDescent="0.25">
      <c r="B38">
        <f t="shared" si="0"/>
        <v>37</v>
      </c>
      <c r="C38">
        <v>13607.46654203953</v>
      </c>
      <c r="D38">
        <v>40214.526086318809</v>
      </c>
      <c r="E38">
        <v>84559.625541344314</v>
      </c>
      <c r="F38">
        <v>173249.82479876617</v>
      </c>
      <c r="G38">
        <v>350630.22321255843</v>
      </c>
      <c r="J38">
        <f t="shared" si="1"/>
        <v>37</v>
      </c>
      <c r="K38">
        <v>680.37350409854844</v>
      </c>
      <c r="L38">
        <v>2010.726563250093</v>
      </c>
      <c r="M38">
        <v>4227.9820406666549</v>
      </c>
      <c r="N38">
        <v>8662.4936088239774</v>
      </c>
      <c r="O38">
        <v>17531.516566720325</v>
      </c>
      <c r="R38">
        <f t="shared" si="2"/>
        <v>37</v>
      </c>
      <c r="S38">
        <v>3.2245608899085232E-2</v>
      </c>
      <c r="T38">
        <v>3.2849233710871895E-2</v>
      </c>
      <c r="U38">
        <v>3.3070398802367063E-2</v>
      </c>
      <c r="V38">
        <v>3.3185133178069481E-2</v>
      </c>
      <c r="W38">
        <v>3.3243582556995666E-2</v>
      </c>
      <c r="AA38">
        <v>-11117.406199999999</v>
      </c>
      <c r="AB38">
        <v>-11117.406199999999</v>
      </c>
      <c r="AC38">
        <v>-11117.406199999999</v>
      </c>
      <c r="AD38">
        <v>-11117.406199999999</v>
      </c>
      <c r="AE38">
        <v>-11117.406199999999</v>
      </c>
    </row>
    <row r="39" spans="2:31" x14ac:dyDescent="0.25">
      <c r="B39">
        <f t="shared" si="0"/>
        <v>38</v>
      </c>
      <c r="C39">
        <v>14439.03019931257</v>
      </c>
      <c r="D39">
        <v>42259.534644246763</v>
      </c>
      <c r="E39">
        <v>88627.042351525917</v>
      </c>
      <c r="F39">
        <v>181362.0580322305</v>
      </c>
      <c r="G39">
        <v>366832.0892972101</v>
      </c>
      <c r="J39">
        <f t="shared" si="1"/>
        <v>38</v>
      </c>
      <c r="K39">
        <v>721.95167577590473</v>
      </c>
      <c r="L39">
        <v>2112.976949541684</v>
      </c>
      <c r="M39">
        <v>4431.3529298575595</v>
      </c>
      <c r="N39">
        <v>9068.1053568611969</v>
      </c>
      <c r="O39">
        <v>18341.610041894251</v>
      </c>
      <c r="R39">
        <f t="shared" si="2"/>
        <v>38</v>
      </c>
      <c r="S39">
        <v>3.240535429107716E-2</v>
      </c>
      <c r="T39">
        <v>3.301775138396601E-2</v>
      </c>
      <c r="U39">
        <v>3.3241652574807157E-2</v>
      </c>
      <c r="V39">
        <v>3.335770576966568E-2</v>
      </c>
      <c r="W39">
        <v>3.3416800648135458E-2</v>
      </c>
      <c r="AA39">
        <v>-11018.229799999999</v>
      </c>
      <c r="AB39">
        <v>-11018.229799999999</v>
      </c>
      <c r="AC39">
        <v>-11018.229799999999</v>
      </c>
      <c r="AD39">
        <v>-11018.229799999999</v>
      </c>
      <c r="AE39">
        <v>-11018.229799999999</v>
      </c>
    </row>
    <row r="40" spans="2:31" x14ac:dyDescent="0.25">
      <c r="B40">
        <f t="shared" si="0"/>
        <v>39</v>
      </c>
      <c r="C40">
        <v>15309.608140086999</v>
      </c>
      <c r="D40">
        <v>44400.705412443196</v>
      </c>
      <c r="E40">
        <v>92885.867919351105</v>
      </c>
      <c r="F40">
        <v>189856.19311629396</v>
      </c>
      <c r="G40">
        <v>383796.84341819648</v>
      </c>
      <c r="J40">
        <f t="shared" si="1"/>
        <v>39</v>
      </c>
      <c r="K40">
        <v>765.48056232868112</v>
      </c>
      <c r="L40">
        <v>2220.0354462372634</v>
      </c>
      <c r="M40">
        <v>4644.2942577579524</v>
      </c>
      <c r="N40">
        <v>9492.8121991967782</v>
      </c>
      <c r="O40">
        <v>19189.847922146437</v>
      </c>
      <c r="R40">
        <f t="shared" si="2"/>
        <v>39</v>
      </c>
      <c r="S40">
        <v>3.2576544611118585E-2</v>
      </c>
      <c r="T40">
        <v>3.3198286040068581E-2</v>
      </c>
      <c r="U40">
        <v>3.3425124196524214E-2</v>
      </c>
      <c r="V40">
        <v>3.3542599058183686E-2</v>
      </c>
      <c r="W40">
        <v>3.3602391527516318E-2</v>
      </c>
      <c r="AA40">
        <v>-10916.737999999999</v>
      </c>
      <c r="AB40">
        <v>-10916.737999999999</v>
      </c>
      <c r="AC40">
        <v>-10916.737999999999</v>
      </c>
      <c r="AD40">
        <v>-10916.737999999999</v>
      </c>
      <c r="AE40">
        <v>-10916.737999999999</v>
      </c>
    </row>
    <row r="41" spans="2:31" x14ac:dyDescent="0.25">
      <c r="B41">
        <f t="shared" si="0"/>
        <v>40</v>
      </c>
      <c r="C41">
        <v>16221.147134560102</v>
      </c>
      <c r="D41">
        <v>46642.723103005708</v>
      </c>
      <c r="E41">
        <v>97345.348122255571</v>
      </c>
      <c r="F41">
        <v>198750.59981300408</v>
      </c>
      <c r="G41">
        <v>401561.10310668475</v>
      </c>
      <c r="J41">
        <f t="shared" si="1"/>
        <v>40</v>
      </c>
      <c r="K41">
        <v>811.05750242972863</v>
      </c>
      <c r="L41">
        <v>2332.1375896564714</v>
      </c>
      <c r="M41">
        <v>4867.2683178081061</v>
      </c>
      <c r="N41">
        <v>9937.5326237067347</v>
      </c>
      <c r="O41">
        <v>20078.061084048706</v>
      </c>
      <c r="R41">
        <f t="shared" si="2"/>
        <v>40</v>
      </c>
      <c r="S41">
        <v>3.2760332194097241E-2</v>
      </c>
      <c r="T41">
        <v>3.3392003419637106E-2</v>
      </c>
      <c r="U41">
        <v>3.3621977561337779E-2</v>
      </c>
      <c r="V41">
        <v>3.3740976156236391E-2</v>
      </c>
      <c r="W41">
        <v>3.3801517691741223E-2</v>
      </c>
      <c r="AA41">
        <v>-10812.8714</v>
      </c>
      <c r="AB41">
        <v>-10812.8714</v>
      </c>
      <c r="AC41">
        <v>-10812.8714</v>
      </c>
      <c r="AD41">
        <v>-10812.8714</v>
      </c>
      <c r="AE41">
        <v>-10812.8714</v>
      </c>
    </row>
    <row r="42" spans="2:31" x14ac:dyDescent="0.25">
      <c r="B42">
        <f t="shared" si="0"/>
        <v>41</v>
      </c>
      <c r="C42">
        <v>17175.517436613689</v>
      </c>
      <c r="D42">
        <v>48990.30764060311</v>
      </c>
      <c r="E42">
        <v>102014.95710074861</v>
      </c>
      <c r="F42">
        <v>208064.25712022561</v>
      </c>
      <c r="G42">
        <v>420162.85707536741</v>
      </c>
      <c r="J42">
        <f t="shared" si="1"/>
        <v>41</v>
      </c>
      <c r="K42">
        <v>858.77600844245171</v>
      </c>
      <c r="L42">
        <v>2449.5163762997981</v>
      </c>
      <c r="M42">
        <v>5100.7488179167558</v>
      </c>
      <c r="N42">
        <v>10403.215581122437</v>
      </c>
      <c r="O42">
        <v>21008.148964186781</v>
      </c>
      <c r="R42">
        <f t="shared" si="2"/>
        <v>41</v>
      </c>
      <c r="S42">
        <v>3.2957887118789664E-2</v>
      </c>
      <c r="T42">
        <v>3.3600137391248674E-2</v>
      </c>
      <c r="U42">
        <v>3.3833477168897508E-2</v>
      </c>
      <c r="V42">
        <v>3.3954115351989111E-2</v>
      </c>
      <c r="W42">
        <v>3.4015464513638127E-2</v>
      </c>
      <c r="AA42">
        <v>-10706.559600000001</v>
      </c>
      <c r="AB42">
        <v>-10706.559600000001</v>
      </c>
      <c r="AC42">
        <v>-10706.559600000001</v>
      </c>
      <c r="AD42">
        <v>-10706.559600000001</v>
      </c>
      <c r="AE42">
        <v>-10706.559600000001</v>
      </c>
    </row>
    <row r="43" spans="2:31" x14ac:dyDescent="0.25">
      <c r="B43">
        <f t="shared" si="0"/>
        <v>42</v>
      </c>
      <c r="C43">
        <v>18174.828038128733</v>
      </c>
      <c r="D43">
        <v>51448.533339365124</v>
      </c>
      <c r="E43">
        <v>106904.70869144601</v>
      </c>
      <c r="F43">
        <v>217817.05993102471</v>
      </c>
      <c r="G43">
        <v>439641.76233013265</v>
      </c>
      <c r="J43">
        <f t="shared" si="1"/>
        <v>42</v>
      </c>
      <c r="K43">
        <v>908.74153011787712</v>
      </c>
      <c r="L43">
        <v>2572.4272202838329</v>
      </c>
      <c r="M43">
        <v>5345.2364495838992</v>
      </c>
      <c r="N43">
        <v>10890.855816052062</v>
      </c>
      <c r="O43">
        <v>21982.09441325441</v>
      </c>
      <c r="R43">
        <f t="shared" si="2"/>
        <v>42</v>
      </c>
      <c r="S43">
        <v>3.3170641083123842E-2</v>
      </c>
      <c r="T43">
        <v>3.3824133458013161E-2</v>
      </c>
      <c r="U43">
        <v>3.4061065621677544E-2</v>
      </c>
      <c r="V43">
        <v>3.4183458140997436E-2</v>
      </c>
      <c r="W43">
        <v>3.4245672688592466E-2</v>
      </c>
      <c r="AA43">
        <v>-10597.8485</v>
      </c>
      <c r="AB43">
        <v>-10597.8485</v>
      </c>
      <c r="AC43">
        <v>-10597.8485</v>
      </c>
      <c r="AD43">
        <v>-10597.8485</v>
      </c>
      <c r="AE43">
        <v>-10597.8485</v>
      </c>
    </row>
    <row r="44" spans="2:31" x14ac:dyDescent="0.25">
      <c r="B44">
        <f t="shared" si="0"/>
        <v>43</v>
      </c>
      <c r="C44">
        <v>19221.095720739821</v>
      </c>
      <c r="D44">
        <v>54022.491611111189</v>
      </c>
      <c r="E44">
        <v>112024.8171671802</v>
      </c>
      <c r="F44">
        <v>228029.46938122972</v>
      </c>
      <c r="G44">
        <v>460038.77373295469</v>
      </c>
      <c r="J44">
        <f t="shared" si="1"/>
        <v>43</v>
      </c>
      <c r="K44">
        <v>961.05490622400248</v>
      </c>
      <c r="L44">
        <v>2701.1256239716604</v>
      </c>
      <c r="M44">
        <v>5601.2419275149296</v>
      </c>
      <c r="N44">
        <v>11401.476386437251</v>
      </c>
      <c r="O44">
        <v>23001.945175929461</v>
      </c>
      <c r="R44">
        <f t="shared" si="2"/>
        <v>43</v>
      </c>
      <c r="S44">
        <v>3.340005939860502E-2</v>
      </c>
      <c r="T44">
        <v>3.4065536879108071E-2</v>
      </c>
      <c r="U44">
        <v>3.4306316394870251E-2</v>
      </c>
      <c r="V44">
        <v>3.4430593578203217E-2</v>
      </c>
      <c r="W44">
        <v>3.4493739258038225E-2</v>
      </c>
      <c r="AA44">
        <v>-10486.615400000001</v>
      </c>
      <c r="AB44">
        <v>-10486.615400000001</v>
      </c>
      <c r="AC44">
        <v>-10486.615400000001</v>
      </c>
      <c r="AD44">
        <v>-10486.615400000001</v>
      </c>
      <c r="AE44">
        <v>-10486.615400000001</v>
      </c>
    </row>
    <row r="45" spans="2:31" x14ac:dyDescent="0.25">
      <c r="B45">
        <f t="shared" si="0"/>
        <v>44</v>
      </c>
      <c r="C45">
        <v>20316.583875057309</v>
      </c>
      <c r="D45">
        <v>56717.623166871948</v>
      </c>
      <c r="E45">
        <v>117386.02219077203</v>
      </c>
      <c r="F45">
        <v>238722.82047442801</v>
      </c>
      <c r="G45">
        <v>481396.41696882952</v>
      </c>
      <c r="J45">
        <f t="shared" si="1"/>
        <v>44</v>
      </c>
      <c r="K45">
        <v>1015.8293064417958</v>
      </c>
      <c r="L45">
        <v>2835.8815270127234</v>
      </c>
      <c r="M45">
        <v>5869.3022346677608</v>
      </c>
      <c r="N45">
        <v>11936.14404271188</v>
      </c>
      <c r="O45">
        <v>24069.827537393081</v>
      </c>
      <c r="R45">
        <f t="shared" si="2"/>
        <v>44</v>
      </c>
      <c r="S45">
        <v>3.3647929206794824E-2</v>
      </c>
      <c r="T45">
        <v>3.4326141221314055E-2</v>
      </c>
      <c r="U45">
        <v>3.4571024861674848E-2</v>
      </c>
      <c r="V45">
        <v>3.4697315284864416E-2</v>
      </c>
      <c r="W45">
        <v>3.4761456693263915E-2</v>
      </c>
      <c r="AA45">
        <v>-10372.9005</v>
      </c>
      <c r="AB45">
        <v>-10372.9005</v>
      </c>
      <c r="AC45">
        <v>-10372.9005</v>
      </c>
      <c r="AD45">
        <v>-10372.9005</v>
      </c>
      <c r="AE45">
        <v>-10372.9005</v>
      </c>
    </row>
    <row r="46" spans="2:31" x14ac:dyDescent="0.25">
      <c r="B46">
        <f t="shared" si="0"/>
        <v>45</v>
      </c>
      <c r="C46">
        <v>21463.440941146975</v>
      </c>
      <c r="D46">
        <v>59539.35327734999</v>
      </c>
      <c r="E46">
        <v>122999.20660171098</v>
      </c>
      <c r="F46">
        <v>249918.9140482907</v>
      </c>
      <c r="G46">
        <v>503758.32887192344</v>
      </c>
      <c r="J46">
        <f t="shared" si="1"/>
        <v>45</v>
      </c>
      <c r="K46">
        <v>1073.1721524736786</v>
      </c>
      <c r="L46">
        <v>2976.9685152915627</v>
      </c>
      <c r="M46">
        <v>6149.961514325696</v>
      </c>
      <c r="N46">
        <v>12495.948828344815</v>
      </c>
      <c r="O46">
        <v>25187.923341708491</v>
      </c>
      <c r="R46">
        <f t="shared" si="2"/>
        <v>45</v>
      </c>
      <c r="S46">
        <v>3.3916092690429611E-2</v>
      </c>
      <c r="T46">
        <v>3.4607881489657322E-2</v>
      </c>
      <c r="U46">
        <v>3.4857155693025721E-2</v>
      </c>
      <c r="V46">
        <v>3.4985605350075E-2</v>
      </c>
      <c r="W46">
        <v>3.5050815992815565E-2</v>
      </c>
      <c r="AA46">
        <v>-10256.650600000001</v>
      </c>
      <c r="AB46">
        <v>-10256.650600000001</v>
      </c>
      <c r="AC46">
        <v>-10256.650600000001</v>
      </c>
      <c r="AD46">
        <v>-10256.650600000001</v>
      </c>
      <c r="AE46">
        <v>-10256.650600000001</v>
      </c>
    </row>
    <row r="47" spans="2:31" x14ac:dyDescent="0.25">
      <c r="B47">
        <f t="shared" si="0"/>
        <v>46</v>
      </c>
      <c r="C47">
        <v>22664.064318324232</v>
      </c>
      <c r="D47">
        <v>62493.43999829996</v>
      </c>
      <c r="E47">
        <v>128875.73141825716</v>
      </c>
      <c r="F47">
        <v>261640.31564520005</v>
      </c>
      <c r="G47">
        <v>527169.48403279646</v>
      </c>
      <c r="J47">
        <f t="shared" si="1"/>
        <v>46</v>
      </c>
      <c r="K47">
        <v>1133.2033144318993</v>
      </c>
      <c r="L47">
        <v>3124.6733482424752</v>
      </c>
      <c r="M47">
        <v>6443.7878174345533</v>
      </c>
      <c r="N47">
        <v>13082.01902111934</v>
      </c>
      <c r="O47">
        <v>26358.481320224353</v>
      </c>
      <c r="R47">
        <f t="shared" si="2"/>
        <v>46</v>
      </c>
      <c r="S47">
        <v>3.4206789164166862E-2</v>
      </c>
      <c r="T47">
        <v>3.4913000665205862E-2</v>
      </c>
      <c r="U47">
        <v>3.5166950085652404E-2</v>
      </c>
      <c r="V47">
        <v>3.5297702023042055E-2</v>
      </c>
      <c r="W47">
        <v>3.5364053623117453E-2</v>
      </c>
      <c r="AA47">
        <v>-10137.871499999999</v>
      </c>
      <c r="AB47">
        <v>-10137.871499999999</v>
      </c>
      <c r="AC47">
        <v>-10137.871499999999</v>
      </c>
      <c r="AD47">
        <v>-10137.871499999999</v>
      </c>
      <c r="AE47">
        <v>-10137.871499999999</v>
      </c>
    </row>
    <row r="48" spans="2:31" x14ac:dyDescent="0.25">
      <c r="B48">
        <f t="shared" si="0"/>
        <v>47</v>
      </c>
      <c r="C48">
        <v>23920.703689517122</v>
      </c>
      <c r="D48">
        <v>65585.564682908225</v>
      </c>
      <c r="E48">
        <v>135027.00031358789</v>
      </c>
      <c r="F48">
        <v>273909.87142492569</v>
      </c>
      <c r="G48">
        <v>551675.61358450679</v>
      </c>
      <c r="J48">
        <f t="shared" si="1"/>
        <v>47</v>
      </c>
      <c r="K48">
        <v>1196.0352761696413</v>
      </c>
      <c r="L48">
        <v>3279.2784070509515</v>
      </c>
      <c r="M48">
        <v>6751.3513292736025</v>
      </c>
      <c r="N48">
        <v>13695.496931180765</v>
      </c>
      <c r="O48">
        <v>27583.788032990415</v>
      </c>
      <c r="R48">
        <f t="shared" si="2"/>
        <v>47</v>
      </c>
      <c r="S48">
        <v>3.4522340724725042E-2</v>
      </c>
      <c r="T48">
        <v>3.5243917477584041E-2</v>
      </c>
      <c r="U48">
        <v>3.5502866308156689E-2</v>
      </c>
      <c r="V48">
        <v>3.5636082706546501E-2</v>
      </c>
      <c r="W48">
        <v>3.5703656754498159E-2</v>
      </c>
      <c r="AA48">
        <v>-10016.4967</v>
      </c>
      <c r="AB48">
        <v>-10016.4967</v>
      </c>
      <c r="AC48">
        <v>-10016.4967</v>
      </c>
      <c r="AD48">
        <v>-10016.4967</v>
      </c>
      <c r="AE48">
        <v>-10016.4967</v>
      </c>
    </row>
    <row r="49" spans="2:31" x14ac:dyDescent="0.25">
      <c r="B49">
        <f t="shared" si="0"/>
        <v>48</v>
      </c>
      <c r="C49">
        <v>25235.852001402011</v>
      </c>
      <c r="D49">
        <v>68821.706728979509</v>
      </c>
      <c r="E49">
        <v>141464.79935219942</v>
      </c>
      <c r="F49">
        <v>286750.98445706564</v>
      </c>
      <c r="G49">
        <v>577323.35460677603</v>
      </c>
      <c r="J49">
        <f t="shared" si="1"/>
        <v>48</v>
      </c>
      <c r="K49">
        <v>1261.793438303881</v>
      </c>
      <c r="L49">
        <v>3441.0855602008087</v>
      </c>
      <c r="M49">
        <v>7073.2413533758081</v>
      </c>
      <c r="N49">
        <v>14337.552713234734</v>
      </c>
      <c r="O49">
        <v>28866.175336927874</v>
      </c>
      <c r="R49">
        <f t="shared" si="2"/>
        <v>48</v>
      </c>
      <c r="S49">
        <v>3.4865562943799944E-2</v>
      </c>
      <c r="T49">
        <v>3.5603445759246233E-2</v>
      </c>
      <c r="U49">
        <v>3.5867705990116017E-2</v>
      </c>
      <c r="V49">
        <v>3.6003543957517925E-2</v>
      </c>
      <c r="W49">
        <v>3.6072419052828097E-2</v>
      </c>
      <c r="AA49">
        <v>-9892.6355000000003</v>
      </c>
      <c r="AB49">
        <v>-9892.6355000000003</v>
      </c>
      <c r="AC49">
        <v>-9892.6355000000003</v>
      </c>
      <c r="AD49">
        <v>-9892.6355000000003</v>
      </c>
      <c r="AE49">
        <v>-9892.6355000000003</v>
      </c>
    </row>
    <row r="50" spans="2:31" x14ac:dyDescent="0.25">
      <c r="B50">
        <f t="shared" si="0"/>
        <v>49</v>
      </c>
      <c r="C50">
        <v>26611.806198778871</v>
      </c>
      <c r="D50">
        <v>72207.676427807382</v>
      </c>
      <c r="E50">
        <v>148200.79479338686</v>
      </c>
      <c r="F50">
        <v>300187.03139126551</v>
      </c>
      <c r="G50">
        <v>604159.50453005696</v>
      </c>
      <c r="J50">
        <f t="shared" si="1"/>
        <v>49</v>
      </c>
      <c r="K50">
        <v>1330.5910883788893</v>
      </c>
      <c r="L50">
        <v>3610.3841002776753</v>
      </c>
      <c r="M50">
        <v>7410.0412046762649</v>
      </c>
      <c r="N50">
        <v>15009.3552025471</v>
      </c>
      <c r="O50">
        <v>30207.983108135872</v>
      </c>
      <c r="R50">
        <f t="shared" si="2"/>
        <v>49</v>
      </c>
      <c r="S50">
        <v>3.5239378757284667E-2</v>
      </c>
      <c r="T50">
        <v>3.5994620183043891E-2</v>
      </c>
      <c r="U50">
        <v>3.6264545143606997E-2</v>
      </c>
      <c r="V50">
        <v>3.6403182202158657E-2</v>
      </c>
      <c r="W50">
        <v>3.6473447346364596E-2</v>
      </c>
      <c r="AA50">
        <v>-9766.3366999999998</v>
      </c>
      <c r="AB50">
        <v>-9766.3366999999998</v>
      </c>
      <c r="AC50">
        <v>-9766.3366999999998</v>
      </c>
      <c r="AD50">
        <v>-9766.3366999999998</v>
      </c>
      <c r="AE50">
        <v>-9766.3366999999998</v>
      </c>
    </row>
    <row r="51" spans="2:31" x14ac:dyDescent="0.25">
      <c r="B51">
        <f t="shared" si="0"/>
        <v>50</v>
      </c>
      <c r="C51">
        <v>28051.088767295329</v>
      </c>
      <c r="D51">
        <v>75749.50628069017</v>
      </c>
      <c r="E51">
        <v>155246.87002234292</v>
      </c>
      <c r="F51">
        <v>314241.5973802107</v>
      </c>
      <c r="G51">
        <v>632231.0520419348</v>
      </c>
      <c r="J51">
        <f t="shared" si="1"/>
        <v>50</v>
      </c>
      <c r="K51">
        <v>1402.5551564978377</v>
      </c>
      <c r="L51">
        <v>3787.4756521225936</v>
      </c>
      <c r="M51">
        <v>7762.345053061872</v>
      </c>
      <c r="N51">
        <v>15712.083658632415</v>
      </c>
      <c r="O51">
        <v>31611.560785244801</v>
      </c>
      <c r="R51">
        <f t="shared" si="2"/>
        <v>50</v>
      </c>
      <c r="S51">
        <v>3.564732439949414E-2</v>
      </c>
      <c r="T51">
        <v>3.6420953377512388E-2</v>
      </c>
      <c r="U51">
        <v>3.6696882084271465E-2</v>
      </c>
      <c r="V51">
        <v>3.6838487018289401E-2</v>
      </c>
      <c r="W51">
        <v>3.6910226429794246E-2</v>
      </c>
      <c r="AA51">
        <v>-9637.5864000000001</v>
      </c>
      <c r="AB51">
        <v>-9637.5864000000001</v>
      </c>
      <c r="AC51">
        <v>-9637.5864000000001</v>
      </c>
      <c r="AD51">
        <v>-9637.5864000000001</v>
      </c>
      <c r="AE51">
        <v>-9637.5864000000001</v>
      </c>
    </row>
    <row r="52" spans="2:31" x14ac:dyDescent="0.25">
      <c r="B52">
        <f t="shared" si="0"/>
        <v>51</v>
      </c>
      <c r="C52">
        <v>29555.961092585858</v>
      </c>
      <c r="D52">
        <v>79452.927681726374</v>
      </c>
      <c r="E52">
        <v>162614.53977528767</v>
      </c>
      <c r="F52">
        <v>328937.76384473103</v>
      </c>
      <c r="G52">
        <v>661584.21193259885</v>
      </c>
      <c r="J52">
        <f t="shared" si="1"/>
        <v>51</v>
      </c>
      <c r="K52">
        <v>1477.7987092612602</v>
      </c>
      <c r="L52">
        <v>3972.6467874966038</v>
      </c>
      <c r="M52">
        <v>8130.7286376809352</v>
      </c>
      <c r="N52">
        <v>16446.892155994312</v>
      </c>
      <c r="O52">
        <v>33079.219113691943</v>
      </c>
      <c r="R52">
        <f t="shared" si="2"/>
        <v>51</v>
      </c>
      <c r="S52">
        <v>3.6093086488475645E-2</v>
      </c>
      <c r="T52">
        <v>3.6886242445869355E-2</v>
      </c>
      <c r="U52">
        <v>3.7168553964320505E-2</v>
      </c>
      <c r="V52">
        <v>3.7313316273245745E-2</v>
      </c>
      <c r="W52">
        <v>3.7386624709739857E-2</v>
      </c>
      <c r="AA52">
        <v>-9506.3734000000004</v>
      </c>
      <c r="AB52">
        <v>-9506.3734000000004</v>
      </c>
      <c r="AC52">
        <v>-9506.3734000000004</v>
      </c>
      <c r="AD52">
        <v>-9506.3734000000004</v>
      </c>
      <c r="AE52">
        <v>-9506.3734000000004</v>
      </c>
    </row>
    <row r="53" spans="2:31" x14ac:dyDescent="0.25">
      <c r="B53">
        <f t="shared" si="0"/>
        <v>52</v>
      </c>
      <c r="C53">
        <v>31128.872063381383</v>
      </c>
      <c r="D53">
        <v>83323.77253928165</v>
      </c>
      <c r="E53">
        <v>170315.27432823126</v>
      </c>
      <c r="F53">
        <v>344298.2777958595</v>
      </c>
      <c r="G53">
        <v>692264.28468299052</v>
      </c>
      <c r="J53">
        <f t="shared" si="1"/>
        <v>52</v>
      </c>
      <c r="K53">
        <v>1556.4441922294136</v>
      </c>
      <c r="L53">
        <v>4166.1891017305898</v>
      </c>
      <c r="M53">
        <v>8515.7654732225346</v>
      </c>
      <c r="N53">
        <v>17214.918047626852</v>
      </c>
      <c r="O53">
        <v>34613.223122863565</v>
      </c>
      <c r="R53">
        <f t="shared" si="2"/>
        <v>52</v>
      </c>
      <c r="S53">
        <v>3.6581088744476409E-2</v>
      </c>
      <c r="T53">
        <v>3.7394860204917446E-2</v>
      </c>
      <c r="U53">
        <v>3.7683907565177366E-2</v>
      </c>
      <c r="V53">
        <v>3.783200184558333E-2</v>
      </c>
      <c r="W53">
        <v>3.7906966122352559E-2</v>
      </c>
      <c r="AA53">
        <v>-9372.7019</v>
      </c>
      <c r="AB53">
        <v>-9372.7019</v>
      </c>
      <c r="AC53">
        <v>-9372.7019</v>
      </c>
      <c r="AD53">
        <v>-9372.7019</v>
      </c>
      <c r="AE53">
        <v>-9372.7019</v>
      </c>
    </row>
    <row r="54" spans="2:31" x14ac:dyDescent="0.25">
      <c r="B54">
        <f t="shared" si="0"/>
        <v>53</v>
      </c>
      <c r="C54">
        <v>32771.918060677621</v>
      </c>
      <c r="D54">
        <v>87367.377000388457</v>
      </c>
      <c r="E54">
        <v>178359.80943256154</v>
      </c>
      <c r="F54">
        <v>360344.67419400881</v>
      </c>
      <c r="G54">
        <v>724314.40367170295</v>
      </c>
      <c r="J54">
        <f t="shared" si="1"/>
        <v>53</v>
      </c>
      <c r="K54">
        <v>1638.5964216815264</v>
      </c>
      <c r="L54">
        <v>4368.3694043240976</v>
      </c>
      <c r="M54">
        <v>8917.9923498468124</v>
      </c>
      <c r="N54">
        <v>18017.238085497287</v>
      </c>
      <c r="O54">
        <v>36215.729488538578</v>
      </c>
      <c r="R54">
        <f t="shared" si="2"/>
        <v>53</v>
      </c>
      <c r="S54">
        <v>3.7115940127937508E-2</v>
      </c>
      <c r="T54">
        <v>3.7951518725629407E-2</v>
      </c>
      <c r="U54">
        <v>3.8247692064657501E-2</v>
      </c>
      <c r="V54">
        <v>3.8399312065462654E-2</v>
      </c>
      <c r="W54">
        <v>3.847602873269218E-2</v>
      </c>
      <c r="AA54">
        <v>-9236.6705000000002</v>
      </c>
      <c r="AB54">
        <v>-9236.6705000000002</v>
      </c>
      <c r="AC54">
        <v>-9236.6705000000002</v>
      </c>
      <c r="AD54">
        <v>-9236.6705000000002</v>
      </c>
      <c r="AE54">
        <v>-9236.6705000000002</v>
      </c>
    </row>
    <row r="55" spans="2:31" x14ac:dyDescent="0.25">
      <c r="B55">
        <f t="shared" si="0"/>
        <v>54</v>
      </c>
      <c r="C55">
        <v>34487.322346872468</v>
      </c>
      <c r="D55">
        <v>91588.993374191239</v>
      </c>
      <c r="E55">
        <v>186758.4458099927</v>
      </c>
      <c r="F55">
        <v>377097.3505858042</v>
      </c>
      <c r="G55">
        <v>757775.16009508993</v>
      </c>
      <c r="J55">
        <f t="shared" si="1"/>
        <v>54</v>
      </c>
      <c r="K55">
        <v>1724.3665617725637</v>
      </c>
      <c r="L55">
        <v>4579.4503106796474</v>
      </c>
      <c r="M55">
        <v>9337.9243045937619</v>
      </c>
      <c r="N55">
        <v>18854.872149574105</v>
      </c>
      <c r="O55">
        <v>37888.767776397755</v>
      </c>
      <c r="R55">
        <f t="shared" si="2"/>
        <v>54</v>
      </c>
      <c r="S55">
        <v>3.7703132528599692E-2</v>
      </c>
      <c r="T55">
        <v>3.8561606610726828E-2</v>
      </c>
      <c r="U55">
        <v>3.8865250560721654E-2</v>
      </c>
      <c r="V55">
        <v>3.9020565009166175E-2</v>
      </c>
      <c r="W55">
        <v>3.9099117518650806E-2</v>
      </c>
      <c r="AA55">
        <v>-9098.4312000000009</v>
      </c>
      <c r="AB55">
        <v>-9098.4312000000009</v>
      </c>
      <c r="AC55">
        <v>-9098.4312000000009</v>
      </c>
      <c r="AD55">
        <v>-9098.4312000000009</v>
      </c>
      <c r="AE55">
        <v>-9098.4312000000009</v>
      </c>
    </row>
    <row r="56" spans="2:31" x14ac:dyDescent="0.25">
      <c r="B56">
        <f t="shared" si="0"/>
        <v>55</v>
      </c>
      <c r="C56">
        <v>36276.830112693839</v>
      </c>
      <c r="D56">
        <v>95993.105128747324</v>
      </c>
      <c r="E56">
        <v>195520.23071817428</v>
      </c>
      <c r="F56">
        <v>394574.48180834501</v>
      </c>
      <c r="G56">
        <v>792682.98394927487</v>
      </c>
      <c r="J56">
        <f t="shared" si="1"/>
        <v>55</v>
      </c>
      <c r="K56">
        <v>1813.8418692337582</v>
      </c>
      <c r="L56">
        <v>4799.6559962394531</v>
      </c>
      <c r="M56">
        <v>9776.0137028464233</v>
      </c>
      <c r="N56">
        <v>19728.728985517053</v>
      </c>
      <c r="O56">
        <v>39634.159492844017</v>
      </c>
      <c r="R56">
        <f t="shared" si="2"/>
        <v>55</v>
      </c>
      <c r="S56">
        <v>3.8348349617895572E-2</v>
      </c>
      <c r="T56">
        <v>3.923088496675442E-2</v>
      </c>
      <c r="U56">
        <v>3.9542371992443703E-2</v>
      </c>
      <c r="V56">
        <v>3.970156399913094E-2</v>
      </c>
      <c r="W56">
        <v>3.9782043120414334E-2</v>
      </c>
      <c r="AA56">
        <v>-8958.0210999999999</v>
      </c>
      <c r="AB56">
        <v>-8958.0210999999999</v>
      </c>
      <c r="AC56">
        <v>-8958.0210999999999</v>
      </c>
      <c r="AD56">
        <v>-8958.0210999999999</v>
      </c>
      <c r="AE56">
        <v>-8958.0210999999999</v>
      </c>
    </row>
    <row r="57" spans="2:31" x14ac:dyDescent="0.25">
      <c r="B57">
        <f t="shared" si="0"/>
        <v>56</v>
      </c>
      <c r="C57">
        <v>38142.221689345926</v>
      </c>
      <c r="D57">
        <v>100583.84603459884</v>
      </c>
      <c r="E57">
        <v>204653.22032782953</v>
      </c>
      <c r="F57">
        <v>412791.96883248742</v>
      </c>
      <c r="G57">
        <v>829069.46580524126</v>
      </c>
      <c r="J57">
        <f t="shared" si="1"/>
        <v>56</v>
      </c>
      <c r="K57">
        <v>1907.111361635405</v>
      </c>
      <c r="L57">
        <v>5029.193149245315</v>
      </c>
      <c r="M57">
        <v>10232.663353721146</v>
      </c>
      <c r="N57">
        <v>20639.603643851355</v>
      </c>
      <c r="O57">
        <v>41453.484171005664</v>
      </c>
      <c r="R57">
        <f t="shared" si="2"/>
        <v>56</v>
      </c>
      <c r="S57">
        <v>3.9058296189946828E-2</v>
      </c>
      <c r="T57">
        <v>3.9965868586891329E-2</v>
      </c>
      <c r="U57">
        <v>4.0285494285791756E-2</v>
      </c>
      <c r="V57">
        <v>4.0448705795611106E-2</v>
      </c>
      <c r="W57">
        <v>4.0531181012170903E-2</v>
      </c>
      <c r="AA57">
        <v>-8815.6316999999999</v>
      </c>
      <c r="AB57">
        <v>-8815.6316999999999</v>
      </c>
      <c r="AC57">
        <v>-8815.6316999999999</v>
      </c>
      <c r="AD57">
        <v>-8815.6316999999999</v>
      </c>
      <c r="AE57">
        <v>-8815.6316999999999</v>
      </c>
    </row>
    <row r="58" spans="2:31" x14ac:dyDescent="0.25">
      <c r="B58">
        <f t="shared" si="0"/>
        <v>57</v>
      </c>
      <c r="C58">
        <v>40084.631768733649</v>
      </c>
      <c r="D58">
        <v>105364.21003007369</v>
      </c>
      <c r="E58">
        <v>214163.50731545308</v>
      </c>
      <c r="F58">
        <v>431762.10181131761</v>
      </c>
      <c r="G58">
        <v>866959.28314274654</v>
      </c>
      <c r="J58">
        <f t="shared" si="1"/>
        <v>57</v>
      </c>
      <c r="K58">
        <v>2004.2317708578339</v>
      </c>
      <c r="L58">
        <v>5268.2114681746461</v>
      </c>
      <c r="M58">
        <v>10708.177892774285</v>
      </c>
      <c r="N58">
        <v>21588.110634667217</v>
      </c>
      <c r="O58">
        <v>43347.965143067995</v>
      </c>
      <c r="R58">
        <f t="shared" si="2"/>
        <v>57</v>
      </c>
      <c r="S58">
        <v>3.9839809208157551E-2</v>
      </c>
      <c r="T58">
        <v>4.0773416541240781E-2</v>
      </c>
      <c r="U58">
        <v>4.1101485038777419E-2</v>
      </c>
      <c r="V58">
        <v>4.1268862576258947E-2</v>
      </c>
      <c r="W58">
        <v>4.1353402858613553E-2</v>
      </c>
      <c r="AA58">
        <v>-8671.3991999999998</v>
      </c>
      <c r="AB58">
        <v>-8671.3991999999998</v>
      </c>
      <c r="AC58">
        <v>-8671.3991999999998</v>
      </c>
      <c r="AD58">
        <v>-8671.3991999999998</v>
      </c>
      <c r="AE58">
        <v>-8671.3991999999998</v>
      </c>
    </row>
    <row r="59" spans="2:31" x14ac:dyDescent="0.25">
      <c r="B59">
        <f t="shared" si="0"/>
        <v>58</v>
      </c>
      <c r="C59">
        <v>42105.100764456693</v>
      </c>
      <c r="D59">
        <v>110336.47682713358</v>
      </c>
      <c r="E59">
        <v>224055.43689197523</v>
      </c>
      <c r="F59">
        <v>451493.35298044921</v>
      </c>
      <c r="G59">
        <v>906369.18882214755</v>
      </c>
      <c r="J59">
        <f t="shared" si="1"/>
        <v>58</v>
      </c>
      <c r="K59">
        <v>2105.2551187259523</v>
      </c>
      <c r="L59">
        <v>5516.8249376709573</v>
      </c>
      <c r="M59">
        <v>11202.774579938792</v>
      </c>
      <c r="N59">
        <v>22574.668155174586</v>
      </c>
      <c r="O59">
        <v>45318.46048309654</v>
      </c>
      <c r="R59">
        <f t="shared" si="2"/>
        <v>58</v>
      </c>
      <c r="S59">
        <v>4.0700832316916458E-2</v>
      </c>
      <c r="T59">
        <v>4.1661144898690328E-2</v>
      </c>
      <c r="U59">
        <v>4.1997834839215376E-2</v>
      </c>
      <c r="V59">
        <v>4.2169455890811225E-2</v>
      </c>
      <c r="W59">
        <v>4.2256104950378237E-2</v>
      </c>
      <c r="AA59">
        <v>-8525.2759999999998</v>
      </c>
      <c r="AB59">
        <v>-8525.2759999999998</v>
      </c>
      <c r="AC59">
        <v>-8525.2759999999998</v>
      </c>
      <c r="AD59">
        <v>-8525.2759999999998</v>
      </c>
      <c r="AE59">
        <v>-8525.2759999999998</v>
      </c>
    </row>
    <row r="60" spans="2:31" x14ac:dyDescent="0.25">
      <c r="B60">
        <f t="shared" si="0"/>
        <v>59</v>
      </c>
      <c r="C60">
        <v>44203.80677062153</v>
      </c>
      <c r="D60">
        <v>115501.30077716442</v>
      </c>
      <c r="E60">
        <v>234330.45560078474</v>
      </c>
      <c r="F60">
        <v>471988.76692344836</v>
      </c>
      <c r="G60">
        <v>947305.38956608868</v>
      </c>
      <c r="J60">
        <f t="shared" si="1"/>
        <v>59</v>
      </c>
      <c r="K60">
        <v>2210.1906716782614</v>
      </c>
      <c r="L60">
        <v>5775.0662757543032</v>
      </c>
      <c r="M60">
        <v>11716.523034112703</v>
      </c>
      <c r="N60">
        <v>23599.438883983879</v>
      </c>
      <c r="O60">
        <v>47365.270579983946</v>
      </c>
      <c r="R60">
        <f t="shared" si="2"/>
        <v>59</v>
      </c>
      <c r="S60">
        <v>4.1649240927247977E-2</v>
      </c>
      <c r="T60">
        <v>4.2636850665646264E-2</v>
      </c>
      <c r="U60">
        <v>4.2982312556752333E-2</v>
      </c>
      <c r="V60">
        <v>4.3158251263284653E-2</v>
      </c>
      <c r="W60">
        <v>4.3247038300850749E-2</v>
      </c>
      <c r="AA60">
        <v>-8377.2351999999992</v>
      </c>
      <c r="AB60">
        <v>-8377.2351999999992</v>
      </c>
      <c r="AC60">
        <v>-8377.2351999999992</v>
      </c>
      <c r="AD60">
        <v>-8377.2351999999992</v>
      </c>
      <c r="AE60">
        <v>-8377.2351999999992</v>
      </c>
    </row>
    <row r="61" spans="2:31" x14ac:dyDescent="0.25">
      <c r="B61">
        <f t="shared" si="0"/>
        <v>60</v>
      </c>
      <c r="C61">
        <v>46380.661953957955</v>
      </c>
      <c r="D61">
        <v>120858.14740596537</v>
      </c>
      <c r="E61">
        <v>244987.28997413546</v>
      </c>
      <c r="F61">
        <v>493245.57510514162</v>
      </c>
      <c r="G61">
        <v>989762.14536477218</v>
      </c>
      <c r="J61">
        <f t="shared" si="1"/>
        <v>60</v>
      </c>
      <c r="K61">
        <v>2319.033243848753</v>
      </c>
      <c r="L61">
        <v>6042.9074904513545</v>
      </c>
      <c r="M61">
        <v>12249.364771426597</v>
      </c>
      <c r="N61">
        <v>24662.279326057294</v>
      </c>
      <c r="O61">
        <v>49488.108432049863</v>
      </c>
      <c r="R61">
        <f t="shared" si="2"/>
        <v>60</v>
      </c>
      <c r="S61">
        <v>4.2693959000008608E-2</v>
      </c>
      <c r="T61">
        <v>4.3708925036335611E-2</v>
      </c>
      <c r="U61">
        <v>4.4063121433276287E-2</v>
      </c>
      <c r="V61">
        <v>4.4243341128610725E-2</v>
      </c>
      <c r="W61">
        <v>4.433424611445691E-2</v>
      </c>
      <c r="AA61">
        <v>-8227.3953999999994</v>
      </c>
      <c r="AB61">
        <v>-8227.3953999999994</v>
      </c>
      <c r="AC61">
        <v>-8227.3953999999994</v>
      </c>
      <c r="AD61">
        <v>-8227.3953999999994</v>
      </c>
      <c r="AE61">
        <v>-8227.3953999999994</v>
      </c>
    </row>
    <row r="62" spans="2:31" x14ac:dyDescent="0.25">
      <c r="B62">
        <f t="shared" si="0"/>
        <v>61</v>
      </c>
      <c r="C62">
        <v>48634.447299173378</v>
      </c>
      <c r="D62">
        <v>126404.25338835979</v>
      </c>
      <c r="E62">
        <v>256020.59716202281</v>
      </c>
      <c r="F62">
        <v>515253.28470471583</v>
      </c>
      <c r="G62">
        <v>1033718.6597880343</v>
      </c>
      <c r="J62">
        <f t="shared" si="1"/>
        <v>61</v>
      </c>
      <c r="K62">
        <v>2431.7226295978471</v>
      </c>
      <c r="L62">
        <v>6320.2128018171352</v>
      </c>
      <c r="M62">
        <v>12801.030149793718</v>
      </c>
      <c r="N62">
        <v>25762.664839484729</v>
      </c>
      <c r="O62">
        <v>51685.934216071386</v>
      </c>
      <c r="R62">
        <f t="shared" si="2"/>
        <v>61</v>
      </c>
      <c r="S62">
        <v>4.3843375198384882E-2</v>
      </c>
      <c r="T62">
        <v>4.4885529992382711E-2</v>
      </c>
      <c r="U62">
        <v>4.5248339795610271E-2</v>
      </c>
      <c r="V62">
        <v>4.5432769279419416E-2</v>
      </c>
      <c r="W62">
        <v>4.552575360835931E-2</v>
      </c>
      <c r="AA62">
        <v>-8076.1778999999997</v>
      </c>
      <c r="AB62">
        <v>-8076.1778999999997</v>
      </c>
      <c r="AC62">
        <v>-8076.1778999999997</v>
      </c>
      <c r="AD62">
        <v>-8076.1778999999997</v>
      </c>
      <c r="AE62">
        <v>-8076.1778999999997</v>
      </c>
    </row>
    <row r="63" spans="2:31" x14ac:dyDescent="0.25">
      <c r="B63">
        <f t="shared" si="0"/>
        <v>62</v>
      </c>
      <c r="C63">
        <v>50963.469207285307</v>
      </c>
      <c r="D63">
        <v>132135.08868328223</v>
      </c>
      <c r="E63">
        <v>267421.12158302392</v>
      </c>
      <c r="F63">
        <v>537993.18737854261</v>
      </c>
      <c r="G63">
        <v>1079137.3189678041</v>
      </c>
      <c r="J63">
        <f t="shared" si="1"/>
        <v>62</v>
      </c>
      <c r="K63">
        <v>2548.1738433318096</v>
      </c>
      <c r="L63">
        <v>6606.7545786042174</v>
      </c>
      <c r="M63">
        <v>13371.056389424368</v>
      </c>
      <c r="N63">
        <v>26899.660005787038</v>
      </c>
      <c r="O63">
        <v>53956.867236149264</v>
      </c>
      <c r="R63">
        <f t="shared" si="2"/>
        <v>62</v>
      </c>
      <c r="S63">
        <v>4.5106602767346349E-2</v>
      </c>
      <c r="T63">
        <v>4.6174957794492988E-2</v>
      </c>
      <c r="U63">
        <v>4.6545968974863294E-2</v>
      </c>
      <c r="V63">
        <v>4.6734386414116758E-2</v>
      </c>
      <c r="W63">
        <v>4.6829335187624332E-2</v>
      </c>
      <c r="AA63">
        <v>-7923.5816000000004</v>
      </c>
      <c r="AB63">
        <v>-7923.5816000000004</v>
      </c>
      <c r="AC63">
        <v>-7923.5816000000004</v>
      </c>
      <c r="AD63">
        <v>-7923.5816000000004</v>
      </c>
      <c r="AE63">
        <v>-7923.5816000000004</v>
      </c>
    </row>
    <row r="64" spans="2:31" x14ac:dyDescent="0.25">
      <c r="B64">
        <f t="shared" si="0"/>
        <v>63</v>
      </c>
      <c r="C64">
        <v>53364.584965053313</v>
      </c>
      <c r="D64">
        <v>138043.18234025585</v>
      </c>
      <c r="E64">
        <v>279174.17855702416</v>
      </c>
      <c r="F64">
        <v>561436.1709872405</v>
      </c>
      <c r="G64">
        <v>1125960.1558461906</v>
      </c>
      <c r="J64">
        <f t="shared" si="1"/>
        <v>63</v>
      </c>
      <c r="K64">
        <v>2668.2297483252914</v>
      </c>
      <c r="L64">
        <v>6902.1592728508986</v>
      </c>
      <c r="M64">
        <v>13958.709255478985</v>
      </c>
      <c r="N64">
        <v>28071.809216384077</v>
      </c>
      <c r="O64">
        <v>56298.009136251174</v>
      </c>
      <c r="R64">
        <f t="shared" si="2"/>
        <v>63</v>
      </c>
      <c r="S64">
        <v>4.6491285374633318E-2</v>
      </c>
      <c r="T64">
        <v>4.7584427416129449E-2</v>
      </c>
      <c r="U64">
        <v>4.7963089654625701E-2</v>
      </c>
      <c r="V64">
        <v>4.8155204925664163E-2</v>
      </c>
      <c r="W64">
        <v>4.825196933844822E-2</v>
      </c>
      <c r="AA64">
        <v>-7769.2775000000001</v>
      </c>
      <c r="AB64">
        <v>-7769.2775000000001</v>
      </c>
      <c r="AC64">
        <v>-7769.2775000000001</v>
      </c>
      <c r="AD64">
        <v>-7769.2775000000001</v>
      </c>
      <c r="AE64">
        <v>-7769.2775000000001</v>
      </c>
    </row>
    <row r="65" spans="2:32" x14ac:dyDescent="0.25">
      <c r="B65">
        <f t="shared" si="0"/>
        <v>64</v>
      </c>
      <c r="C65">
        <v>55833.948047217069</v>
      </c>
      <c r="D65">
        <v>144118.65977354682</v>
      </c>
      <c r="E65">
        <v>291259.84597463539</v>
      </c>
      <c r="F65">
        <v>585542.21837409388</v>
      </c>
      <c r="G65">
        <v>1174106.9631717862</v>
      </c>
      <c r="J65">
        <f t="shared" si="1"/>
        <v>64</v>
      </c>
      <c r="K65">
        <v>2791.6974552573811</v>
      </c>
      <c r="L65">
        <v>7205.933154640923</v>
      </c>
      <c r="M65">
        <v>14562.992641409684</v>
      </c>
      <c r="N65">
        <v>29277.111611439381</v>
      </c>
      <c r="O65">
        <v>58705.349549920764</v>
      </c>
      <c r="R65">
        <f t="shared" si="2"/>
        <v>64</v>
      </c>
      <c r="S65">
        <v>4.8005028343844014E-2</v>
      </c>
      <c r="T65">
        <v>4.9120379652230151E-2</v>
      </c>
      <c r="U65">
        <v>4.950573462025698E-2</v>
      </c>
      <c r="V65">
        <v>4.970105011243775E-2</v>
      </c>
      <c r="W65">
        <v>4.9799376745222501E-2</v>
      </c>
      <c r="AA65">
        <v>-7613.3999000000003</v>
      </c>
      <c r="AB65">
        <v>-7613.3999000000003</v>
      </c>
      <c r="AC65">
        <v>-7613.3999000000003</v>
      </c>
      <c r="AD65">
        <v>-7613.3999000000003</v>
      </c>
      <c r="AE65">
        <v>-7613.3999000000003</v>
      </c>
    </row>
    <row r="66" spans="2:32" x14ac:dyDescent="0.25">
      <c r="B66">
        <f t="shared" si="0"/>
        <v>65</v>
      </c>
      <c r="C66">
        <v>58365.920907962623</v>
      </c>
      <c r="D66">
        <v>150347.94789236222</v>
      </c>
      <c r="E66">
        <v>303651.32619220525</v>
      </c>
      <c r="F66">
        <v>610258.08278973075</v>
      </c>
      <c r="G66">
        <v>1223471.5959838112</v>
      </c>
      <c r="J66">
        <f t="shared" si="1"/>
        <v>65</v>
      </c>
      <c r="K66">
        <v>2918.2961060627567</v>
      </c>
      <c r="L66">
        <v>7517.397568803397</v>
      </c>
      <c r="M66">
        <v>15182.566663863545</v>
      </c>
      <c r="N66">
        <v>30512.904851241503</v>
      </c>
      <c r="O66">
        <v>61173.581224766327</v>
      </c>
      <c r="R66">
        <f t="shared" si="2"/>
        <v>65</v>
      </c>
      <c r="S66">
        <v>4.9652406068230848E-2</v>
      </c>
      <c r="T66">
        <v>5.0786769308535318E-2</v>
      </c>
      <c r="U66">
        <v>5.1177664238997167E-2</v>
      </c>
      <c r="V66">
        <v>5.1375587293551739E-2</v>
      </c>
      <c r="W66">
        <v>5.1475175778675997E-2</v>
      </c>
      <c r="AA66">
        <v>-7455.8590000000004</v>
      </c>
      <c r="AB66">
        <v>-7455.8590000000004</v>
      </c>
      <c r="AC66">
        <v>-7455.8590000000004</v>
      </c>
      <c r="AD66">
        <v>-7455.8590000000004</v>
      </c>
      <c r="AE66">
        <v>-7455.8590000000004</v>
      </c>
    </row>
    <row r="69" spans="2:32" x14ac:dyDescent="0.25">
      <c r="B69" t="s">
        <v>46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47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48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2:32" x14ac:dyDescent="0.25">
      <c r="B70">
        <v>26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J70">
        <v>26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R70">
        <v>26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AA70">
        <v>-7435.5060999999996</v>
      </c>
      <c r="AB70">
        <v>-7435.5060999999996</v>
      </c>
      <c r="AC70">
        <v>-7435.5060999999996</v>
      </c>
      <c r="AD70">
        <v>-7435.5060999999996</v>
      </c>
      <c r="AE70">
        <v>-7435.5060999999996</v>
      </c>
      <c r="AF70">
        <v>-7435.5060999999996</v>
      </c>
    </row>
    <row r="71" spans="2:32" x14ac:dyDescent="0.25">
      <c r="B71">
        <v>27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J71">
        <v>27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R71">
        <v>27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AA71">
        <v>-7434.2619000000004</v>
      </c>
      <c r="AB71">
        <v>-7434.2619000000004</v>
      </c>
      <c r="AC71">
        <v>-7434.2619000000004</v>
      </c>
      <c r="AD71">
        <v>-7434.2619000000004</v>
      </c>
      <c r="AE71">
        <v>-7434.2619000000004</v>
      </c>
      <c r="AF71">
        <v>-7434.2619000000004</v>
      </c>
    </row>
    <row r="72" spans="2:32" x14ac:dyDescent="0.25">
      <c r="B72">
        <v>28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J72">
        <v>28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R72">
        <v>28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AA72">
        <v>-7432.8334999999997</v>
      </c>
      <c r="AB72">
        <v>-7432.8334999999997</v>
      </c>
      <c r="AC72">
        <v>-7432.8334999999997</v>
      </c>
      <c r="AD72">
        <v>-7432.8334999999997</v>
      </c>
      <c r="AE72">
        <v>-7432.8334999999997</v>
      </c>
      <c r="AF72">
        <v>-7432.8334999999997</v>
      </c>
    </row>
    <row r="73" spans="2:32" x14ac:dyDescent="0.25">
      <c r="B73">
        <v>29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J73">
        <v>29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R73">
        <v>29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AA73">
        <v>-7431.2058999999999</v>
      </c>
      <c r="AB73">
        <v>-7431.2058999999999</v>
      </c>
      <c r="AC73">
        <v>-7431.2058999999999</v>
      </c>
      <c r="AD73">
        <v>-7431.2058999999999</v>
      </c>
      <c r="AE73">
        <v>-7431.2058999999999</v>
      </c>
      <c r="AF73">
        <v>-7431.2058999999999</v>
      </c>
    </row>
    <row r="74" spans="2:32" x14ac:dyDescent="0.25">
      <c r="B74">
        <v>30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J74">
        <v>30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R74">
        <v>30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AA74">
        <v>-7429.3476000000001</v>
      </c>
      <c r="AB74">
        <v>-7429.3476000000001</v>
      </c>
      <c r="AC74">
        <v>-7429.3476000000001</v>
      </c>
      <c r="AD74">
        <v>-7429.3476000000001</v>
      </c>
      <c r="AE74">
        <v>-7429.3476000000001</v>
      </c>
      <c r="AF74">
        <v>-7429.3476000000001</v>
      </c>
    </row>
    <row r="75" spans="2:32" x14ac:dyDescent="0.25">
      <c r="B75">
        <v>31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J75">
        <v>31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R75">
        <v>31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AA75">
        <v>-7427.2446</v>
      </c>
      <c r="AB75">
        <v>-7427.2446</v>
      </c>
      <c r="AC75">
        <v>-7427.2446</v>
      </c>
      <c r="AD75">
        <v>-7427.2446</v>
      </c>
      <c r="AE75">
        <v>-7427.2446</v>
      </c>
      <c r="AF75">
        <v>-7427.2446</v>
      </c>
    </row>
    <row r="76" spans="2:32" x14ac:dyDescent="0.25">
      <c r="B76">
        <v>32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J76">
        <v>32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R76">
        <v>32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AA76">
        <v>-7424.8944000000001</v>
      </c>
      <c r="AB76">
        <v>-7424.8944000000001</v>
      </c>
      <c r="AC76">
        <v>-7424.8944000000001</v>
      </c>
      <c r="AD76">
        <v>-7424.8944000000001</v>
      </c>
      <c r="AE76">
        <v>-7424.8944000000001</v>
      </c>
      <c r="AF76">
        <v>-7424.8944000000001</v>
      </c>
    </row>
    <row r="77" spans="2:32" x14ac:dyDescent="0.25">
      <c r="B77">
        <v>33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J77">
        <v>33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R77">
        <v>33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AA77">
        <v>-7422.2834000000003</v>
      </c>
      <c r="AB77">
        <v>-7422.2834000000003</v>
      </c>
      <c r="AC77">
        <v>-7422.2834000000003</v>
      </c>
      <c r="AD77">
        <v>-7422.2834000000003</v>
      </c>
      <c r="AE77">
        <v>-7422.2834000000003</v>
      </c>
      <c r="AF77">
        <v>-7422.2834000000003</v>
      </c>
    </row>
    <row r="78" spans="2:32" x14ac:dyDescent="0.25">
      <c r="B78">
        <v>34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J78">
        <v>34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R78">
        <v>34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AA78">
        <v>-7419.3683000000001</v>
      </c>
      <c r="AB78">
        <v>-7419.3683000000001</v>
      </c>
      <c r="AC78">
        <v>-7419.3683000000001</v>
      </c>
      <c r="AD78">
        <v>-7419.3683000000001</v>
      </c>
      <c r="AE78">
        <v>-7419.3683000000001</v>
      </c>
      <c r="AF78">
        <v>-7419.3683000000001</v>
      </c>
    </row>
    <row r="79" spans="2:32" x14ac:dyDescent="0.25">
      <c r="B79">
        <v>35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J79">
        <v>35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R79">
        <v>35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AA79">
        <v>-7416.1363000000001</v>
      </c>
      <c r="AB79">
        <v>-7416.1363000000001</v>
      </c>
      <c r="AC79">
        <v>-7416.1363000000001</v>
      </c>
      <c r="AD79">
        <v>-7416.1363000000001</v>
      </c>
      <c r="AE79">
        <v>-7416.1363000000001</v>
      </c>
      <c r="AF79">
        <v>-7416.1363000000001</v>
      </c>
    </row>
    <row r="80" spans="2:32" x14ac:dyDescent="0.25">
      <c r="B80">
        <v>36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J80">
        <v>36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R80">
        <v>36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AA80">
        <v>-7412.5378000000001</v>
      </c>
      <c r="AB80">
        <v>-7412.5378000000001</v>
      </c>
      <c r="AC80">
        <v>-7412.5378000000001</v>
      </c>
      <c r="AD80">
        <v>-7412.5378000000001</v>
      </c>
      <c r="AE80">
        <v>-7412.5378000000001</v>
      </c>
      <c r="AF80">
        <v>-7412.5378000000001</v>
      </c>
    </row>
    <row r="81" spans="2:32" x14ac:dyDescent="0.25">
      <c r="B81">
        <v>37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J81">
        <v>37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R81">
        <v>37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AA81">
        <v>-7408.55</v>
      </c>
      <c r="AB81">
        <v>-7408.55</v>
      </c>
      <c r="AC81">
        <v>-7408.55</v>
      </c>
      <c r="AD81">
        <v>-7408.55</v>
      </c>
      <c r="AE81">
        <v>-7408.55</v>
      </c>
      <c r="AF81">
        <v>-7408.55</v>
      </c>
    </row>
    <row r="82" spans="2:32" x14ac:dyDescent="0.25">
      <c r="B82">
        <v>38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J82">
        <v>38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R82">
        <v>38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AA82">
        <v>-7404.1752999999999</v>
      </c>
      <c r="AB82">
        <v>-7404.1752999999999</v>
      </c>
      <c r="AC82">
        <v>-7404.1752999999999</v>
      </c>
      <c r="AD82">
        <v>-7404.1752999999999</v>
      </c>
      <c r="AE82">
        <v>-7404.1752999999999</v>
      </c>
      <c r="AF82">
        <v>-7404.1752999999999</v>
      </c>
    </row>
    <row r="83" spans="2:32" x14ac:dyDescent="0.25">
      <c r="B83">
        <v>39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J83">
        <v>39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R83">
        <v>39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AA83">
        <v>-7399.3923999999997</v>
      </c>
      <c r="AB83">
        <v>-7399.3923999999997</v>
      </c>
      <c r="AC83">
        <v>-7399.3923999999997</v>
      </c>
      <c r="AD83">
        <v>-7399.3923999999997</v>
      </c>
      <c r="AE83">
        <v>-7399.3923999999997</v>
      </c>
      <c r="AF83">
        <v>-7399.3923999999997</v>
      </c>
    </row>
    <row r="84" spans="2:32" x14ac:dyDescent="0.25">
      <c r="B84">
        <v>40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J84">
        <v>40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R84">
        <v>40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AA84">
        <v>-7394.1365999999998</v>
      </c>
      <c r="AB84">
        <v>-7394.1365999999998</v>
      </c>
      <c r="AC84">
        <v>-7394.1365999999998</v>
      </c>
      <c r="AD84">
        <v>-7394.1365999999998</v>
      </c>
      <c r="AE84">
        <v>-7394.1365999999998</v>
      </c>
      <c r="AF84">
        <v>-7394.1365999999998</v>
      </c>
    </row>
    <row r="85" spans="2:32" x14ac:dyDescent="0.25">
      <c r="B85">
        <v>41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J85">
        <v>41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R85">
        <v>41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AA85">
        <v>-7388.3469999999998</v>
      </c>
      <c r="AB85">
        <v>-7388.3469999999998</v>
      </c>
      <c r="AC85">
        <v>-7388.3469999999998</v>
      </c>
      <c r="AD85">
        <v>-7388.3469999999998</v>
      </c>
      <c r="AE85">
        <v>-7388.3469999999998</v>
      </c>
      <c r="AF85">
        <v>-7388.3469999999998</v>
      </c>
    </row>
    <row r="86" spans="2:32" x14ac:dyDescent="0.25">
      <c r="B86">
        <v>42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J86">
        <v>42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R86">
        <v>42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AA86">
        <v>-7381.9919</v>
      </c>
      <c r="AB86">
        <v>-7381.9919</v>
      </c>
      <c r="AC86">
        <v>-7381.9919</v>
      </c>
      <c r="AD86">
        <v>-7381.9919</v>
      </c>
      <c r="AE86">
        <v>-7381.9919</v>
      </c>
      <c r="AF86">
        <v>-7381.9919</v>
      </c>
    </row>
    <row r="87" spans="2:32" x14ac:dyDescent="0.25">
      <c r="B87">
        <v>43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J87">
        <v>43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R87">
        <v>43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AA87">
        <v>-7374.9579999999996</v>
      </c>
      <c r="AB87">
        <v>-7374.9579999999996</v>
      </c>
      <c r="AC87">
        <v>-7374.9579999999996</v>
      </c>
      <c r="AD87">
        <v>-7374.9579999999996</v>
      </c>
      <c r="AE87">
        <v>-7374.9579999999996</v>
      </c>
      <c r="AF87">
        <v>-7374.9579999999996</v>
      </c>
    </row>
    <row r="88" spans="2:32" x14ac:dyDescent="0.25">
      <c r="B88">
        <v>44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J88">
        <v>44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R88">
        <v>44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AA88">
        <v>-7367.2034999999996</v>
      </c>
      <c r="AB88">
        <v>-7367.2034999999996</v>
      </c>
      <c r="AC88">
        <v>-7367.2034999999996</v>
      </c>
      <c r="AD88">
        <v>-7367.2034999999996</v>
      </c>
      <c r="AE88">
        <v>-7367.2034999999996</v>
      </c>
      <c r="AF88">
        <v>-7367.2034999999996</v>
      </c>
    </row>
    <row r="89" spans="2:32" x14ac:dyDescent="0.25">
      <c r="B89">
        <v>45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J89">
        <v>45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R89">
        <v>45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AA89">
        <v>-7358.6491999999998</v>
      </c>
      <c r="AB89">
        <v>-7358.6491999999998</v>
      </c>
      <c r="AC89">
        <v>-7358.6491999999998</v>
      </c>
      <c r="AD89">
        <v>-7358.6491999999998</v>
      </c>
      <c r="AE89">
        <v>-7358.6491999999998</v>
      </c>
      <c r="AF89">
        <v>-7358.6491999999998</v>
      </c>
    </row>
    <row r="90" spans="2:32" x14ac:dyDescent="0.25">
      <c r="B90">
        <v>46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J90">
        <v>46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R90">
        <v>46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AA90">
        <v>-7349.2232000000004</v>
      </c>
      <c r="AB90">
        <v>-7349.2232000000004</v>
      </c>
      <c r="AC90">
        <v>-7349.2232000000004</v>
      </c>
      <c r="AD90">
        <v>-7349.2232000000004</v>
      </c>
      <c r="AE90">
        <v>-7349.2232000000004</v>
      </c>
      <c r="AF90">
        <v>-7349.2232000000004</v>
      </c>
    </row>
    <row r="91" spans="2:32" x14ac:dyDescent="0.25">
      <c r="B91">
        <v>47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J91">
        <v>47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R91">
        <v>47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AA91">
        <v>-7338.8310000000001</v>
      </c>
      <c r="AB91">
        <v>-7338.8310000000001</v>
      </c>
      <c r="AC91">
        <v>-7338.8310000000001</v>
      </c>
      <c r="AD91">
        <v>-7338.8310000000001</v>
      </c>
      <c r="AE91">
        <v>-7338.8310000000001</v>
      </c>
      <c r="AF91">
        <v>-7338.8310000000001</v>
      </c>
    </row>
    <row r="92" spans="2:32" x14ac:dyDescent="0.25">
      <c r="B92">
        <v>48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J92">
        <v>48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R92">
        <v>48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AA92">
        <v>-7327.4297999999999</v>
      </c>
      <c r="AB92">
        <v>-7327.4297999999999</v>
      </c>
      <c r="AC92">
        <v>-7327.4297999999999</v>
      </c>
      <c r="AD92">
        <v>-7327.4297999999999</v>
      </c>
      <c r="AE92">
        <v>-7327.4297999999999</v>
      </c>
      <c r="AF92">
        <v>-7327.4297999999999</v>
      </c>
    </row>
    <row r="93" spans="2:32" x14ac:dyDescent="0.25">
      <c r="B93">
        <v>49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J93">
        <v>49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R93">
        <v>49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AA93">
        <v>-7314.951</v>
      </c>
      <c r="AB93">
        <v>-7314.951</v>
      </c>
      <c r="AC93">
        <v>-7314.951</v>
      </c>
      <c r="AD93">
        <v>-7314.951</v>
      </c>
      <c r="AE93">
        <v>-7314.951</v>
      </c>
      <c r="AF93">
        <v>-7314.951</v>
      </c>
    </row>
    <row r="94" spans="2:32" x14ac:dyDescent="0.25">
      <c r="B94">
        <v>50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J94">
        <v>50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R94">
        <v>50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AA94">
        <v>-7301.2851000000001</v>
      </c>
      <c r="AB94">
        <v>-7301.2851000000001</v>
      </c>
      <c r="AC94">
        <v>-7301.2851000000001</v>
      </c>
      <c r="AD94">
        <v>-7301.2851000000001</v>
      </c>
      <c r="AE94">
        <v>-7301.2851000000001</v>
      </c>
      <c r="AF94">
        <v>-7301.2851000000001</v>
      </c>
    </row>
    <row r="95" spans="2:32" x14ac:dyDescent="0.25">
      <c r="B95">
        <v>51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J95">
        <v>51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R95">
        <v>51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AA95">
        <v>-7286.3271000000004</v>
      </c>
      <c r="AB95">
        <v>-7286.3271000000004</v>
      </c>
      <c r="AC95">
        <v>-7286.3271000000004</v>
      </c>
      <c r="AD95">
        <v>-7286.3271000000004</v>
      </c>
      <c r="AE95">
        <v>-7286.3271000000004</v>
      </c>
      <c r="AF95">
        <v>-7286.3271000000004</v>
      </c>
    </row>
    <row r="96" spans="2:32" x14ac:dyDescent="0.25">
      <c r="B96">
        <v>52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J96">
        <v>52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R96">
        <v>52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AA96">
        <v>-7269.9448000000002</v>
      </c>
      <c r="AB96">
        <v>-7269.9448000000002</v>
      </c>
      <c r="AC96">
        <v>-7269.9448000000002</v>
      </c>
      <c r="AD96">
        <v>-7269.9448000000002</v>
      </c>
      <c r="AE96">
        <v>-7269.9448000000002</v>
      </c>
      <c r="AF96">
        <v>-7269.9448000000002</v>
      </c>
    </row>
    <row r="97" spans="2:32" x14ac:dyDescent="0.25">
      <c r="B97">
        <v>53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J97">
        <v>53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R97">
        <v>53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AA97">
        <v>-7252.0574999999999</v>
      </c>
      <c r="AB97">
        <v>-7252.0574999999999</v>
      </c>
      <c r="AC97">
        <v>-7252.0574999999999</v>
      </c>
      <c r="AD97">
        <v>-7252.0574999999999</v>
      </c>
      <c r="AE97">
        <v>-7252.0574999999999</v>
      </c>
      <c r="AF97">
        <v>-7252.0574999999999</v>
      </c>
    </row>
    <row r="98" spans="2:32" x14ac:dyDescent="0.25">
      <c r="B98">
        <v>54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J98">
        <v>54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R98">
        <v>54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AA98">
        <v>-7232.5680000000002</v>
      </c>
      <c r="AB98">
        <v>-7232.5680000000002</v>
      </c>
      <c r="AC98">
        <v>-7232.5680000000002</v>
      </c>
      <c r="AD98">
        <v>-7232.5680000000002</v>
      </c>
      <c r="AE98">
        <v>-7232.5680000000002</v>
      </c>
      <c r="AF98">
        <v>-7232.5680000000002</v>
      </c>
    </row>
    <row r="99" spans="2:32" x14ac:dyDescent="0.25">
      <c r="B99">
        <v>55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J99">
        <v>55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R99">
        <v>55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AA99">
        <v>-7211.3207000000002</v>
      </c>
      <c r="AB99">
        <v>-7211.3207000000002</v>
      </c>
      <c r="AC99">
        <v>-7211.3207000000002</v>
      </c>
      <c r="AD99">
        <v>-7211.3207000000002</v>
      </c>
      <c r="AE99">
        <v>-7211.3207000000002</v>
      </c>
      <c r="AF99">
        <v>-7211.3207000000002</v>
      </c>
    </row>
    <row r="102" spans="2:32" x14ac:dyDescent="0.25">
      <c r="B102" t="s">
        <v>46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32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48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2:32" x14ac:dyDescent="0.25">
      <c r="B103">
        <v>35</v>
      </c>
      <c r="C103">
        <v>1</v>
      </c>
      <c r="D103">
        <v>1</v>
      </c>
      <c r="E103">
        <v>1</v>
      </c>
      <c r="F103">
        <v>1</v>
      </c>
      <c r="G103">
        <v>1</v>
      </c>
      <c r="J103">
        <v>35</v>
      </c>
      <c r="K103">
        <v>1</v>
      </c>
      <c r="L103">
        <v>1</v>
      </c>
      <c r="M103">
        <v>1</v>
      </c>
      <c r="N103">
        <v>1</v>
      </c>
      <c r="O103">
        <v>1</v>
      </c>
      <c r="R103">
        <v>35</v>
      </c>
      <c r="S103">
        <v>1</v>
      </c>
      <c r="T103">
        <v>1</v>
      </c>
      <c r="U103">
        <v>1</v>
      </c>
      <c r="V103">
        <v>1</v>
      </c>
      <c r="W103">
        <v>1</v>
      </c>
      <c r="AA103">
        <v>-11308.6893</v>
      </c>
      <c r="AB103">
        <v>-11308.6893</v>
      </c>
      <c r="AC103">
        <v>-11308.6893</v>
      </c>
      <c r="AD103">
        <v>-11308.6893</v>
      </c>
      <c r="AE103">
        <v>-11308.6893</v>
      </c>
    </row>
    <row r="104" spans="2:32" x14ac:dyDescent="0.25">
      <c r="B104">
        <f t="shared" ref="B104:B133" si="3">B103+1</f>
        <v>36</v>
      </c>
      <c r="C104">
        <v>1</v>
      </c>
      <c r="D104">
        <v>1</v>
      </c>
      <c r="E104">
        <v>1</v>
      </c>
      <c r="F104">
        <v>1</v>
      </c>
      <c r="G104">
        <v>1</v>
      </c>
      <c r="J104">
        <f t="shared" ref="J104:J133" si="4">J103+1</f>
        <v>36</v>
      </c>
      <c r="K104">
        <v>1</v>
      </c>
      <c r="L104">
        <v>1</v>
      </c>
      <c r="M104">
        <v>1</v>
      </c>
      <c r="N104">
        <v>1</v>
      </c>
      <c r="O104">
        <v>1</v>
      </c>
      <c r="R104">
        <f t="shared" ref="R104:R133" si="5">R103+1</f>
        <v>36</v>
      </c>
      <c r="S104">
        <v>1</v>
      </c>
      <c r="T104">
        <v>1</v>
      </c>
      <c r="U104">
        <v>1</v>
      </c>
      <c r="V104">
        <v>1</v>
      </c>
      <c r="W104">
        <v>1</v>
      </c>
      <c r="AA104">
        <v>-11214.2592</v>
      </c>
      <c r="AB104">
        <v>-11214.2592</v>
      </c>
      <c r="AC104">
        <v>-11214.2592</v>
      </c>
      <c r="AD104">
        <v>-11214.2592</v>
      </c>
      <c r="AE104">
        <v>-11214.2592</v>
      </c>
    </row>
    <row r="105" spans="2:32" x14ac:dyDescent="0.25">
      <c r="B105">
        <f t="shared" si="3"/>
        <v>37</v>
      </c>
      <c r="C105">
        <v>1</v>
      </c>
      <c r="D105">
        <v>1</v>
      </c>
      <c r="E105">
        <v>1</v>
      </c>
      <c r="F105">
        <v>1</v>
      </c>
      <c r="G105">
        <v>1</v>
      </c>
      <c r="J105">
        <f t="shared" si="4"/>
        <v>37</v>
      </c>
      <c r="K105">
        <v>1</v>
      </c>
      <c r="L105">
        <v>1</v>
      </c>
      <c r="M105">
        <v>1</v>
      </c>
      <c r="N105">
        <v>1</v>
      </c>
      <c r="O105">
        <v>1</v>
      </c>
      <c r="R105">
        <f t="shared" si="5"/>
        <v>37</v>
      </c>
      <c r="S105">
        <v>1</v>
      </c>
      <c r="T105">
        <v>1</v>
      </c>
      <c r="U105">
        <v>1</v>
      </c>
      <c r="V105">
        <v>1</v>
      </c>
      <c r="W105">
        <v>1</v>
      </c>
      <c r="AA105">
        <v>-11117.406199999999</v>
      </c>
      <c r="AB105">
        <v>-11117.406199999999</v>
      </c>
      <c r="AC105">
        <v>-11117.406199999999</v>
      </c>
      <c r="AD105">
        <v>-11117.406199999999</v>
      </c>
      <c r="AE105">
        <v>-11117.406199999999</v>
      </c>
    </row>
    <row r="106" spans="2:32" x14ac:dyDescent="0.25">
      <c r="B106">
        <f t="shared" si="3"/>
        <v>38</v>
      </c>
      <c r="C106">
        <v>1</v>
      </c>
      <c r="D106">
        <v>1</v>
      </c>
      <c r="E106">
        <v>1</v>
      </c>
      <c r="F106">
        <v>1</v>
      </c>
      <c r="G106">
        <v>1</v>
      </c>
      <c r="J106">
        <f t="shared" si="4"/>
        <v>38</v>
      </c>
      <c r="K106">
        <v>1</v>
      </c>
      <c r="L106">
        <v>1</v>
      </c>
      <c r="M106">
        <v>1</v>
      </c>
      <c r="N106">
        <v>1</v>
      </c>
      <c r="O106">
        <v>1</v>
      </c>
      <c r="R106">
        <f t="shared" si="5"/>
        <v>38</v>
      </c>
      <c r="S106">
        <v>1</v>
      </c>
      <c r="T106">
        <v>1</v>
      </c>
      <c r="U106">
        <v>1</v>
      </c>
      <c r="V106">
        <v>1</v>
      </c>
      <c r="W106">
        <v>1</v>
      </c>
      <c r="AA106">
        <v>-11018.229799999999</v>
      </c>
      <c r="AB106">
        <v>-11018.229799999999</v>
      </c>
      <c r="AC106">
        <v>-11018.229799999999</v>
      </c>
      <c r="AD106">
        <v>-11018.229799999999</v>
      </c>
      <c r="AE106">
        <v>-11018.229799999999</v>
      </c>
    </row>
    <row r="107" spans="2:32" x14ac:dyDescent="0.25">
      <c r="B107">
        <f t="shared" si="3"/>
        <v>39</v>
      </c>
      <c r="C107">
        <v>1</v>
      </c>
      <c r="D107">
        <v>1</v>
      </c>
      <c r="E107">
        <v>1</v>
      </c>
      <c r="F107">
        <v>1</v>
      </c>
      <c r="G107">
        <v>1</v>
      </c>
      <c r="J107">
        <f t="shared" si="4"/>
        <v>39</v>
      </c>
      <c r="K107">
        <v>1</v>
      </c>
      <c r="L107">
        <v>1</v>
      </c>
      <c r="M107">
        <v>1</v>
      </c>
      <c r="N107">
        <v>1</v>
      </c>
      <c r="O107">
        <v>1</v>
      </c>
      <c r="R107">
        <f t="shared" si="5"/>
        <v>39</v>
      </c>
      <c r="S107">
        <v>1</v>
      </c>
      <c r="T107">
        <v>1</v>
      </c>
      <c r="U107">
        <v>1</v>
      </c>
      <c r="V107">
        <v>1</v>
      </c>
      <c r="W107">
        <v>1</v>
      </c>
      <c r="AA107">
        <v>-10916.737999999999</v>
      </c>
      <c r="AB107">
        <v>-10916.737999999999</v>
      </c>
      <c r="AC107">
        <v>-10916.737999999999</v>
      </c>
      <c r="AD107">
        <v>-10916.737999999999</v>
      </c>
      <c r="AE107">
        <v>-10916.737999999999</v>
      </c>
    </row>
    <row r="108" spans="2:32" x14ac:dyDescent="0.25">
      <c r="B108">
        <f t="shared" si="3"/>
        <v>40</v>
      </c>
      <c r="C108">
        <v>1</v>
      </c>
      <c r="D108">
        <v>1</v>
      </c>
      <c r="E108">
        <v>1</v>
      </c>
      <c r="F108">
        <v>1</v>
      </c>
      <c r="G108">
        <v>1</v>
      </c>
      <c r="J108">
        <f t="shared" si="4"/>
        <v>40</v>
      </c>
      <c r="K108">
        <v>1</v>
      </c>
      <c r="L108">
        <v>1</v>
      </c>
      <c r="M108">
        <v>1</v>
      </c>
      <c r="N108">
        <v>1</v>
      </c>
      <c r="O108">
        <v>1</v>
      </c>
      <c r="R108">
        <f t="shared" si="5"/>
        <v>40</v>
      </c>
      <c r="S108">
        <v>1</v>
      </c>
      <c r="T108">
        <v>1</v>
      </c>
      <c r="U108">
        <v>1</v>
      </c>
      <c r="V108">
        <v>1</v>
      </c>
      <c r="W108">
        <v>1</v>
      </c>
      <c r="AA108">
        <v>-10812.8714</v>
      </c>
      <c r="AB108">
        <v>-10812.8714</v>
      </c>
      <c r="AC108">
        <v>-10812.8714</v>
      </c>
      <c r="AD108">
        <v>-10812.8714</v>
      </c>
      <c r="AE108">
        <v>-10812.8714</v>
      </c>
    </row>
    <row r="109" spans="2:32" x14ac:dyDescent="0.25">
      <c r="B109">
        <f t="shared" si="3"/>
        <v>41</v>
      </c>
      <c r="C109">
        <v>1</v>
      </c>
      <c r="D109">
        <v>1</v>
      </c>
      <c r="E109">
        <v>1</v>
      </c>
      <c r="F109">
        <v>1</v>
      </c>
      <c r="G109">
        <v>1</v>
      </c>
      <c r="J109">
        <f t="shared" si="4"/>
        <v>41</v>
      </c>
      <c r="K109">
        <v>1</v>
      </c>
      <c r="L109">
        <v>1</v>
      </c>
      <c r="M109">
        <v>1</v>
      </c>
      <c r="N109">
        <v>1</v>
      </c>
      <c r="O109">
        <v>1</v>
      </c>
      <c r="R109">
        <f t="shared" si="5"/>
        <v>41</v>
      </c>
      <c r="S109">
        <v>1</v>
      </c>
      <c r="T109">
        <v>1</v>
      </c>
      <c r="U109">
        <v>1</v>
      </c>
      <c r="V109">
        <v>1</v>
      </c>
      <c r="W109">
        <v>1</v>
      </c>
      <c r="AA109">
        <v>-10706.559600000001</v>
      </c>
      <c r="AB109">
        <v>-10706.559600000001</v>
      </c>
      <c r="AC109">
        <v>-10706.559600000001</v>
      </c>
      <c r="AD109">
        <v>-10706.559600000001</v>
      </c>
      <c r="AE109">
        <v>-10706.559600000001</v>
      </c>
    </row>
    <row r="110" spans="2:32" x14ac:dyDescent="0.25">
      <c r="B110">
        <f t="shared" si="3"/>
        <v>42</v>
      </c>
      <c r="C110">
        <v>1</v>
      </c>
      <c r="D110">
        <v>1</v>
      </c>
      <c r="E110">
        <v>1</v>
      </c>
      <c r="F110">
        <v>1</v>
      </c>
      <c r="G110">
        <v>1</v>
      </c>
      <c r="J110">
        <f t="shared" si="4"/>
        <v>42</v>
      </c>
      <c r="K110">
        <v>1</v>
      </c>
      <c r="L110">
        <v>1</v>
      </c>
      <c r="M110">
        <v>1</v>
      </c>
      <c r="N110">
        <v>1</v>
      </c>
      <c r="O110">
        <v>1</v>
      </c>
      <c r="R110">
        <f t="shared" si="5"/>
        <v>42</v>
      </c>
      <c r="S110">
        <v>1</v>
      </c>
      <c r="T110">
        <v>1</v>
      </c>
      <c r="U110">
        <v>1</v>
      </c>
      <c r="V110">
        <v>1</v>
      </c>
      <c r="W110">
        <v>1</v>
      </c>
      <c r="AA110">
        <v>-10597.8485</v>
      </c>
      <c r="AB110">
        <v>-10597.8485</v>
      </c>
      <c r="AC110">
        <v>-10597.8485</v>
      </c>
      <c r="AD110">
        <v>-10597.8485</v>
      </c>
      <c r="AE110">
        <v>-10597.8485</v>
      </c>
    </row>
    <row r="111" spans="2:32" x14ac:dyDescent="0.25">
      <c r="B111">
        <f t="shared" si="3"/>
        <v>43</v>
      </c>
      <c r="C111">
        <v>1</v>
      </c>
      <c r="D111">
        <v>1</v>
      </c>
      <c r="E111">
        <v>1</v>
      </c>
      <c r="F111">
        <v>1</v>
      </c>
      <c r="G111">
        <v>1</v>
      </c>
      <c r="J111">
        <f t="shared" si="4"/>
        <v>43</v>
      </c>
      <c r="K111">
        <v>1</v>
      </c>
      <c r="L111">
        <v>1</v>
      </c>
      <c r="M111">
        <v>1</v>
      </c>
      <c r="N111">
        <v>1</v>
      </c>
      <c r="O111">
        <v>1</v>
      </c>
      <c r="R111">
        <f t="shared" si="5"/>
        <v>43</v>
      </c>
      <c r="S111">
        <v>1</v>
      </c>
      <c r="T111">
        <v>1</v>
      </c>
      <c r="U111">
        <v>1</v>
      </c>
      <c r="V111">
        <v>1</v>
      </c>
      <c r="W111">
        <v>1</v>
      </c>
      <c r="AA111">
        <v>-10486.615400000001</v>
      </c>
      <c r="AB111">
        <v>-10486.615400000001</v>
      </c>
      <c r="AC111">
        <v>-10486.615400000001</v>
      </c>
      <c r="AD111">
        <v>-10486.615400000001</v>
      </c>
      <c r="AE111">
        <v>-10486.615400000001</v>
      </c>
    </row>
    <row r="112" spans="2:32" x14ac:dyDescent="0.25">
      <c r="B112">
        <f t="shared" si="3"/>
        <v>44</v>
      </c>
      <c r="C112">
        <v>1</v>
      </c>
      <c r="D112">
        <v>1</v>
      </c>
      <c r="E112">
        <v>1</v>
      </c>
      <c r="F112">
        <v>1</v>
      </c>
      <c r="G112">
        <v>1</v>
      </c>
      <c r="J112">
        <f t="shared" si="4"/>
        <v>44</v>
      </c>
      <c r="K112">
        <v>1</v>
      </c>
      <c r="L112">
        <v>1</v>
      </c>
      <c r="M112">
        <v>1</v>
      </c>
      <c r="N112">
        <v>1</v>
      </c>
      <c r="O112">
        <v>1</v>
      </c>
      <c r="R112">
        <f t="shared" si="5"/>
        <v>44</v>
      </c>
      <c r="S112">
        <v>1</v>
      </c>
      <c r="T112">
        <v>1</v>
      </c>
      <c r="U112">
        <v>1</v>
      </c>
      <c r="V112">
        <v>1</v>
      </c>
      <c r="W112">
        <v>1</v>
      </c>
      <c r="AA112">
        <v>-10372.9005</v>
      </c>
      <c r="AB112">
        <v>-10372.9005</v>
      </c>
      <c r="AC112">
        <v>-10372.9005</v>
      </c>
      <c r="AD112">
        <v>-10372.9005</v>
      </c>
      <c r="AE112">
        <v>-10372.9005</v>
      </c>
    </row>
    <row r="113" spans="2:31" x14ac:dyDescent="0.25">
      <c r="B113">
        <f t="shared" si="3"/>
        <v>45</v>
      </c>
      <c r="C113">
        <v>1</v>
      </c>
      <c r="D113">
        <v>1</v>
      </c>
      <c r="E113">
        <v>1</v>
      </c>
      <c r="F113">
        <v>1</v>
      </c>
      <c r="G113">
        <v>1</v>
      </c>
      <c r="J113">
        <f t="shared" si="4"/>
        <v>45</v>
      </c>
      <c r="K113">
        <v>1</v>
      </c>
      <c r="L113">
        <v>1</v>
      </c>
      <c r="M113">
        <v>1</v>
      </c>
      <c r="N113">
        <v>1</v>
      </c>
      <c r="O113">
        <v>1</v>
      </c>
      <c r="R113">
        <f t="shared" si="5"/>
        <v>45</v>
      </c>
      <c r="S113">
        <v>1</v>
      </c>
      <c r="T113">
        <v>1</v>
      </c>
      <c r="U113">
        <v>1</v>
      </c>
      <c r="V113">
        <v>1</v>
      </c>
      <c r="W113">
        <v>1</v>
      </c>
      <c r="AA113">
        <v>-10256.650600000001</v>
      </c>
      <c r="AB113">
        <v>-10256.650600000001</v>
      </c>
      <c r="AC113">
        <v>-10256.650600000001</v>
      </c>
      <c r="AD113">
        <v>-10256.650600000001</v>
      </c>
      <c r="AE113">
        <v>-10256.650600000001</v>
      </c>
    </row>
    <row r="114" spans="2:31" x14ac:dyDescent="0.25">
      <c r="B114">
        <f t="shared" si="3"/>
        <v>46</v>
      </c>
      <c r="C114">
        <v>1</v>
      </c>
      <c r="D114">
        <v>1</v>
      </c>
      <c r="E114">
        <v>1</v>
      </c>
      <c r="F114">
        <v>1</v>
      </c>
      <c r="G114">
        <v>1</v>
      </c>
      <c r="J114">
        <f t="shared" si="4"/>
        <v>46</v>
      </c>
      <c r="K114">
        <v>1</v>
      </c>
      <c r="L114">
        <v>1</v>
      </c>
      <c r="M114">
        <v>1</v>
      </c>
      <c r="N114">
        <v>1</v>
      </c>
      <c r="O114">
        <v>1</v>
      </c>
      <c r="R114">
        <f t="shared" si="5"/>
        <v>46</v>
      </c>
      <c r="S114">
        <v>1</v>
      </c>
      <c r="T114">
        <v>1</v>
      </c>
      <c r="U114">
        <v>1</v>
      </c>
      <c r="V114">
        <v>1</v>
      </c>
      <c r="W114">
        <v>1</v>
      </c>
      <c r="AA114">
        <v>-10137.871499999999</v>
      </c>
      <c r="AB114">
        <v>-10137.871499999999</v>
      </c>
      <c r="AC114">
        <v>-10137.871499999999</v>
      </c>
      <c r="AD114">
        <v>-10137.871499999999</v>
      </c>
      <c r="AE114">
        <v>-10137.871499999999</v>
      </c>
    </row>
    <row r="115" spans="2:31" x14ac:dyDescent="0.25">
      <c r="B115">
        <f t="shared" si="3"/>
        <v>47</v>
      </c>
      <c r="C115">
        <v>1</v>
      </c>
      <c r="D115">
        <v>1</v>
      </c>
      <c r="E115">
        <v>1</v>
      </c>
      <c r="F115">
        <v>1</v>
      </c>
      <c r="G115">
        <v>1</v>
      </c>
      <c r="J115">
        <f t="shared" si="4"/>
        <v>47</v>
      </c>
      <c r="K115">
        <v>1</v>
      </c>
      <c r="L115">
        <v>1</v>
      </c>
      <c r="M115">
        <v>1</v>
      </c>
      <c r="N115">
        <v>1</v>
      </c>
      <c r="O115">
        <v>1</v>
      </c>
      <c r="R115">
        <f t="shared" si="5"/>
        <v>47</v>
      </c>
      <c r="S115">
        <v>1</v>
      </c>
      <c r="T115">
        <v>1</v>
      </c>
      <c r="U115">
        <v>1</v>
      </c>
      <c r="V115">
        <v>1</v>
      </c>
      <c r="W115">
        <v>1</v>
      </c>
      <c r="AA115">
        <v>-10016.4967</v>
      </c>
      <c r="AB115">
        <v>-10016.4967</v>
      </c>
      <c r="AC115">
        <v>-10016.4967</v>
      </c>
      <c r="AD115">
        <v>-10016.4967</v>
      </c>
      <c r="AE115">
        <v>-10016.4967</v>
      </c>
    </row>
    <row r="116" spans="2:31" x14ac:dyDescent="0.25">
      <c r="B116">
        <f t="shared" si="3"/>
        <v>48</v>
      </c>
      <c r="C116">
        <v>1</v>
      </c>
      <c r="D116">
        <v>1</v>
      </c>
      <c r="E116">
        <v>1</v>
      </c>
      <c r="F116">
        <v>1</v>
      </c>
      <c r="G116">
        <v>1</v>
      </c>
      <c r="J116">
        <f t="shared" si="4"/>
        <v>48</v>
      </c>
      <c r="K116">
        <v>1</v>
      </c>
      <c r="L116">
        <v>1</v>
      </c>
      <c r="M116">
        <v>1</v>
      </c>
      <c r="N116">
        <v>1</v>
      </c>
      <c r="O116">
        <v>1</v>
      </c>
      <c r="R116">
        <f t="shared" si="5"/>
        <v>48</v>
      </c>
      <c r="S116">
        <v>1</v>
      </c>
      <c r="T116">
        <v>1</v>
      </c>
      <c r="U116">
        <v>1</v>
      </c>
      <c r="V116">
        <v>1</v>
      </c>
      <c r="W116">
        <v>1</v>
      </c>
      <c r="AA116">
        <v>-9892.6355000000003</v>
      </c>
      <c r="AB116">
        <v>-9892.6355000000003</v>
      </c>
      <c r="AC116">
        <v>-9892.6355000000003</v>
      </c>
      <c r="AD116">
        <v>-9892.6355000000003</v>
      </c>
      <c r="AE116">
        <v>-9892.6355000000003</v>
      </c>
    </row>
    <row r="117" spans="2:31" x14ac:dyDescent="0.25">
      <c r="B117">
        <f t="shared" si="3"/>
        <v>49</v>
      </c>
      <c r="C117">
        <v>1</v>
      </c>
      <c r="D117">
        <v>1</v>
      </c>
      <c r="E117">
        <v>1</v>
      </c>
      <c r="F117">
        <v>1</v>
      </c>
      <c r="G117">
        <v>1</v>
      </c>
      <c r="J117">
        <f t="shared" si="4"/>
        <v>49</v>
      </c>
      <c r="K117">
        <v>1</v>
      </c>
      <c r="L117">
        <v>1</v>
      </c>
      <c r="M117">
        <v>1</v>
      </c>
      <c r="N117">
        <v>1</v>
      </c>
      <c r="O117">
        <v>1</v>
      </c>
      <c r="R117">
        <f t="shared" si="5"/>
        <v>49</v>
      </c>
      <c r="S117">
        <v>1</v>
      </c>
      <c r="T117">
        <v>1</v>
      </c>
      <c r="U117">
        <v>1</v>
      </c>
      <c r="V117">
        <v>1</v>
      </c>
      <c r="W117">
        <v>1</v>
      </c>
      <c r="AA117">
        <v>-9766.3366999999998</v>
      </c>
      <c r="AB117">
        <v>-9766.3366999999998</v>
      </c>
      <c r="AC117">
        <v>-9766.3366999999998</v>
      </c>
      <c r="AD117">
        <v>-9766.3366999999998</v>
      </c>
      <c r="AE117">
        <v>-9766.3366999999998</v>
      </c>
    </row>
    <row r="118" spans="2:31" x14ac:dyDescent="0.25">
      <c r="B118">
        <f t="shared" si="3"/>
        <v>50</v>
      </c>
      <c r="C118">
        <v>1</v>
      </c>
      <c r="D118">
        <v>1</v>
      </c>
      <c r="E118">
        <v>1</v>
      </c>
      <c r="F118">
        <v>1</v>
      </c>
      <c r="G118">
        <v>1</v>
      </c>
      <c r="J118">
        <f t="shared" si="4"/>
        <v>50</v>
      </c>
      <c r="K118">
        <v>1</v>
      </c>
      <c r="L118">
        <v>1</v>
      </c>
      <c r="M118">
        <v>1</v>
      </c>
      <c r="N118">
        <v>1</v>
      </c>
      <c r="O118">
        <v>1</v>
      </c>
      <c r="R118">
        <f t="shared" si="5"/>
        <v>50</v>
      </c>
      <c r="S118">
        <v>1</v>
      </c>
      <c r="T118">
        <v>1</v>
      </c>
      <c r="U118">
        <v>1</v>
      </c>
      <c r="V118">
        <v>1</v>
      </c>
      <c r="W118">
        <v>1</v>
      </c>
      <c r="AA118">
        <v>-9637.5864000000001</v>
      </c>
      <c r="AB118">
        <v>-9637.5864000000001</v>
      </c>
      <c r="AC118">
        <v>-9637.5864000000001</v>
      </c>
      <c r="AD118">
        <v>-9637.5864000000001</v>
      </c>
      <c r="AE118">
        <v>-9637.5864000000001</v>
      </c>
    </row>
    <row r="119" spans="2:31" x14ac:dyDescent="0.25">
      <c r="B119">
        <f t="shared" si="3"/>
        <v>51</v>
      </c>
      <c r="C119">
        <v>1</v>
      </c>
      <c r="D119">
        <v>1</v>
      </c>
      <c r="E119">
        <v>1</v>
      </c>
      <c r="F119">
        <v>1</v>
      </c>
      <c r="G119">
        <v>1</v>
      </c>
      <c r="J119">
        <f t="shared" si="4"/>
        <v>51</v>
      </c>
      <c r="K119">
        <v>1</v>
      </c>
      <c r="L119">
        <v>1</v>
      </c>
      <c r="M119">
        <v>1</v>
      </c>
      <c r="N119">
        <v>1</v>
      </c>
      <c r="O119">
        <v>1</v>
      </c>
      <c r="R119">
        <f t="shared" si="5"/>
        <v>51</v>
      </c>
      <c r="S119">
        <v>1</v>
      </c>
      <c r="T119">
        <v>1</v>
      </c>
      <c r="U119">
        <v>1</v>
      </c>
      <c r="V119">
        <v>1</v>
      </c>
      <c r="W119">
        <v>1</v>
      </c>
      <c r="AA119">
        <v>-9506.3734000000004</v>
      </c>
      <c r="AB119">
        <v>-9506.3734000000004</v>
      </c>
      <c r="AC119">
        <v>-9506.3734000000004</v>
      </c>
      <c r="AD119">
        <v>-9506.3734000000004</v>
      </c>
      <c r="AE119">
        <v>-9506.3734000000004</v>
      </c>
    </row>
    <row r="120" spans="2:31" x14ac:dyDescent="0.25">
      <c r="B120">
        <f t="shared" si="3"/>
        <v>52</v>
      </c>
      <c r="C120">
        <v>1</v>
      </c>
      <c r="D120">
        <v>1</v>
      </c>
      <c r="E120">
        <v>1</v>
      </c>
      <c r="F120">
        <v>1</v>
      </c>
      <c r="G120">
        <v>1</v>
      </c>
      <c r="J120">
        <f t="shared" si="4"/>
        <v>52</v>
      </c>
      <c r="K120">
        <v>1</v>
      </c>
      <c r="L120">
        <v>1</v>
      </c>
      <c r="M120">
        <v>1</v>
      </c>
      <c r="N120">
        <v>1</v>
      </c>
      <c r="O120">
        <v>1</v>
      </c>
      <c r="R120">
        <f t="shared" si="5"/>
        <v>52</v>
      </c>
      <c r="S120">
        <v>1</v>
      </c>
      <c r="T120">
        <v>1</v>
      </c>
      <c r="U120">
        <v>1</v>
      </c>
      <c r="V120">
        <v>1</v>
      </c>
      <c r="W120">
        <v>1</v>
      </c>
      <c r="AA120">
        <v>-9372.7019</v>
      </c>
      <c r="AB120">
        <v>-9372.7019</v>
      </c>
      <c r="AC120">
        <v>-9372.7019</v>
      </c>
      <c r="AD120">
        <v>-9372.7019</v>
      </c>
      <c r="AE120">
        <v>-9372.7019</v>
      </c>
    </row>
    <row r="121" spans="2:31" x14ac:dyDescent="0.25">
      <c r="B121">
        <f t="shared" si="3"/>
        <v>53</v>
      </c>
      <c r="C121">
        <v>1</v>
      </c>
      <c r="D121">
        <v>1</v>
      </c>
      <c r="E121">
        <v>1</v>
      </c>
      <c r="F121">
        <v>1</v>
      </c>
      <c r="G121">
        <v>1</v>
      </c>
      <c r="J121">
        <f t="shared" si="4"/>
        <v>53</v>
      </c>
      <c r="K121">
        <v>1</v>
      </c>
      <c r="L121">
        <v>1</v>
      </c>
      <c r="M121">
        <v>1</v>
      </c>
      <c r="N121">
        <v>1</v>
      </c>
      <c r="O121">
        <v>1</v>
      </c>
      <c r="R121">
        <f t="shared" si="5"/>
        <v>53</v>
      </c>
      <c r="S121">
        <v>1</v>
      </c>
      <c r="T121">
        <v>1</v>
      </c>
      <c r="U121">
        <v>1</v>
      </c>
      <c r="V121">
        <v>1</v>
      </c>
      <c r="W121">
        <v>1</v>
      </c>
      <c r="AA121">
        <v>-9236.6705000000002</v>
      </c>
      <c r="AB121">
        <v>-9236.6705000000002</v>
      </c>
      <c r="AC121">
        <v>-9236.6705000000002</v>
      </c>
      <c r="AD121">
        <v>-9236.6705000000002</v>
      </c>
      <c r="AE121">
        <v>-9236.6705000000002</v>
      </c>
    </row>
    <row r="122" spans="2:31" x14ac:dyDescent="0.25">
      <c r="B122">
        <f t="shared" si="3"/>
        <v>54</v>
      </c>
      <c r="C122">
        <v>1</v>
      </c>
      <c r="D122">
        <v>1</v>
      </c>
      <c r="E122">
        <v>1</v>
      </c>
      <c r="F122">
        <v>1</v>
      </c>
      <c r="G122">
        <v>1</v>
      </c>
      <c r="J122">
        <f t="shared" si="4"/>
        <v>54</v>
      </c>
      <c r="K122">
        <v>1</v>
      </c>
      <c r="L122">
        <v>1</v>
      </c>
      <c r="M122">
        <v>1</v>
      </c>
      <c r="N122">
        <v>1</v>
      </c>
      <c r="O122">
        <v>1</v>
      </c>
      <c r="R122">
        <f t="shared" si="5"/>
        <v>54</v>
      </c>
      <c r="S122">
        <v>1</v>
      </c>
      <c r="T122">
        <v>1</v>
      </c>
      <c r="U122">
        <v>1</v>
      </c>
      <c r="V122">
        <v>1</v>
      </c>
      <c r="W122">
        <v>1</v>
      </c>
      <c r="AA122">
        <v>-9098.4312000000009</v>
      </c>
      <c r="AB122">
        <v>-9098.4312000000009</v>
      </c>
      <c r="AC122">
        <v>-9098.4312000000009</v>
      </c>
      <c r="AD122">
        <v>-9098.4312000000009</v>
      </c>
      <c r="AE122">
        <v>-9098.4312000000009</v>
      </c>
    </row>
    <row r="123" spans="2:31" x14ac:dyDescent="0.25">
      <c r="B123">
        <f t="shared" si="3"/>
        <v>55</v>
      </c>
      <c r="C123">
        <v>1</v>
      </c>
      <c r="D123">
        <v>1</v>
      </c>
      <c r="E123">
        <v>1</v>
      </c>
      <c r="F123">
        <v>1</v>
      </c>
      <c r="G123">
        <v>1</v>
      </c>
      <c r="J123">
        <f t="shared" si="4"/>
        <v>55</v>
      </c>
      <c r="K123">
        <v>1</v>
      </c>
      <c r="L123">
        <v>1</v>
      </c>
      <c r="M123">
        <v>1</v>
      </c>
      <c r="N123">
        <v>1</v>
      </c>
      <c r="O123">
        <v>1</v>
      </c>
      <c r="R123">
        <f t="shared" si="5"/>
        <v>55</v>
      </c>
      <c r="S123">
        <v>1</v>
      </c>
      <c r="T123">
        <v>1</v>
      </c>
      <c r="U123">
        <v>1</v>
      </c>
      <c r="V123">
        <v>1</v>
      </c>
      <c r="W123">
        <v>1</v>
      </c>
      <c r="AA123">
        <v>-8958.0210999999999</v>
      </c>
      <c r="AB123">
        <v>-8958.0210999999999</v>
      </c>
      <c r="AC123">
        <v>-8958.0210999999999</v>
      </c>
      <c r="AD123">
        <v>-8958.0210999999999</v>
      </c>
      <c r="AE123">
        <v>-8958.0210999999999</v>
      </c>
    </row>
    <row r="124" spans="2:31" x14ac:dyDescent="0.25">
      <c r="B124">
        <f t="shared" si="3"/>
        <v>56</v>
      </c>
      <c r="C124">
        <v>1</v>
      </c>
      <c r="D124">
        <v>1</v>
      </c>
      <c r="E124">
        <v>1</v>
      </c>
      <c r="F124">
        <v>1</v>
      </c>
      <c r="G124">
        <v>1</v>
      </c>
      <c r="J124">
        <f t="shared" si="4"/>
        <v>56</v>
      </c>
      <c r="K124">
        <v>1</v>
      </c>
      <c r="L124">
        <v>1</v>
      </c>
      <c r="M124">
        <v>1</v>
      </c>
      <c r="N124">
        <v>1</v>
      </c>
      <c r="O124">
        <v>1</v>
      </c>
      <c r="R124">
        <f t="shared" si="5"/>
        <v>56</v>
      </c>
      <c r="S124">
        <v>1</v>
      </c>
      <c r="T124">
        <v>1</v>
      </c>
      <c r="U124">
        <v>1</v>
      </c>
      <c r="V124">
        <v>1</v>
      </c>
      <c r="W124">
        <v>1</v>
      </c>
      <c r="AA124">
        <v>-8815.6316999999999</v>
      </c>
      <c r="AB124">
        <v>-8815.6316999999999</v>
      </c>
      <c r="AC124">
        <v>-8815.6316999999999</v>
      </c>
      <c r="AD124">
        <v>-8815.6316999999999</v>
      </c>
      <c r="AE124">
        <v>-8815.6316999999999</v>
      </c>
    </row>
    <row r="125" spans="2:31" x14ac:dyDescent="0.25">
      <c r="B125">
        <f t="shared" si="3"/>
        <v>57</v>
      </c>
      <c r="C125">
        <v>1</v>
      </c>
      <c r="D125">
        <v>1</v>
      </c>
      <c r="E125">
        <v>1</v>
      </c>
      <c r="F125">
        <v>1</v>
      </c>
      <c r="G125">
        <v>1</v>
      </c>
      <c r="J125">
        <f t="shared" si="4"/>
        <v>57</v>
      </c>
      <c r="K125">
        <v>1</v>
      </c>
      <c r="L125">
        <v>1</v>
      </c>
      <c r="M125">
        <v>1</v>
      </c>
      <c r="N125">
        <v>1</v>
      </c>
      <c r="O125">
        <v>1</v>
      </c>
      <c r="R125">
        <f t="shared" si="5"/>
        <v>57</v>
      </c>
      <c r="S125">
        <v>1</v>
      </c>
      <c r="T125">
        <v>1</v>
      </c>
      <c r="U125">
        <v>1</v>
      </c>
      <c r="V125">
        <v>1</v>
      </c>
      <c r="W125">
        <v>1</v>
      </c>
      <c r="AA125">
        <v>-8671.3991999999998</v>
      </c>
      <c r="AB125">
        <v>-8671.3991999999998</v>
      </c>
      <c r="AC125">
        <v>-8671.3991999999998</v>
      </c>
      <c r="AD125">
        <v>-8671.3991999999998</v>
      </c>
      <c r="AE125">
        <v>-8671.3991999999998</v>
      </c>
    </row>
    <row r="126" spans="2:31" x14ac:dyDescent="0.25">
      <c r="B126">
        <f t="shared" si="3"/>
        <v>58</v>
      </c>
      <c r="C126">
        <v>1</v>
      </c>
      <c r="D126">
        <v>1</v>
      </c>
      <c r="E126">
        <v>1</v>
      </c>
      <c r="F126">
        <v>1</v>
      </c>
      <c r="G126">
        <v>1</v>
      </c>
      <c r="J126">
        <f t="shared" si="4"/>
        <v>58</v>
      </c>
      <c r="K126">
        <v>1</v>
      </c>
      <c r="L126">
        <v>1</v>
      </c>
      <c r="M126">
        <v>1</v>
      </c>
      <c r="N126">
        <v>1</v>
      </c>
      <c r="O126">
        <v>1</v>
      </c>
      <c r="R126">
        <f t="shared" si="5"/>
        <v>58</v>
      </c>
      <c r="S126">
        <v>1</v>
      </c>
      <c r="T126">
        <v>1</v>
      </c>
      <c r="U126">
        <v>1</v>
      </c>
      <c r="V126">
        <v>1</v>
      </c>
      <c r="W126">
        <v>1</v>
      </c>
      <c r="AA126">
        <v>-8525.2759999999998</v>
      </c>
      <c r="AB126">
        <v>-8525.2759999999998</v>
      </c>
      <c r="AC126">
        <v>-8525.2759999999998</v>
      </c>
      <c r="AD126">
        <v>-8525.2759999999998</v>
      </c>
      <c r="AE126">
        <v>-8525.2759999999998</v>
      </c>
    </row>
    <row r="127" spans="2:31" x14ac:dyDescent="0.25">
      <c r="B127">
        <f t="shared" si="3"/>
        <v>59</v>
      </c>
      <c r="C127">
        <v>1</v>
      </c>
      <c r="D127">
        <v>1</v>
      </c>
      <c r="E127">
        <v>1</v>
      </c>
      <c r="F127">
        <v>1</v>
      </c>
      <c r="G127">
        <v>1</v>
      </c>
      <c r="J127">
        <f t="shared" si="4"/>
        <v>59</v>
      </c>
      <c r="K127">
        <v>1</v>
      </c>
      <c r="L127">
        <v>1</v>
      </c>
      <c r="M127">
        <v>1</v>
      </c>
      <c r="N127">
        <v>1</v>
      </c>
      <c r="O127">
        <v>1</v>
      </c>
      <c r="R127">
        <f t="shared" si="5"/>
        <v>59</v>
      </c>
      <c r="S127">
        <v>1</v>
      </c>
      <c r="T127">
        <v>1</v>
      </c>
      <c r="U127">
        <v>1</v>
      </c>
      <c r="V127">
        <v>1</v>
      </c>
      <c r="W127">
        <v>1</v>
      </c>
      <c r="AA127">
        <v>-8377.2351999999992</v>
      </c>
      <c r="AB127">
        <v>-8377.2351999999992</v>
      </c>
      <c r="AC127">
        <v>-8377.2351999999992</v>
      </c>
      <c r="AD127">
        <v>-8377.2351999999992</v>
      </c>
      <c r="AE127">
        <v>-8377.2351999999992</v>
      </c>
    </row>
    <row r="128" spans="2:31" x14ac:dyDescent="0.25">
      <c r="B128">
        <f t="shared" si="3"/>
        <v>60</v>
      </c>
      <c r="C128">
        <v>1</v>
      </c>
      <c r="D128">
        <v>1</v>
      </c>
      <c r="E128">
        <v>1</v>
      </c>
      <c r="F128">
        <v>1</v>
      </c>
      <c r="G128">
        <v>1</v>
      </c>
      <c r="J128">
        <f t="shared" si="4"/>
        <v>60</v>
      </c>
      <c r="K128">
        <v>1</v>
      </c>
      <c r="L128">
        <v>1</v>
      </c>
      <c r="M128">
        <v>1</v>
      </c>
      <c r="N128">
        <v>1</v>
      </c>
      <c r="O128">
        <v>1</v>
      </c>
      <c r="R128">
        <f t="shared" si="5"/>
        <v>60</v>
      </c>
      <c r="S128">
        <v>1</v>
      </c>
      <c r="T128">
        <v>1</v>
      </c>
      <c r="U128">
        <v>1</v>
      </c>
      <c r="V128">
        <v>1</v>
      </c>
      <c r="W128">
        <v>1</v>
      </c>
      <c r="AA128">
        <v>-8227.3953999999994</v>
      </c>
      <c r="AB128">
        <v>-8227.3953999999994</v>
      </c>
      <c r="AC128">
        <v>-8227.3953999999994</v>
      </c>
      <c r="AD128">
        <v>-8227.3953999999994</v>
      </c>
      <c r="AE128">
        <v>-8227.3953999999994</v>
      </c>
    </row>
    <row r="129" spans="2:32" x14ac:dyDescent="0.25">
      <c r="B129">
        <f t="shared" si="3"/>
        <v>61</v>
      </c>
      <c r="C129">
        <v>1</v>
      </c>
      <c r="D129">
        <v>1</v>
      </c>
      <c r="E129">
        <v>1</v>
      </c>
      <c r="F129">
        <v>1</v>
      </c>
      <c r="G129">
        <v>1</v>
      </c>
      <c r="J129">
        <f t="shared" si="4"/>
        <v>61</v>
      </c>
      <c r="K129">
        <v>1</v>
      </c>
      <c r="L129">
        <v>1</v>
      </c>
      <c r="M129">
        <v>1</v>
      </c>
      <c r="N129">
        <v>1</v>
      </c>
      <c r="O129">
        <v>1</v>
      </c>
      <c r="R129">
        <f t="shared" si="5"/>
        <v>61</v>
      </c>
      <c r="S129">
        <v>1</v>
      </c>
      <c r="T129">
        <v>1</v>
      </c>
      <c r="U129">
        <v>1</v>
      </c>
      <c r="V129">
        <v>1</v>
      </c>
      <c r="W129">
        <v>1</v>
      </c>
      <c r="AA129">
        <v>-8076.1778999999997</v>
      </c>
      <c r="AB129">
        <v>-8076.1778999999997</v>
      </c>
      <c r="AC129">
        <v>-8076.1778999999997</v>
      </c>
      <c r="AD129">
        <v>-8076.1778999999997</v>
      </c>
      <c r="AE129">
        <v>-8076.1778999999997</v>
      </c>
    </row>
    <row r="130" spans="2:32" x14ac:dyDescent="0.25">
      <c r="B130">
        <f t="shared" si="3"/>
        <v>62</v>
      </c>
      <c r="C130">
        <v>1</v>
      </c>
      <c r="D130">
        <v>1</v>
      </c>
      <c r="E130">
        <v>1</v>
      </c>
      <c r="F130">
        <v>1</v>
      </c>
      <c r="G130">
        <v>1</v>
      </c>
      <c r="J130">
        <f t="shared" si="4"/>
        <v>62</v>
      </c>
      <c r="K130">
        <v>1</v>
      </c>
      <c r="L130">
        <v>1</v>
      </c>
      <c r="M130">
        <v>1</v>
      </c>
      <c r="N130">
        <v>1</v>
      </c>
      <c r="O130">
        <v>1</v>
      </c>
      <c r="R130">
        <f t="shared" si="5"/>
        <v>62</v>
      </c>
      <c r="S130">
        <v>1</v>
      </c>
      <c r="T130">
        <v>1</v>
      </c>
      <c r="U130">
        <v>1</v>
      </c>
      <c r="V130">
        <v>1</v>
      </c>
      <c r="W130">
        <v>1</v>
      </c>
      <c r="AA130">
        <v>-7923.5816000000004</v>
      </c>
      <c r="AB130">
        <v>-7923.5816000000004</v>
      </c>
      <c r="AC130">
        <v>-7923.5816000000004</v>
      </c>
      <c r="AD130">
        <v>-7923.5816000000004</v>
      </c>
      <c r="AE130">
        <v>-7923.5816000000004</v>
      </c>
    </row>
    <row r="131" spans="2:32" x14ac:dyDescent="0.25">
      <c r="B131">
        <f t="shared" si="3"/>
        <v>63</v>
      </c>
      <c r="C131">
        <v>1</v>
      </c>
      <c r="D131">
        <v>1</v>
      </c>
      <c r="E131">
        <v>1</v>
      </c>
      <c r="F131">
        <v>1</v>
      </c>
      <c r="G131">
        <v>1</v>
      </c>
      <c r="J131">
        <f t="shared" si="4"/>
        <v>63</v>
      </c>
      <c r="K131">
        <v>1</v>
      </c>
      <c r="L131">
        <v>1</v>
      </c>
      <c r="M131">
        <v>1</v>
      </c>
      <c r="N131">
        <v>1</v>
      </c>
      <c r="O131">
        <v>1</v>
      </c>
      <c r="R131">
        <f t="shared" si="5"/>
        <v>63</v>
      </c>
      <c r="S131">
        <v>1</v>
      </c>
      <c r="T131">
        <v>1</v>
      </c>
      <c r="U131">
        <v>1</v>
      </c>
      <c r="V131">
        <v>1</v>
      </c>
      <c r="W131">
        <v>1</v>
      </c>
      <c r="AA131">
        <v>-7769.2775000000001</v>
      </c>
      <c r="AB131">
        <v>-7769.2775000000001</v>
      </c>
      <c r="AC131">
        <v>-7769.2775000000001</v>
      </c>
      <c r="AD131">
        <v>-7769.2775000000001</v>
      </c>
      <c r="AE131">
        <v>-7769.2775000000001</v>
      </c>
    </row>
    <row r="132" spans="2:32" x14ac:dyDescent="0.25">
      <c r="B132">
        <f t="shared" si="3"/>
        <v>64</v>
      </c>
      <c r="C132">
        <v>1</v>
      </c>
      <c r="D132">
        <v>1</v>
      </c>
      <c r="E132">
        <v>1</v>
      </c>
      <c r="F132">
        <v>1</v>
      </c>
      <c r="G132">
        <v>1</v>
      </c>
      <c r="J132">
        <f t="shared" si="4"/>
        <v>64</v>
      </c>
      <c r="K132">
        <v>1</v>
      </c>
      <c r="L132">
        <v>1</v>
      </c>
      <c r="M132">
        <v>1</v>
      </c>
      <c r="N132">
        <v>1</v>
      </c>
      <c r="O132">
        <v>1</v>
      </c>
      <c r="R132">
        <f t="shared" si="5"/>
        <v>64</v>
      </c>
      <c r="S132">
        <v>1</v>
      </c>
      <c r="T132">
        <v>1</v>
      </c>
      <c r="U132">
        <v>1</v>
      </c>
      <c r="V132">
        <v>1</v>
      </c>
      <c r="W132">
        <v>1</v>
      </c>
      <c r="AA132">
        <v>-7613.3999000000003</v>
      </c>
      <c r="AB132">
        <v>-7613.3999000000003</v>
      </c>
      <c r="AC132">
        <v>-7613.3999000000003</v>
      </c>
      <c r="AD132">
        <v>-7613.3999000000003</v>
      </c>
      <c r="AE132">
        <v>-7613.3999000000003</v>
      </c>
    </row>
    <row r="133" spans="2:32" x14ac:dyDescent="0.25">
      <c r="B133">
        <f t="shared" si="3"/>
        <v>65</v>
      </c>
      <c r="C133">
        <v>1</v>
      </c>
      <c r="D133">
        <v>1</v>
      </c>
      <c r="E133">
        <v>1</v>
      </c>
      <c r="F133">
        <v>1</v>
      </c>
      <c r="G133">
        <v>1</v>
      </c>
      <c r="J133">
        <f t="shared" si="4"/>
        <v>65</v>
      </c>
      <c r="K133">
        <v>1</v>
      </c>
      <c r="L133">
        <v>1</v>
      </c>
      <c r="M133">
        <v>1</v>
      </c>
      <c r="N133">
        <v>1</v>
      </c>
      <c r="O133">
        <v>1</v>
      </c>
      <c r="R133">
        <f t="shared" si="5"/>
        <v>65</v>
      </c>
      <c r="S133">
        <v>1</v>
      </c>
      <c r="T133">
        <v>1</v>
      </c>
      <c r="U133">
        <v>1</v>
      </c>
      <c r="V133">
        <v>1</v>
      </c>
      <c r="W133">
        <v>1</v>
      </c>
      <c r="AA133">
        <v>-7455.8590000000004</v>
      </c>
      <c r="AB133">
        <v>-7455.8590000000004</v>
      </c>
      <c r="AC133">
        <v>-7455.8590000000004</v>
      </c>
      <c r="AD133">
        <v>-7455.8590000000004</v>
      </c>
      <c r="AE133">
        <v>-7455.8590000000004</v>
      </c>
    </row>
    <row r="136" spans="2:32" x14ac:dyDescent="0.25">
      <c r="B136" t="s">
        <v>46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47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48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2:32" x14ac:dyDescent="0.25">
      <c r="B137">
        <v>26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J137">
        <v>26</v>
      </c>
      <c r="K137">
        <v>1</v>
      </c>
      <c r="L137">
        <v>1</v>
      </c>
      <c r="M137">
        <v>1</v>
      </c>
      <c r="N137">
        <v>1</v>
      </c>
      <c r="O137">
        <v>1</v>
      </c>
      <c r="P137">
        <v>1</v>
      </c>
      <c r="R137">
        <v>26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AA137">
        <v>-7435.5060999999996</v>
      </c>
      <c r="AB137">
        <v>-7435.5060999999996</v>
      </c>
      <c r="AC137">
        <v>-7435.5060999999996</v>
      </c>
      <c r="AD137">
        <v>-7435.5060999999996</v>
      </c>
      <c r="AE137">
        <v>-7435.5060999999996</v>
      </c>
      <c r="AF137">
        <v>-7435.5060999999996</v>
      </c>
    </row>
    <row r="138" spans="2:32" x14ac:dyDescent="0.25">
      <c r="B138">
        <v>27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J138">
        <v>27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R138">
        <v>27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AA138">
        <v>-7434.2619000000004</v>
      </c>
      <c r="AB138">
        <v>-7434.2619000000004</v>
      </c>
      <c r="AC138">
        <v>-7434.2619000000004</v>
      </c>
      <c r="AD138">
        <v>-7434.2619000000004</v>
      </c>
      <c r="AE138">
        <v>-7434.2619000000004</v>
      </c>
      <c r="AF138">
        <v>-7434.2619000000004</v>
      </c>
    </row>
    <row r="139" spans="2:32" x14ac:dyDescent="0.25">
      <c r="B139">
        <v>28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J139">
        <v>28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R139">
        <v>28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AA139">
        <v>-7432.8334999999997</v>
      </c>
      <c r="AB139">
        <v>-7432.8334999999997</v>
      </c>
      <c r="AC139">
        <v>-7432.8334999999997</v>
      </c>
      <c r="AD139">
        <v>-7432.8334999999997</v>
      </c>
      <c r="AE139">
        <v>-7432.8334999999997</v>
      </c>
      <c r="AF139">
        <v>-7432.8334999999997</v>
      </c>
    </row>
    <row r="140" spans="2:32" x14ac:dyDescent="0.25">
      <c r="B140">
        <v>29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J140">
        <v>29</v>
      </c>
      <c r="K140">
        <v>1</v>
      </c>
      <c r="L140">
        <v>1</v>
      </c>
      <c r="M140">
        <v>1</v>
      </c>
      <c r="N140">
        <v>1</v>
      </c>
      <c r="O140">
        <v>1</v>
      </c>
      <c r="P140">
        <v>1</v>
      </c>
      <c r="R140">
        <v>29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AA140">
        <v>-7431.2058999999999</v>
      </c>
      <c r="AB140">
        <v>-7431.2058999999999</v>
      </c>
      <c r="AC140">
        <v>-7431.2058999999999</v>
      </c>
      <c r="AD140">
        <v>-7431.2058999999999</v>
      </c>
      <c r="AE140">
        <v>-7431.2058999999999</v>
      </c>
      <c r="AF140">
        <v>-7431.2058999999999</v>
      </c>
    </row>
    <row r="141" spans="2:32" x14ac:dyDescent="0.25">
      <c r="B141">
        <v>30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J141">
        <v>30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R141">
        <v>30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AA141">
        <v>-7429.3476000000001</v>
      </c>
      <c r="AB141">
        <v>-7429.3476000000001</v>
      </c>
      <c r="AC141">
        <v>-7429.3476000000001</v>
      </c>
      <c r="AD141">
        <v>-7429.3476000000001</v>
      </c>
      <c r="AE141">
        <v>-7429.3476000000001</v>
      </c>
      <c r="AF141">
        <v>-7429.3476000000001</v>
      </c>
    </row>
    <row r="142" spans="2:32" x14ac:dyDescent="0.25">
      <c r="B142">
        <v>31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J142">
        <v>31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R142">
        <v>31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AA142">
        <v>-7427.2446</v>
      </c>
      <c r="AB142">
        <v>-7427.2446</v>
      </c>
      <c r="AC142">
        <v>-7427.2446</v>
      </c>
      <c r="AD142">
        <v>-7427.2446</v>
      </c>
      <c r="AE142">
        <v>-7427.2446</v>
      </c>
      <c r="AF142">
        <v>-7427.2446</v>
      </c>
    </row>
    <row r="143" spans="2:32" x14ac:dyDescent="0.25">
      <c r="B143">
        <v>32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J143">
        <v>32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R143">
        <v>32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AA143">
        <v>-7424.8944000000001</v>
      </c>
      <c r="AB143">
        <v>-7424.8944000000001</v>
      </c>
      <c r="AC143">
        <v>-7424.8944000000001</v>
      </c>
      <c r="AD143">
        <v>-7424.8944000000001</v>
      </c>
      <c r="AE143">
        <v>-7424.8944000000001</v>
      </c>
      <c r="AF143">
        <v>-7424.8944000000001</v>
      </c>
    </row>
    <row r="144" spans="2:32" x14ac:dyDescent="0.25">
      <c r="B144">
        <v>33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J144">
        <v>33</v>
      </c>
      <c r="K144">
        <v>1</v>
      </c>
      <c r="L144">
        <v>1</v>
      </c>
      <c r="M144">
        <v>1</v>
      </c>
      <c r="N144">
        <v>1</v>
      </c>
      <c r="O144">
        <v>1</v>
      </c>
      <c r="P144">
        <v>1</v>
      </c>
      <c r="R144">
        <v>33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AA144">
        <v>-7422.2834000000003</v>
      </c>
      <c r="AB144">
        <v>-7422.2834000000003</v>
      </c>
      <c r="AC144">
        <v>-7422.2834000000003</v>
      </c>
      <c r="AD144">
        <v>-7422.2834000000003</v>
      </c>
      <c r="AE144">
        <v>-7422.2834000000003</v>
      </c>
      <c r="AF144">
        <v>-7422.2834000000003</v>
      </c>
    </row>
    <row r="145" spans="2:32" x14ac:dyDescent="0.25">
      <c r="B145">
        <v>34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J145">
        <v>34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R145">
        <v>34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AA145">
        <v>-7419.3683000000001</v>
      </c>
      <c r="AB145">
        <v>-7419.3683000000001</v>
      </c>
      <c r="AC145">
        <v>-7419.3683000000001</v>
      </c>
      <c r="AD145">
        <v>-7419.3683000000001</v>
      </c>
      <c r="AE145">
        <v>-7419.3683000000001</v>
      </c>
      <c r="AF145">
        <v>-7419.3683000000001</v>
      </c>
    </row>
    <row r="146" spans="2:32" x14ac:dyDescent="0.25">
      <c r="B146">
        <v>35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J146">
        <v>35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R146">
        <v>35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AA146">
        <v>-7416.1363000000001</v>
      </c>
      <c r="AB146">
        <v>-7416.1363000000001</v>
      </c>
      <c r="AC146">
        <v>-7416.1363000000001</v>
      </c>
      <c r="AD146">
        <v>-7416.1363000000001</v>
      </c>
      <c r="AE146">
        <v>-7416.1363000000001</v>
      </c>
      <c r="AF146">
        <v>-7416.1363000000001</v>
      </c>
    </row>
    <row r="147" spans="2:32" x14ac:dyDescent="0.25">
      <c r="B147">
        <v>36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J147">
        <v>36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R147">
        <v>36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AA147">
        <v>-7412.5378000000001</v>
      </c>
      <c r="AB147">
        <v>-7412.5378000000001</v>
      </c>
      <c r="AC147">
        <v>-7412.5378000000001</v>
      </c>
      <c r="AD147">
        <v>-7412.5378000000001</v>
      </c>
      <c r="AE147">
        <v>-7412.5378000000001</v>
      </c>
      <c r="AF147">
        <v>-7412.5378000000001</v>
      </c>
    </row>
    <row r="148" spans="2:32" x14ac:dyDescent="0.25">
      <c r="B148">
        <v>37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  <c r="J148">
        <v>37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R148">
        <v>37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AA148">
        <v>-7408.55</v>
      </c>
      <c r="AB148">
        <v>-7408.55</v>
      </c>
      <c r="AC148">
        <v>-7408.55</v>
      </c>
      <c r="AD148">
        <v>-7408.55</v>
      </c>
      <c r="AE148">
        <v>-7408.55</v>
      </c>
      <c r="AF148">
        <v>-7408.55</v>
      </c>
    </row>
    <row r="149" spans="2:32" x14ac:dyDescent="0.25">
      <c r="B149">
        <v>38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J149">
        <v>38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R149">
        <v>38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AA149">
        <v>-7404.1752999999999</v>
      </c>
      <c r="AB149">
        <v>-7404.1752999999999</v>
      </c>
      <c r="AC149">
        <v>-7404.1752999999999</v>
      </c>
      <c r="AD149">
        <v>-7404.1752999999999</v>
      </c>
      <c r="AE149">
        <v>-7404.1752999999999</v>
      </c>
      <c r="AF149">
        <v>-7404.1752999999999</v>
      </c>
    </row>
    <row r="150" spans="2:32" x14ac:dyDescent="0.25">
      <c r="B150">
        <v>39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J150">
        <v>39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R150">
        <v>39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AA150">
        <v>-7399.3923999999997</v>
      </c>
      <c r="AB150">
        <v>-7399.3923999999997</v>
      </c>
      <c r="AC150">
        <v>-7399.3923999999997</v>
      </c>
      <c r="AD150">
        <v>-7399.3923999999997</v>
      </c>
      <c r="AE150">
        <v>-7399.3923999999997</v>
      </c>
      <c r="AF150">
        <v>-7399.3923999999997</v>
      </c>
    </row>
    <row r="151" spans="2:32" x14ac:dyDescent="0.25">
      <c r="B151">
        <v>40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J151">
        <v>40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R151">
        <v>40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AA151">
        <v>-7394.1365999999998</v>
      </c>
      <c r="AB151">
        <v>-7394.1365999999998</v>
      </c>
      <c r="AC151">
        <v>-7394.1365999999998</v>
      </c>
      <c r="AD151">
        <v>-7394.1365999999998</v>
      </c>
      <c r="AE151">
        <v>-7394.1365999999998</v>
      </c>
      <c r="AF151">
        <v>-7394.1365999999998</v>
      </c>
    </row>
    <row r="152" spans="2:32" x14ac:dyDescent="0.25">
      <c r="B152">
        <v>41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J152">
        <v>41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R152">
        <v>41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AA152">
        <v>-7388.3469999999998</v>
      </c>
      <c r="AB152">
        <v>-7388.3469999999998</v>
      </c>
      <c r="AC152">
        <v>-7388.3469999999998</v>
      </c>
      <c r="AD152">
        <v>-7388.3469999999998</v>
      </c>
      <c r="AE152">
        <v>-7388.3469999999998</v>
      </c>
      <c r="AF152">
        <v>-7388.3469999999998</v>
      </c>
    </row>
    <row r="153" spans="2:32" x14ac:dyDescent="0.25">
      <c r="B153">
        <v>42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J153">
        <v>42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R153">
        <v>42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AA153">
        <v>-7381.9919</v>
      </c>
      <c r="AB153">
        <v>-7381.9919</v>
      </c>
      <c r="AC153">
        <v>-7381.9919</v>
      </c>
      <c r="AD153">
        <v>-7381.9919</v>
      </c>
      <c r="AE153">
        <v>-7381.9919</v>
      </c>
      <c r="AF153">
        <v>-7381.9919</v>
      </c>
    </row>
    <row r="154" spans="2:32" x14ac:dyDescent="0.25">
      <c r="B154">
        <v>43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J154">
        <v>43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R154">
        <v>43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AA154">
        <v>-7374.9579999999996</v>
      </c>
      <c r="AB154">
        <v>-7374.9579999999996</v>
      </c>
      <c r="AC154">
        <v>-7374.9579999999996</v>
      </c>
      <c r="AD154">
        <v>-7374.9579999999996</v>
      </c>
      <c r="AE154">
        <v>-7374.9579999999996</v>
      </c>
      <c r="AF154">
        <v>-7374.9579999999996</v>
      </c>
    </row>
    <row r="155" spans="2:32" x14ac:dyDescent="0.25">
      <c r="B155">
        <v>44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J155">
        <v>44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R155">
        <v>44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AA155">
        <v>-7367.2034999999996</v>
      </c>
      <c r="AB155">
        <v>-7367.2034999999996</v>
      </c>
      <c r="AC155">
        <v>-7367.2034999999996</v>
      </c>
      <c r="AD155">
        <v>-7367.2034999999996</v>
      </c>
      <c r="AE155">
        <v>-7367.2034999999996</v>
      </c>
      <c r="AF155">
        <v>-7367.2034999999996</v>
      </c>
    </row>
    <row r="156" spans="2:32" x14ac:dyDescent="0.25">
      <c r="B156">
        <v>45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J156">
        <v>45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1</v>
      </c>
      <c r="R156">
        <v>45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AA156">
        <v>-7358.6491999999998</v>
      </c>
      <c r="AB156">
        <v>-7358.6491999999998</v>
      </c>
      <c r="AC156">
        <v>-7358.6491999999998</v>
      </c>
      <c r="AD156">
        <v>-7358.6491999999998</v>
      </c>
      <c r="AE156">
        <v>-7358.6491999999998</v>
      </c>
      <c r="AF156">
        <v>-7358.6491999999998</v>
      </c>
    </row>
    <row r="157" spans="2:32" x14ac:dyDescent="0.25">
      <c r="B157">
        <v>46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J157">
        <v>46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R157">
        <v>46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AA157">
        <v>-7349.2232000000004</v>
      </c>
      <c r="AB157">
        <v>-7349.2232000000004</v>
      </c>
      <c r="AC157">
        <v>-7349.2232000000004</v>
      </c>
      <c r="AD157">
        <v>-7349.2232000000004</v>
      </c>
      <c r="AE157">
        <v>-7349.2232000000004</v>
      </c>
      <c r="AF157">
        <v>-7349.2232000000004</v>
      </c>
    </row>
    <row r="158" spans="2:32" x14ac:dyDescent="0.25">
      <c r="B158">
        <v>47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J158">
        <v>47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R158">
        <v>47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AA158">
        <v>-7338.8310000000001</v>
      </c>
      <c r="AB158">
        <v>-7338.8310000000001</v>
      </c>
      <c r="AC158">
        <v>-7338.8310000000001</v>
      </c>
      <c r="AD158">
        <v>-7338.8310000000001</v>
      </c>
      <c r="AE158">
        <v>-7338.8310000000001</v>
      </c>
      <c r="AF158">
        <v>-7338.8310000000001</v>
      </c>
    </row>
    <row r="159" spans="2:32" x14ac:dyDescent="0.25">
      <c r="B159">
        <v>48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J159">
        <v>48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R159">
        <v>48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AA159">
        <v>-7327.4297999999999</v>
      </c>
      <c r="AB159">
        <v>-7327.4297999999999</v>
      </c>
      <c r="AC159">
        <v>-7327.4297999999999</v>
      </c>
      <c r="AD159">
        <v>-7327.4297999999999</v>
      </c>
      <c r="AE159">
        <v>-7327.4297999999999</v>
      </c>
      <c r="AF159">
        <v>-7327.4297999999999</v>
      </c>
    </row>
    <row r="160" spans="2:32" x14ac:dyDescent="0.25">
      <c r="B160">
        <v>49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J160">
        <v>49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R160">
        <v>49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AA160">
        <v>-7314.951</v>
      </c>
      <c r="AB160">
        <v>-7314.951</v>
      </c>
      <c r="AC160">
        <v>-7314.951</v>
      </c>
      <c r="AD160">
        <v>-7314.951</v>
      </c>
      <c r="AE160">
        <v>-7314.951</v>
      </c>
      <c r="AF160">
        <v>-7314.951</v>
      </c>
    </row>
    <row r="161" spans="2:32" x14ac:dyDescent="0.25">
      <c r="B161">
        <v>50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J161">
        <v>50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R161">
        <v>50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AA161">
        <v>-7301.2851000000001</v>
      </c>
      <c r="AB161">
        <v>-7301.2851000000001</v>
      </c>
      <c r="AC161">
        <v>-7301.2851000000001</v>
      </c>
      <c r="AD161">
        <v>-7301.2851000000001</v>
      </c>
      <c r="AE161">
        <v>-7301.2851000000001</v>
      </c>
      <c r="AF161">
        <v>-7301.2851000000001</v>
      </c>
    </row>
    <row r="162" spans="2:32" x14ac:dyDescent="0.25">
      <c r="B162">
        <v>51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J162">
        <v>51</v>
      </c>
      <c r="K162">
        <v>1</v>
      </c>
      <c r="L162">
        <v>1</v>
      </c>
      <c r="M162">
        <v>1</v>
      </c>
      <c r="N162">
        <v>1</v>
      </c>
      <c r="O162">
        <v>1</v>
      </c>
      <c r="P162">
        <v>1</v>
      </c>
      <c r="R162">
        <v>51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AA162">
        <v>-7286.3271000000004</v>
      </c>
      <c r="AB162">
        <v>-7286.3271000000004</v>
      </c>
      <c r="AC162">
        <v>-7286.3271000000004</v>
      </c>
      <c r="AD162">
        <v>-7286.3271000000004</v>
      </c>
      <c r="AE162">
        <v>-7286.3271000000004</v>
      </c>
      <c r="AF162">
        <v>-7286.3271000000004</v>
      </c>
    </row>
    <row r="163" spans="2:32" x14ac:dyDescent="0.25">
      <c r="B163">
        <v>52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J163">
        <v>52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R163">
        <v>52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AA163">
        <v>-7269.9448000000002</v>
      </c>
      <c r="AB163">
        <v>-7269.9448000000002</v>
      </c>
      <c r="AC163">
        <v>-7269.9448000000002</v>
      </c>
      <c r="AD163">
        <v>-7269.9448000000002</v>
      </c>
      <c r="AE163">
        <v>-7269.9448000000002</v>
      </c>
      <c r="AF163">
        <v>-7269.9448000000002</v>
      </c>
    </row>
    <row r="164" spans="2:32" x14ac:dyDescent="0.25">
      <c r="B164">
        <v>53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J164">
        <v>53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R164">
        <v>53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AA164">
        <v>-7252.0574999999999</v>
      </c>
      <c r="AB164">
        <v>-7252.0574999999999</v>
      </c>
      <c r="AC164">
        <v>-7252.0574999999999</v>
      </c>
      <c r="AD164">
        <v>-7252.0574999999999</v>
      </c>
      <c r="AE164">
        <v>-7252.0574999999999</v>
      </c>
      <c r="AF164">
        <v>-7252.0574999999999</v>
      </c>
    </row>
    <row r="165" spans="2:32" x14ac:dyDescent="0.25">
      <c r="B165">
        <v>54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J165">
        <v>54</v>
      </c>
      <c r="K165">
        <v>1</v>
      </c>
      <c r="L165">
        <v>1</v>
      </c>
      <c r="M165">
        <v>1</v>
      </c>
      <c r="N165">
        <v>1</v>
      </c>
      <c r="O165">
        <v>1</v>
      </c>
      <c r="P165">
        <v>1</v>
      </c>
      <c r="R165">
        <v>54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AA165">
        <v>-7232.5680000000002</v>
      </c>
      <c r="AB165">
        <v>-7232.5680000000002</v>
      </c>
      <c r="AC165">
        <v>-7232.5680000000002</v>
      </c>
      <c r="AD165">
        <v>-7232.5680000000002</v>
      </c>
      <c r="AE165">
        <v>-7232.5680000000002</v>
      </c>
      <c r="AF165">
        <v>-7232.5680000000002</v>
      </c>
    </row>
    <row r="166" spans="2:32" x14ac:dyDescent="0.25">
      <c r="B166">
        <v>55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J166">
        <v>55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R166">
        <v>55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AA166">
        <v>-7211.3207000000002</v>
      </c>
      <c r="AB166">
        <v>-7211.3207000000002</v>
      </c>
      <c r="AC166">
        <v>-7211.3207000000002</v>
      </c>
      <c r="AD166">
        <v>-7211.3207000000002</v>
      </c>
      <c r="AE166">
        <v>-7211.3207000000002</v>
      </c>
      <c r="AF166">
        <v>-7211.3207000000002</v>
      </c>
    </row>
    <row r="169" spans="2:32" x14ac:dyDescent="0.25">
      <c r="B169" t="s">
        <v>46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32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48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2:32" x14ac:dyDescent="0.25">
      <c r="B170">
        <v>35</v>
      </c>
      <c r="C170">
        <v>1</v>
      </c>
      <c r="D170">
        <v>1</v>
      </c>
      <c r="E170">
        <v>1</v>
      </c>
      <c r="F170">
        <v>1</v>
      </c>
      <c r="G170">
        <v>1</v>
      </c>
      <c r="J170">
        <v>35</v>
      </c>
      <c r="K170">
        <v>1</v>
      </c>
      <c r="L170">
        <v>1</v>
      </c>
      <c r="M170">
        <v>1</v>
      </c>
      <c r="N170">
        <v>1</v>
      </c>
      <c r="O170">
        <v>1</v>
      </c>
      <c r="R170">
        <v>35</v>
      </c>
      <c r="S170">
        <v>1</v>
      </c>
      <c r="T170">
        <v>1</v>
      </c>
      <c r="U170">
        <v>1</v>
      </c>
      <c r="V170">
        <v>1</v>
      </c>
      <c r="W170">
        <v>1</v>
      </c>
      <c r="AA170">
        <v>-11308.6893</v>
      </c>
      <c r="AB170">
        <v>-11308.6893</v>
      </c>
      <c r="AC170">
        <v>-11308.6893</v>
      </c>
      <c r="AD170">
        <v>-11308.6893</v>
      </c>
      <c r="AE170">
        <v>-11308.6893</v>
      </c>
    </row>
    <row r="171" spans="2:32" x14ac:dyDescent="0.25">
      <c r="B171">
        <f t="shared" ref="B171:B200" si="6">B170+1</f>
        <v>36</v>
      </c>
      <c r="C171">
        <v>1</v>
      </c>
      <c r="D171">
        <v>1</v>
      </c>
      <c r="E171">
        <v>1</v>
      </c>
      <c r="F171">
        <v>1</v>
      </c>
      <c r="G171">
        <v>1</v>
      </c>
      <c r="J171">
        <f t="shared" ref="J171:J200" si="7">J170+1</f>
        <v>36</v>
      </c>
      <c r="K171">
        <v>1</v>
      </c>
      <c r="L171">
        <v>1</v>
      </c>
      <c r="M171">
        <v>1</v>
      </c>
      <c r="N171">
        <v>1</v>
      </c>
      <c r="O171">
        <v>1</v>
      </c>
      <c r="R171">
        <f t="shared" ref="R171:R200" si="8">R170+1</f>
        <v>36</v>
      </c>
      <c r="S171">
        <v>1</v>
      </c>
      <c r="T171">
        <v>1</v>
      </c>
      <c r="U171">
        <v>1</v>
      </c>
      <c r="V171">
        <v>1</v>
      </c>
      <c r="W171">
        <v>1</v>
      </c>
      <c r="AA171">
        <v>-11214.2592</v>
      </c>
      <c r="AB171">
        <v>-11214.2592</v>
      </c>
      <c r="AC171">
        <v>-11214.2592</v>
      </c>
      <c r="AD171">
        <v>-11214.2592</v>
      </c>
      <c r="AE171">
        <v>-11214.2592</v>
      </c>
    </row>
    <row r="172" spans="2:32" x14ac:dyDescent="0.25">
      <c r="B172">
        <f t="shared" si="6"/>
        <v>37</v>
      </c>
      <c r="C172">
        <v>1</v>
      </c>
      <c r="D172">
        <v>1</v>
      </c>
      <c r="E172">
        <v>1</v>
      </c>
      <c r="F172">
        <v>1</v>
      </c>
      <c r="G172">
        <v>1</v>
      </c>
      <c r="J172">
        <f t="shared" si="7"/>
        <v>37</v>
      </c>
      <c r="K172">
        <v>1</v>
      </c>
      <c r="L172">
        <v>1</v>
      </c>
      <c r="M172">
        <v>1</v>
      </c>
      <c r="N172">
        <v>1</v>
      </c>
      <c r="O172">
        <v>1</v>
      </c>
      <c r="R172">
        <f t="shared" si="8"/>
        <v>37</v>
      </c>
      <c r="S172">
        <v>1</v>
      </c>
      <c r="T172">
        <v>1</v>
      </c>
      <c r="U172">
        <v>1</v>
      </c>
      <c r="V172">
        <v>1</v>
      </c>
      <c r="W172">
        <v>1</v>
      </c>
      <c r="AA172">
        <v>-11117.406199999999</v>
      </c>
      <c r="AB172">
        <v>-11117.406199999999</v>
      </c>
      <c r="AC172">
        <v>-11117.406199999999</v>
      </c>
      <c r="AD172">
        <v>-11117.406199999999</v>
      </c>
      <c r="AE172">
        <v>-11117.406199999999</v>
      </c>
    </row>
    <row r="173" spans="2:32" x14ac:dyDescent="0.25">
      <c r="B173">
        <f t="shared" si="6"/>
        <v>38</v>
      </c>
      <c r="C173">
        <v>1</v>
      </c>
      <c r="D173">
        <v>1</v>
      </c>
      <c r="E173">
        <v>1</v>
      </c>
      <c r="F173">
        <v>1</v>
      </c>
      <c r="G173">
        <v>1</v>
      </c>
      <c r="J173">
        <f t="shared" si="7"/>
        <v>38</v>
      </c>
      <c r="K173">
        <v>1</v>
      </c>
      <c r="L173">
        <v>1</v>
      </c>
      <c r="M173">
        <v>1</v>
      </c>
      <c r="N173">
        <v>1</v>
      </c>
      <c r="O173">
        <v>1</v>
      </c>
      <c r="R173">
        <f t="shared" si="8"/>
        <v>38</v>
      </c>
      <c r="S173">
        <v>1</v>
      </c>
      <c r="T173">
        <v>1</v>
      </c>
      <c r="U173">
        <v>1</v>
      </c>
      <c r="V173">
        <v>1</v>
      </c>
      <c r="W173">
        <v>1</v>
      </c>
      <c r="AA173">
        <v>-11018.229799999999</v>
      </c>
      <c r="AB173">
        <v>-11018.229799999999</v>
      </c>
      <c r="AC173">
        <v>-11018.229799999999</v>
      </c>
      <c r="AD173">
        <v>-11018.229799999999</v>
      </c>
      <c r="AE173">
        <v>-11018.229799999999</v>
      </c>
    </row>
    <row r="174" spans="2:32" x14ac:dyDescent="0.25">
      <c r="B174">
        <f t="shared" si="6"/>
        <v>39</v>
      </c>
      <c r="C174">
        <v>1</v>
      </c>
      <c r="D174">
        <v>1</v>
      </c>
      <c r="E174">
        <v>1</v>
      </c>
      <c r="F174">
        <v>1</v>
      </c>
      <c r="G174">
        <v>1</v>
      </c>
      <c r="J174">
        <f t="shared" si="7"/>
        <v>39</v>
      </c>
      <c r="K174">
        <v>1</v>
      </c>
      <c r="L174">
        <v>1</v>
      </c>
      <c r="M174">
        <v>1</v>
      </c>
      <c r="N174">
        <v>1</v>
      </c>
      <c r="O174">
        <v>1</v>
      </c>
      <c r="R174">
        <f t="shared" si="8"/>
        <v>39</v>
      </c>
      <c r="S174">
        <v>1</v>
      </c>
      <c r="T174">
        <v>1</v>
      </c>
      <c r="U174">
        <v>1</v>
      </c>
      <c r="V174">
        <v>1</v>
      </c>
      <c r="W174">
        <v>1</v>
      </c>
      <c r="AA174">
        <v>-10916.737999999999</v>
      </c>
      <c r="AB174">
        <v>-10916.737999999999</v>
      </c>
      <c r="AC174">
        <v>-10916.737999999999</v>
      </c>
      <c r="AD174">
        <v>-10916.737999999999</v>
      </c>
      <c r="AE174">
        <v>-10916.737999999999</v>
      </c>
    </row>
    <row r="175" spans="2:32" x14ac:dyDescent="0.25">
      <c r="B175">
        <f t="shared" si="6"/>
        <v>40</v>
      </c>
      <c r="C175">
        <v>1</v>
      </c>
      <c r="D175">
        <v>1</v>
      </c>
      <c r="E175">
        <v>1</v>
      </c>
      <c r="F175">
        <v>1</v>
      </c>
      <c r="G175">
        <v>1</v>
      </c>
      <c r="J175">
        <f t="shared" si="7"/>
        <v>40</v>
      </c>
      <c r="K175">
        <v>1</v>
      </c>
      <c r="L175">
        <v>1</v>
      </c>
      <c r="M175">
        <v>1</v>
      </c>
      <c r="N175">
        <v>1</v>
      </c>
      <c r="O175">
        <v>1</v>
      </c>
      <c r="R175">
        <f t="shared" si="8"/>
        <v>40</v>
      </c>
      <c r="S175">
        <v>1</v>
      </c>
      <c r="T175">
        <v>1</v>
      </c>
      <c r="U175">
        <v>1</v>
      </c>
      <c r="V175">
        <v>1</v>
      </c>
      <c r="W175">
        <v>1</v>
      </c>
      <c r="AA175">
        <v>-10812.8714</v>
      </c>
      <c r="AB175">
        <v>-10812.8714</v>
      </c>
      <c r="AC175">
        <v>-10812.8714</v>
      </c>
      <c r="AD175">
        <v>-10812.8714</v>
      </c>
      <c r="AE175">
        <v>-10812.8714</v>
      </c>
    </row>
    <row r="176" spans="2:32" x14ac:dyDescent="0.25">
      <c r="B176">
        <f t="shared" si="6"/>
        <v>41</v>
      </c>
      <c r="C176">
        <v>1</v>
      </c>
      <c r="D176">
        <v>1</v>
      </c>
      <c r="E176">
        <v>1</v>
      </c>
      <c r="F176">
        <v>1</v>
      </c>
      <c r="G176">
        <v>1</v>
      </c>
      <c r="J176">
        <f t="shared" si="7"/>
        <v>41</v>
      </c>
      <c r="K176">
        <v>1</v>
      </c>
      <c r="L176">
        <v>1</v>
      </c>
      <c r="M176">
        <v>1</v>
      </c>
      <c r="N176">
        <v>1</v>
      </c>
      <c r="O176">
        <v>1</v>
      </c>
      <c r="R176">
        <f t="shared" si="8"/>
        <v>41</v>
      </c>
      <c r="S176">
        <v>1</v>
      </c>
      <c r="T176">
        <v>1</v>
      </c>
      <c r="U176">
        <v>1</v>
      </c>
      <c r="V176">
        <v>1</v>
      </c>
      <c r="W176">
        <v>1</v>
      </c>
      <c r="AA176">
        <v>-10706.559600000001</v>
      </c>
      <c r="AB176">
        <v>-10706.559600000001</v>
      </c>
      <c r="AC176">
        <v>-10706.559600000001</v>
      </c>
      <c r="AD176">
        <v>-10706.559600000001</v>
      </c>
      <c r="AE176">
        <v>-10706.559600000001</v>
      </c>
    </row>
    <row r="177" spans="2:31" x14ac:dyDescent="0.25">
      <c r="B177">
        <f t="shared" si="6"/>
        <v>42</v>
      </c>
      <c r="C177">
        <v>1</v>
      </c>
      <c r="D177">
        <v>1</v>
      </c>
      <c r="E177">
        <v>1</v>
      </c>
      <c r="F177">
        <v>1</v>
      </c>
      <c r="G177">
        <v>1</v>
      </c>
      <c r="J177">
        <f t="shared" si="7"/>
        <v>42</v>
      </c>
      <c r="K177">
        <v>1</v>
      </c>
      <c r="L177">
        <v>1</v>
      </c>
      <c r="M177">
        <v>1</v>
      </c>
      <c r="N177">
        <v>1</v>
      </c>
      <c r="O177">
        <v>1</v>
      </c>
      <c r="R177">
        <f t="shared" si="8"/>
        <v>42</v>
      </c>
      <c r="S177">
        <v>1</v>
      </c>
      <c r="T177">
        <v>1</v>
      </c>
      <c r="U177">
        <v>1</v>
      </c>
      <c r="V177">
        <v>1</v>
      </c>
      <c r="W177">
        <v>1</v>
      </c>
      <c r="AA177">
        <v>-10597.8485</v>
      </c>
      <c r="AB177">
        <v>-10597.8485</v>
      </c>
      <c r="AC177">
        <v>-10597.8485</v>
      </c>
      <c r="AD177">
        <v>-10597.8485</v>
      </c>
      <c r="AE177">
        <v>-10597.8485</v>
      </c>
    </row>
    <row r="178" spans="2:31" x14ac:dyDescent="0.25">
      <c r="B178">
        <f t="shared" si="6"/>
        <v>43</v>
      </c>
      <c r="C178">
        <v>1</v>
      </c>
      <c r="D178">
        <v>1</v>
      </c>
      <c r="E178">
        <v>1</v>
      </c>
      <c r="F178">
        <v>1</v>
      </c>
      <c r="G178">
        <v>1</v>
      </c>
      <c r="J178">
        <f t="shared" si="7"/>
        <v>43</v>
      </c>
      <c r="K178">
        <v>1</v>
      </c>
      <c r="L178">
        <v>1</v>
      </c>
      <c r="M178">
        <v>1</v>
      </c>
      <c r="N178">
        <v>1</v>
      </c>
      <c r="O178">
        <v>1</v>
      </c>
      <c r="R178">
        <f t="shared" si="8"/>
        <v>43</v>
      </c>
      <c r="S178">
        <v>1</v>
      </c>
      <c r="T178">
        <v>1</v>
      </c>
      <c r="U178">
        <v>1</v>
      </c>
      <c r="V178">
        <v>1</v>
      </c>
      <c r="W178">
        <v>1</v>
      </c>
      <c r="AA178">
        <v>-10486.615400000001</v>
      </c>
      <c r="AB178">
        <v>-10486.615400000001</v>
      </c>
      <c r="AC178">
        <v>-10486.615400000001</v>
      </c>
      <c r="AD178">
        <v>-10486.615400000001</v>
      </c>
      <c r="AE178">
        <v>-10486.615400000001</v>
      </c>
    </row>
    <row r="179" spans="2:31" x14ac:dyDescent="0.25">
      <c r="B179">
        <f t="shared" si="6"/>
        <v>44</v>
      </c>
      <c r="C179">
        <v>1</v>
      </c>
      <c r="D179">
        <v>1</v>
      </c>
      <c r="E179">
        <v>1</v>
      </c>
      <c r="F179">
        <v>1</v>
      </c>
      <c r="G179">
        <v>1</v>
      </c>
      <c r="J179">
        <f t="shared" si="7"/>
        <v>44</v>
      </c>
      <c r="K179">
        <v>1</v>
      </c>
      <c r="L179">
        <v>1</v>
      </c>
      <c r="M179">
        <v>1</v>
      </c>
      <c r="N179">
        <v>1</v>
      </c>
      <c r="O179">
        <v>1</v>
      </c>
      <c r="R179">
        <f t="shared" si="8"/>
        <v>44</v>
      </c>
      <c r="S179">
        <v>1</v>
      </c>
      <c r="T179">
        <v>1</v>
      </c>
      <c r="U179">
        <v>1</v>
      </c>
      <c r="V179">
        <v>1</v>
      </c>
      <c r="W179">
        <v>1</v>
      </c>
      <c r="AA179">
        <v>-10372.9005</v>
      </c>
      <c r="AB179">
        <v>-10372.9005</v>
      </c>
      <c r="AC179">
        <v>-10372.9005</v>
      </c>
      <c r="AD179">
        <v>-10372.9005</v>
      </c>
      <c r="AE179">
        <v>-10372.9005</v>
      </c>
    </row>
    <row r="180" spans="2:31" x14ac:dyDescent="0.25">
      <c r="B180">
        <f t="shared" si="6"/>
        <v>45</v>
      </c>
      <c r="C180">
        <v>1</v>
      </c>
      <c r="D180">
        <v>1</v>
      </c>
      <c r="E180">
        <v>1</v>
      </c>
      <c r="F180">
        <v>1</v>
      </c>
      <c r="G180">
        <v>1</v>
      </c>
      <c r="J180">
        <f t="shared" si="7"/>
        <v>45</v>
      </c>
      <c r="K180">
        <v>1</v>
      </c>
      <c r="L180">
        <v>1</v>
      </c>
      <c r="M180">
        <v>1</v>
      </c>
      <c r="N180">
        <v>1</v>
      </c>
      <c r="O180">
        <v>1</v>
      </c>
      <c r="R180">
        <f t="shared" si="8"/>
        <v>45</v>
      </c>
      <c r="S180">
        <v>1</v>
      </c>
      <c r="T180">
        <v>1</v>
      </c>
      <c r="U180">
        <v>1</v>
      </c>
      <c r="V180">
        <v>1</v>
      </c>
      <c r="W180">
        <v>1</v>
      </c>
      <c r="AA180">
        <v>-10256.650600000001</v>
      </c>
      <c r="AB180">
        <v>-10256.650600000001</v>
      </c>
      <c r="AC180">
        <v>-10256.650600000001</v>
      </c>
      <c r="AD180">
        <v>-10256.650600000001</v>
      </c>
      <c r="AE180">
        <v>-10256.650600000001</v>
      </c>
    </row>
    <row r="181" spans="2:31" x14ac:dyDescent="0.25">
      <c r="B181">
        <f t="shared" si="6"/>
        <v>46</v>
      </c>
      <c r="C181">
        <v>1</v>
      </c>
      <c r="D181">
        <v>1</v>
      </c>
      <c r="E181">
        <v>1</v>
      </c>
      <c r="F181">
        <v>1</v>
      </c>
      <c r="G181">
        <v>1</v>
      </c>
      <c r="J181">
        <f t="shared" si="7"/>
        <v>46</v>
      </c>
      <c r="K181">
        <v>1</v>
      </c>
      <c r="L181">
        <v>1</v>
      </c>
      <c r="M181">
        <v>1</v>
      </c>
      <c r="N181">
        <v>1</v>
      </c>
      <c r="O181">
        <v>1</v>
      </c>
      <c r="R181">
        <f t="shared" si="8"/>
        <v>46</v>
      </c>
      <c r="S181">
        <v>1</v>
      </c>
      <c r="T181">
        <v>1</v>
      </c>
      <c r="U181">
        <v>1</v>
      </c>
      <c r="V181">
        <v>1</v>
      </c>
      <c r="W181">
        <v>1</v>
      </c>
      <c r="AA181">
        <v>-10137.871499999999</v>
      </c>
      <c r="AB181">
        <v>-10137.871499999999</v>
      </c>
      <c r="AC181">
        <v>-10137.871499999999</v>
      </c>
      <c r="AD181">
        <v>-10137.871499999999</v>
      </c>
      <c r="AE181">
        <v>-10137.871499999999</v>
      </c>
    </row>
    <row r="182" spans="2:31" x14ac:dyDescent="0.25">
      <c r="B182">
        <f t="shared" si="6"/>
        <v>47</v>
      </c>
      <c r="C182">
        <v>1</v>
      </c>
      <c r="D182">
        <v>1</v>
      </c>
      <c r="E182">
        <v>1</v>
      </c>
      <c r="F182">
        <v>1</v>
      </c>
      <c r="G182">
        <v>1</v>
      </c>
      <c r="J182">
        <f t="shared" si="7"/>
        <v>47</v>
      </c>
      <c r="K182">
        <v>1</v>
      </c>
      <c r="L182">
        <v>1</v>
      </c>
      <c r="M182">
        <v>1</v>
      </c>
      <c r="N182">
        <v>1</v>
      </c>
      <c r="O182">
        <v>1</v>
      </c>
      <c r="R182">
        <f t="shared" si="8"/>
        <v>47</v>
      </c>
      <c r="S182">
        <v>1</v>
      </c>
      <c r="T182">
        <v>1</v>
      </c>
      <c r="U182">
        <v>1</v>
      </c>
      <c r="V182">
        <v>1</v>
      </c>
      <c r="W182">
        <v>1</v>
      </c>
      <c r="AA182">
        <v>-10016.4967</v>
      </c>
      <c r="AB182">
        <v>-10016.4967</v>
      </c>
      <c r="AC182">
        <v>-10016.4967</v>
      </c>
      <c r="AD182">
        <v>-10016.4967</v>
      </c>
      <c r="AE182">
        <v>-10016.4967</v>
      </c>
    </row>
    <row r="183" spans="2:31" x14ac:dyDescent="0.25">
      <c r="B183">
        <f t="shared" si="6"/>
        <v>48</v>
      </c>
      <c r="C183">
        <v>1</v>
      </c>
      <c r="D183">
        <v>1</v>
      </c>
      <c r="E183">
        <v>1</v>
      </c>
      <c r="F183">
        <v>1</v>
      </c>
      <c r="G183">
        <v>1</v>
      </c>
      <c r="J183">
        <f t="shared" si="7"/>
        <v>48</v>
      </c>
      <c r="K183">
        <v>1</v>
      </c>
      <c r="L183">
        <v>1</v>
      </c>
      <c r="M183">
        <v>1</v>
      </c>
      <c r="N183">
        <v>1</v>
      </c>
      <c r="O183">
        <v>1</v>
      </c>
      <c r="R183">
        <f t="shared" si="8"/>
        <v>48</v>
      </c>
      <c r="S183">
        <v>1</v>
      </c>
      <c r="T183">
        <v>1</v>
      </c>
      <c r="U183">
        <v>1</v>
      </c>
      <c r="V183">
        <v>1</v>
      </c>
      <c r="W183">
        <v>1</v>
      </c>
      <c r="AA183">
        <v>-9892.6355000000003</v>
      </c>
      <c r="AB183">
        <v>-9892.6355000000003</v>
      </c>
      <c r="AC183">
        <v>-9892.6355000000003</v>
      </c>
      <c r="AD183">
        <v>-9892.6355000000003</v>
      </c>
      <c r="AE183">
        <v>-9892.6355000000003</v>
      </c>
    </row>
    <row r="184" spans="2:31" x14ac:dyDescent="0.25">
      <c r="B184">
        <f t="shared" si="6"/>
        <v>49</v>
      </c>
      <c r="C184">
        <v>1</v>
      </c>
      <c r="D184">
        <v>1</v>
      </c>
      <c r="E184">
        <v>1</v>
      </c>
      <c r="F184">
        <v>1</v>
      </c>
      <c r="G184">
        <v>1</v>
      </c>
      <c r="J184">
        <f t="shared" si="7"/>
        <v>49</v>
      </c>
      <c r="K184">
        <v>1</v>
      </c>
      <c r="L184">
        <v>1</v>
      </c>
      <c r="M184">
        <v>1</v>
      </c>
      <c r="N184">
        <v>1</v>
      </c>
      <c r="O184">
        <v>1</v>
      </c>
      <c r="R184">
        <f t="shared" si="8"/>
        <v>49</v>
      </c>
      <c r="S184">
        <v>1</v>
      </c>
      <c r="T184">
        <v>1</v>
      </c>
      <c r="U184">
        <v>1</v>
      </c>
      <c r="V184">
        <v>1</v>
      </c>
      <c r="W184">
        <v>1</v>
      </c>
      <c r="AA184">
        <v>-9766.3366999999998</v>
      </c>
      <c r="AB184">
        <v>-9766.3366999999998</v>
      </c>
      <c r="AC184">
        <v>-9766.3366999999998</v>
      </c>
      <c r="AD184">
        <v>-9766.3366999999998</v>
      </c>
      <c r="AE184">
        <v>-9766.3366999999998</v>
      </c>
    </row>
    <row r="185" spans="2:31" x14ac:dyDescent="0.25">
      <c r="B185">
        <f t="shared" si="6"/>
        <v>50</v>
      </c>
      <c r="C185">
        <v>1</v>
      </c>
      <c r="D185">
        <v>1</v>
      </c>
      <c r="E185">
        <v>1</v>
      </c>
      <c r="F185">
        <v>1</v>
      </c>
      <c r="G185">
        <v>1</v>
      </c>
      <c r="J185">
        <f t="shared" si="7"/>
        <v>50</v>
      </c>
      <c r="K185">
        <v>1</v>
      </c>
      <c r="L185">
        <v>1</v>
      </c>
      <c r="M185">
        <v>1</v>
      </c>
      <c r="N185">
        <v>1</v>
      </c>
      <c r="O185">
        <v>1</v>
      </c>
      <c r="R185">
        <f t="shared" si="8"/>
        <v>50</v>
      </c>
      <c r="S185">
        <v>1</v>
      </c>
      <c r="T185">
        <v>1</v>
      </c>
      <c r="U185">
        <v>1</v>
      </c>
      <c r="V185">
        <v>1</v>
      </c>
      <c r="W185">
        <v>1</v>
      </c>
      <c r="AA185">
        <v>-9637.5864000000001</v>
      </c>
      <c r="AB185">
        <v>-9637.5864000000001</v>
      </c>
      <c r="AC185">
        <v>-9637.5864000000001</v>
      </c>
      <c r="AD185">
        <v>-9637.5864000000001</v>
      </c>
      <c r="AE185">
        <v>-9637.5864000000001</v>
      </c>
    </row>
    <row r="186" spans="2:31" x14ac:dyDescent="0.25">
      <c r="B186">
        <f t="shared" si="6"/>
        <v>51</v>
      </c>
      <c r="C186">
        <v>1</v>
      </c>
      <c r="D186">
        <v>1</v>
      </c>
      <c r="E186">
        <v>1</v>
      </c>
      <c r="F186">
        <v>1</v>
      </c>
      <c r="G186">
        <v>1</v>
      </c>
      <c r="J186">
        <f t="shared" si="7"/>
        <v>51</v>
      </c>
      <c r="K186">
        <v>1</v>
      </c>
      <c r="L186">
        <v>1</v>
      </c>
      <c r="M186">
        <v>1</v>
      </c>
      <c r="N186">
        <v>1</v>
      </c>
      <c r="O186">
        <v>1</v>
      </c>
      <c r="R186">
        <f t="shared" si="8"/>
        <v>51</v>
      </c>
      <c r="S186">
        <v>1</v>
      </c>
      <c r="T186">
        <v>1</v>
      </c>
      <c r="U186">
        <v>1</v>
      </c>
      <c r="V186">
        <v>1</v>
      </c>
      <c r="W186">
        <v>1</v>
      </c>
      <c r="AA186">
        <v>-9506.3734000000004</v>
      </c>
      <c r="AB186">
        <v>-9506.3734000000004</v>
      </c>
      <c r="AC186">
        <v>-9506.3734000000004</v>
      </c>
      <c r="AD186">
        <v>-9506.3734000000004</v>
      </c>
      <c r="AE186">
        <v>-9506.3734000000004</v>
      </c>
    </row>
    <row r="187" spans="2:31" x14ac:dyDescent="0.25">
      <c r="B187">
        <f t="shared" si="6"/>
        <v>52</v>
      </c>
      <c r="C187">
        <v>1</v>
      </c>
      <c r="D187">
        <v>1</v>
      </c>
      <c r="E187">
        <v>1</v>
      </c>
      <c r="F187">
        <v>1</v>
      </c>
      <c r="G187">
        <v>1</v>
      </c>
      <c r="J187">
        <f t="shared" si="7"/>
        <v>52</v>
      </c>
      <c r="K187">
        <v>1</v>
      </c>
      <c r="L187">
        <v>1</v>
      </c>
      <c r="M187">
        <v>1</v>
      </c>
      <c r="N187">
        <v>1</v>
      </c>
      <c r="O187">
        <v>1</v>
      </c>
      <c r="R187">
        <f t="shared" si="8"/>
        <v>52</v>
      </c>
      <c r="S187">
        <v>1</v>
      </c>
      <c r="T187">
        <v>1</v>
      </c>
      <c r="U187">
        <v>1</v>
      </c>
      <c r="V187">
        <v>1</v>
      </c>
      <c r="W187">
        <v>1</v>
      </c>
      <c r="AA187">
        <v>-9372.7019</v>
      </c>
      <c r="AB187">
        <v>-9372.7019</v>
      </c>
      <c r="AC187">
        <v>-9372.7019</v>
      </c>
      <c r="AD187">
        <v>-9372.7019</v>
      </c>
      <c r="AE187">
        <v>-9372.7019</v>
      </c>
    </row>
    <row r="188" spans="2:31" x14ac:dyDescent="0.25">
      <c r="B188">
        <f t="shared" si="6"/>
        <v>53</v>
      </c>
      <c r="C188">
        <v>1</v>
      </c>
      <c r="D188">
        <v>1</v>
      </c>
      <c r="E188">
        <v>1</v>
      </c>
      <c r="F188">
        <v>1</v>
      </c>
      <c r="G188">
        <v>1</v>
      </c>
      <c r="J188">
        <f t="shared" si="7"/>
        <v>53</v>
      </c>
      <c r="K188">
        <v>1</v>
      </c>
      <c r="L188">
        <v>1</v>
      </c>
      <c r="M188">
        <v>1</v>
      </c>
      <c r="N188">
        <v>1</v>
      </c>
      <c r="O188">
        <v>1</v>
      </c>
      <c r="R188">
        <f t="shared" si="8"/>
        <v>53</v>
      </c>
      <c r="S188">
        <v>1</v>
      </c>
      <c r="T188">
        <v>1</v>
      </c>
      <c r="U188">
        <v>1</v>
      </c>
      <c r="V188">
        <v>1</v>
      </c>
      <c r="W188">
        <v>1</v>
      </c>
      <c r="AA188">
        <v>-9236.6705000000002</v>
      </c>
      <c r="AB188">
        <v>-9236.6705000000002</v>
      </c>
      <c r="AC188">
        <v>-9236.6705000000002</v>
      </c>
      <c r="AD188">
        <v>-9236.6705000000002</v>
      </c>
      <c r="AE188">
        <v>-9236.6705000000002</v>
      </c>
    </row>
    <row r="189" spans="2:31" x14ac:dyDescent="0.25">
      <c r="B189">
        <f t="shared" si="6"/>
        <v>54</v>
      </c>
      <c r="C189">
        <v>1</v>
      </c>
      <c r="D189">
        <v>1</v>
      </c>
      <c r="E189">
        <v>1</v>
      </c>
      <c r="F189">
        <v>1</v>
      </c>
      <c r="G189">
        <v>1</v>
      </c>
      <c r="J189">
        <f t="shared" si="7"/>
        <v>54</v>
      </c>
      <c r="K189">
        <v>1</v>
      </c>
      <c r="L189">
        <v>1</v>
      </c>
      <c r="M189">
        <v>1</v>
      </c>
      <c r="N189">
        <v>1</v>
      </c>
      <c r="O189">
        <v>1</v>
      </c>
      <c r="R189">
        <f t="shared" si="8"/>
        <v>54</v>
      </c>
      <c r="S189">
        <v>1</v>
      </c>
      <c r="T189">
        <v>1</v>
      </c>
      <c r="U189">
        <v>1</v>
      </c>
      <c r="V189">
        <v>1</v>
      </c>
      <c r="W189">
        <v>1</v>
      </c>
      <c r="AA189">
        <v>-9098.4312000000009</v>
      </c>
      <c r="AB189">
        <v>-9098.4312000000009</v>
      </c>
      <c r="AC189">
        <v>-9098.4312000000009</v>
      </c>
      <c r="AD189">
        <v>-9098.4312000000009</v>
      </c>
      <c r="AE189">
        <v>-9098.4312000000009</v>
      </c>
    </row>
    <row r="190" spans="2:31" x14ac:dyDescent="0.25">
      <c r="B190">
        <f t="shared" si="6"/>
        <v>55</v>
      </c>
      <c r="C190">
        <v>1</v>
      </c>
      <c r="D190">
        <v>1</v>
      </c>
      <c r="E190">
        <v>1</v>
      </c>
      <c r="F190">
        <v>1</v>
      </c>
      <c r="G190">
        <v>1</v>
      </c>
      <c r="J190">
        <f t="shared" si="7"/>
        <v>55</v>
      </c>
      <c r="K190">
        <v>1</v>
      </c>
      <c r="L190">
        <v>1</v>
      </c>
      <c r="M190">
        <v>1</v>
      </c>
      <c r="N190">
        <v>1</v>
      </c>
      <c r="O190">
        <v>1</v>
      </c>
      <c r="R190">
        <f t="shared" si="8"/>
        <v>55</v>
      </c>
      <c r="S190">
        <v>1</v>
      </c>
      <c r="T190">
        <v>1</v>
      </c>
      <c r="U190">
        <v>1</v>
      </c>
      <c r="V190">
        <v>1</v>
      </c>
      <c r="W190">
        <v>1</v>
      </c>
      <c r="AA190">
        <v>-8958.0210999999999</v>
      </c>
      <c r="AB190">
        <v>-8958.0210999999999</v>
      </c>
      <c r="AC190">
        <v>-8958.0210999999999</v>
      </c>
      <c r="AD190">
        <v>-8958.0210999999999</v>
      </c>
      <c r="AE190">
        <v>-8958.0210999999999</v>
      </c>
    </row>
    <row r="191" spans="2:31" x14ac:dyDescent="0.25">
      <c r="B191">
        <f t="shared" si="6"/>
        <v>56</v>
      </c>
      <c r="C191">
        <v>1</v>
      </c>
      <c r="D191">
        <v>1</v>
      </c>
      <c r="E191">
        <v>1</v>
      </c>
      <c r="F191">
        <v>1</v>
      </c>
      <c r="G191">
        <v>1</v>
      </c>
      <c r="J191">
        <f t="shared" si="7"/>
        <v>56</v>
      </c>
      <c r="K191">
        <v>1</v>
      </c>
      <c r="L191">
        <v>1</v>
      </c>
      <c r="M191">
        <v>1</v>
      </c>
      <c r="N191">
        <v>1</v>
      </c>
      <c r="O191">
        <v>1</v>
      </c>
      <c r="R191">
        <f t="shared" si="8"/>
        <v>56</v>
      </c>
      <c r="S191">
        <v>1</v>
      </c>
      <c r="T191">
        <v>1</v>
      </c>
      <c r="U191">
        <v>1</v>
      </c>
      <c r="V191">
        <v>1</v>
      </c>
      <c r="W191">
        <v>1</v>
      </c>
      <c r="AA191">
        <v>-8815.6316999999999</v>
      </c>
      <c r="AB191">
        <v>-8815.6316999999999</v>
      </c>
      <c r="AC191">
        <v>-8815.6316999999999</v>
      </c>
      <c r="AD191">
        <v>-8815.6316999999999</v>
      </c>
      <c r="AE191">
        <v>-8815.6316999999999</v>
      </c>
    </row>
    <row r="192" spans="2:31" x14ac:dyDescent="0.25">
      <c r="B192">
        <f t="shared" si="6"/>
        <v>57</v>
      </c>
      <c r="C192">
        <v>1</v>
      </c>
      <c r="D192">
        <v>1</v>
      </c>
      <c r="E192">
        <v>1</v>
      </c>
      <c r="F192">
        <v>1</v>
      </c>
      <c r="G192">
        <v>1</v>
      </c>
      <c r="J192">
        <f t="shared" si="7"/>
        <v>57</v>
      </c>
      <c r="K192">
        <v>1</v>
      </c>
      <c r="L192">
        <v>1</v>
      </c>
      <c r="M192">
        <v>1</v>
      </c>
      <c r="N192">
        <v>1</v>
      </c>
      <c r="O192">
        <v>1</v>
      </c>
      <c r="R192">
        <f t="shared" si="8"/>
        <v>57</v>
      </c>
      <c r="S192">
        <v>1</v>
      </c>
      <c r="T192">
        <v>1</v>
      </c>
      <c r="U192">
        <v>1</v>
      </c>
      <c r="V192">
        <v>1</v>
      </c>
      <c r="W192">
        <v>1</v>
      </c>
      <c r="AA192">
        <v>-8671.3991999999998</v>
      </c>
      <c r="AB192">
        <v>-8671.3991999999998</v>
      </c>
      <c r="AC192">
        <v>-8671.3991999999998</v>
      </c>
      <c r="AD192">
        <v>-8671.3991999999998</v>
      </c>
      <c r="AE192">
        <v>-8671.3991999999998</v>
      </c>
    </row>
    <row r="193" spans="2:32" x14ac:dyDescent="0.25">
      <c r="B193">
        <f t="shared" si="6"/>
        <v>58</v>
      </c>
      <c r="C193">
        <v>1</v>
      </c>
      <c r="D193">
        <v>1</v>
      </c>
      <c r="E193">
        <v>1</v>
      </c>
      <c r="F193">
        <v>1</v>
      </c>
      <c r="G193">
        <v>1</v>
      </c>
      <c r="J193">
        <f t="shared" si="7"/>
        <v>58</v>
      </c>
      <c r="K193">
        <v>1</v>
      </c>
      <c r="L193">
        <v>1</v>
      </c>
      <c r="M193">
        <v>1</v>
      </c>
      <c r="N193">
        <v>1</v>
      </c>
      <c r="O193">
        <v>1</v>
      </c>
      <c r="R193">
        <f t="shared" si="8"/>
        <v>58</v>
      </c>
      <c r="S193">
        <v>1</v>
      </c>
      <c r="T193">
        <v>1</v>
      </c>
      <c r="U193">
        <v>1</v>
      </c>
      <c r="V193">
        <v>1</v>
      </c>
      <c r="W193">
        <v>1</v>
      </c>
      <c r="AA193">
        <v>-8525.2759999999998</v>
      </c>
      <c r="AB193">
        <v>-8525.2759999999998</v>
      </c>
      <c r="AC193">
        <v>-8525.2759999999998</v>
      </c>
      <c r="AD193">
        <v>-8525.2759999999998</v>
      </c>
      <c r="AE193">
        <v>-8525.2759999999998</v>
      </c>
    </row>
    <row r="194" spans="2:32" x14ac:dyDescent="0.25">
      <c r="B194">
        <f t="shared" si="6"/>
        <v>59</v>
      </c>
      <c r="C194">
        <v>1</v>
      </c>
      <c r="D194">
        <v>1</v>
      </c>
      <c r="E194">
        <v>1</v>
      </c>
      <c r="F194">
        <v>1</v>
      </c>
      <c r="G194">
        <v>1</v>
      </c>
      <c r="J194">
        <f t="shared" si="7"/>
        <v>59</v>
      </c>
      <c r="K194">
        <v>1</v>
      </c>
      <c r="L194">
        <v>1</v>
      </c>
      <c r="M194">
        <v>1</v>
      </c>
      <c r="N194">
        <v>1</v>
      </c>
      <c r="O194">
        <v>1</v>
      </c>
      <c r="R194">
        <f t="shared" si="8"/>
        <v>59</v>
      </c>
      <c r="S194">
        <v>1</v>
      </c>
      <c r="T194">
        <v>1</v>
      </c>
      <c r="U194">
        <v>1</v>
      </c>
      <c r="V194">
        <v>1</v>
      </c>
      <c r="W194">
        <v>1</v>
      </c>
      <c r="AA194">
        <v>-8377.2351999999992</v>
      </c>
      <c r="AB194">
        <v>-8377.2351999999992</v>
      </c>
      <c r="AC194">
        <v>-8377.2351999999992</v>
      </c>
      <c r="AD194">
        <v>-8377.2351999999992</v>
      </c>
      <c r="AE194">
        <v>-8377.2351999999992</v>
      </c>
    </row>
    <row r="195" spans="2:32" x14ac:dyDescent="0.25">
      <c r="B195">
        <f t="shared" si="6"/>
        <v>60</v>
      </c>
      <c r="C195">
        <v>1</v>
      </c>
      <c r="D195">
        <v>1</v>
      </c>
      <c r="E195">
        <v>1</v>
      </c>
      <c r="F195">
        <v>1</v>
      </c>
      <c r="G195">
        <v>1</v>
      </c>
      <c r="J195">
        <f t="shared" si="7"/>
        <v>60</v>
      </c>
      <c r="K195">
        <v>1</v>
      </c>
      <c r="L195">
        <v>1</v>
      </c>
      <c r="M195">
        <v>1</v>
      </c>
      <c r="N195">
        <v>1</v>
      </c>
      <c r="O195">
        <v>1</v>
      </c>
      <c r="R195">
        <f t="shared" si="8"/>
        <v>60</v>
      </c>
      <c r="S195">
        <v>1</v>
      </c>
      <c r="T195">
        <v>1</v>
      </c>
      <c r="U195">
        <v>1</v>
      </c>
      <c r="V195">
        <v>1</v>
      </c>
      <c r="W195">
        <v>1</v>
      </c>
      <c r="AA195">
        <v>-8227.3953999999994</v>
      </c>
      <c r="AB195">
        <v>-8227.3953999999994</v>
      </c>
      <c r="AC195">
        <v>-8227.3953999999994</v>
      </c>
      <c r="AD195">
        <v>-8227.3953999999994</v>
      </c>
      <c r="AE195">
        <v>-8227.3953999999994</v>
      </c>
    </row>
    <row r="196" spans="2:32" x14ac:dyDescent="0.25">
      <c r="B196">
        <f t="shared" si="6"/>
        <v>61</v>
      </c>
      <c r="C196">
        <v>1</v>
      </c>
      <c r="D196">
        <v>1</v>
      </c>
      <c r="E196">
        <v>1</v>
      </c>
      <c r="F196">
        <v>1</v>
      </c>
      <c r="G196">
        <v>1</v>
      </c>
      <c r="J196">
        <f t="shared" si="7"/>
        <v>61</v>
      </c>
      <c r="K196">
        <v>1</v>
      </c>
      <c r="L196">
        <v>1</v>
      </c>
      <c r="M196">
        <v>1</v>
      </c>
      <c r="N196">
        <v>1</v>
      </c>
      <c r="O196">
        <v>1</v>
      </c>
      <c r="R196">
        <f t="shared" si="8"/>
        <v>61</v>
      </c>
      <c r="S196">
        <v>1</v>
      </c>
      <c r="T196">
        <v>1</v>
      </c>
      <c r="U196">
        <v>1</v>
      </c>
      <c r="V196">
        <v>1</v>
      </c>
      <c r="W196">
        <v>1</v>
      </c>
      <c r="AA196">
        <v>-8076.1778999999997</v>
      </c>
      <c r="AB196">
        <v>-8076.1778999999997</v>
      </c>
      <c r="AC196">
        <v>-8076.1778999999997</v>
      </c>
      <c r="AD196">
        <v>-8076.1778999999997</v>
      </c>
      <c r="AE196">
        <v>-8076.1778999999997</v>
      </c>
    </row>
    <row r="197" spans="2:32" x14ac:dyDescent="0.25">
      <c r="B197">
        <f t="shared" si="6"/>
        <v>62</v>
      </c>
      <c r="C197">
        <v>1</v>
      </c>
      <c r="D197">
        <v>1</v>
      </c>
      <c r="E197">
        <v>1</v>
      </c>
      <c r="F197">
        <v>1</v>
      </c>
      <c r="G197">
        <v>1</v>
      </c>
      <c r="J197">
        <f t="shared" si="7"/>
        <v>62</v>
      </c>
      <c r="K197">
        <v>1</v>
      </c>
      <c r="L197">
        <v>1</v>
      </c>
      <c r="M197">
        <v>1</v>
      </c>
      <c r="N197">
        <v>1</v>
      </c>
      <c r="O197">
        <v>1</v>
      </c>
      <c r="R197">
        <f t="shared" si="8"/>
        <v>62</v>
      </c>
      <c r="S197">
        <v>1</v>
      </c>
      <c r="T197">
        <v>1</v>
      </c>
      <c r="U197">
        <v>1</v>
      </c>
      <c r="V197">
        <v>1</v>
      </c>
      <c r="W197">
        <v>1</v>
      </c>
      <c r="AA197">
        <v>-7923.5816000000004</v>
      </c>
      <c r="AB197">
        <v>-7923.5816000000004</v>
      </c>
      <c r="AC197">
        <v>-7923.5816000000004</v>
      </c>
      <c r="AD197">
        <v>-7923.5816000000004</v>
      </c>
      <c r="AE197">
        <v>-7923.5816000000004</v>
      </c>
    </row>
    <row r="198" spans="2:32" x14ac:dyDescent="0.25">
      <c r="B198">
        <f t="shared" si="6"/>
        <v>63</v>
      </c>
      <c r="C198">
        <v>1</v>
      </c>
      <c r="D198">
        <v>1</v>
      </c>
      <c r="E198">
        <v>1</v>
      </c>
      <c r="F198">
        <v>1</v>
      </c>
      <c r="G198">
        <v>1</v>
      </c>
      <c r="J198">
        <f t="shared" si="7"/>
        <v>63</v>
      </c>
      <c r="K198">
        <v>1</v>
      </c>
      <c r="L198">
        <v>1</v>
      </c>
      <c r="M198">
        <v>1</v>
      </c>
      <c r="N198">
        <v>1</v>
      </c>
      <c r="O198">
        <v>1</v>
      </c>
      <c r="R198">
        <f t="shared" si="8"/>
        <v>63</v>
      </c>
      <c r="S198">
        <v>1</v>
      </c>
      <c r="T198">
        <v>1</v>
      </c>
      <c r="U198">
        <v>1</v>
      </c>
      <c r="V198">
        <v>1</v>
      </c>
      <c r="W198">
        <v>1</v>
      </c>
      <c r="AA198">
        <v>-7769.2775000000001</v>
      </c>
      <c r="AB198">
        <v>-7769.2775000000001</v>
      </c>
      <c r="AC198">
        <v>-7769.2775000000001</v>
      </c>
      <c r="AD198">
        <v>-7769.2775000000001</v>
      </c>
      <c r="AE198">
        <v>-7769.2775000000001</v>
      </c>
    </row>
    <row r="199" spans="2:32" x14ac:dyDescent="0.25">
      <c r="B199">
        <f t="shared" si="6"/>
        <v>64</v>
      </c>
      <c r="C199">
        <v>1</v>
      </c>
      <c r="D199">
        <v>1</v>
      </c>
      <c r="E199">
        <v>1</v>
      </c>
      <c r="F199">
        <v>1</v>
      </c>
      <c r="G199">
        <v>1</v>
      </c>
      <c r="J199">
        <f t="shared" si="7"/>
        <v>64</v>
      </c>
      <c r="K199">
        <v>1</v>
      </c>
      <c r="L199">
        <v>1</v>
      </c>
      <c r="M199">
        <v>1</v>
      </c>
      <c r="N199">
        <v>1</v>
      </c>
      <c r="O199">
        <v>1</v>
      </c>
      <c r="R199">
        <f t="shared" si="8"/>
        <v>64</v>
      </c>
      <c r="S199">
        <v>1</v>
      </c>
      <c r="T199">
        <v>1</v>
      </c>
      <c r="U199">
        <v>1</v>
      </c>
      <c r="V199">
        <v>1</v>
      </c>
      <c r="W199">
        <v>1</v>
      </c>
      <c r="AA199">
        <v>-7613.3999000000003</v>
      </c>
      <c r="AB199">
        <v>-7613.3999000000003</v>
      </c>
      <c r="AC199">
        <v>-7613.3999000000003</v>
      </c>
      <c r="AD199">
        <v>-7613.3999000000003</v>
      </c>
      <c r="AE199">
        <v>-7613.3999000000003</v>
      </c>
    </row>
    <row r="200" spans="2:32" x14ac:dyDescent="0.25">
      <c r="B200">
        <f t="shared" si="6"/>
        <v>65</v>
      </c>
      <c r="C200">
        <v>1</v>
      </c>
      <c r="D200">
        <v>1</v>
      </c>
      <c r="E200">
        <v>1</v>
      </c>
      <c r="F200">
        <v>1</v>
      </c>
      <c r="G200">
        <v>1</v>
      </c>
      <c r="J200">
        <f t="shared" si="7"/>
        <v>65</v>
      </c>
      <c r="K200">
        <v>1</v>
      </c>
      <c r="L200">
        <v>1</v>
      </c>
      <c r="M200">
        <v>1</v>
      </c>
      <c r="N200">
        <v>1</v>
      </c>
      <c r="O200">
        <v>1</v>
      </c>
      <c r="R200">
        <f t="shared" si="8"/>
        <v>65</v>
      </c>
      <c r="S200">
        <v>1</v>
      </c>
      <c r="T200">
        <v>1</v>
      </c>
      <c r="U200">
        <v>1</v>
      </c>
      <c r="V200">
        <v>1</v>
      </c>
      <c r="W200">
        <v>1</v>
      </c>
      <c r="AA200">
        <v>-7455.8590000000004</v>
      </c>
      <c r="AB200">
        <v>-7455.8590000000004</v>
      </c>
      <c r="AC200">
        <v>-7455.8590000000004</v>
      </c>
      <c r="AD200">
        <v>-7455.8590000000004</v>
      </c>
      <c r="AE200">
        <v>-7455.8590000000004</v>
      </c>
    </row>
    <row r="203" spans="2:32" x14ac:dyDescent="0.25">
      <c r="B203" t="s">
        <v>46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47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48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2:32" x14ac:dyDescent="0.25">
      <c r="B204">
        <v>26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J204">
        <v>26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R204">
        <v>26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AA204">
        <v>-7435.5060999999996</v>
      </c>
      <c r="AB204">
        <v>-7435.5060999999996</v>
      </c>
      <c r="AC204">
        <v>-7435.5060999999996</v>
      </c>
      <c r="AD204">
        <v>-7435.5060999999996</v>
      </c>
      <c r="AE204">
        <v>-7435.5060999999996</v>
      </c>
      <c r="AF204">
        <v>-7435.5060999999996</v>
      </c>
    </row>
    <row r="205" spans="2:32" x14ac:dyDescent="0.25">
      <c r="B205">
        <v>27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J205">
        <v>27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R205">
        <v>27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AA205">
        <v>-7434.2619000000004</v>
      </c>
      <c r="AB205">
        <v>-7434.2619000000004</v>
      </c>
      <c r="AC205">
        <v>-7434.2619000000004</v>
      </c>
      <c r="AD205">
        <v>-7434.2619000000004</v>
      </c>
      <c r="AE205">
        <v>-7434.2619000000004</v>
      </c>
      <c r="AF205">
        <v>-7434.2619000000004</v>
      </c>
    </row>
    <row r="206" spans="2:32" x14ac:dyDescent="0.25">
      <c r="B206">
        <v>28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J206">
        <v>28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R206">
        <v>28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AA206">
        <v>-7432.8334999999997</v>
      </c>
      <c r="AB206">
        <v>-7432.8334999999997</v>
      </c>
      <c r="AC206">
        <v>-7432.8334999999997</v>
      </c>
      <c r="AD206">
        <v>-7432.8334999999997</v>
      </c>
      <c r="AE206">
        <v>-7432.8334999999997</v>
      </c>
      <c r="AF206">
        <v>-7432.8334999999997</v>
      </c>
    </row>
    <row r="207" spans="2:32" x14ac:dyDescent="0.25">
      <c r="B207">
        <v>29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J207">
        <v>29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R207">
        <v>29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AA207">
        <v>-7431.2058999999999</v>
      </c>
      <c r="AB207">
        <v>-7431.2058999999999</v>
      </c>
      <c r="AC207">
        <v>-7431.2058999999999</v>
      </c>
      <c r="AD207">
        <v>-7431.2058999999999</v>
      </c>
      <c r="AE207">
        <v>-7431.2058999999999</v>
      </c>
      <c r="AF207">
        <v>-7431.2058999999999</v>
      </c>
    </row>
    <row r="208" spans="2:32" x14ac:dyDescent="0.25">
      <c r="B208">
        <v>30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J208">
        <v>30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R208">
        <v>30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AA208">
        <v>-7429.3476000000001</v>
      </c>
      <c r="AB208">
        <v>-7429.3476000000001</v>
      </c>
      <c r="AC208">
        <v>-7429.3476000000001</v>
      </c>
      <c r="AD208">
        <v>-7429.3476000000001</v>
      </c>
      <c r="AE208">
        <v>-7429.3476000000001</v>
      </c>
      <c r="AF208">
        <v>-7429.3476000000001</v>
      </c>
    </row>
    <row r="209" spans="2:32" x14ac:dyDescent="0.25">
      <c r="B209">
        <v>31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J209">
        <v>31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R209">
        <v>31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AA209">
        <v>-7427.2446</v>
      </c>
      <c r="AB209">
        <v>-7427.2446</v>
      </c>
      <c r="AC209">
        <v>-7427.2446</v>
      </c>
      <c r="AD209">
        <v>-7427.2446</v>
      </c>
      <c r="AE209">
        <v>-7427.2446</v>
      </c>
      <c r="AF209">
        <v>-7427.2446</v>
      </c>
    </row>
    <row r="210" spans="2:32" x14ac:dyDescent="0.25">
      <c r="B210">
        <v>32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J210">
        <v>32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R210">
        <v>32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AA210">
        <v>-7424.8944000000001</v>
      </c>
      <c r="AB210">
        <v>-7424.8944000000001</v>
      </c>
      <c r="AC210">
        <v>-7424.8944000000001</v>
      </c>
      <c r="AD210">
        <v>-7424.8944000000001</v>
      </c>
      <c r="AE210">
        <v>-7424.8944000000001</v>
      </c>
      <c r="AF210">
        <v>-7424.8944000000001</v>
      </c>
    </row>
    <row r="211" spans="2:32" x14ac:dyDescent="0.25">
      <c r="B211">
        <v>33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J211">
        <v>33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R211">
        <v>33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AA211">
        <v>-7422.2834000000003</v>
      </c>
      <c r="AB211">
        <v>-7422.2834000000003</v>
      </c>
      <c r="AC211">
        <v>-7422.2834000000003</v>
      </c>
      <c r="AD211">
        <v>-7422.2834000000003</v>
      </c>
      <c r="AE211">
        <v>-7422.2834000000003</v>
      </c>
      <c r="AF211">
        <v>-7422.2834000000003</v>
      </c>
    </row>
    <row r="212" spans="2:32" x14ac:dyDescent="0.25">
      <c r="B212">
        <v>34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J212">
        <v>34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R212">
        <v>34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AA212">
        <v>-7419.3683000000001</v>
      </c>
      <c r="AB212">
        <v>-7419.3683000000001</v>
      </c>
      <c r="AC212">
        <v>-7419.3683000000001</v>
      </c>
      <c r="AD212">
        <v>-7419.3683000000001</v>
      </c>
      <c r="AE212">
        <v>-7419.3683000000001</v>
      </c>
      <c r="AF212">
        <v>-7419.3683000000001</v>
      </c>
    </row>
    <row r="213" spans="2:32" x14ac:dyDescent="0.25">
      <c r="B213">
        <v>35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J213">
        <v>35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R213">
        <v>35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AA213">
        <v>-7416.1363000000001</v>
      </c>
      <c r="AB213">
        <v>-7416.1363000000001</v>
      </c>
      <c r="AC213">
        <v>-7416.1363000000001</v>
      </c>
      <c r="AD213">
        <v>-7416.1363000000001</v>
      </c>
      <c r="AE213">
        <v>-7416.1363000000001</v>
      </c>
      <c r="AF213">
        <v>-7416.1363000000001</v>
      </c>
    </row>
    <row r="214" spans="2:32" x14ac:dyDescent="0.25">
      <c r="B214">
        <v>36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J214">
        <v>36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R214">
        <v>36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AA214">
        <v>-7412.5378000000001</v>
      </c>
      <c r="AB214">
        <v>-7412.5378000000001</v>
      </c>
      <c r="AC214">
        <v>-7412.5378000000001</v>
      </c>
      <c r="AD214">
        <v>-7412.5378000000001</v>
      </c>
      <c r="AE214">
        <v>-7412.5378000000001</v>
      </c>
      <c r="AF214">
        <v>-7412.5378000000001</v>
      </c>
    </row>
    <row r="215" spans="2:32" x14ac:dyDescent="0.25">
      <c r="B215">
        <v>37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J215">
        <v>37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R215">
        <v>37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AA215">
        <v>-7408.55</v>
      </c>
      <c r="AB215">
        <v>-7408.55</v>
      </c>
      <c r="AC215">
        <v>-7408.55</v>
      </c>
      <c r="AD215">
        <v>-7408.55</v>
      </c>
      <c r="AE215">
        <v>-7408.55</v>
      </c>
      <c r="AF215">
        <v>-7408.55</v>
      </c>
    </row>
    <row r="216" spans="2:32" x14ac:dyDescent="0.25">
      <c r="B216">
        <v>38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J216">
        <v>38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R216">
        <v>38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AA216">
        <v>-7404.1752999999999</v>
      </c>
      <c r="AB216">
        <v>-7404.1752999999999</v>
      </c>
      <c r="AC216">
        <v>-7404.1752999999999</v>
      </c>
      <c r="AD216">
        <v>-7404.1752999999999</v>
      </c>
      <c r="AE216">
        <v>-7404.1752999999999</v>
      </c>
      <c r="AF216">
        <v>-7404.1752999999999</v>
      </c>
    </row>
    <row r="217" spans="2:32" x14ac:dyDescent="0.25">
      <c r="B217">
        <v>39</v>
      </c>
      <c r="C217">
        <v>1</v>
      </c>
      <c r="D217">
        <v>1</v>
      </c>
      <c r="E217">
        <v>1</v>
      </c>
      <c r="F217">
        <v>1</v>
      </c>
      <c r="G217">
        <v>1</v>
      </c>
      <c r="H217">
        <v>1</v>
      </c>
      <c r="J217">
        <v>39</v>
      </c>
      <c r="K217">
        <v>1</v>
      </c>
      <c r="L217">
        <v>1</v>
      </c>
      <c r="M217">
        <v>1</v>
      </c>
      <c r="N217">
        <v>1</v>
      </c>
      <c r="O217">
        <v>1</v>
      </c>
      <c r="P217">
        <v>1</v>
      </c>
      <c r="R217">
        <v>39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AA217">
        <v>-7399.3923999999997</v>
      </c>
      <c r="AB217">
        <v>-7399.3923999999997</v>
      </c>
      <c r="AC217">
        <v>-7399.3923999999997</v>
      </c>
      <c r="AD217">
        <v>-7399.3923999999997</v>
      </c>
      <c r="AE217">
        <v>-7399.3923999999997</v>
      </c>
      <c r="AF217">
        <v>-7399.3923999999997</v>
      </c>
    </row>
    <row r="218" spans="2:32" x14ac:dyDescent="0.25">
      <c r="B218">
        <v>40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1</v>
      </c>
      <c r="J218">
        <v>40</v>
      </c>
      <c r="K218">
        <v>1</v>
      </c>
      <c r="L218">
        <v>1</v>
      </c>
      <c r="M218">
        <v>1</v>
      </c>
      <c r="N218">
        <v>1</v>
      </c>
      <c r="O218">
        <v>1</v>
      </c>
      <c r="P218">
        <v>1</v>
      </c>
      <c r="R218">
        <v>40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AA218">
        <v>-7394.1365999999998</v>
      </c>
      <c r="AB218">
        <v>-7394.1365999999998</v>
      </c>
      <c r="AC218">
        <v>-7394.1365999999998</v>
      </c>
      <c r="AD218">
        <v>-7394.1365999999998</v>
      </c>
      <c r="AE218">
        <v>-7394.1365999999998</v>
      </c>
      <c r="AF218">
        <v>-7394.1365999999998</v>
      </c>
    </row>
    <row r="219" spans="2:32" x14ac:dyDescent="0.25">
      <c r="B219">
        <v>41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1</v>
      </c>
      <c r="J219">
        <v>41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R219">
        <v>41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AA219">
        <v>-7388.3469999999998</v>
      </c>
      <c r="AB219">
        <v>-7388.3469999999998</v>
      </c>
      <c r="AC219">
        <v>-7388.3469999999998</v>
      </c>
      <c r="AD219">
        <v>-7388.3469999999998</v>
      </c>
      <c r="AE219">
        <v>-7388.3469999999998</v>
      </c>
      <c r="AF219">
        <v>-7388.3469999999998</v>
      </c>
    </row>
    <row r="220" spans="2:32" x14ac:dyDescent="0.25">
      <c r="B220">
        <v>42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J220">
        <v>42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R220">
        <v>42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AA220">
        <v>-7381.9919</v>
      </c>
      <c r="AB220">
        <v>-7381.9919</v>
      </c>
      <c r="AC220">
        <v>-7381.9919</v>
      </c>
      <c r="AD220">
        <v>-7381.9919</v>
      </c>
      <c r="AE220">
        <v>-7381.9919</v>
      </c>
      <c r="AF220">
        <v>-7381.9919</v>
      </c>
    </row>
    <row r="221" spans="2:32" x14ac:dyDescent="0.25">
      <c r="B221">
        <v>43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J221">
        <v>43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R221">
        <v>43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AA221">
        <v>-7374.9579999999996</v>
      </c>
      <c r="AB221">
        <v>-7374.9579999999996</v>
      </c>
      <c r="AC221">
        <v>-7374.9579999999996</v>
      </c>
      <c r="AD221">
        <v>-7374.9579999999996</v>
      </c>
      <c r="AE221">
        <v>-7374.9579999999996</v>
      </c>
      <c r="AF221">
        <v>-7374.9579999999996</v>
      </c>
    </row>
    <row r="222" spans="2:32" x14ac:dyDescent="0.25">
      <c r="B222">
        <v>44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J222">
        <v>44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R222">
        <v>44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AA222">
        <v>-7367.2034999999996</v>
      </c>
      <c r="AB222">
        <v>-7367.2034999999996</v>
      </c>
      <c r="AC222">
        <v>-7367.2034999999996</v>
      </c>
      <c r="AD222">
        <v>-7367.2034999999996</v>
      </c>
      <c r="AE222">
        <v>-7367.2034999999996</v>
      </c>
      <c r="AF222">
        <v>-7367.2034999999996</v>
      </c>
    </row>
    <row r="223" spans="2:32" x14ac:dyDescent="0.25">
      <c r="B223">
        <v>45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J223">
        <v>45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R223">
        <v>45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AA223">
        <v>-7358.6491999999998</v>
      </c>
      <c r="AB223">
        <v>-7358.6491999999998</v>
      </c>
      <c r="AC223">
        <v>-7358.6491999999998</v>
      </c>
      <c r="AD223">
        <v>-7358.6491999999998</v>
      </c>
      <c r="AE223">
        <v>-7358.6491999999998</v>
      </c>
      <c r="AF223">
        <v>-7358.6491999999998</v>
      </c>
    </row>
    <row r="224" spans="2:32" x14ac:dyDescent="0.25">
      <c r="B224">
        <v>46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1</v>
      </c>
      <c r="J224">
        <v>46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R224">
        <v>46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AA224">
        <v>-7349.2232000000004</v>
      </c>
      <c r="AB224">
        <v>-7349.2232000000004</v>
      </c>
      <c r="AC224">
        <v>-7349.2232000000004</v>
      </c>
      <c r="AD224">
        <v>-7349.2232000000004</v>
      </c>
      <c r="AE224">
        <v>-7349.2232000000004</v>
      </c>
      <c r="AF224">
        <v>-7349.2232000000004</v>
      </c>
    </row>
    <row r="225" spans="2:32" x14ac:dyDescent="0.25">
      <c r="B225">
        <v>47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1</v>
      </c>
      <c r="J225">
        <v>47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R225">
        <v>47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AA225">
        <v>-7338.8310000000001</v>
      </c>
      <c r="AB225">
        <v>-7338.8310000000001</v>
      </c>
      <c r="AC225">
        <v>-7338.8310000000001</v>
      </c>
      <c r="AD225">
        <v>-7338.8310000000001</v>
      </c>
      <c r="AE225">
        <v>-7338.8310000000001</v>
      </c>
      <c r="AF225">
        <v>-7338.8310000000001</v>
      </c>
    </row>
    <row r="226" spans="2:32" x14ac:dyDescent="0.25">
      <c r="B226">
        <v>48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J226">
        <v>48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R226">
        <v>48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AA226">
        <v>-7327.4297999999999</v>
      </c>
      <c r="AB226">
        <v>-7327.4297999999999</v>
      </c>
      <c r="AC226">
        <v>-7327.4297999999999</v>
      </c>
      <c r="AD226">
        <v>-7327.4297999999999</v>
      </c>
      <c r="AE226">
        <v>-7327.4297999999999</v>
      </c>
      <c r="AF226">
        <v>-7327.4297999999999</v>
      </c>
    </row>
    <row r="227" spans="2:32" x14ac:dyDescent="0.25">
      <c r="B227">
        <v>49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J227">
        <v>49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R227">
        <v>49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AA227">
        <v>-7314.951</v>
      </c>
      <c r="AB227">
        <v>-7314.951</v>
      </c>
      <c r="AC227">
        <v>-7314.951</v>
      </c>
      <c r="AD227">
        <v>-7314.951</v>
      </c>
      <c r="AE227">
        <v>-7314.951</v>
      </c>
      <c r="AF227">
        <v>-7314.951</v>
      </c>
    </row>
    <row r="228" spans="2:32" x14ac:dyDescent="0.25">
      <c r="B228">
        <v>50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1</v>
      </c>
      <c r="J228">
        <v>50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R228">
        <v>50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AA228">
        <v>-7301.2851000000001</v>
      </c>
      <c r="AB228">
        <v>-7301.2851000000001</v>
      </c>
      <c r="AC228">
        <v>-7301.2851000000001</v>
      </c>
      <c r="AD228">
        <v>-7301.2851000000001</v>
      </c>
      <c r="AE228">
        <v>-7301.2851000000001</v>
      </c>
      <c r="AF228">
        <v>-7301.2851000000001</v>
      </c>
    </row>
    <row r="229" spans="2:32" x14ac:dyDescent="0.25">
      <c r="B229">
        <v>51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J229">
        <v>51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R229">
        <v>51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AA229">
        <v>-7286.3271000000004</v>
      </c>
      <c r="AB229">
        <v>-7286.3271000000004</v>
      </c>
      <c r="AC229">
        <v>-7286.3271000000004</v>
      </c>
      <c r="AD229">
        <v>-7286.3271000000004</v>
      </c>
      <c r="AE229">
        <v>-7286.3271000000004</v>
      </c>
      <c r="AF229">
        <v>-7286.3271000000004</v>
      </c>
    </row>
    <row r="230" spans="2:32" x14ac:dyDescent="0.25">
      <c r="B230">
        <v>52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1</v>
      </c>
      <c r="J230">
        <v>52</v>
      </c>
      <c r="K230">
        <v>1</v>
      </c>
      <c r="L230">
        <v>1</v>
      </c>
      <c r="M230">
        <v>1</v>
      </c>
      <c r="N230">
        <v>1</v>
      </c>
      <c r="O230">
        <v>1</v>
      </c>
      <c r="P230">
        <v>1</v>
      </c>
      <c r="R230">
        <v>52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AA230">
        <v>-7269.9448000000002</v>
      </c>
      <c r="AB230">
        <v>-7269.9448000000002</v>
      </c>
      <c r="AC230">
        <v>-7269.9448000000002</v>
      </c>
      <c r="AD230">
        <v>-7269.9448000000002</v>
      </c>
      <c r="AE230">
        <v>-7269.9448000000002</v>
      </c>
      <c r="AF230">
        <v>-7269.9448000000002</v>
      </c>
    </row>
    <row r="231" spans="2:32" x14ac:dyDescent="0.25">
      <c r="B231">
        <v>53</v>
      </c>
      <c r="C231">
        <v>1</v>
      </c>
      <c r="D231">
        <v>1</v>
      </c>
      <c r="E231">
        <v>1</v>
      </c>
      <c r="F231">
        <v>1</v>
      </c>
      <c r="G231">
        <v>1</v>
      </c>
      <c r="H231">
        <v>1</v>
      </c>
      <c r="J231">
        <v>53</v>
      </c>
      <c r="K231">
        <v>1</v>
      </c>
      <c r="L231">
        <v>1</v>
      </c>
      <c r="M231">
        <v>1</v>
      </c>
      <c r="N231">
        <v>1</v>
      </c>
      <c r="O231">
        <v>1</v>
      </c>
      <c r="P231">
        <v>1</v>
      </c>
      <c r="R231">
        <v>53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AA231">
        <v>-7252.0574999999999</v>
      </c>
      <c r="AB231">
        <v>-7252.0574999999999</v>
      </c>
      <c r="AC231">
        <v>-7252.0574999999999</v>
      </c>
      <c r="AD231">
        <v>-7252.0574999999999</v>
      </c>
      <c r="AE231">
        <v>-7252.0574999999999</v>
      </c>
      <c r="AF231">
        <v>-7252.0574999999999</v>
      </c>
    </row>
    <row r="232" spans="2:32" x14ac:dyDescent="0.25">
      <c r="B232">
        <v>54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J232">
        <v>54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R232">
        <v>54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AA232">
        <v>-7232.5680000000002</v>
      </c>
      <c r="AB232">
        <v>-7232.5680000000002</v>
      </c>
      <c r="AC232">
        <v>-7232.5680000000002</v>
      </c>
      <c r="AD232">
        <v>-7232.5680000000002</v>
      </c>
      <c r="AE232">
        <v>-7232.5680000000002</v>
      </c>
      <c r="AF232">
        <v>-7232.5680000000002</v>
      </c>
    </row>
    <row r="233" spans="2:32" x14ac:dyDescent="0.25">
      <c r="B233">
        <v>55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J233">
        <v>55</v>
      </c>
      <c r="K233">
        <v>1</v>
      </c>
      <c r="L233">
        <v>1</v>
      </c>
      <c r="M233">
        <v>1</v>
      </c>
      <c r="N233">
        <v>1</v>
      </c>
      <c r="O233">
        <v>1</v>
      </c>
      <c r="P233">
        <v>1</v>
      </c>
      <c r="R233">
        <v>55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AA233">
        <v>-7211.3207000000002</v>
      </c>
      <c r="AB233">
        <v>-7211.3207000000002</v>
      </c>
      <c r="AC233">
        <v>-7211.3207000000002</v>
      </c>
      <c r="AD233">
        <v>-7211.3207000000002</v>
      </c>
      <c r="AE233">
        <v>-7211.3207000000002</v>
      </c>
      <c r="AF233">
        <v>-7211.3207000000002</v>
      </c>
    </row>
    <row r="236" spans="2:32" x14ac:dyDescent="0.25">
      <c r="B236" t="s">
        <v>46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32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48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2:32" x14ac:dyDescent="0.25">
      <c r="B237">
        <v>35</v>
      </c>
      <c r="C237">
        <v>1</v>
      </c>
      <c r="D237">
        <v>1</v>
      </c>
      <c r="E237">
        <v>1</v>
      </c>
      <c r="F237">
        <v>1</v>
      </c>
      <c r="G237">
        <v>1</v>
      </c>
      <c r="J237">
        <v>35</v>
      </c>
      <c r="K237">
        <v>1</v>
      </c>
      <c r="L237">
        <v>1</v>
      </c>
      <c r="M237">
        <v>1</v>
      </c>
      <c r="N237">
        <v>1</v>
      </c>
      <c r="O237">
        <v>1</v>
      </c>
      <c r="R237">
        <v>35</v>
      </c>
      <c r="S237">
        <v>1</v>
      </c>
      <c r="T237">
        <v>1</v>
      </c>
      <c r="U237">
        <v>1</v>
      </c>
      <c r="V237">
        <v>1</v>
      </c>
      <c r="W237">
        <v>1</v>
      </c>
      <c r="AA237">
        <v>-11308.6893</v>
      </c>
      <c r="AB237">
        <v>-11308.6893</v>
      </c>
      <c r="AC237">
        <v>-11308.6893</v>
      </c>
      <c r="AD237">
        <v>-11308.6893</v>
      </c>
      <c r="AE237">
        <v>-11308.6893</v>
      </c>
    </row>
    <row r="238" spans="2:32" x14ac:dyDescent="0.25">
      <c r="B238">
        <f t="shared" ref="B238:B267" si="9">B237+1</f>
        <v>36</v>
      </c>
      <c r="C238">
        <v>1</v>
      </c>
      <c r="D238">
        <v>1</v>
      </c>
      <c r="E238">
        <v>1</v>
      </c>
      <c r="F238">
        <v>1</v>
      </c>
      <c r="G238">
        <v>1</v>
      </c>
      <c r="J238">
        <f t="shared" ref="J238:J267" si="10">J237+1</f>
        <v>36</v>
      </c>
      <c r="K238">
        <v>1</v>
      </c>
      <c r="L238">
        <v>1</v>
      </c>
      <c r="M238">
        <v>1</v>
      </c>
      <c r="N238">
        <v>1</v>
      </c>
      <c r="O238">
        <v>1</v>
      </c>
      <c r="R238">
        <f t="shared" ref="R238:R267" si="11">R237+1</f>
        <v>36</v>
      </c>
      <c r="S238">
        <v>1</v>
      </c>
      <c r="T238">
        <v>1</v>
      </c>
      <c r="U238">
        <v>1</v>
      </c>
      <c r="V238">
        <v>1</v>
      </c>
      <c r="W238">
        <v>1</v>
      </c>
      <c r="AA238">
        <v>-11214.2592</v>
      </c>
      <c r="AB238">
        <v>-11214.2592</v>
      </c>
      <c r="AC238">
        <v>-11214.2592</v>
      </c>
      <c r="AD238">
        <v>-11214.2592</v>
      </c>
      <c r="AE238">
        <v>-11214.2592</v>
      </c>
    </row>
    <row r="239" spans="2:32" x14ac:dyDescent="0.25">
      <c r="B239">
        <f t="shared" si="9"/>
        <v>37</v>
      </c>
      <c r="C239">
        <v>1</v>
      </c>
      <c r="D239">
        <v>1</v>
      </c>
      <c r="E239">
        <v>1</v>
      </c>
      <c r="F239">
        <v>1</v>
      </c>
      <c r="G239">
        <v>1</v>
      </c>
      <c r="J239">
        <f t="shared" si="10"/>
        <v>37</v>
      </c>
      <c r="K239">
        <v>1</v>
      </c>
      <c r="L239">
        <v>1</v>
      </c>
      <c r="M239">
        <v>1</v>
      </c>
      <c r="N239">
        <v>1</v>
      </c>
      <c r="O239">
        <v>1</v>
      </c>
      <c r="R239">
        <f t="shared" si="11"/>
        <v>37</v>
      </c>
      <c r="S239">
        <v>1</v>
      </c>
      <c r="T239">
        <v>1</v>
      </c>
      <c r="U239">
        <v>1</v>
      </c>
      <c r="V239">
        <v>1</v>
      </c>
      <c r="W239">
        <v>1</v>
      </c>
      <c r="AA239">
        <v>-11117.406199999999</v>
      </c>
      <c r="AB239">
        <v>-11117.406199999999</v>
      </c>
      <c r="AC239">
        <v>-11117.406199999999</v>
      </c>
      <c r="AD239">
        <v>-11117.406199999999</v>
      </c>
      <c r="AE239">
        <v>-11117.406199999999</v>
      </c>
    </row>
    <row r="240" spans="2:32" x14ac:dyDescent="0.25">
      <c r="B240">
        <f t="shared" si="9"/>
        <v>38</v>
      </c>
      <c r="C240">
        <v>1</v>
      </c>
      <c r="D240">
        <v>1</v>
      </c>
      <c r="E240">
        <v>1</v>
      </c>
      <c r="F240">
        <v>1</v>
      </c>
      <c r="G240">
        <v>1</v>
      </c>
      <c r="J240">
        <f t="shared" si="10"/>
        <v>38</v>
      </c>
      <c r="K240">
        <v>1</v>
      </c>
      <c r="L240">
        <v>1</v>
      </c>
      <c r="M240">
        <v>1</v>
      </c>
      <c r="N240">
        <v>1</v>
      </c>
      <c r="O240">
        <v>1</v>
      </c>
      <c r="R240">
        <f t="shared" si="11"/>
        <v>38</v>
      </c>
      <c r="S240">
        <v>1</v>
      </c>
      <c r="T240">
        <v>1</v>
      </c>
      <c r="U240">
        <v>1</v>
      </c>
      <c r="V240">
        <v>1</v>
      </c>
      <c r="W240">
        <v>1</v>
      </c>
      <c r="AA240">
        <v>-11018.229799999999</v>
      </c>
      <c r="AB240">
        <v>-11018.229799999999</v>
      </c>
      <c r="AC240">
        <v>-11018.229799999999</v>
      </c>
      <c r="AD240">
        <v>-11018.229799999999</v>
      </c>
      <c r="AE240">
        <v>-11018.229799999999</v>
      </c>
    </row>
    <row r="241" spans="2:31" x14ac:dyDescent="0.25">
      <c r="B241">
        <f t="shared" si="9"/>
        <v>39</v>
      </c>
      <c r="C241">
        <v>1</v>
      </c>
      <c r="D241">
        <v>1</v>
      </c>
      <c r="E241">
        <v>1</v>
      </c>
      <c r="F241">
        <v>1</v>
      </c>
      <c r="G241">
        <v>1</v>
      </c>
      <c r="J241">
        <f t="shared" si="10"/>
        <v>39</v>
      </c>
      <c r="K241">
        <v>1</v>
      </c>
      <c r="L241">
        <v>1</v>
      </c>
      <c r="M241">
        <v>1</v>
      </c>
      <c r="N241">
        <v>1</v>
      </c>
      <c r="O241">
        <v>1</v>
      </c>
      <c r="R241">
        <f t="shared" si="11"/>
        <v>39</v>
      </c>
      <c r="S241">
        <v>1</v>
      </c>
      <c r="T241">
        <v>1</v>
      </c>
      <c r="U241">
        <v>1</v>
      </c>
      <c r="V241">
        <v>1</v>
      </c>
      <c r="W241">
        <v>1</v>
      </c>
      <c r="AA241">
        <v>-10916.737999999999</v>
      </c>
      <c r="AB241">
        <v>-10916.737999999999</v>
      </c>
      <c r="AC241">
        <v>-10916.737999999999</v>
      </c>
      <c r="AD241">
        <v>-10916.737999999999</v>
      </c>
      <c r="AE241">
        <v>-10916.737999999999</v>
      </c>
    </row>
    <row r="242" spans="2:31" x14ac:dyDescent="0.25">
      <c r="B242">
        <f t="shared" si="9"/>
        <v>40</v>
      </c>
      <c r="C242">
        <v>1</v>
      </c>
      <c r="D242">
        <v>1</v>
      </c>
      <c r="E242">
        <v>1</v>
      </c>
      <c r="F242">
        <v>1</v>
      </c>
      <c r="G242">
        <v>1</v>
      </c>
      <c r="J242">
        <f t="shared" si="10"/>
        <v>40</v>
      </c>
      <c r="K242">
        <v>1</v>
      </c>
      <c r="L242">
        <v>1</v>
      </c>
      <c r="M242">
        <v>1</v>
      </c>
      <c r="N242">
        <v>1</v>
      </c>
      <c r="O242">
        <v>1</v>
      </c>
      <c r="R242">
        <f t="shared" si="11"/>
        <v>40</v>
      </c>
      <c r="S242">
        <v>1</v>
      </c>
      <c r="T242">
        <v>1</v>
      </c>
      <c r="U242">
        <v>1</v>
      </c>
      <c r="V242">
        <v>1</v>
      </c>
      <c r="W242">
        <v>1</v>
      </c>
      <c r="AA242">
        <v>-10812.8714</v>
      </c>
      <c r="AB242">
        <v>-10812.8714</v>
      </c>
      <c r="AC242">
        <v>-10812.8714</v>
      </c>
      <c r="AD242">
        <v>-10812.8714</v>
      </c>
      <c r="AE242">
        <v>-10812.8714</v>
      </c>
    </row>
    <row r="243" spans="2:31" x14ac:dyDescent="0.25">
      <c r="B243">
        <f t="shared" si="9"/>
        <v>41</v>
      </c>
      <c r="C243">
        <v>1</v>
      </c>
      <c r="D243">
        <v>1</v>
      </c>
      <c r="E243">
        <v>1</v>
      </c>
      <c r="F243">
        <v>1</v>
      </c>
      <c r="G243">
        <v>1</v>
      </c>
      <c r="J243">
        <f t="shared" si="10"/>
        <v>41</v>
      </c>
      <c r="K243">
        <v>1</v>
      </c>
      <c r="L243">
        <v>1</v>
      </c>
      <c r="M243">
        <v>1</v>
      </c>
      <c r="N243">
        <v>1</v>
      </c>
      <c r="O243">
        <v>1</v>
      </c>
      <c r="R243">
        <f t="shared" si="11"/>
        <v>41</v>
      </c>
      <c r="S243">
        <v>1</v>
      </c>
      <c r="T243">
        <v>1</v>
      </c>
      <c r="U243">
        <v>1</v>
      </c>
      <c r="V243">
        <v>1</v>
      </c>
      <c r="W243">
        <v>1</v>
      </c>
      <c r="AA243">
        <v>-10706.559600000001</v>
      </c>
      <c r="AB243">
        <v>-10706.559600000001</v>
      </c>
      <c r="AC243">
        <v>-10706.559600000001</v>
      </c>
      <c r="AD243">
        <v>-10706.559600000001</v>
      </c>
      <c r="AE243">
        <v>-10706.559600000001</v>
      </c>
    </row>
    <row r="244" spans="2:31" x14ac:dyDescent="0.25">
      <c r="B244">
        <f t="shared" si="9"/>
        <v>42</v>
      </c>
      <c r="C244">
        <v>1</v>
      </c>
      <c r="D244">
        <v>1</v>
      </c>
      <c r="E244">
        <v>1</v>
      </c>
      <c r="F244">
        <v>1</v>
      </c>
      <c r="G244">
        <v>1</v>
      </c>
      <c r="J244">
        <f t="shared" si="10"/>
        <v>42</v>
      </c>
      <c r="K244">
        <v>1</v>
      </c>
      <c r="L244">
        <v>1</v>
      </c>
      <c r="M244">
        <v>1</v>
      </c>
      <c r="N244">
        <v>1</v>
      </c>
      <c r="O244">
        <v>1</v>
      </c>
      <c r="R244">
        <f t="shared" si="11"/>
        <v>42</v>
      </c>
      <c r="S244">
        <v>1</v>
      </c>
      <c r="T244">
        <v>1</v>
      </c>
      <c r="U244">
        <v>1</v>
      </c>
      <c r="V244">
        <v>1</v>
      </c>
      <c r="W244">
        <v>1</v>
      </c>
      <c r="AA244">
        <v>-10597.8485</v>
      </c>
      <c r="AB244">
        <v>-10597.8485</v>
      </c>
      <c r="AC244">
        <v>-10597.8485</v>
      </c>
      <c r="AD244">
        <v>-10597.8485</v>
      </c>
      <c r="AE244">
        <v>-10597.8485</v>
      </c>
    </row>
    <row r="245" spans="2:31" x14ac:dyDescent="0.25">
      <c r="B245">
        <f t="shared" si="9"/>
        <v>43</v>
      </c>
      <c r="C245">
        <v>1</v>
      </c>
      <c r="D245">
        <v>1</v>
      </c>
      <c r="E245">
        <v>1</v>
      </c>
      <c r="F245">
        <v>1</v>
      </c>
      <c r="G245">
        <v>1</v>
      </c>
      <c r="J245">
        <f t="shared" si="10"/>
        <v>43</v>
      </c>
      <c r="K245">
        <v>1</v>
      </c>
      <c r="L245">
        <v>1</v>
      </c>
      <c r="M245">
        <v>1</v>
      </c>
      <c r="N245">
        <v>1</v>
      </c>
      <c r="O245">
        <v>1</v>
      </c>
      <c r="R245">
        <f t="shared" si="11"/>
        <v>43</v>
      </c>
      <c r="S245">
        <v>1</v>
      </c>
      <c r="T245">
        <v>1</v>
      </c>
      <c r="U245">
        <v>1</v>
      </c>
      <c r="V245">
        <v>1</v>
      </c>
      <c r="W245">
        <v>1</v>
      </c>
      <c r="AA245">
        <v>-10486.615400000001</v>
      </c>
      <c r="AB245">
        <v>-10486.615400000001</v>
      </c>
      <c r="AC245">
        <v>-10486.615400000001</v>
      </c>
      <c r="AD245">
        <v>-10486.615400000001</v>
      </c>
      <c r="AE245">
        <v>-10486.615400000001</v>
      </c>
    </row>
    <row r="246" spans="2:31" x14ac:dyDescent="0.25">
      <c r="B246">
        <f t="shared" si="9"/>
        <v>44</v>
      </c>
      <c r="C246">
        <v>1</v>
      </c>
      <c r="D246">
        <v>1</v>
      </c>
      <c r="E246">
        <v>1</v>
      </c>
      <c r="F246">
        <v>1</v>
      </c>
      <c r="G246">
        <v>1</v>
      </c>
      <c r="J246">
        <f t="shared" si="10"/>
        <v>44</v>
      </c>
      <c r="K246">
        <v>1</v>
      </c>
      <c r="L246">
        <v>1</v>
      </c>
      <c r="M246">
        <v>1</v>
      </c>
      <c r="N246">
        <v>1</v>
      </c>
      <c r="O246">
        <v>1</v>
      </c>
      <c r="R246">
        <f t="shared" si="11"/>
        <v>44</v>
      </c>
      <c r="S246">
        <v>1</v>
      </c>
      <c r="T246">
        <v>1</v>
      </c>
      <c r="U246">
        <v>1</v>
      </c>
      <c r="V246">
        <v>1</v>
      </c>
      <c r="W246">
        <v>1</v>
      </c>
      <c r="AA246">
        <v>-10372.9005</v>
      </c>
      <c r="AB246">
        <v>-10372.9005</v>
      </c>
      <c r="AC246">
        <v>-10372.9005</v>
      </c>
      <c r="AD246">
        <v>-10372.9005</v>
      </c>
      <c r="AE246">
        <v>-10372.9005</v>
      </c>
    </row>
    <row r="247" spans="2:31" x14ac:dyDescent="0.25">
      <c r="B247">
        <f t="shared" si="9"/>
        <v>45</v>
      </c>
      <c r="C247">
        <v>1</v>
      </c>
      <c r="D247">
        <v>1</v>
      </c>
      <c r="E247">
        <v>1</v>
      </c>
      <c r="F247">
        <v>1</v>
      </c>
      <c r="G247">
        <v>1</v>
      </c>
      <c r="J247">
        <f t="shared" si="10"/>
        <v>45</v>
      </c>
      <c r="K247">
        <v>1</v>
      </c>
      <c r="L247">
        <v>1</v>
      </c>
      <c r="M247">
        <v>1</v>
      </c>
      <c r="N247">
        <v>1</v>
      </c>
      <c r="O247">
        <v>1</v>
      </c>
      <c r="R247">
        <f t="shared" si="11"/>
        <v>45</v>
      </c>
      <c r="S247">
        <v>1</v>
      </c>
      <c r="T247">
        <v>1</v>
      </c>
      <c r="U247">
        <v>1</v>
      </c>
      <c r="V247">
        <v>1</v>
      </c>
      <c r="W247">
        <v>1</v>
      </c>
      <c r="AA247">
        <v>-10256.650600000001</v>
      </c>
      <c r="AB247">
        <v>-10256.650600000001</v>
      </c>
      <c r="AC247">
        <v>-10256.650600000001</v>
      </c>
      <c r="AD247">
        <v>-10256.650600000001</v>
      </c>
      <c r="AE247">
        <v>-10256.650600000001</v>
      </c>
    </row>
    <row r="248" spans="2:31" x14ac:dyDescent="0.25">
      <c r="B248">
        <f t="shared" si="9"/>
        <v>46</v>
      </c>
      <c r="C248">
        <v>1</v>
      </c>
      <c r="D248">
        <v>1</v>
      </c>
      <c r="E248">
        <v>1</v>
      </c>
      <c r="F248">
        <v>1</v>
      </c>
      <c r="G248">
        <v>1</v>
      </c>
      <c r="J248">
        <f t="shared" si="10"/>
        <v>46</v>
      </c>
      <c r="K248">
        <v>1</v>
      </c>
      <c r="L248">
        <v>1</v>
      </c>
      <c r="M248">
        <v>1</v>
      </c>
      <c r="N248">
        <v>1</v>
      </c>
      <c r="O248">
        <v>1</v>
      </c>
      <c r="R248">
        <f t="shared" si="11"/>
        <v>46</v>
      </c>
      <c r="S248">
        <v>1</v>
      </c>
      <c r="T248">
        <v>1</v>
      </c>
      <c r="U248">
        <v>1</v>
      </c>
      <c r="V248">
        <v>1</v>
      </c>
      <c r="W248">
        <v>1</v>
      </c>
      <c r="AA248">
        <v>-10137.871499999999</v>
      </c>
      <c r="AB248">
        <v>-10137.871499999999</v>
      </c>
      <c r="AC248">
        <v>-10137.871499999999</v>
      </c>
      <c r="AD248">
        <v>-10137.871499999999</v>
      </c>
      <c r="AE248">
        <v>-10137.871499999999</v>
      </c>
    </row>
    <row r="249" spans="2:31" x14ac:dyDescent="0.25">
      <c r="B249">
        <f t="shared" si="9"/>
        <v>47</v>
      </c>
      <c r="C249">
        <v>1</v>
      </c>
      <c r="D249">
        <v>1</v>
      </c>
      <c r="E249">
        <v>1</v>
      </c>
      <c r="F249">
        <v>1</v>
      </c>
      <c r="G249">
        <v>1</v>
      </c>
      <c r="J249">
        <f t="shared" si="10"/>
        <v>47</v>
      </c>
      <c r="K249">
        <v>1</v>
      </c>
      <c r="L249">
        <v>1</v>
      </c>
      <c r="M249">
        <v>1</v>
      </c>
      <c r="N249">
        <v>1</v>
      </c>
      <c r="O249">
        <v>1</v>
      </c>
      <c r="R249">
        <f t="shared" si="11"/>
        <v>47</v>
      </c>
      <c r="S249">
        <v>1</v>
      </c>
      <c r="T249">
        <v>1</v>
      </c>
      <c r="U249">
        <v>1</v>
      </c>
      <c r="V249">
        <v>1</v>
      </c>
      <c r="W249">
        <v>1</v>
      </c>
      <c r="AA249">
        <v>-10016.4967</v>
      </c>
      <c r="AB249">
        <v>-10016.4967</v>
      </c>
      <c r="AC249">
        <v>-10016.4967</v>
      </c>
      <c r="AD249">
        <v>-10016.4967</v>
      </c>
      <c r="AE249">
        <v>-10016.4967</v>
      </c>
    </row>
    <row r="250" spans="2:31" x14ac:dyDescent="0.25">
      <c r="B250">
        <f t="shared" si="9"/>
        <v>48</v>
      </c>
      <c r="C250">
        <v>1</v>
      </c>
      <c r="D250">
        <v>1</v>
      </c>
      <c r="E250">
        <v>1</v>
      </c>
      <c r="F250">
        <v>1</v>
      </c>
      <c r="G250">
        <v>1</v>
      </c>
      <c r="J250">
        <f t="shared" si="10"/>
        <v>48</v>
      </c>
      <c r="K250">
        <v>1</v>
      </c>
      <c r="L250">
        <v>1</v>
      </c>
      <c r="M250">
        <v>1</v>
      </c>
      <c r="N250">
        <v>1</v>
      </c>
      <c r="O250">
        <v>1</v>
      </c>
      <c r="R250">
        <f t="shared" si="11"/>
        <v>48</v>
      </c>
      <c r="S250">
        <v>1</v>
      </c>
      <c r="T250">
        <v>1</v>
      </c>
      <c r="U250">
        <v>1</v>
      </c>
      <c r="V250">
        <v>1</v>
      </c>
      <c r="W250">
        <v>1</v>
      </c>
      <c r="AA250">
        <v>-9892.6355000000003</v>
      </c>
      <c r="AB250">
        <v>-9892.6355000000003</v>
      </c>
      <c r="AC250">
        <v>-9892.6355000000003</v>
      </c>
      <c r="AD250">
        <v>-9892.6355000000003</v>
      </c>
      <c r="AE250">
        <v>-9892.6355000000003</v>
      </c>
    </row>
    <row r="251" spans="2:31" x14ac:dyDescent="0.25">
      <c r="B251">
        <f t="shared" si="9"/>
        <v>49</v>
      </c>
      <c r="C251">
        <v>1</v>
      </c>
      <c r="D251">
        <v>1</v>
      </c>
      <c r="E251">
        <v>1</v>
      </c>
      <c r="F251">
        <v>1</v>
      </c>
      <c r="G251">
        <v>1</v>
      </c>
      <c r="J251">
        <f t="shared" si="10"/>
        <v>49</v>
      </c>
      <c r="K251">
        <v>1</v>
      </c>
      <c r="L251">
        <v>1</v>
      </c>
      <c r="M251">
        <v>1</v>
      </c>
      <c r="N251">
        <v>1</v>
      </c>
      <c r="O251">
        <v>1</v>
      </c>
      <c r="R251">
        <f t="shared" si="11"/>
        <v>49</v>
      </c>
      <c r="S251">
        <v>1</v>
      </c>
      <c r="T251">
        <v>1</v>
      </c>
      <c r="U251">
        <v>1</v>
      </c>
      <c r="V251">
        <v>1</v>
      </c>
      <c r="W251">
        <v>1</v>
      </c>
      <c r="AA251">
        <v>-9766.3366999999998</v>
      </c>
      <c r="AB251">
        <v>-9766.3366999999998</v>
      </c>
      <c r="AC251">
        <v>-9766.3366999999998</v>
      </c>
      <c r="AD251">
        <v>-9766.3366999999998</v>
      </c>
      <c r="AE251">
        <v>-9766.3366999999998</v>
      </c>
    </row>
    <row r="252" spans="2:31" x14ac:dyDescent="0.25">
      <c r="B252">
        <f t="shared" si="9"/>
        <v>50</v>
      </c>
      <c r="C252">
        <v>1</v>
      </c>
      <c r="D252">
        <v>1</v>
      </c>
      <c r="E252">
        <v>1</v>
      </c>
      <c r="F252">
        <v>1</v>
      </c>
      <c r="G252">
        <v>1</v>
      </c>
      <c r="J252">
        <f t="shared" si="10"/>
        <v>50</v>
      </c>
      <c r="K252">
        <v>1</v>
      </c>
      <c r="L252">
        <v>1</v>
      </c>
      <c r="M252">
        <v>1</v>
      </c>
      <c r="N252">
        <v>1</v>
      </c>
      <c r="O252">
        <v>1</v>
      </c>
      <c r="R252">
        <f t="shared" si="11"/>
        <v>50</v>
      </c>
      <c r="S252">
        <v>1</v>
      </c>
      <c r="T252">
        <v>1</v>
      </c>
      <c r="U252">
        <v>1</v>
      </c>
      <c r="V252">
        <v>1</v>
      </c>
      <c r="W252">
        <v>1</v>
      </c>
      <c r="AA252">
        <v>-9637.5864000000001</v>
      </c>
      <c r="AB252">
        <v>-9637.5864000000001</v>
      </c>
      <c r="AC252">
        <v>-9637.5864000000001</v>
      </c>
      <c r="AD252">
        <v>-9637.5864000000001</v>
      </c>
      <c r="AE252">
        <v>-9637.5864000000001</v>
      </c>
    </row>
    <row r="253" spans="2:31" x14ac:dyDescent="0.25">
      <c r="B253">
        <f t="shared" si="9"/>
        <v>51</v>
      </c>
      <c r="C253">
        <v>1</v>
      </c>
      <c r="D253">
        <v>1</v>
      </c>
      <c r="E253">
        <v>1</v>
      </c>
      <c r="F253">
        <v>1</v>
      </c>
      <c r="G253">
        <v>1</v>
      </c>
      <c r="J253">
        <f t="shared" si="10"/>
        <v>51</v>
      </c>
      <c r="K253">
        <v>1</v>
      </c>
      <c r="L253">
        <v>1</v>
      </c>
      <c r="M253">
        <v>1</v>
      </c>
      <c r="N253">
        <v>1</v>
      </c>
      <c r="O253">
        <v>1</v>
      </c>
      <c r="R253">
        <f t="shared" si="11"/>
        <v>51</v>
      </c>
      <c r="S253">
        <v>1</v>
      </c>
      <c r="T253">
        <v>1</v>
      </c>
      <c r="U253">
        <v>1</v>
      </c>
      <c r="V253">
        <v>1</v>
      </c>
      <c r="W253">
        <v>1</v>
      </c>
      <c r="AA253">
        <v>-9506.3734000000004</v>
      </c>
      <c r="AB253">
        <v>-9506.3734000000004</v>
      </c>
      <c r="AC253">
        <v>-9506.3734000000004</v>
      </c>
      <c r="AD253">
        <v>-9506.3734000000004</v>
      </c>
      <c r="AE253">
        <v>-9506.3734000000004</v>
      </c>
    </row>
    <row r="254" spans="2:31" x14ac:dyDescent="0.25">
      <c r="B254">
        <f t="shared" si="9"/>
        <v>52</v>
      </c>
      <c r="C254">
        <v>1</v>
      </c>
      <c r="D254">
        <v>1</v>
      </c>
      <c r="E254">
        <v>1</v>
      </c>
      <c r="F254">
        <v>1</v>
      </c>
      <c r="G254">
        <v>1</v>
      </c>
      <c r="J254">
        <f t="shared" si="10"/>
        <v>52</v>
      </c>
      <c r="K254">
        <v>1</v>
      </c>
      <c r="L254">
        <v>1</v>
      </c>
      <c r="M254">
        <v>1</v>
      </c>
      <c r="N254">
        <v>1</v>
      </c>
      <c r="O254">
        <v>1</v>
      </c>
      <c r="R254">
        <f t="shared" si="11"/>
        <v>52</v>
      </c>
      <c r="S254">
        <v>1</v>
      </c>
      <c r="T254">
        <v>1</v>
      </c>
      <c r="U254">
        <v>1</v>
      </c>
      <c r="V254">
        <v>1</v>
      </c>
      <c r="W254">
        <v>1</v>
      </c>
      <c r="AA254">
        <v>-9372.7019</v>
      </c>
      <c r="AB254">
        <v>-9372.7019</v>
      </c>
      <c r="AC254">
        <v>-9372.7019</v>
      </c>
      <c r="AD254">
        <v>-9372.7019</v>
      </c>
      <c r="AE254">
        <v>-9372.7019</v>
      </c>
    </row>
    <row r="255" spans="2:31" x14ac:dyDescent="0.25">
      <c r="B255">
        <f t="shared" si="9"/>
        <v>53</v>
      </c>
      <c r="C255">
        <v>1</v>
      </c>
      <c r="D255">
        <v>1</v>
      </c>
      <c r="E255">
        <v>1</v>
      </c>
      <c r="F255">
        <v>1</v>
      </c>
      <c r="G255">
        <v>1</v>
      </c>
      <c r="J255">
        <f t="shared" si="10"/>
        <v>53</v>
      </c>
      <c r="K255">
        <v>1</v>
      </c>
      <c r="L255">
        <v>1</v>
      </c>
      <c r="M255">
        <v>1</v>
      </c>
      <c r="N255">
        <v>1</v>
      </c>
      <c r="O255">
        <v>1</v>
      </c>
      <c r="R255">
        <f t="shared" si="11"/>
        <v>53</v>
      </c>
      <c r="S255">
        <v>1</v>
      </c>
      <c r="T255">
        <v>1</v>
      </c>
      <c r="U255">
        <v>1</v>
      </c>
      <c r="V255">
        <v>1</v>
      </c>
      <c r="W255">
        <v>1</v>
      </c>
      <c r="AA255">
        <v>-9236.6705000000002</v>
      </c>
      <c r="AB255">
        <v>-9236.6705000000002</v>
      </c>
      <c r="AC255">
        <v>-9236.6705000000002</v>
      </c>
      <c r="AD255">
        <v>-9236.6705000000002</v>
      </c>
      <c r="AE255">
        <v>-9236.6705000000002</v>
      </c>
    </row>
    <row r="256" spans="2:31" x14ac:dyDescent="0.25">
      <c r="B256">
        <f t="shared" si="9"/>
        <v>54</v>
      </c>
      <c r="C256">
        <v>1</v>
      </c>
      <c r="D256">
        <v>1</v>
      </c>
      <c r="E256">
        <v>1</v>
      </c>
      <c r="F256">
        <v>1</v>
      </c>
      <c r="G256">
        <v>1</v>
      </c>
      <c r="J256">
        <f t="shared" si="10"/>
        <v>54</v>
      </c>
      <c r="K256">
        <v>1</v>
      </c>
      <c r="L256">
        <v>1</v>
      </c>
      <c r="M256">
        <v>1</v>
      </c>
      <c r="N256">
        <v>1</v>
      </c>
      <c r="O256">
        <v>1</v>
      </c>
      <c r="R256">
        <f t="shared" si="11"/>
        <v>54</v>
      </c>
      <c r="S256">
        <v>1</v>
      </c>
      <c r="T256">
        <v>1</v>
      </c>
      <c r="U256">
        <v>1</v>
      </c>
      <c r="V256">
        <v>1</v>
      </c>
      <c r="W256">
        <v>1</v>
      </c>
      <c r="AA256">
        <v>-9098.4312000000009</v>
      </c>
      <c r="AB256">
        <v>-9098.4312000000009</v>
      </c>
      <c r="AC256">
        <v>-9098.4312000000009</v>
      </c>
      <c r="AD256">
        <v>-9098.4312000000009</v>
      </c>
      <c r="AE256">
        <v>-9098.4312000000009</v>
      </c>
    </row>
    <row r="257" spans="2:32" x14ac:dyDescent="0.25">
      <c r="B257">
        <f t="shared" si="9"/>
        <v>55</v>
      </c>
      <c r="C257">
        <v>1</v>
      </c>
      <c r="D257">
        <v>1</v>
      </c>
      <c r="E257">
        <v>1</v>
      </c>
      <c r="F257">
        <v>1</v>
      </c>
      <c r="G257">
        <v>1</v>
      </c>
      <c r="J257">
        <f t="shared" si="10"/>
        <v>55</v>
      </c>
      <c r="K257">
        <v>1</v>
      </c>
      <c r="L257">
        <v>1</v>
      </c>
      <c r="M257">
        <v>1</v>
      </c>
      <c r="N257">
        <v>1</v>
      </c>
      <c r="O257">
        <v>1</v>
      </c>
      <c r="R257">
        <f t="shared" si="11"/>
        <v>55</v>
      </c>
      <c r="S257">
        <v>1</v>
      </c>
      <c r="T257">
        <v>1</v>
      </c>
      <c r="U257">
        <v>1</v>
      </c>
      <c r="V257">
        <v>1</v>
      </c>
      <c r="W257">
        <v>1</v>
      </c>
      <c r="AA257">
        <v>-8958.0210999999999</v>
      </c>
      <c r="AB257">
        <v>-8958.0210999999999</v>
      </c>
      <c r="AC257">
        <v>-8958.0210999999999</v>
      </c>
      <c r="AD257">
        <v>-8958.0210999999999</v>
      </c>
      <c r="AE257">
        <v>-8958.0210999999999</v>
      </c>
    </row>
    <row r="258" spans="2:32" x14ac:dyDescent="0.25">
      <c r="B258">
        <f t="shared" si="9"/>
        <v>56</v>
      </c>
      <c r="C258">
        <v>1</v>
      </c>
      <c r="D258">
        <v>1</v>
      </c>
      <c r="E258">
        <v>1</v>
      </c>
      <c r="F258">
        <v>1</v>
      </c>
      <c r="G258">
        <v>1</v>
      </c>
      <c r="J258">
        <f t="shared" si="10"/>
        <v>56</v>
      </c>
      <c r="K258">
        <v>1</v>
      </c>
      <c r="L258">
        <v>1</v>
      </c>
      <c r="M258">
        <v>1</v>
      </c>
      <c r="N258">
        <v>1</v>
      </c>
      <c r="O258">
        <v>1</v>
      </c>
      <c r="R258">
        <f t="shared" si="11"/>
        <v>56</v>
      </c>
      <c r="S258">
        <v>1</v>
      </c>
      <c r="T258">
        <v>1</v>
      </c>
      <c r="U258">
        <v>1</v>
      </c>
      <c r="V258">
        <v>1</v>
      </c>
      <c r="W258">
        <v>1</v>
      </c>
      <c r="AA258">
        <v>-8815.6316999999999</v>
      </c>
      <c r="AB258">
        <v>-8815.6316999999999</v>
      </c>
      <c r="AC258">
        <v>-8815.6316999999999</v>
      </c>
      <c r="AD258">
        <v>-8815.6316999999999</v>
      </c>
      <c r="AE258">
        <v>-8815.6316999999999</v>
      </c>
    </row>
    <row r="259" spans="2:32" x14ac:dyDescent="0.25">
      <c r="B259">
        <f t="shared" si="9"/>
        <v>57</v>
      </c>
      <c r="C259">
        <v>1</v>
      </c>
      <c r="D259">
        <v>1</v>
      </c>
      <c r="E259">
        <v>1</v>
      </c>
      <c r="F259">
        <v>1</v>
      </c>
      <c r="G259">
        <v>1</v>
      </c>
      <c r="J259">
        <f t="shared" si="10"/>
        <v>57</v>
      </c>
      <c r="K259">
        <v>1</v>
      </c>
      <c r="L259">
        <v>1</v>
      </c>
      <c r="M259">
        <v>1</v>
      </c>
      <c r="N259">
        <v>1</v>
      </c>
      <c r="O259">
        <v>1</v>
      </c>
      <c r="R259">
        <f t="shared" si="11"/>
        <v>57</v>
      </c>
      <c r="S259">
        <v>1</v>
      </c>
      <c r="T259">
        <v>1</v>
      </c>
      <c r="U259">
        <v>1</v>
      </c>
      <c r="V259">
        <v>1</v>
      </c>
      <c r="W259">
        <v>1</v>
      </c>
      <c r="AA259">
        <v>-8671.3991999999998</v>
      </c>
      <c r="AB259">
        <v>-8671.3991999999998</v>
      </c>
      <c r="AC259">
        <v>-8671.3991999999998</v>
      </c>
      <c r="AD259">
        <v>-8671.3991999999998</v>
      </c>
      <c r="AE259">
        <v>-8671.3991999999998</v>
      </c>
    </row>
    <row r="260" spans="2:32" x14ac:dyDescent="0.25">
      <c r="B260">
        <f t="shared" si="9"/>
        <v>58</v>
      </c>
      <c r="C260">
        <v>1</v>
      </c>
      <c r="D260">
        <v>1</v>
      </c>
      <c r="E260">
        <v>1</v>
      </c>
      <c r="F260">
        <v>1</v>
      </c>
      <c r="G260">
        <v>1</v>
      </c>
      <c r="J260">
        <f t="shared" si="10"/>
        <v>58</v>
      </c>
      <c r="K260">
        <v>1</v>
      </c>
      <c r="L260">
        <v>1</v>
      </c>
      <c r="M260">
        <v>1</v>
      </c>
      <c r="N260">
        <v>1</v>
      </c>
      <c r="O260">
        <v>1</v>
      </c>
      <c r="R260">
        <f t="shared" si="11"/>
        <v>58</v>
      </c>
      <c r="S260">
        <v>1</v>
      </c>
      <c r="T260">
        <v>1</v>
      </c>
      <c r="U260">
        <v>1</v>
      </c>
      <c r="V260">
        <v>1</v>
      </c>
      <c r="W260">
        <v>1</v>
      </c>
      <c r="AA260">
        <v>-8525.2759999999998</v>
      </c>
      <c r="AB260">
        <v>-8525.2759999999998</v>
      </c>
      <c r="AC260">
        <v>-8525.2759999999998</v>
      </c>
      <c r="AD260">
        <v>-8525.2759999999998</v>
      </c>
      <c r="AE260">
        <v>-8525.2759999999998</v>
      </c>
    </row>
    <row r="261" spans="2:32" x14ac:dyDescent="0.25">
      <c r="B261">
        <f t="shared" si="9"/>
        <v>59</v>
      </c>
      <c r="C261">
        <v>1</v>
      </c>
      <c r="D261">
        <v>1</v>
      </c>
      <c r="E261">
        <v>1</v>
      </c>
      <c r="F261">
        <v>1</v>
      </c>
      <c r="G261">
        <v>1</v>
      </c>
      <c r="J261">
        <f t="shared" si="10"/>
        <v>59</v>
      </c>
      <c r="K261">
        <v>1</v>
      </c>
      <c r="L261">
        <v>1</v>
      </c>
      <c r="M261">
        <v>1</v>
      </c>
      <c r="N261">
        <v>1</v>
      </c>
      <c r="O261">
        <v>1</v>
      </c>
      <c r="R261">
        <f t="shared" si="11"/>
        <v>59</v>
      </c>
      <c r="S261">
        <v>1</v>
      </c>
      <c r="T261">
        <v>1</v>
      </c>
      <c r="U261">
        <v>1</v>
      </c>
      <c r="V261">
        <v>1</v>
      </c>
      <c r="W261">
        <v>1</v>
      </c>
      <c r="AA261">
        <v>-8377.2351999999992</v>
      </c>
      <c r="AB261">
        <v>-8377.2351999999992</v>
      </c>
      <c r="AC261">
        <v>-8377.2351999999992</v>
      </c>
      <c r="AD261">
        <v>-8377.2351999999992</v>
      </c>
      <c r="AE261">
        <v>-8377.2351999999992</v>
      </c>
    </row>
    <row r="262" spans="2:32" x14ac:dyDescent="0.25">
      <c r="B262">
        <f t="shared" si="9"/>
        <v>60</v>
      </c>
      <c r="C262">
        <v>1</v>
      </c>
      <c r="D262">
        <v>1</v>
      </c>
      <c r="E262">
        <v>1</v>
      </c>
      <c r="F262">
        <v>1</v>
      </c>
      <c r="G262">
        <v>1</v>
      </c>
      <c r="J262">
        <f t="shared" si="10"/>
        <v>60</v>
      </c>
      <c r="K262">
        <v>1</v>
      </c>
      <c r="L262">
        <v>1</v>
      </c>
      <c r="M262">
        <v>1</v>
      </c>
      <c r="N262">
        <v>1</v>
      </c>
      <c r="O262">
        <v>1</v>
      </c>
      <c r="R262">
        <f t="shared" si="11"/>
        <v>60</v>
      </c>
      <c r="S262">
        <v>1</v>
      </c>
      <c r="T262">
        <v>1</v>
      </c>
      <c r="U262">
        <v>1</v>
      </c>
      <c r="V262">
        <v>1</v>
      </c>
      <c r="W262">
        <v>1</v>
      </c>
      <c r="AA262">
        <v>-8227.3953999999994</v>
      </c>
      <c r="AB262">
        <v>-8227.3953999999994</v>
      </c>
      <c r="AC262">
        <v>-8227.3953999999994</v>
      </c>
      <c r="AD262">
        <v>-8227.3953999999994</v>
      </c>
      <c r="AE262">
        <v>-8227.3953999999994</v>
      </c>
    </row>
    <row r="263" spans="2:32" x14ac:dyDescent="0.25">
      <c r="B263">
        <f t="shared" si="9"/>
        <v>61</v>
      </c>
      <c r="C263">
        <v>1</v>
      </c>
      <c r="D263">
        <v>1</v>
      </c>
      <c r="E263">
        <v>1</v>
      </c>
      <c r="F263">
        <v>1</v>
      </c>
      <c r="G263">
        <v>1</v>
      </c>
      <c r="J263">
        <f t="shared" si="10"/>
        <v>61</v>
      </c>
      <c r="K263">
        <v>1</v>
      </c>
      <c r="L263">
        <v>1</v>
      </c>
      <c r="M263">
        <v>1</v>
      </c>
      <c r="N263">
        <v>1</v>
      </c>
      <c r="O263">
        <v>1</v>
      </c>
      <c r="R263">
        <f t="shared" si="11"/>
        <v>61</v>
      </c>
      <c r="S263">
        <v>1</v>
      </c>
      <c r="T263">
        <v>1</v>
      </c>
      <c r="U263">
        <v>1</v>
      </c>
      <c r="V263">
        <v>1</v>
      </c>
      <c r="W263">
        <v>1</v>
      </c>
      <c r="AA263">
        <v>-8076.1778999999997</v>
      </c>
      <c r="AB263">
        <v>-8076.1778999999997</v>
      </c>
      <c r="AC263">
        <v>-8076.1778999999997</v>
      </c>
      <c r="AD263">
        <v>-8076.1778999999997</v>
      </c>
      <c r="AE263">
        <v>-8076.1778999999997</v>
      </c>
    </row>
    <row r="264" spans="2:32" x14ac:dyDescent="0.25">
      <c r="B264">
        <f t="shared" si="9"/>
        <v>62</v>
      </c>
      <c r="C264">
        <v>1</v>
      </c>
      <c r="D264">
        <v>1</v>
      </c>
      <c r="E264">
        <v>1</v>
      </c>
      <c r="F264">
        <v>1</v>
      </c>
      <c r="G264">
        <v>1</v>
      </c>
      <c r="J264">
        <f t="shared" si="10"/>
        <v>62</v>
      </c>
      <c r="K264">
        <v>1</v>
      </c>
      <c r="L264">
        <v>1</v>
      </c>
      <c r="M264">
        <v>1</v>
      </c>
      <c r="N264">
        <v>1</v>
      </c>
      <c r="O264">
        <v>1</v>
      </c>
      <c r="R264">
        <f t="shared" si="11"/>
        <v>62</v>
      </c>
      <c r="S264">
        <v>1</v>
      </c>
      <c r="T264">
        <v>1</v>
      </c>
      <c r="U264">
        <v>1</v>
      </c>
      <c r="V264">
        <v>1</v>
      </c>
      <c r="W264">
        <v>1</v>
      </c>
      <c r="AA264">
        <v>-7923.5816000000004</v>
      </c>
      <c r="AB264">
        <v>-7923.5816000000004</v>
      </c>
      <c r="AC264">
        <v>-7923.5816000000004</v>
      </c>
      <c r="AD264">
        <v>-7923.5816000000004</v>
      </c>
      <c r="AE264">
        <v>-7923.5816000000004</v>
      </c>
    </row>
    <row r="265" spans="2:32" x14ac:dyDescent="0.25">
      <c r="B265">
        <f t="shared" si="9"/>
        <v>63</v>
      </c>
      <c r="C265">
        <v>1</v>
      </c>
      <c r="D265">
        <v>1</v>
      </c>
      <c r="E265">
        <v>1</v>
      </c>
      <c r="F265">
        <v>1</v>
      </c>
      <c r="G265">
        <v>1</v>
      </c>
      <c r="J265">
        <f t="shared" si="10"/>
        <v>63</v>
      </c>
      <c r="K265">
        <v>1</v>
      </c>
      <c r="L265">
        <v>1</v>
      </c>
      <c r="M265">
        <v>1</v>
      </c>
      <c r="N265">
        <v>1</v>
      </c>
      <c r="O265">
        <v>1</v>
      </c>
      <c r="R265">
        <f t="shared" si="11"/>
        <v>63</v>
      </c>
      <c r="S265">
        <v>1</v>
      </c>
      <c r="T265">
        <v>1</v>
      </c>
      <c r="U265">
        <v>1</v>
      </c>
      <c r="V265">
        <v>1</v>
      </c>
      <c r="W265">
        <v>1</v>
      </c>
      <c r="AA265">
        <v>-7769.2775000000001</v>
      </c>
      <c r="AB265">
        <v>-7769.2775000000001</v>
      </c>
      <c r="AC265">
        <v>-7769.2775000000001</v>
      </c>
      <c r="AD265">
        <v>-7769.2775000000001</v>
      </c>
      <c r="AE265">
        <v>-7769.2775000000001</v>
      </c>
    </row>
    <row r="266" spans="2:32" x14ac:dyDescent="0.25">
      <c r="B266">
        <f t="shared" si="9"/>
        <v>64</v>
      </c>
      <c r="C266">
        <v>1</v>
      </c>
      <c r="D266">
        <v>1</v>
      </c>
      <c r="E266">
        <v>1</v>
      </c>
      <c r="F266">
        <v>1</v>
      </c>
      <c r="G266">
        <v>1</v>
      </c>
      <c r="J266">
        <f t="shared" si="10"/>
        <v>64</v>
      </c>
      <c r="K266">
        <v>1</v>
      </c>
      <c r="L266">
        <v>1</v>
      </c>
      <c r="M266">
        <v>1</v>
      </c>
      <c r="N266">
        <v>1</v>
      </c>
      <c r="O266">
        <v>1</v>
      </c>
      <c r="R266">
        <f t="shared" si="11"/>
        <v>64</v>
      </c>
      <c r="S266">
        <v>1</v>
      </c>
      <c r="T266">
        <v>1</v>
      </c>
      <c r="U266">
        <v>1</v>
      </c>
      <c r="V266">
        <v>1</v>
      </c>
      <c r="W266">
        <v>1</v>
      </c>
      <c r="AA266">
        <v>-7613.3999000000003</v>
      </c>
      <c r="AB266">
        <v>-7613.3999000000003</v>
      </c>
      <c r="AC266">
        <v>-7613.3999000000003</v>
      </c>
      <c r="AD266">
        <v>-7613.3999000000003</v>
      </c>
      <c r="AE266">
        <v>-7613.3999000000003</v>
      </c>
    </row>
    <row r="267" spans="2:32" x14ac:dyDescent="0.25">
      <c r="B267">
        <f t="shared" si="9"/>
        <v>65</v>
      </c>
      <c r="C267">
        <v>1</v>
      </c>
      <c r="D267">
        <v>1</v>
      </c>
      <c r="E267">
        <v>1</v>
      </c>
      <c r="F267">
        <v>1</v>
      </c>
      <c r="G267">
        <v>1</v>
      </c>
      <c r="J267">
        <f t="shared" si="10"/>
        <v>65</v>
      </c>
      <c r="K267">
        <v>1</v>
      </c>
      <c r="L267">
        <v>1</v>
      </c>
      <c r="M267">
        <v>1</v>
      </c>
      <c r="N267">
        <v>1</v>
      </c>
      <c r="O267">
        <v>1</v>
      </c>
      <c r="R267">
        <f t="shared" si="11"/>
        <v>65</v>
      </c>
      <c r="S267">
        <v>1</v>
      </c>
      <c r="T267">
        <v>1</v>
      </c>
      <c r="U267">
        <v>1</v>
      </c>
      <c r="V267">
        <v>1</v>
      </c>
      <c r="W267">
        <v>1</v>
      </c>
      <c r="AA267">
        <v>-7455.8590000000004</v>
      </c>
      <c r="AB267">
        <v>-7455.8590000000004</v>
      </c>
      <c r="AC267">
        <v>-7455.8590000000004</v>
      </c>
      <c r="AD267">
        <v>-7455.8590000000004</v>
      </c>
      <c r="AE267">
        <v>-7455.8590000000004</v>
      </c>
    </row>
    <row r="270" spans="2:32" x14ac:dyDescent="0.25">
      <c r="B270" t="s">
        <v>46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47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48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2:32" x14ac:dyDescent="0.25">
      <c r="B271">
        <v>26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J271">
        <v>26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R271">
        <v>26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AA271">
        <v>-7435.5060999999996</v>
      </c>
      <c r="AB271">
        <v>-7435.5060999999996</v>
      </c>
      <c r="AC271">
        <v>-7435.5060999999996</v>
      </c>
      <c r="AD271">
        <v>-7435.5060999999996</v>
      </c>
      <c r="AE271">
        <v>-7435.5060999999996</v>
      </c>
      <c r="AF271">
        <v>-7435.5060999999996</v>
      </c>
    </row>
    <row r="272" spans="2:32" x14ac:dyDescent="0.25">
      <c r="B272">
        <v>27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J272">
        <v>27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R272">
        <v>27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AA272">
        <v>-7434.2619000000004</v>
      </c>
      <c r="AB272">
        <v>-7434.2619000000004</v>
      </c>
      <c r="AC272">
        <v>-7434.2619000000004</v>
      </c>
      <c r="AD272">
        <v>-7434.2619000000004</v>
      </c>
      <c r="AE272">
        <v>-7434.2619000000004</v>
      </c>
      <c r="AF272">
        <v>-7434.2619000000004</v>
      </c>
    </row>
    <row r="273" spans="2:32" x14ac:dyDescent="0.25">
      <c r="B273">
        <v>28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J273">
        <v>28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R273">
        <v>28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AA273">
        <v>-7432.8334999999997</v>
      </c>
      <c r="AB273">
        <v>-7432.8334999999997</v>
      </c>
      <c r="AC273">
        <v>-7432.8334999999997</v>
      </c>
      <c r="AD273">
        <v>-7432.8334999999997</v>
      </c>
      <c r="AE273">
        <v>-7432.8334999999997</v>
      </c>
      <c r="AF273">
        <v>-7432.8334999999997</v>
      </c>
    </row>
    <row r="274" spans="2:32" x14ac:dyDescent="0.25">
      <c r="B274">
        <v>29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1</v>
      </c>
      <c r="J274">
        <v>29</v>
      </c>
      <c r="K274">
        <v>1</v>
      </c>
      <c r="L274">
        <v>1</v>
      </c>
      <c r="M274">
        <v>1</v>
      </c>
      <c r="N274">
        <v>1</v>
      </c>
      <c r="O274">
        <v>1</v>
      </c>
      <c r="P274">
        <v>1</v>
      </c>
      <c r="R274">
        <v>29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AA274">
        <v>-7431.2058999999999</v>
      </c>
      <c r="AB274">
        <v>-7431.2058999999999</v>
      </c>
      <c r="AC274">
        <v>-7431.2058999999999</v>
      </c>
      <c r="AD274">
        <v>-7431.2058999999999</v>
      </c>
      <c r="AE274">
        <v>-7431.2058999999999</v>
      </c>
      <c r="AF274">
        <v>-7431.2058999999999</v>
      </c>
    </row>
    <row r="275" spans="2:32" x14ac:dyDescent="0.25">
      <c r="B275">
        <v>30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J275">
        <v>30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R275">
        <v>30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AA275">
        <v>-7429.3476000000001</v>
      </c>
      <c r="AB275">
        <v>-7429.3476000000001</v>
      </c>
      <c r="AC275">
        <v>-7429.3476000000001</v>
      </c>
      <c r="AD275">
        <v>-7429.3476000000001</v>
      </c>
      <c r="AE275">
        <v>-7429.3476000000001</v>
      </c>
      <c r="AF275">
        <v>-7429.3476000000001</v>
      </c>
    </row>
    <row r="276" spans="2:32" x14ac:dyDescent="0.25">
      <c r="B276">
        <v>31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J276">
        <v>31</v>
      </c>
      <c r="K276">
        <v>1</v>
      </c>
      <c r="L276">
        <v>1</v>
      </c>
      <c r="M276">
        <v>1</v>
      </c>
      <c r="N276">
        <v>1</v>
      </c>
      <c r="O276">
        <v>1</v>
      </c>
      <c r="P276">
        <v>1</v>
      </c>
      <c r="R276">
        <v>31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AA276">
        <v>-7427.2446</v>
      </c>
      <c r="AB276">
        <v>-7427.2446</v>
      </c>
      <c r="AC276">
        <v>-7427.2446</v>
      </c>
      <c r="AD276">
        <v>-7427.2446</v>
      </c>
      <c r="AE276">
        <v>-7427.2446</v>
      </c>
      <c r="AF276">
        <v>-7427.2446</v>
      </c>
    </row>
    <row r="277" spans="2:32" x14ac:dyDescent="0.25">
      <c r="B277">
        <v>32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J277">
        <v>32</v>
      </c>
      <c r="K277">
        <v>1</v>
      </c>
      <c r="L277">
        <v>1</v>
      </c>
      <c r="M277">
        <v>1</v>
      </c>
      <c r="N277">
        <v>1</v>
      </c>
      <c r="O277">
        <v>1</v>
      </c>
      <c r="P277">
        <v>1</v>
      </c>
      <c r="R277">
        <v>32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AA277">
        <v>-7424.8944000000001</v>
      </c>
      <c r="AB277">
        <v>-7424.8944000000001</v>
      </c>
      <c r="AC277">
        <v>-7424.8944000000001</v>
      </c>
      <c r="AD277">
        <v>-7424.8944000000001</v>
      </c>
      <c r="AE277">
        <v>-7424.8944000000001</v>
      </c>
      <c r="AF277">
        <v>-7424.8944000000001</v>
      </c>
    </row>
    <row r="278" spans="2:32" x14ac:dyDescent="0.25">
      <c r="B278">
        <v>33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J278">
        <v>33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R278">
        <v>33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AA278">
        <v>-7422.2834000000003</v>
      </c>
      <c r="AB278">
        <v>-7422.2834000000003</v>
      </c>
      <c r="AC278">
        <v>-7422.2834000000003</v>
      </c>
      <c r="AD278">
        <v>-7422.2834000000003</v>
      </c>
      <c r="AE278">
        <v>-7422.2834000000003</v>
      </c>
      <c r="AF278">
        <v>-7422.2834000000003</v>
      </c>
    </row>
    <row r="279" spans="2:32" x14ac:dyDescent="0.25">
      <c r="B279">
        <v>34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1</v>
      </c>
      <c r="J279">
        <v>34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R279">
        <v>34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AA279">
        <v>-7419.3683000000001</v>
      </c>
      <c r="AB279">
        <v>-7419.3683000000001</v>
      </c>
      <c r="AC279">
        <v>-7419.3683000000001</v>
      </c>
      <c r="AD279">
        <v>-7419.3683000000001</v>
      </c>
      <c r="AE279">
        <v>-7419.3683000000001</v>
      </c>
      <c r="AF279">
        <v>-7419.3683000000001</v>
      </c>
    </row>
    <row r="280" spans="2:32" x14ac:dyDescent="0.25">
      <c r="B280">
        <v>35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1</v>
      </c>
      <c r="J280">
        <v>35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R280">
        <v>35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AA280">
        <v>-7416.1363000000001</v>
      </c>
      <c r="AB280">
        <v>-7416.1363000000001</v>
      </c>
      <c r="AC280">
        <v>-7416.1363000000001</v>
      </c>
      <c r="AD280">
        <v>-7416.1363000000001</v>
      </c>
      <c r="AE280">
        <v>-7416.1363000000001</v>
      </c>
      <c r="AF280">
        <v>-7416.1363000000001</v>
      </c>
    </row>
    <row r="281" spans="2:32" x14ac:dyDescent="0.25">
      <c r="B281">
        <v>36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J281">
        <v>36</v>
      </c>
      <c r="K281">
        <v>1</v>
      </c>
      <c r="L281">
        <v>1</v>
      </c>
      <c r="M281">
        <v>1</v>
      </c>
      <c r="N281">
        <v>1</v>
      </c>
      <c r="O281">
        <v>1</v>
      </c>
      <c r="P281">
        <v>1</v>
      </c>
      <c r="R281">
        <v>36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AA281">
        <v>-7412.5378000000001</v>
      </c>
      <c r="AB281">
        <v>-7412.5378000000001</v>
      </c>
      <c r="AC281">
        <v>-7412.5378000000001</v>
      </c>
      <c r="AD281">
        <v>-7412.5378000000001</v>
      </c>
      <c r="AE281">
        <v>-7412.5378000000001</v>
      </c>
      <c r="AF281">
        <v>-7412.5378000000001</v>
      </c>
    </row>
    <row r="282" spans="2:32" x14ac:dyDescent="0.25">
      <c r="B282">
        <v>37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J282">
        <v>37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R282">
        <v>37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AA282">
        <v>-7408.55</v>
      </c>
      <c r="AB282">
        <v>-7408.55</v>
      </c>
      <c r="AC282">
        <v>-7408.55</v>
      </c>
      <c r="AD282">
        <v>-7408.55</v>
      </c>
      <c r="AE282">
        <v>-7408.55</v>
      </c>
      <c r="AF282">
        <v>-7408.55</v>
      </c>
    </row>
    <row r="283" spans="2:32" x14ac:dyDescent="0.25">
      <c r="B283">
        <v>38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J283">
        <v>38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R283">
        <v>38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AA283">
        <v>-7404.1752999999999</v>
      </c>
      <c r="AB283">
        <v>-7404.1752999999999</v>
      </c>
      <c r="AC283">
        <v>-7404.1752999999999</v>
      </c>
      <c r="AD283">
        <v>-7404.1752999999999</v>
      </c>
      <c r="AE283">
        <v>-7404.1752999999999</v>
      </c>
      <c r="AF283">
        <v>-7404.1752999999999</v>
      </c>
    </row>
    <row r="284" spans="2:32" x14ac:dyDescent="0.25">
      <c r="B284">
        <v>39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1</v>
      </c>
      <c r="J284">
        <v>39</v>
      </c>
      <c r="K284">
        <v>1</v>
      </c>
      <c r="L284">
        <v>1</v>
      </c>
      <c r="M284">
        <v>1</v>
      </c>
      <c r="N284">
        <v>1</v>
      </c>
      <c r="O284">
        <v>1</v>
      </c>
      <c r="P284">
        <v>1</v>
      </c>
      <c r="R284">
        <v>39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AA284">
        <v>-7399.3923999999997</v>
      </c>
      <c r="AB284">
        <v>-7399.3923999999997</v>
      </c>
      <c r="AC284">
        <v>-7399.3923999999997</v>
      </c>
      <c r="AD284">
        <v>-7399.3923999999997</v>
      </c>
      <c r="AE284">
        <v>-7399.3923999999997</v>
      </c>
      <c r="AF284">
        <v>-7399.3923999999997</v>
      </c>
    </row>
    <row r="285" spans="2:32" x14ac:dyDescent="0.25">
      <c r="B285">
        <v>40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J285">
        <v>40</v>
      </c>
      <c r="K285">
        <v>1</v>
      </c>
      <c r="L285">
        <v>1</v>
      </c>
      <c r="M285">
        <v>1</v>
      </c>
      <c r="N285">
        <v>1</v>
      </c>
      <c r="O285">
        <v>1</v>
      </c>
      <c r="P285">
        <v>1</v>
      </c>
      <c r="R285">
        <v>40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AA285">
        <v>-7394.1365999999998</v>
      </c>
      <c r="AB285">
        <v>-7394.1365999999998</v>
      </c>
      <c r="AC285">
        <v>-7394.1365999999998</v>
      </c>
      <c r="AD285">
        <v>-7394.1365999999998</v>
      </c>
      <c r="AE285">
        <v>-7394.1365999999998</v>
      </c>
      <c r="AF285">
        <v>-7394.1365999999998</v>
      </c>
    </row>
    <row r="286" spans="2:32" x14ac:dyDescent="0.25">
      <c r="B286">
        <v>41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J286">
        <v>41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R286">
        <v>41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AA286">
        <v>-7388.3469999999998</v>
      </c>
      <c r="AB286">
        <v>-7388.3469999999998</v>
      </c>
      <c r="AC286">
        <v>-7388.3469999999998</v>
      </c>
      <c r="AD286">
        <v>-7388.3469999999998</v>
      </c>
      <c r="AE286">
        <v>-7388.3469999999998</v>
      </c>
      <c r="AF286">
        <v>-7388.3469999999998</v>
      </c>
    </row>
    <row r="287" spans="2:32" x14ac:dyDescent="0.25">
      <c r="B287">
        <v>42</v>
      </c>
      <c r="C287">
        <v>1</v>
      </c>
      <c r="D287">
        <v>1</v>
      </c>
      <c r="E287">
        <v>1</v>
      </c>
      <c r="F287">
        <v>1</v>
      </c>
      <c r="G287">
        <v>1</v>
      </c>
      <c r="H287">
        <v>1</v>
      </c>
      <c r="J287">
        <v>42</v>
      </c>
      <c r="K287">
        <v>1</v>
      </c>
      <c r="L287">
        <v>1</v>
      </c>
      <c r="M287">
        <v>1</v>
      </c>
      <c r="N287">
        <v>1</v>
      </c>
      <c r="O287">
        <v>1</v>
      </c>
      <c r="P287">
        <v>1</v>
      </c>
      <c r="R287">
        <v>42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AA287">
        <v>-7381.9919</v>
      </c>
      <c r="AB287">
        <v>-7381.9919</v>
      </c>
      <c r="AC287">
        <v>-7381.9919</v>
      </c>
      <c r="AD287">
        <v>-7381.9919</v>
      </c>
      <c r="AE287">
        <v>-7381.9919</v>
      </c>
      <c r="AF287">
        <v>-7381.9919</v>
      </c>
    </row>
    <row r="288" spans="2:32" x14ac:dyDescent="0.25">
      <c r="B288">
        <v>43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J288">
        <v>43</v>
      </c>
      <c r="K288">
        <v>1</v>
      </c>
      <c r="L288">
        <v>1</v>
      </c>
      <c r="M288">
        <v>1</v>
      </c>
      <c r="N288">
        <v>1</v>
      </c>
      <c r="O288">
        <v>1</v>
      </c>
      <c r="P288">
        <v>1</v>
      </c>
      <c r="R288">
        <v>43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AA288">
        <v>-7374.9579999999996</v>
      </c>
      <c r="AB288">
        <v>-7374.9579999999996</v>
      </c>
      <c r="AC288">
        <v>-7374.9579999999996</v>
      </c>
      <c r="AD288">
        <v>-7374.9579999999996</v>
      </c>
      <c r="AE288">
        <v>-7374.9579999999996</v>
      </c>
      <c r="AF288">
        <v>-7374.9579999999996</v>
      </c>
    </row>
    <row r="289" spans="2:32" x14ac:dyDescent="0.25">
      <c r="B289">
        <v>44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1</v>
      </c>
      <c r="J289">
        <v>44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R289">
        <v>44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AA289">
        <v>-7367.2034999999996</v>
      </c>
      <c r="AB289">
        <v>-7367.2034999999996</v>
      </c>
      <c r="AC289">
        <v>-7367.2034999999996</v>
      </c>
      <c r="AD289">
        <v>-7367.2034999999996</v>
      </c>
      <c r="AE289">
        <v>-7367.2034999999996</v>
      </c>
      <c r="AF289">
        <v>-7367.2034999999996</v>
      </c>
    </row>
    <row r="290" spans="2:32" x14ac:dyDescent="0.25">
      <c r="B290">
        <v>45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J290">
        <v>45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R290">
        <v>45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AA290">
        <v>-7358.6491999999998</v>
      </c>
      <c r="AB290">
        <v>-7358.6491999999998</v>
      </c>
      <c r="AC290">
        <v>-7358.6491999999998</v>
      </c>
      <c r="AD290">
        <v>-7358.6491999999998</v>
      </c>
      <c r="AE290">
        <v>-7358.6491999999998</v>
      </c>
      <c r="AF290">
        <v>-7358.6491999999998</v>
      </c>
    </row>
    <row r="291" spans="2:32" x14ac:dyDescent="0.25">
      <c r="B291">
        <v>46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J291">
        <v>46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R291">
        <v>46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AA291">
        <v>-7349.2232000000004</v>
      </c>
      <c r="AB291">
        <v>-7349.2232000000004</v>
      </c>
      <c r="AC291">
        <v>-7349.2232000000004</v>
      </c>
      <c r="AD291">
        <v>-7349.2232000000004</v>
      </c>
      <c r="AE291">
        <v>-7349.2232000000004</v>
      </c>
      <c r="AF291">
        <v>-7349.2232000000004</v>
      </c>
    </row>
    <row r="292" spans="2:32" x14ac:dyDescent="0.25">
      <c r="B292">
        <v>47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1</v>
      </c>
      <c r="J292">
        <v>47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R292">
        <v>47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AA292">
        <v>-7338.8310000000001</v>
      </c>
      <c r="AB292">
        <v>-7338.8310000000001</v>
      </c>
      <c r="AC292">
        <v>-7338.8310000000001</v>
      </c>
      <c r="AD292">
        <v>-7338.8310000000001</v>
      </c>
      <c r="AE292">
        <v>-7338.8310000000001</v>
      </c>
      <c r="AF292">
        <v>-7338.8310000000001</v>
      </c>
    </row>
    <row r="293" spans="2:32" x14ac:dyDescent="0.25">
      <c r="B293">
        <v>48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J293">
        <v>48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R293">
        <v>48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AA293">
        <v>-7327.4297999999999</v>
      </c>
      <c r="AB293">
        <v>-7327.4297999999999</v>
      </c>
      <c r="AC293">
        <v>-7327.4297999999999</v>
      </c>
      <c r="AD293">
        <v>-7327.4297999999999</v>
      </c>
      <c r="AE293">
        <v>-7327.4297999999999</v>
      </c>
      <c r="AF293">
        <v>-7327.4297999999999</v>
      </c>
    </row>
    <row r="294" spans="2:32" x14ac:dyDescent="0.25">
      <c r="B294">
        <v>49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J294">
        <v>49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R294">
        <v>49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AA294">
        <v>-7314.951</v>
      </c>
      <c r="AB294">
        <v>-7314.951</v>
      </c>
      <c r="AC294">
        <v>-7314.951</v>
      </c>
      <c r="AD294">
        <v>-7314.951</v>
      </c>
      <c r="AE294">
        <v>-7314.951</v>
      </c>
      <c r="AF294">
        <v>-7314.951</v>
      </c>
    </row>
    <row r="295" spans="2:32" x14ac:dyDescent="0.25">
      <c r="B295">
        <v>50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J295">
        <v>50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R295">
        <v>50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AA295">
        <v>-7301.2851000000001</v>
      </c>
      <c r="AB295">
        <v>-7301.2851000000001</v>
      </c>
      <c r="AC295">
        <v>-7301.2851000000001</v>
      </c>
      <c r="AD295">
        <v>-7301.2851000000001</v>
      </c>
      <c r="AE295">
        <v>-7301.2851000000001</v>
      </c>
      <c r="AF295">
        <v>-7301.2851000000001</v>
      </c>
    </row>
    <row r="296" spans="2:32" x14ac:dyDescent="0.25">
      <c r="B296">
        <v>51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J296">
        <v>51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R296">
        <v>51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AA296">
        <v>-7286.3271000000004</v>
      </c>
      <c r="AB296">
        <v>-7286.3271000000004</v>
      </c>
      <c r="AC296">
        <v>-7286.3271000000004</v>
      </c>
      <c r="AD296">
        <v>-7286.3271000000004</v>
      </c>
      <c r="AE296">
        <v>-7286.3271000000004</v>
      </c>
      <c r="AF296">
        <v>-7286.3271000000004</v>
      </c>
    </row>
    <row r="297" spans="2:32" x14ac:dyDescent="0.25">
      <c r="B297">
        <v>52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1</v>
      </c>
      <c r="J297">
        <v>52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1</v>
      </c>
      <c r="R297">
        <v>52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AA297">
        <v>-7269.9448000000002</v>
      </c>
      <c r="AB297">
        <v>-7269.9448000000002</v>
      </c>
      <c r="AC297">
        <v>-7269.9448000000002</v>
      </c>
      <c r="AD297">
        <v>-7269.9448000000002</v>
      </c>
      <c r="AE297">
        <v>-7269.9448000000002</v>
      </c>
      <c r="AF297">
        <v>-7269.9448000000002</v>
      </c>
    </row>
    <row r="298" spans="2:32" x14ac:dyDescent="0.25">
      <c r="B298">
        <v>53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J298">
        <v>53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R298">
        <v>53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AA298">
        <v>-7252.0574999999999</v>
      </c>
      <c r="AB298">
        <v>-7252.0574999999999</v>
      </c>
      <c r="AC298">
        <v>-7252.0574999999999</v>
      </c>
      <c r="AD298">
        <v>-7252.0574999999999</v>
      </c>
      <c r="AE298">
        <v>-7252.0574999999999</v>
      </c>
      <c r="AF298">
        <v>-7252.0574999999999</v>
      </c>
    </row>
    <row r="299" spans="2:32" x14ac:dyDescent="0.25">
      <c r="B299">
        <v>54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J299">
        <v>54</v>
      </c>
      <c r="K299">
        <v>1</v>
      </c>
      <c r="L299">
        <v>1</v>
      </c>
      <c r="M299">
        <v>1</v>
      </c>
      <c r="N299">
        <v>1</v>
      </c>
      <c r="O299">
        <v>1</v>
      </c>
      <c r="P299">
        <v>1</v>
      </c>
      <c r="R299">
        <v>54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AA299">
        <v>-7232.5680000000002</v>
      </c>
      <c r="AB299">
        <v>-7232.5680000000002</v>
      </c>
      <c r="AC299">
        <v>-7232.5680000000002</v>
      </c>
      <c r="AD299">
        <v>-7232.5680000000002</v>
      </c>
      <c r="AE299">
        <v>-7232.5680000000002</v>
      </c>
      <c r="AF299">
        <v>-7232.5680000000002</v>
      </c>
    </row>
    <row r="300" spans="2:32" x14ac:dyDescent="0.25">
      <c r="B300">
        <v>55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J300">
        <v>55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R300">
        <v>55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AA300">
        <v>-7211.3207000000002</v>
      </c>
      <c r="AB300">
        <v>-7211.3207000000002</v>
      </c>
      <c r="AC300">
        <v>-7211.3207000000002</v>
      </c>
      <c r="AD300">
        <v>-7211.3207000000002</v>
      </c>
      <c r="AE300">
        <v>-7211.3207000000002</v>
      </c>
      <c r="AF300">
        <v>-7211.3207000000002</v>
      </c>
    </row>
    <row r="303" spans="2:32" x14ac:dyDescent="0.25">
      <c r="B303" t="s">
        <v>46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32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48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2:32" x14ac:dyDescent="0.25">
      <c r="B304">
        <v>35</v>
      </c>
      <c r="C304">
        <v>1</v>
      </c>
      <c r="D304">
        <v>1</v>
      </c>
      <c r="E304">
        <v>1</v>
      </c>
      <c r="F304">
        <v>1</v>
      </c>
      <c r="G304">
        <v>1</v>
      </c>
      <c r="J304">
        <v>35</v>
      </c>
      <c r="K304">
        <v>1</v>
      </c>
      <c r="L304">
        <v>1</v>
      </c>
      <c r="M304">
        <v>1</v>
      </c>
      <c r="N304">
        <v>1</v>
      </c>
      <c r="O304">
        <v>1</v>
      </c>
      <c r="R304">
        <v>35</v>
      </c>
      <c r="S304">
        <v>1</v>
      </c>
      <c r="T304">
        <v>1</v>
      </c>
      <c r="U304">
        <v>1</v>
      </c>
      <c r="V304">
        <v>1</v>
      </c>
      <c r="W304">
        <v>1</v>
      </c>
      <c r="AA304">
        <v>-11308.6893</v>
      </c>
      <c r="AB304">
        <v>-11308.6893</v>
      </c>
      <c r="AC304">
        <v>-11308.6893</v>
      </c>
      <c r="AD304">
        <v>-11308.6893</v>
      </c>
      <c r="AE304">
        <v>-11308.6893</v>
      </c>
    </row>
    <row r="305" spans="2:31" x14ac:dyDescent="0.25">
      <c r="B305">
        <f t="shared" ref="B305:B334" si="12">B304+1</f>
        <v>36</v>
      </c>
      <c r="C305">
        <v>1</v>
      </c>
      <c r="D305">
        <v>1</v>
      </c>
      <c r="E305">
        <v>1</v>
      </c>
      <c r="F305">
        <v>1</v>
      </c>
      <c r="G305">
        <v>1</v>
      </c>
      <c r="J305">
        <f t="shared" ref="J305:J334" si="13">J304+1</f>
        <v>36</v>
      </c>
      <c r="K305">
        <v>1</v>
      </c>
      <c r="L305">
        <v>1</v>
      </c>
      <c r="M305">
        <v>1</v>
      </c>
      <c r="N305">
        <v>1</v>
      </c>
      <c r="O305">
        <v>1</v>
      </c>
      <c r="R305">
        <f t="shared" ref="R305:R334" si="14">R304+1</f>
        <v>36</v>
      </c>
      <c r="S305">
        <v>1</v>
      </c>
      <c r="T305">
        <v>1</v>
      </c>
      <c r="U305">
        <v>1</v>
      </c>
      <c r="V305">
        <v>1</v>
      </c>
      <c r="W305">
        <v>1</v>
      </c>
      <c r="AA305">
        <v>-11214.2592</v>
      </c>
      <c r="AB305">
        <v>-11214.2592</v>
      </c>
      <c r="AC305">
        <v>-11214.2592</v>
      </c>
      <c r="AD305">
        <v>-11214.2592</v>
      </c>
      <c r="AE305">
        <v>-11214.2592</v>
      </c>
    </row>
    <row r="306" spans="2:31" x14ac:dyDescent="0.25">
      <c r="B306">
        <f t="shared" si="12"/>
        <v>37</v>
      </c>
      <c r="C306">
        <v>1</v>
      </c>
      <c r="D306">
        <v>1</v>
      </c>
      <c r="E306">
        <v>1</v>
      </c>
      <c r="F306">
        <v>1</v>
      </c>
      <c r="G306">
        <v>1</v>
      </c>
      <c r="J306">
        <f t="shared" si="13"/>
        <v>37</v>
      </c>
      <c r="K306">
        <v>1</v>
      </c>
      <c r="L306">
        <v>1</v>
      </c>
      <c r="M306">
        <v>1</v>
      </c>
      <c r="N306">
        <v>1</v>
      </c>
      <c r="O306">
        <v>1</v>
      </c>
      <c r="R306">
        <f t="shared" si="14"/>
        <v>37</v>
      </c>
      <c r="S306">
        <v>1</v>
      </c>
      <c r="T306">
        <v>1</v>
      </c>
      <c r="U306">
        <v>1</v>
      </c>
      <c r="V306">
        <v>1</v>
      </c>
      <c r="W306">
        <v>1</v>
      </c>
      <c r="AA306">
        <v>-11117.406199999999</v>
      </c>
      <c r="AB306">
        <v>-11117.406199999999</v>
      </c>
      <c r="AC306">
        <v>-11117.406199999999</v>
      </c>
      <c r="AD306">
        <v>-11117.406199999999</v>
      </c>
      <c r="AE306">
        <v>-11117.406199999999</v>
      </c>
    </row>
    <row r="307" spans="2:31" x14ac:dyDescent="0.25">
      <c r="B307">
        <f t="shared" si="12"/>
        <v>38</v>
      </c>
      <c r="C307">
        <v>1</v>
      </c>
      <c r="D307">
        <v>1</v>
      </c>
      <c r="E307">
        <v>1</v>
      </c>
      <c r="F307">
        <v>1</v>
      </c>
      <c r="G307">
        <v>1</v>
      </c>
      <c r="J307">
        <f t="shared" si="13"/>
        <v>38</v>
      </c>
      <c r="K307">
        <v>1</v>
      </c>
      <c r="L307">
        <v>1</v>
      </c>
      <c r="M307">
        <v>1</v>
      </c>
      <c r="N307">
        <v>1</v>
      </c>
      <c r="O307">
        <v>1</v>
      </c>
      <c r="R307">
        <f t="shared" si="14"/>
        <v>38</v>
      </c>
      <c r="S307">
        <v>1</v>
      </c>
      <c r="T307">
        <v>1</v>
      </c>
      <c r="U307">
        <v>1</v>
      </c>
      <c r="V307">
        <v>1</v>
      </c>
      <c r="W307">
        <v>1</v>
      </c>
      <c r="AA307">
        <v>-11018.229799999999</v>
      </c>
      <c r="AB307">
        <v>-11018.229799999999</v>
      </c>
      <c r="AC307">
        <v>-11018.229799999999</v>
      </c>
      <c r="AD307">
        <v>-11018.229799999999</v>
      </c>
      <c r="AE307">
        <v>-11018.229799999999</v>
      </c>
    </row>
    <row r="308" spans="2:31" x14ac:dyDescent="0.25">
      <c r="B308">
        <f t="shared" si="12"/>
        <v>39</v>
      </c>
      <c r="C308">
        <v>1</v>
      </c>
      <c r="D308">
        <v>1</v>
      </c>
      <c r="E308">
        <v>1</v>
      </c>
      <c r="F308">
        <v>1</v>
      </c>
      <c r="G308">
        <v>1</v>
      </c>
      <c r="J308">
        <f t="shared" si="13"/>
        <v>39</v>
      </c>
      <c r="K308">
        <v>1</v>
      </c>
      <c r="L308">
        <v>1</v>
      </c>
      <c r="M308">
        <v>1</v>
      </c>
      <c r="N308">
        <v>1</v>
      </c>
      <c r="O308">
        <v>1</v>
      </c>
      <c r="R308">
        <f t="shared" si="14"/>
        <v>39</v>
      </c>
      <c r="S308">
        <v>1</v>
      </c>
      <c r="T308">
        <v>1</v>
      </c>
      <c r="U308">
        <v>1</v>
      </c>
      <c r="V308">
        <v>1</v>
      </c>
      <c r="W308">
        <v>1</v>
      </c>
      <c r="AA308">
        <v>-10916.737999999999</v>
      </c>
      <c r="AB308">
        <v>-10916.737999999999</v>
      </c>
      <c r="AC308">
        <v>-10916.737999999999</v>
      </c>
      <c r="AD308">
        <v>-10916.737999999999</v>
      </c>
      <c r="AE308">
        <v>-10916.737999999999</v>
      </c>
    </row>
    <row r="309" spans="2:31" x14ac:dyDescent="0.25">
      <c r="B309">
        <f t="shared" si="12"/>
        <v>40</v>
      </c>
      <c r="C309">
        <v>1</v>
      </c>
      <c r="D309">
        <v>1</v>
      </c>
      <c r="E309">
        <v>1</v>
      </c>
      <c r="F309">
        <v>1</v>
      </c>
      <c r="G309">
        <v>1</v>
      </c>
      <c r="J309">
        <f t="shared" si="13"/>
        <v>40</v>
      </c>
      <c r="K309">
        <v>1</v>
      </c>
      <c r="L309">
        <v>1</v>
      </c>
      <c r="M309">
        <v>1</v>
      </c>
      <c r="N309">
        <v>1</v>
      </c>
      <c r="O309">
        <v>1</v>
      </c>
      <c r="R309">
        <f t="shared" si="14"/>
        <v>40</v>
      </c>
      <c r="S309">
        <v>1</v>
      </c>
      <c r="T309">
        <v>1</v>
      </c>
      <c r="U309">
        <v>1</v>
      </c>
      <c r="V309">
        <v>1</v>
      </c>
      <c r="W309">
        <v>1</v>
      </c>
      <c r="AA309">
        <v>-10812.8714</v>
      </c>
      <c r="AB309">
        <v>-10812.8714</v>
      </c>
      <c r="AC309">
        <v>-10812.8714</v>
      </c>
      <c r="AD309">
        <v>-10812.8714</v>
      </c>
      <c r="AE309">
        <v>-10812.8714</v>
      </c>
    </row>
    <row r="310" spans="2:31" x14ac:dyDescent="0.25">
      <c r="B310">
        <f t="shared" si="12"/>
        <v>41</v>
      </c>
      <c r="C310">
        <v>1</v>
      </c>
      <c r="D310">
        <v>1</v>
      </c>
      <c r="E310">
        <v>1</v>
      </c>
      <c r="F310">
        <v>1</v>
      </c>
      <c r="G310">
        <v>1</v>
      </c>
      <c r="J310">
        <f t="shared" si="13"/>
        <v>41</v>
      </c>
      <c r="K310">
        <v>1</v>
      </c>
      <c r="L310">
        <v>1</v>
      </c>
      <c r="M310">
        <v>1</v>
      </c>
      <c r="N310">
        <v>1</v>
      </c>
      <c r="O310">
        <v>1</v>
      </c>
      <c r="R310">
        <f t="shared" si="14"/>
        <v>41</v>
      </c>
      <c r="S310">
        <v>1</v>
      </c>
      <c r="T310">
        <v>1</v>
      </c>
      <c r="U310">
        <v>1</v>
      </c>
      <c r="V310">
        <v>1</v>
      </c>
      <c r="W310">
        <v>1</v>
      </c>
      <c r="AA310">
        <v>-10706.559600000001</v>
      </c>
      <c r="AB310">
        <v>-10706.559600000001</v>
      </c>
      <c r="AC310">
        <v>-10706.559600000001</v>
      </c>
      <c r="AD310">
        <v>-10706.559600000001</v>
      </c>
      <c r="AE310">
        <v>-10706.559600000001</v>
      </c>
    </row>
    <row r="311" spans="2:31" x14ac:dyDescent="0.25">
      <c r="B311">
        <f t="shared" si="12"/>
        <v>42</v>
      </c>
      <c r="C311">
        <v>1</v>
      </c>
      <c r="D311">
        <v>1</v>
      </c>
      <c r="E311">
        <v>1</v>
      </c>
      <c r="F311">
        <v>1</v>
      </c>
      <c r="G311">
        <v>1</v>
      </c>
      <c r="J311">
        <f t="shared" si="13"/>
        <v>42</v>
      </c>
      <c r="K311">
        <v>1</v>
      </c>
      <c r="L311">
        <v>1</v>
      </c>
      <c r="M311">
        <v>1</v>
      </c>
      <c r="N311">
        <v>1</v>
      </c>
      <c r="O311">
        <v>1</v>
      </c>
      <c r="R311">
        <f t="shared" si="14"/>
        <v>42</v>
      </c>
      <c r="S311">
        <v>1</v>
      </c>
      <c r="T311">
        <v>1</v>
      </c>
      <c r="U311">
        <v>1</v>
      </c>
      <c r="V311">
        <v>1</v>
      </c>
      <c r="W311">
        <v>1</v>
      </c>
      <c r="AA311">
        <v>-10597.8485</v>
      </c>
      <c r="AB311">
        <v>-10597.8485</v>
      </c>
      <c r="AC311">
        <v>-10597.8485</v>
      </c>
      <c r="AD311">
        <v>-10597.8485</v>
      </c>
      <c r="AE311">
        <v>-10597.8485</v>
      </c>
    </row>
    <row r="312" spans="2:31" x14ac:dyDescent="0.25">
      <c r="B312">
        <f t="shared" si="12"/>
        <v>43</v>
      </c>
      <c r="C312">
        <v>1</v>
      </c>
      <c r="D312">
        <v>1</v>
      </c>
      <c r="E312">
        <v>1</v>
      </c>
      <c r="F312">
        <v>1</v>
      </c>
      <c r="G312">
        <v>1</v>
      </c>
      <c r="J312">
        <f t="shared" si="13"/>
        <v>43</v>
      </c>
      <c r="K312">
        <v>1</v>
      </c>
      <c r="L312">
        <v>1</v>
      </c>
      <c r="M312">
        <v>1</v>
      </c>
      <c r="N312">
        <v>1</v>
      </c>
      <c r="O312">
        <v>1</v>
      </c>
      <c r="R312">
        <f t="shared" si="14"/>
        <v>43</v>
      </c>
      <c r="S312">
        <v>1</v>
      </c>
      <c r="T312">
        <v>1</v>
      </c>
      <c r="U312">
        <v>1</v>
      </c>
      <c r="V312">
        <v>1</v>
      </c>
      <c r="W312">
        <v>1</v>
      </c>
      <c r="AA312">
        <v>-10486.615400000001</v>
      </c>
      <c r="AB312">
        <v>-10486.615400000001</v>
      </c>
      <c r="AC312">
        <v>-10486.615400000001</v>
      </c>
      <c r="AD312">
        <v>-10486.615400000001</v>
      </c>
      <c r="AE312">
        <v>-10486.615400000001</v>
      </c>
    </row>
    <row r="313" spans="2:31" x14ac:dyDescent="0.25">
      <c r="B313">
        <f t="shared" si="12"/>
        <v>44</v>
      </c>
      <c r="C313">
        <v>1</v>
      </c>
      <c r="D313">
        <v>1</v>
      </c>
      <c r="E313">
        <v>1</v>
      </c>
      <c r="F313">
        <v>1</v>
      </c>
      <c r="G313">
        <v>1</v>
      </c>
      <c r="J313">
        <f t="shared" si="13"/>
        <v>44</v>
      </c>
      <c r="K313">
        <v>1</v>
      </c>
      <c r="L313">
        <v>1</v>
      </c>
      <c r="M313">
        <v>1</v>
      </c>
      <c r="N313">
        <v>1</v>
      </c>
      <c r="O313">
        <v>1</v>
      </c>
      <c r="R313">
        <f t="shared" si="14"/>
        <v>44</v>
      </c>
      <c r="S313">
        <v>1</v>
      </c>
      <c r="T313">
        <v>1</v>
      </c>
      <c r="U313">
        <v>1</v>
      </c>
      <c r="V313">
        <v>1</v>
      </c>
      <c r="W313">
        <v>1</v>
      </c>
      <c r="AA313">
        <v>-10372.9005</v>
      </c>
      <c r="AB313">
        <v>-10372.9005</v>
      </c>
      <c r="AC313">
        <v>-10372.9005</v>
      </c>
      <c r="AD313">
        <v>-10372.9005</v>
      </c>
      <c r="AE313">
        <v>-10372.9005</v>
      </c>
    </row>
    <row r="314" spans="2:31" x14ac:dyDescent="0.25">
      <c r="B314">
        <f t="shared" si="12"/>
        <v>45</v>
      </c>
      <c r="C314">
        <v>1</v>
      </c>
      <c r="D314">
        <v>1</v>
      </c>
      <c r="E314">
        <v>1</v>
      </c>
      <c r="F314">
        <v>1</v>
      </c>
      <c r="G314">
        <v>1</v>
      </c>
      <c r="J314">
        <f t="shared" si="13"/>
        <v>45</v>
      </c>
      <c r="K314">
        <v>1</v>
      </c>
      <c r="L314">
        <v>1</v>
      </c>
      <c r="M314">
        <v>1</v>
      </c>
      <c r="N314">
        <v>1</v>
      </c>
      <c r="O314">
        <v>1</v>
      </c>
      <c r="R314">
        <f t="shared" si="14"/>
        <v>45</v>
      </c>
      <c r="S314">
        <v>1</v>
      </c>
      <c r="T314">
        <v>1</v>
      </c>
      <c r="U314">
        <v>1</v>
      </c>
      <c r="V314">
        <v>1</v>
      </c>
      <c r="W314">
        <v>1</v>
      </c>
      <c r="AA314">
        <v>-10256.650600000001</v>
      </c>
      <c r="AB314">
        <v>-10256.650600000001</v>
      </c>
      <c r="AC314">
        <v>-10256.650600000001</v>
      </c>
      <c r="AD314">
        <v>-10256.650600000001</v>
      </c>
      <c r="AE314">
        <v>-10256.650600000001</v>
      </c>
    </row>
    <row r="315" spans="2:31" x14ac:dyDescent="0.25">
      <c r="B315">
        <f t="shared" si="12"/>
        <v>46</v>
      </c>
      <c r="C315">
        <v>1</v>
      </c>
      <c r="D315">
        <v>1</v>
      </c>
      <c r="E315">
        <v>1</v>
      </c>
      <c r="F315">
        <v>1</v>
      </c>
      <c r="G315">
        <v>1</v>
      </c>
      <c r="J315">
        <f t="shared" si="13"/>
        <v>46</v>
      </c>
      <c r="K315">
        <v>1</v>
      </c>
      <c r="L315">
        <v>1</v>
      </c>
      <c r="M315">
        <v>1</v>
      </c>
      <c r="N315">
        <v>1</v>
      </c>
      <c r="O315">
        <v>1</v>
      </c>
      <c r="R315">
        <f t="shared" si="14"/>
        <v>46</v>
      </c>
      <c r="S315">
        <v>1</v>
      </c>
      <c r="T315">
        <v>1</v>
      </c>
      <c r="U315">
        <v>1</v>
      </c>
      <c r="V315">
        <v>1</v>
      </c>
      <c r="W315">
        <v>1</v>
      </c>
      <c r="AA315">
        <v>-10137.871499999999</v>
      </c>
      <c r="AB315">
        <v>-10137.871499999999</v>
      </c>
      <c r="AC315">
        <v>-10137.871499999999</v>
      </c>
      <c r="AD315">
        <v>-10137.871499999999</v>
      </c>
      <c r="AE315">
        <v>-10137.871499999999</v>
      </c>
    </row>
    <row r="316" spans="2:31" x14ac:dyDescent="0.25">
      <c r="B316">
        <f t="shared" si="12"/>
        <v>47</v>
      </c>
      <c r="C316">
        <v>1</v>
      </c>
      <c r="D316">
        <v>1</v>
      </c>
      <c r="E316">
        <v>1</v>
      </c>
      <c r="F316">
        <v>1</v>
      </c>
      <c r="G316">
        <v>1</v>
      </c>
      <c r="J316">
        <f t="shared" si="13"/>
        <v>47</v>
      </c>
      <c r="K316">
        <v>1</v>
      </c>
      <c r="L316">
        <v>1</v>
      </c>
      <c r="M316">
        <v>1</v>
      </c>
      <c r="N316">
        <v>1</v>
      </c>
      <c r="O316">
        <v>1</v>
      </c>
      <c r="R316">
        <f t="shared" si="14"/>
        <v>47</v>
      </c>
      <c r="S316">
        <v>1</v>
      </c>
      <c r="T316">
        <v>1</v>
      </c>
      <c r="U316">
        <v>1</v>
      </c>
      <c r="V316">
        <v>1</v>
      </c>
      <c r="W316">
        <v>1</v>
      </c>
      <c r="AA316">
        <v>-10016.4967</v>
      </c>
      <c r="AB316">
        <v>-10016.4967</v>
      </c>
      <c r="AC316">
        <v>-10016.4967</v>
      </c>
      <c r="AD316">
        <v>-10016.4967</v>
      </c>
      <c r="AE316">
        <v>-10016.4967</v>
      </c>
    </row>
    <row r="317" spans="2:31" x14ac:dyDescent="0.25">
      <c r="B317">
        <f t="shared" si="12"/>
        <v>48</v>
      </c>
      <c r="C317">
        <v>1</v>
      </c>
      <c r="D317">
        <v>1</v>
      </c>
      <c r="E317">
        <v>1</v>
      </c>
      <c r="F317">
        <v>1</v>
      </c>
      <c r="G317">
        <v>1</v>
      </c>
      <c r="J317">
        <f t="shared" si="13"/>
        <v>48</v>
      </c>
      <c r="K317">
        <v>1</v>
      </c>
      <c r="L317">
        <v>1</v>
      </c>
      <c r="M317">
        <v>1</v>
      </c>
      <c r="N317">
        <v>1</v>
      </c>
      <c r="O317">
        <v>1</v>
      </c>
      <c r="R317">
        <f t="shared" si="14"/>
        <v>48</v>
      </c>
      <c r="S317">
        <v>1</v>
      </c>
      <c r="T317">
        <v>1</v>
      </c>
      <c r="U317">
        <v>1</v>
      </c>
      <c r="V317">
        <v>1</v>
      </c>
      <c r="W317">
        <v>1</v>
      </c>
      <c r="AA317">
        <v>-9892.6355000000003</v>
      </c>
      <c r="AB317">
        <v>-9892.6355000000003</v>
      </c>
      <c r="AC317">
        <v>-9892.6355000000003</v>
      </c>
      <c r="AD317">
        <v>-9892.6355000000003</v>
      </c>
      <c r="AE317">
        <v>-9892.6355000000003</v>
      </c>
    </row>
    <row r="318" spans="2:31" x14ac:dyDescent="0.25">
      <c r="B318">
        <f t="shared" si="12"/>
        <v>49</v>
      </c>
      <c r="C318">
        <v>1</v>
      </c>
      <c r="D318">
        <v>1</v>
      </c>
      <c r="E318">
        <v>1</v>
      </c>
      <c r="F318">
        <v>1</v>
      </c>
      <c r="G318">
        <v>1</v>
      </c>
      <c r="J318">
        <f t="shared" si="13"/>
        <v>49</v>
      </c>
      <c r="K318">
        <v>1</v>
      </c>
      <c r="L318">
        <v>1</v>
      </c>
      <c r="M318">
        <v>1</v>
      </c>
      <c r="N318">
        <v>1</v>
      </c>
      <c r="O318">
        <v>1</v>
      </c>
      <c r="R318">
        <f t="shared" si="14"/>
        <v>49</v>
      </c>
      <c r="S318">
        <v>1</v>
      </c>
      <c r="T318">
        <v>1</v>
      </c>
      <c r="U318">
        <v>1</v>
      </c>
      <c r="V318">
        <v>1</v>
      </c>
      <c r="W318">
        <v>1</v>
      </c>
      <c r="AA318">
        <v>-9766.3366999999998</v>
      </c>
      <c r="AB318">
        <v>-9766.3366999999998</v>
      </c>
      <c r="AC318">
        <v>-9766.3366999999998</v>
      </c>
      <c r="AD318">
        <v>-9766.3366999999998</v>
      </c>
      <c r="AE318">
        <v>-9766.3366999999998</v>
      </c>
    </row>
    <row r="319" spans="2:31" x14ac:dyDescent="0.25">
      <c r="B319">
        <f t="shared" si="12"/>
        <v>50</v>
      </c>
      <c r="C319">
        <v>1</v>
      </c>
      <c r="D319">
        <v>1</v>
      </c>
      <c r="E319">
        <v>1</v>
      </c>
      <c r="F319">
        <v>1</v>
      </c>
      <c r="G319">
        <v>1</v>
      </c>
      <c r="J319">
        <f t="shared" si="13"/>
        <v>50</v>
      </c>
      <c r="K319">
        <v>1</v>
      </c>
      <c r="L319">
        <v>1</v>
      </c>
      <c r="M319">
        <v>1</v>
      </c>
      <c r="N319">
        <v>1</v>
      </c>
      <c r="O319">
        <v>1</v>
      </c>
      <c r="R319">
        <f t="shared" si="14"/>
        <v>50</v>
      </c>
      <c r="S319">
        <v>1</v>
      </c>
      <c r="T319">
        <v>1</v>
      </c>
      <c r="U319">
        <v>1</v>
      </c>
      <c r="V319">
        <v>1</v>
      </c>
      <c r="W319">
        <v>1</v>
      </c>
      <c r="AA319">
        <v>-9637.5864000000001</v>
      </c>
      <c r="AB319">
        <v>-9637.5864000000001</v>
      </c>
      <c r="AC319">
        <v>-9637.5864000000001</v>
      </c>
      <c r="AD319">
        <v>-9637.5864000000001</v>
      </c>
      <c r="AE319">
        <v>-9637.5864000000001</v>
      </c>
    </row>
    <row r="320" spans="2:31" x14ac:dyDescent="0.25">
      <c r="B320">
        <f t="shared" si="12"/>
        <v>51</v>
      </c>
      <c r="C320">
        <v>1</v>
      </c>
      <c r="D320">
        <v>1</v>
      </c>
      <c r="E320">
        <v>1</v>
      </c>
      <c r="F320">
        <v>1</v>
      </c>
      <c r="G320">
        <v>1</v>
      </c>
      <c r="J320">
        <f t="shared" si="13"/>
        <v>51</v>
      </c>
      <c r="K320">
        <v>1</v>
      </c>
      <c r="L320">
        <v>1</v>
      </c>
      <c r="M320">
        <v>1</v>
      </c>
      <c r="N320">
        <v>1</v>
      </c>
      <c r="O320">
        <v>1</v>
      </c>
      <c r="R320">
        <f t="shared" si="14"/>
        <v>51</v>
      </c>
      <c r="S320">
        <v>1</v>
      </c>
      <c r="T320">
        <v>1</v>
      </c>
      <c r="U320">
        <v>1</v>
      </c>
      <c r="V320">
        <v>1</v>
      </c>
      <c r="W320">
        <v>1</v>
      </c>
      <c r="AA320">
        <v>-9506.3734000000004</v>
      </c>
      <c r="AB320">
        <v>-9506.3734000000004</v>
      </c>
      <c r="AC320">
        <v>-9506.3734000000004</v>
      </c>
      <c r="AD320">
        <v>-9506.3734000000004</v>
      </c>
      <c r="AE320">
        <v>-9506.3734000000004</v>
      </c>
    </row>
    <row r="321" spans="2:31" x14ac:dyDescent="0.25">
      <c r="B321">
        <f t="shared" si="12"/>
        <v>52</v>
      </c>
      <c r="C321">
        <v>1</v>
      </c>
      <c r="D321">
        <v>1</v>
      </c>
      <c r="E321">
        <v>1</v>
      </c>
      <c r="F321">
        <v>1</v>
      </c>
      <c r="G321">
        <v>1</v>
      </c>
      <c r="J321">
        <f t="shared" si="13"/>
        <v>52</v>
      </c>
      <c r="K321">
        <v>1</v>
      </c>
      <c r="L321">
        <v>1</v>
      </c>
      <c r="M321">
        <v>1</v>
      </c>
      <c r="N321">
        <v>1</v>
      </c>
      <c r="O321">
        <v>1</v>
      </c>
      <c r="R321">
        <f t="shared" si="14"/>
        <v>52</v>
      </c>
      <c r="S321">
        <v>1</v>
      </c>
      <c r="T321">
        <v>1</v>
      </c>
      <c r="U321">
        <v>1</v>
      </c>
      <c r="V321">
        <v>1</v>
      </c>
      <c r="W321">
        <v>1</v>
      </c>
      <c r="AA321">
        <v>-9372.7019</v>
      </c>
      <c r="AB321">
        <v>-9372.7019</v>
      </c>
      <c r="AC321">
        <v>-9372.7019</v>
      </c>
      <c r="AD321">
        <v>-9372.7019</v>
      </c>
      <c r="AE321">
        <v>-9372.7019</v>
      </c>
    </row>
    <row r="322" spans="2:31" x14ac:dyDescent="0.25">
      <c r="B322">
        <f t="shared" si="12"/>
        <v>53</v>
      </c>
      <c r="C322">
        <v>1</v>
      </c>
      <c r="D322">
        <v>1</v>
      </c>
      <c r="E322">
        <v>1</v>
      </c>
      <c r="F322">
        <v>1</v>
      </c>
      <c r="G322">
        <v>1</v>
      </c>
      <c r="J322">
        <f t="shared" si="13"/>
        <v>53</v>
      </c>
      <c r="K322">
        <v>1</v>
      </c>
      <c r="L322">
        <v>1</v>
      </c>
      <c r="M322">
        <v>1</v>
      </c>
      <c r="N322">
        <v>1</v>
      </c>
      <c r="O322">
        <v>1</v>
      </c>
      <c r="R322">
        <f t="shared" si="14"/>
        <v>53</v>
      </c>
      <c r="S322">
        <v>1</v>
      </c>
      <c r="T322">
        <v>1</v>
      </c>
      <c r="U322">
        <v>1</v>
      </c>
      <c r="V322">
        <v>1</v>
      </c>
      <c r="W322">
        <v>1</v>
      </c>
      <c r="AA322">
        <v>-9236.6705000000002</v>
      </c>
      <c r="AB322">
        <v>-9236.6705000000002</v>
      </c>
      <c r="AC322">
        <v>-9236.6705000000002</v>
      </c>
      <c r="AD322">
        <v>-9236.6705000000002</v>
      </c>
      <c r="AE322">
        <v>-9236.6705000000002</v>
      </c>
    </row>
    <row r="323" spans="2:31" x14ac:dyDescent="0.25">
      <c r="B323">
        <f t="shared" si="12"/>
        <v>54</v>
      </c>
      <c r="C323">
        <v>1</v>
      </c>
      <c r="D323">
        <v>1</v>
      </c>
      <c r="E323">
        <v>1</v>
      </c>
      <c r="F323">
        <v>1</v>
      </c>
      <c r="G323">
        <v>1</v>
      </c>
      <c r="J323">
        <f t="shared" si="13"/>
        <v>54</v>
      </c>
      <c r="K323">
        <v>1</v>
      </c>
      <c r="L323">
        <v>1</v>
      </c>
      <c r="M323">
        <v>1</v>
      </c>
      <c r="N323">
        <v>1</v>
      </c>
      <c r="O323">
        <v>1</v>
      </c>
      <c r="R323">
        <f t="shared" si="14"/>
        <v>54</v>
      </c>
      <c r="S323">
        <v>1</v>
      </c>
      <c r="T323">
        <v>1</v>
      </c>
      <c r="U323">
        <v>1</v>
      </c>
      <c r="V323">
        <v>1</v>
      </c>
      <c r="W323">
        <v>1</v>
      </c>
      <c r="AA323">
        <v>-9098.4312000000009</v>
      </c>
      <c r="AB323">
        <v>-9098.4312000000009</v>
      </c>
      <c r="AC323">
        <v>-9098.4312000000009</v>
      </c>
      <c r="AD323">
        <v>-9098.4312000000009</v>
      </c>
      <c r="AE323">
        <v>-9098.4312000000009</v>
      </c>
    </row>
    <row r="324" spans="2:31" x14ac:dyDescent="0.25">
      <c r="B324">
        <f t="shared" si="12"/>
        <v>55</v>
      </c>
      <c r="C324">
        <v>1</v>
      </c>
      <c r="D324">
        <v>1</v>
      </c>
      <c r="E324">
        <v>1</v>
      </c>
      <c r="F324">
        <v>1</v>
      </c>
      <c r="G324">
        <v>1</v>
      </c>
      <c r="J324">
        <f t="shared" si="13"/>
        <v>55</v>
      </c>
      <c r="K324">
        <v>1</v>
      </c>
      <c r="L324">
        <v>1</v>
      </c>
      <c r="M324">
        <v>1</v>
      </c>
      <c r="N324">
        <v>1</v>
      </c>
      <c r="O324">
        <v>1</v>
      </c>
      <c r="R324">
        <f t="shared" si="14"/>
        <v>55</v>
      </c>
      <c r="S324">
        <v>1</v>
      </c>
      <c r="T324">
        <v>1</v>
      </c>
      <c r="U324">
        <v>1</v>
      </c>
      <c r="V324">
        <v>1</v>
      </c>
      <c r="W324">
        <v>1</v>
      </c>
      <c r="AA324">
        <v>-8958.0210999999999</v>
      </c>
      <c r="AB324">
        <v>-8958.0210999999999</v>
      </c>
      <c r="AC324">
        <v>-8958.0210999999999</v>
      </c>
      <c r="AD324">
        <v>-8958.0210999999999</v>
      </c>
      <c r="AE324">
        <v>-8958.0210999999999</v>
      </c>
    </row>
    <row r="325" spans="2:31" x14ac:dyDescent="0.25">
      <c r="B325">
        <f t="shared" si="12"/>
        <v>56</v>
      </c>
      <c r="C325">
        <v>1</v>
      </c>
      <c r="D325">
        <v>1</v>
      </c>
      <c r="E325">
        <v>1</v>
      </c>
      <c r="F325">
        <v>1</v>
      </c>
      <c r="G325">
        <v>1</v>
      </c>
      <c r="J325">
        <f t="shared" si="13"/>
        <v>56</v>
      </c>
      <c r="K325">
        <v>1</v>
      </c>
      <c r="L325">
        <v>1</v>
      </c>
      <c r="M325">
        <v>1</v>
      </c>
      <c r="N325">
        <v>1</v>
      </c>
      <c r="O325">
        <v>1</v>
      </c>
      <c r="R325">
        <f t="shared" si="14"/>
        <v>56</v>
      </c>
      <c r="S325">
        <v>1</v>
      </c>
      <c r="T325">
        <v>1</v>
      </c>
      <c r="U325">
        <v>1</v>
      </c>
      <c r="V325">
        <v>1</v>
      </c>
      <c r="W325">
        <v>1</v>
      </c>
      <c r="AA325">
        <v>-8815.6316999999999</v>
      </c>
      <c r="AB325">
        <v>-8815.6316999999999</v>
      </c>
      <c r="AC325">
        <v>-8815.6316999999999</v>
      </c>
      <c r="AD325">
        <v>-8815.6316999999999</v>
      </c>
      <c r="AE325">
        <v>-8815.6316999999999</v>
      </c>
    </row>
    <row r="326" spans="2:31" x14ac:dyDescent="0.25">
      <c r="B326">
        <f t="shared" si="12"/>
        <v>57</v>
      </c>
      <c r="C326">
        <v>1</v>
      </c>
      <c r="D326">
        <v>1</v>
      </c>
      <c r="E326">
        <v>1</v>
      </c>
      <c r="F326">
        <v>1</v>
      </c>
      <c r="G326">
        <v>1</v>
      </c>
      <c r="J326">
        <f t="shared" si="13"/>
        <v>57</v>
      </c>
      <c r="K326">
        <v>1</v>
      </c>
      <c r="L326">
        <v>1</v>
      </c>
      <c r="M326">
        <v>1</v>
      </c>
      <c r="N326">
        <v>1</v>
      </c>
      <c r="O326">
        <v>1</v>
      </c>
      <c r="R326">
        <f t="shared" si="14"/>
        <v>57</v>
      </c>
      <c r="S326">
        <v>1</v>
      </c>
      <c r="T326">
        <v>1</v>
      </c>
      <c r="U326">
        <v>1</v>
      </c>
      <c r="V326">
        <v>1</v>
      </c>
      <c r="W326">
        <v>1</v>
      </c>
      <c r="AA326">
        <v>-8671.3991999999998</v>
      </c>
      <c r="AB326">
        <v>-8671.3991999999998</v>
      </c>
      <c r="AC326">
        <v>-8671.3991999999998</v>
      </c>
      <c r="AD326">
        <v>-8671.3991999999998</v>
      </c>
      <c r="AE326">
        <v>-8671.3991999999998</v>
      </c>
    </row>
    <row r="327" spans="2:31" x14ac:dyDescent="0.25">
      <c r="B327">
        <f t="shared" si="12"/>
        <v>58</v>
      </c>
      <c r="C327">
        <v>1</v>
      </c>
      <c r="D327">
        <v>1</v>
      </c>
      <c r="E327">
        <v>1</v>
      </c>
      <c r="F327">
        <v>1</v>
      </c>
      <c r="G327">
        <v>1</v>
      </c>
      <c r="J327">
        <f t="shared" si="13"/>
        <v>58</v>
      </c>
      <c r="K327">
        <v>1</v>
      </c>
      <c r="L327">
        <v>1</v>
      </c>
      <c r="M327">
        <v>1</v>
      </c>
      <c r="N327">
        <v>1</v>
      </c>
      <c r="O327">
        <v>1</v>
      </c>
      <c r="R327">
        <f t="shared" si="14"/>
        <v>58</v>
      </c>
      <c r="S327">
        <v>1</v>
      </c>
      <c r="T327">
        <v>1</v>
      </c>
      <c r="U327">
        <v>1</v>
      </c>
      <c r="V327">
        <v>1</v>
      </c>
      <c r="W327">
        <v>1</v>
      </c>
      <c r="AA327">
        <v>-8525.2759999999998</v>
      </c>
      <c r="AB327">
        <v>-8525.2759999999998</v>
      </c>
      <c r="AC327">
        <v>-8525.2759999999998</v>
      </c>
      <c r="AD327">
        <v>-8525.2759999999998</v>
      </c>
      <c r="AE327">
        <v>-8525.2759999999998</v>
      </c>
    </row>
    <row r="328" spans="2:31" x14ac:dyDescent="0.25">
      <c r="B328">
        <f t="shared" si="12"/>
        <v>59</v>
      </c>
      <c r="C328">
        <v>1</v>
      </c>
      <c r="D328">
        <v>1</v>
      </c>
      <c r="E328">
        <v>1</v>
      </c>
      <c r="F328">
        <v>1</v>
      </c>
      <c r="G328">
        <v>1</v>
      </c>
      <c r="J328">
        <f t="shared" si="13"/>
        <v>59</v>
      </c>
      <c r="K328">
        <v>1</v>
      </c>
      <c r="L328">
        <v>1</v>
      </c>
      <c r="M328">
        <v>1</v>
      </c>
      <c r="N328">
        <v>1</v>
      </c>
      <c r="O328">
        <v>1</v>
      </c>
      <c r="R328">
        <f t="shared" si="14"/>
        <v>59</v>
      </c>
      <c r="S328">
        <v>1</v>
      </c>
      <c r="T328">
        <v>1</v>
      </c>
      <c r="U328">
        <v>1</v>
      </c>
      <c r="V328">
        <v>1</v>
      </c>
      <c r="W328">
        <v>1</v>
      </c>
      <c r="AA328">
        <v>-8377.2351999999992</v>
      </c>
      <c r="AB328">
        <v>-8377.2351999999992</v>
      </c>
      <c r="AC328">
        <v>-8377.2351999999992</v>
      </c>
      <c r="AD328">
        <v>-8377.2351999999992</v>
      </c>
      <c r="AE328">
        <v>-8377.2351999999992</v>
      </c>
    </row>
    <row r="329" spans="2:31" x14ac:dyDescent="0.25">
      <c r="B329">
        <f t="shared" si="12"/>
        <v>60</v>
      </c>
      <c r="C329">
        <v>1</v>
      </c>
      <c r="D329">
        <v>1</v>
      </c>
      <c r="E329">
        <v>1</v>
      </c>
      <c r="F329">
        <v>1</v>
      </c>
      <c r="G329">
        <v>1</v>
      </c>
      <c r="J329">
        <f t="shared" si="13"/>
        <v>60</v>
      </c>
      <c r="K329">
        <v>1</v>
      </c>
      <c r="L329">
        <v>1</v>
      </c>
      <c r="M329">
        <v>1</v>
      </c>
      <c r="N329">
        <v>1</v>
      </c>
      <c r="O329">
        <v>1</v>
      </c>
      <c r="R329">
        <f t="shared" si="14"/>
        <v>60</v>
      </c>
      <c r="S329">
        <v>1</v>
      </c>
      <c r="T329">
        <v>1</v>
      </c>
      <c r="U329">
        <v>1</v>
      </c>
      <c r="V329">
        <v>1</v>
      </c>
      <c r="W329">
        <v>1</v>
      </c>
      <c r="AA329">
        <v>-8227.3953999999994</v>
      </c>
      <c r="AB329">
        <v>-8227.3953999999994</v>
      </c>
      <c r="AC329">
        <v>-8227.3953999999994</v>
      </c>
      <c r="AD329">
        <v>-8227.3953999999994</v>
      </c>
      <c r="AE329">
        <v>-8227.3953999999994</v>
      </c>
    </row>
    <row r="330" spans="2:31" x14ac:dyDescent="0.25">
      <c r="B330">
        <f t="shared" si="12"/>
        <v>61</v>
      </c>
      <c r="C330">
        <v>1</v>
      </c>
      <c r="D330">
        <v>1</v>
      </c>
      <c r="E330">
        <v>1</v>
      </c>
      <c r="F330">
        <v>1</v>
      </c>
      <c r="G330">
        <v>1</v>
      </c>
      <c r="J330">
        <f t="shared" si="13"/>
        <v>61</v>
      </c>
      <c r="K330">
        <v>1</v>
      </c>
      <c r="L330">
        <v>1</v>
      </c>
      <c r="M330">
        <v>1</v>
      </c>
      <c r="N330">
        <v>1</v>
      </c>
      <c r="O330">
        <v>1</v>
      </c>
      <c r="R330">
        <f t="shared" si="14"/>
        <v>61</v>
      </c>
      <c r="S330">
        <v>1</v>
      </c>
      <c r="T330">
        <v>1</v>
      </c>
      <c r="U330">
        <v>1</v>
      </c>
      <c r="V330">
        <v>1</v>
      </c>
      <c r="W330">
        <v>1</v>
      </c>
      <c r="AA330">
        <v>-8076.1778999999997</v>
      </c>
      <c r="AB330">
        <v>-8076.1778999999997</v>
      </c>
      <c r="AC330">
        <v>-8076.1778999999997</v>
      </c>
      <c r="AD330">
        <v>-8076.1778999999997</v>
      </c>
      <c r="AE330">
        <v>-8076.1778999999997</v>
      </c>
    </row>
    <row r="331" spans="2:31" x14ac:dyDescent="0.25">
      <c r="B331">
        <f t="shared" si="12"/>
        <v>62</v>
      </c>
      <c r="C331">
        <v>1</v>
      </c>
      <c r="D331">
        <v>1</v>
      </c>
      <c r="E331">
        <v>1</v>
      </c>
      <c r="F331">
        <v>1</v>
      </c>
      <c r="G331">
        <v>1</v>
      </c>
      <c r="J331">
        <f t="shared" si="13"/>
        <v>62</v>
      </c>
      <c r="K331">
        <v>1</v>
      </c>
      <c r="L331">
        <v>1</v>
      </c>
      <c r="M331">
        <v>1</v>
      </c>
      <c r="N331">
        <v>1</v>
      </c>
      <c r="O331">
        <v>1</v>
      </c>
      <c r="R331">
        <f t="shared" si="14"/>
        <v>62</v>
      </c>
      <c r="S331">
        <v>1</v>
      </c>
      <c r="T331">
        <v>1</v>
      </c>
      <c r="U331">
        <v>1</v>
      </c>
      <c r="V331">
        <v>1</v>
      </c>
      <c r="W331">
        <v>1</v>
      </c>
      <c r="AA331">
        <v>-7923.5816000000004</v>
      </c>
      <c r="AB331">
        <v>-7923.5816000000004</v>
      </c>
      <c r="AC331">
        <v>-7923.5816000000004</v>
      </c>
      <c r="AD331">
        <v>-7923.5816000000004</v>
      </c>
      <c r="AE331">
        <v>-7923.5816000000004</v>
      </c>
    </row>
    <row r="332" spans="2:31" x14ac:dyDescent="0.25">
      <c r="B332">
        <f t="shared" si="12"/>
        <v>63</v>
      </c>
      <c r="C332">
        <v>1</v>
      </c>
      <c r="D332">
        <v>1</v>
      </c>
      <c r="E332">
        <v>1</v>
      </c>
      <c r="F332">
        <v>1</v>
      </c>
      <c r="G332">
        <v>1</v>
      </c>
      <c r="J332">
        <f t="shared" si="13"/>
        <v>63</v>
      </c>
      <c r="K332">
        <v>1</v>
      </c>
      <c r="L332">
        <v>1</v>
      </c>
      <c r="M332">
        <v>1</v>
      </c>
      <c r="N332">
        <v>1</v>
      </c>
      <c r="O332">
        <v>1</v>
      </c>
      <c r="R332">
        <f t="shared" si="14"/>
        <v>63</v>
      </c>
      <c r="S332">
        <v>1</v>
      </c>
      <c r="T332">
        <v>1</v>
      </c>
      <c r="U332">
        <v>1</v>
      </c>
      <c r="V332">
        <v>1</v>
      </c>
      <c r="W332">
        <v>1</v>
      </c>
      <c r="AA332">
        <v>-7769.2775000000001</v>
      </c>
      <c r="AB332">
        <v>-7769.2775000000001</v>
      </c>
      <c r="AC332">
        <v>-7769.2775000000001</v>
      </c>
      <c r="AD332">
        <v>-7769.2775000000001</v>
      </c>
      <c r="AE332">
        <v>-7769.2775000000001</v>
      </c>
    </row>
    <row r="333" spans="2:31" x14ac:dyDescent="0.25">
      <c r="B333">
        <f t="shared" si="12"/>
        <v>64</v>
      </c>
      <c r="C333">
        <v>1</v>
      </c>
      <c r="D333">
        <v>1</v>
      </c>
      <c r="E333">
        <v>1</v>
      </c>
      <c r="F333">
        <v>1</v>
      </c>
      <c r="G333">
        <v>1</v>
      </c>
      <c r="J333">
        <f t="shared" si="13"/>
        <v>64</v>
      </c>
      <c r="K333">
        <v>1</v>
      </c>
      <c r="L333">
        <v>1</v>
      </c>
      <c r="M333">
        <v>1</v>
      </c>
      <c r="N333">
        <v>1</v>
      </c>
      <c r="O333">
        <v>1</v>
      </c>
      <c r="R333">
        <f t="shared" si="14"/>
        <v>64</v>
      </c>
      <c r="S333">
        <v>1</v>
      </c>
      <c r="T333">
        <v>1</v>
      </c>
      <c r="U333">
        <v>1</v>
      </c>
      <c r="V333">
        <v>1</v>
      </c>
      <c r="W333">
        <v>1</v>
      </c>
      <c r="AA333">
        <v>-7613.3999000000003</v>
      </c>
      <c r="AB333">
        <v>-7613.3999000000003</v>
      </c>
      <c r="AC333">
        <v>-7613.3999000000003</v>
      </c>
      <c r="AD333">
        <v>-7613.3999000000003</v>
      </c>
      <c r="AE333">
        <v>-7613.3999000000003</v>
      </c>
    </row>
    <row r="334" spans="2:31" x14ac:dyDescent="0.25">
      <c r="B334">
        <f t="shared" si="12"/>
        <v>65</v>
      </c>
      <c r="C334">
        <v>1</v>
      </c>
      <c r="D334">
        <v>1</v>
      </c>
      <c r="E334">
        <v>1</v>
      </c>
      <c r="F334">
        <v>1</v>
      </c>
      <c r="G334">
        <v>1</v>
      </c>
      <c r="J334">
        <f t="shared" si="13"/>
        <v>65</v>
      </c>
      <c r="K334">
        <v>1</v>
      </c>
      <c r="L334">
        <v>1</v>
      </c>
      <c r="M334">
        <v>1</v>
      </c>
      <c r="N334">
        <v>1</v>
      </c>
      <c r="O334">
        <v>1</v>
      </c>
      <c r="R334">
        <f t="shared" si="14"/>
        <v>65</v>
      </c>
      <c r="S334">
        <v>1</v>
      </c>
      <c r="T334">
        <v>1</v>
      </c>
      <c r="U334">
        <v>1</v>
      </c>
      <c r="V334">
        <v>1</v>
      </c>
      <c r="W334">
        <v>1</v>
      </c>
      <c r="AA334">
        <v>-7455.8590000000004</v>
      </c>
      <c r="AB334">
        <v>-7455.8590000000004</v>
      </c>
      <c r="AC334">
        <v>-7455.8590000000004</v>
      </c>
      <c r="AD334">
        <v>-7455.8590000000004</v>
      </c>
      <c r="AE334">
        <v>-7455.8590000000004</v>
      </c>
    </row>
    <row r="337" spans="2:32" x14ac:dyDescent="0.25">
      <c r="B337" t="s">
        <v>46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47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48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32" x14ac:dyDescent="0.25">
      <c r="B338">
        <v>26</v>
      </c>
      <c r="C338">
        <v>1</v>
      </c>
      <c r="D338">
        <v>1</v>
      </c>
      <c r="E338">
        <v>1</v>
      </c>
      <c r="F338">
        <v>1</v>
      </c>
      <c r="G338">
        <v>1</v>
      </c>
      <c r="H338">
        <v>1</v>
      </c>
      <c r="J338">
        <v>26</v>
      </c>
      <c r="K338">
        <v>1</v>
      </c>
      <c r="L338">
        <v>1</v>
      </c>
      <c r="M338">
        <v>1</v>
      </c>
      <c r="N338">
        <v>1</v>
      </c>
      <c r="O338">
        <v>1</v>
      </c>
      <c r="P338">
        <v>1</v>
      </c>
      <c r="R338">
        <v>26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AA338">
        <v>-7435.5060999999996</v>
      </c>
      <c r="AB338">
        <v>-7435.5060999999996</v>
      </c>
      <c r="AC338">
        <v>-7435.5060999999996</v>
      </c>
      <c r="AD338">
        <v>-7435.5060999999996</v>
      </c>
      <c r="AE338">
        <v>-7435.5060999999996</v>
      </c>
      <c r="AF338">
        <v>-7435.5060999999996</v>
      </c>
    </row>
    <row r="339" spans="2:32" x14ac:dyDescent="0.25">
      <c r="B339">
        <v>27</v>
      </c>
      <c r="C339">
        <v>1</v>
      </c>
      <c r="D339">
        <v>1</v>
      </c>
      <c r="E339">
        <v>1</v>
      </c>
      <c r="F339">
        <v>1</v>
      </c>
      <c r="G339">
        <v>1</v>
      </c>
      <c r="H339">
        <v>1</v>
      </c>
      <c r="J339">
        <v>27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R339">
        <v>27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AA339">
        <v>-7434.2619000000004</v>
      </c>
      <c r="AB339">
        <v>-7434.2619000000004</v>
      </c>
      <c r="AC339">
        <v>-7434.2619000000004</v>
      </c>
      <c r="AD339">
        <v>-7434.2619000000004</v>
      </c>
      <c r="AE339">
        <v>-7434.2619000000004</v>
      </c>
      <c r="AF339">
        <v>-7434.2619000000004</v>
      </c>
    </row>
    <row r="340" spans="2:32" x14ac:dyDescent="0.25">
      <c r="B340">
        <v>28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1</v>
      </c>
      <c r="J340">
        <v>28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1</v>
      </c>
      <c r="R340">
        <v>28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AA340">
        <v>-7432.8334999999997</v>
      </c>
      <c r="AB340">
        <v>-7432.8334999999997</v>
      </c>
      <c r="AC340">
        <v>-7432.8334999999997</v>
      </c>
      <c r="AD340">
        <v>-7432.8334999999997</v>
      </c>
      <c r="AE340">
        <v>-7432.8334999999997</v>
      </c>
      <c r="AF340">
        <v>-7432.8334999999997</v>
      </c>
    </row>
    <row r="341" spans="2:32" x14ac:dyDescent="0.25">
      <c r="B341">
        <v>29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1</v>
      </c>
      <c r="J341">
        <v>29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R341">
        <v>29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AA341">
        <v>-7431.2058999999999</v>
      </c>
      <c r="AB341">
        <v>-7431.2058999999999</v>
      </c>
      <c r="AC341">
        <v>-7431.2058999999999</v>
      </c>
      <c r="AD341">
        <v>-7431.2058999999999</v>
      </c>
      <c r="AE341">
        <v>-7431.2058999999999</v>
      </c>
      <c r="AF341">
        <v>-7431.2058999999999</v>
      </c>
    </row>
    <row r="342" spans="2:32" x14ac:dyDescent="0.25">
      <c r="B342">
        <v>30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1</v>
      </c>
      <c r="J342">
        <v>30</v>
      </c>
      <c r="K342">
        <v>1</v>
      </c>
      <c r="L342">
        <v>1</v>
      </c>
      <c r="M342">
        <v>1</v>
      </c>
      <c r="N342">
        <v>1</v>
      </c>
      <c r="O342">
        <v>1</v>
      </c>
      <c r="P342">
        <v>1</v>
      </c>
      <c r="R342">
        <v>30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AA342">
        <v>-7429.3476000000001</v>
      </c>
      <c r="AB342">
        <v>-7429.3476000000001</v>
      </c>
      <c r="AC342">
        <v>-7429.3476000000001</v>
      </c>
      <c r="AD342">
        <v>-7429.3476000000001</v>
      </c>
      <c r="AE342">
        <v>-7429.3476000000001</v>
      </c>
      <c r="AF342">
        <v>-7429.3476000000001</v>
      </c>
    </row>
    <row r="343" spans="2:32" x14ac:dyDescent="0.25">
      <c r="B343">
        <v>31</v>
      </c>
      <c r="C343">
        <v>1</v>
      </c>
      <c r="D343">
        <v>1</v>
      </c>
      <c r="E343">
        <v>1</v>
      </c>
      <c r="F343">
        <v>1</v>
      </c>
      <c r="G343">
        <v>1</v>
      </c>
      <c r="H343">
        <v>1</v>
      </c>
      <c r="J343">
        <v>31</v>
      </c>
      <c r="K343">
        <v>1</v>
      </c>
      <c r="L343">
        <v>1</v>
      </c>
      <c r="M343">
        <v>1</v>
      </c>
      <c r="N343">
        <v>1</v>
      </c>
      <c r="O343">
        <v>1</v>
      </c>
      <c r="P343">
        <v>1</v>
      </c>
      <c r="R343">
        <v>31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AA343">
        <v>-7427.2446</v>
      </c>
      <c r="AB343">
        <v>-7427.2446</v>
      </c>
      <c r="AC343">
        <v>-7427.2446</v>
      </c>
      <c r="AD343">
        <v>-7427.2446</v>
      </c>
      <c r="AE343">
        <v>-7427.2446</v>
      </c>
      <c r="AF343">
        <v>-7427.2446</v>
      </c>
    </row>
    <row r="344" spans="2:32" x14ac:dyDescent="0.25">
      <c r="B344">
        <v>32</v>
      </c>
      <c r="C344">
        <v>1</v>
      </c>
      <c r="D344">
        <v>1</v>
      </c>
      <c r="E344">
        <v>1</v>
      </c>
      <c r="F344">
        <v>1</v>
      </c>
      <c r="G344">
        <v>1</v>
      </c>
      <c r="H344">
        <v>1</v>
      </c>
      <c r="J344">
        <v>32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R344">
        <v>32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AA344">
        <v>-7424.8944000000001</v>
      </c>
      <c r="AB344">
        <v>-7424.8944000000001</v>
      </c>
      <c r="AC344">
        <v>-7424.8944000000001</v>
      </c>
      <c r="AD344">
        <v>-7424.8944000000001</v>
      </c>
      <c r="AE344">
        <v>-7424.8944000000001</v>
      </c>
      <c r="AF344">
        <v>-7424.8944000000001</v>
      </c>
    </row>
    <row r="345" spans="2:32" x14ac:dyDescent="0.25">
      <c r="B345">
        <v>33</v>
      </c>
      <c r="C345">
        <v>1</v>
      </c>
      <c r="D345">
        <v>1</v>
      </c>
      <c r="E345">
        <v>1</v>
      </c>
      <c r="F345">
        <v>1</v>
      </c>
      <c r="G345">
        <v>1</v>
      </c>
      <c r="H345">
        <v>1</v>
      </c>
      <c r="J345">
        <v>33</v>
      </c>
      <c r="K345">
        <v>1</v>
      </c>
      <c r="L345">
        <v>1</v>
      </c>
      <c r="M345">
        <v>1</v>
      </c>
      <c r="N345">
        <v>1</v>
      </c>
      <c r="O345">
        <v>1</v>
      </c>
      <c r="P345">
        <v>1</v>
      </c>
      <c r="R345">
        <v>33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AA345">
        <v>-7422.2834000000003</v>
      </c>
      <c r="AB345">
        <v>-7422.2834000000003</v>
      </c>
      <c r="AC345">
        <v>-7422.2834000000003</v>
      </c>
      <c r="AD345">
        <v>-7422.2834000000003</v>
      </c>
      <c r="AE345">
        <v>-7422.2834000000003</v>
      </c>
      <c r="AF345">
        <v>-7422.2834000000003</v>
      </c>
    </row>
    <row r="346" spans="2:32" x14ac:dyDescent="0.25">
      <c r="B346">
        <v>34</v>
      </c>
      <c r="C346">
        <v>1</v>
      </c>
      <c r="D346">
        <v>1</v>
      </c>
      <c r="E346">
        <v>1</v>
      </c>
      <c r="F346">
        <v>1</v>
      </c>
      <c r="G346">
        <v>1</v>
      </c>
      <c r="H346">
        <v>1</v>
      </c>
      <c r="J346">
        <v>34</v>
      </c>
      <c r="K346">
        <v>1</v>
      </c>
      <c r="L346">
        <v>1</v>
      </c>
      <c r="M346">
        <v>1</v>
      </c>
      <c r="N346">
        <v>1</v>
      </c>
      <c r="O346">
        <v>1</v>
      </c>
      <c r="P346">
        <v>1</v>
      </c>
      <c r="R346">
        <v>34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AA346">
        <v>-7419.3683000000001</v>
      </c>
      <c r="AB346">
        <v>-7419.3683000000001</v>
      </c>
      <c r="AC346">
        <v>-7419.3683000000001</v>
      </c>
      <c r="AD346">
        <v>-7419.3683000000001</v>
      </c>
      <c r="AE346">
        <v>-7419.3683000000001</v>
      </c>
      <c r="AF346">
        <v>-7419.3683000000001</v>
      </c>
    </row>
    <row r="347" spans="2:32" x14ac:dyDescent="0.25">
      <c r="B347">
        <v>35</v>
      </c>
      <c r="C347">
        <v>1</v>
      </c>
      <c r="D347">
        <v>1</v>
      </c>
      <c r="E347">
        <v>1</v>
      </c>
      <c r="F347">
        <v>1</v>
      </c>
      <c r="G347">
        <v>1</v>
      </c>
      <c r="H347">
        <v>1</v>
      </c>
      <c r="J347">
        <v>35</v>
      </c>
      <c r="K347">
        <v>1</v>
      </c>
      <c r="L347">
        <v>1</v>
      </c>
      <c r="M347">
        <v>1</v>
      </c>
      <c r="N347">
        <v>1</v>
      </c>
      <c r="O347">
        <v>1</v>
      </c>
      <c r="P347">
        <v>1</v>
      </c>
      <c r="R347">
        <v>35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AA347">
        <v>-7416.1363000000001</v>
      </c>
      <c r="AB347">
        <v>-7416.1363000000001</v>
      </c>
      <c r="AC347">
        <v>-7416.1363000000001</v>
      </c>
      <c r="AD347">
        <v>-7416.1363000000001</v>
      </c>
      <c r="AE347">
        <v>-7416.1363000000001</v>
      </c>
      <c r="AF347">
        <v>-7416.1363000000001</v>
      </c>
    </row>
    <row r="348" spans="2:32" x14ac:dyDescent="0.25">
      <c r="B348">
        <v>36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1</v>
      </c>
      <c r="J348">
        <v>36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R348">
        <v>36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AA348">
        <v>-7412.5378000000001</v>
      </c>
      <c r="AB348">
        <v>-7412.5378000000001</v>
      </c>
      <c r="AC348">
        <v>-7412.5378000000001</v>
      </c>
      <c r="AD348">
        <v>-7412.5378000000001</v>
      </c>
      <c r="AE348">
        <v>-7412.5378000000001</v>
      </c>
      <c r="AF348">
        <v>-7412.5378000000001</v>
      </c>
    </row>
    <row r="349" spans="2:32" x14ac:dyDescent="0.25">
      <c r="B349">
        <v>37</v>
      </c>
      <c r="C349">
        <v>1</v>
      </c>
      <c r="D349">
        <v>1</v>
      </c>
      <c r="E349">
        <v>1</v>
      </c>
      <c r="F349">
        <v>1</v>
      </c>
      <c r="G349">
        <v>1</v>
      </c>
      <c r="H349">
        <v>1</v>
      </c>
      <c r="J349">
        <v>37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R349">
        <v>37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AA349">
        <v>-7408.55</v>
      </c>
      <c r="AB349">
        <v>-7408.55</v>
      </c>
      <c r="AC349">
        <v>-7408.55</v>
      </c>
      <c r="AD349">
        <v>-7408.55</v>
      </c>
      <c r="AE349">
        <v>-7408.55</v>
      </c>
      <c r="AF349">
        <v>-7408.55</v>
      </c>
    </row>
    <row r="350" spans="2:32" x14ac:dyDescent="0.25">
      <c r="B350">
        <v>38</v>
      </c>
      <c r="C350">
        <v>1</v>
      </c>
      <c r="D350">
        <v>1</v>
      </c>
      <c r="E350">
        <v>1</v>
      </c>
      <c r="F350">
        <v>1</v>
      </c>
      <c r="G350">
        <v>1</v>
      </c>
      <c r="H350">
        <v>1</v>
      </c>
      <c r="J350">
        <v>38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R350">
        <v>38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AA350">
        <v>-7404.1752999999999</v>
      </c>
      <c r="AB350">
        <v>-7404.1752999999999</v>
      </c>
      <c r="AC350">
        <v>-7404.1752999999999</v>
      </c>
      <c r="AD350">
        <v>-7404.1752999999999</v>
      </c>
      <c r="AE350">
        <v>-7404.1752999999999</v>
      </c>
      <c r="AF350">
        <v>-7404.1752999999999</v>
      </c>
    </row>
    <row r="351" spans="2:32" x14ac:dyDescent="0.25">
      <c r="B351">
        <v>39</v>
      </c>
      <c r="C351">
        <v>1</v>
      </c>
      <c r="D351">
        <v>1</v>
      </c>
      <c r="E351">
        <v>1</v>
      </c>
      <c r="F351">
        <v>1</v>
      </c>
      <c r="G351">
        <v>1</v>
      </c>
      <c r="H351">
        <v>1</v>
      </c>
      <c r="J351">
        <v>39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R351">
        <v>39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AA351">
        <v>-7399.3923999999997</v>
      </c>
      <c r="AB351">
        <v>-7399.3923999999997</v>
      </c>
      <c r="AC351">
        <v>-7399.3923999999997</v>
      </c>
      <c r="AD351">
        <v>-7399.3923999999997</v>
      </c>
      <c r="AE351">
        <v>-7399.3923999999997</v>
      </c>
      <c r="AF351">
        <v>-7399.3923999999997</v>
      </c>
    </row>
    <row r="352" spans="2:32" x14ac:dyDescent="0.25">
      <c r="B352">
        <v>40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1</v>
      </c>
      <c r="J352">
        <v>40</v>
      </c>
      <c r="K352">
        <v>1</v>
      </c>
      <c r="L352">
        <v>1</v>
      </c>
      <c r="M352">
        <v>1</v>
      </c>
      <c r="N352">
        <v>1</v>
      </c>
      <c r="O352">
        <v>1</v>
      </c>
      <c r="P352">
        <v>1</v>
      </c>
      <c r="R352">
        <v>40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AA352">
        <v>-7394.1365999999998</v>
      </c>
      <c r="AB352">
        <v>-7394.1365999999998</v>
      </c>
      <c r="AC352">
        <v>-7394.1365999999998</v>
      </c>
      <c r="AD352">
        <v>-7394.1365999999998</v>
      </c>
      <c r="AE352">
        <v>-7394.1365999999998</v>
      </c>
      <c r="AF352">
        <v>-7394.1365999999998</v>
      </c>
    </row>
    <row r="353" spans="2:32" x14ac:dyDescent="0.25">
      <c r="B353">
        <v>41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J353">
        <v>41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R353">
        <v>41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AA353">
        <v>-7388.3469999999998</v>
      </c>
      <c r="AB353">
        <v>-7388.3469999999998</v>
      </c>
      <c r="AC353">
        <v>-7388.3469999999998</v>
      </c>
      <c r="AD353">
        <v>-7388.3469999999998</v>
      </c>
      <c r="AE353">
        <v>-7388.3469999999998</v>
      </c>
      <c r="AF353">
        <v>-7388.3469999999998</v>
      </c>
    </row>
    <row r="354" spans="2:32" x14ac:dyDescent="0.25">
      <c r="B354">
        <v>42</v>
      </c>
      <c r="C354">
        <v>1</v>
      </c>
      <c r="D354">
        <v>1</v>
      </c>
      <c r="E354">
        <v>1</v>
      </c>
      <c r="F354">
        <v>1</v>
      </c>
      <c r="G354">
        <v>1</v>
      </c>
      <c r="H354">
        <v>1</v>
      </c>
      <c r="J354">
        <v>42</v>
      </c>
      <c r="K354">
        <v>1</v>
      </c>
      <c r="L354">
        <v>1</v>
      </c>
      <c r="M354">
        <v>1</v>
      </c>
      <c r="N354">
        <v>1</v>
      </c>
      <c r="O354">
        <v>1</v>
      </c>
      <c r="P354">
        <v>1</v>
      </c>
      <c r="R354">
        <v>42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AA354">
        <v>-7381.9919</v>
      </c>
      <c r="AB354">
        <v>-7381.9919</v>
      </c>
      <c r="AC354">
        <v>-7381.9919</v>
      </c>
      <c r="AD354">
        <v>-7381.9919</v>
      </c>
      <c r="AE354">
        <v>-7381.9919</v>
      </c>
      <c r="AF354">
        <v>-7381.9919</v>
      </c>
    </row>
    <row r="355" spans="2:32" x14ac:dyDescent="0.25">
      <c r="B355">
        <v>43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1</v>
      </c>
      <c r="J355">
        <v>43</v>
      </c>
      <c r="K355">
        <v>1</v>
      </c>
      <c r="L355">
        <v>1</v>
      </c>
      <c r="M355">
        <v>1</v>
      </c>
      <c r="N355">
        <v>1</v>
      </c>
      <c r="O355">
        <v>1</v>
      </c>
      <c r="P355">
        <v>1</v>
      </c>
      <c r="R355">
        <v>43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AA355">
        <v>-7374.9579999999996</v>
      </c>
      <c r="AB355">
        <v>-7374.9579999999996</v>
      </c>
      <c r="AC355">
        <v>-7374.9579999999996</v>
      </c>
      <c r="AD355">
        <v>-7374.9579999999996</v>
      </c>
      <c r="AE355">
        <v>-7374.9579999999996</v>
      </c>
      <c r="AF355">
        <v>-7374.9579999999996</v>
      </c>
    </row>
    <row r="356" spans="2:32" x14ac:dyDescent="0.25">
      <c r="B356">
        <v>44</v>
      </c>
      <c r="C356">
        <v>1</v>
      </c>
      <c r="D356">
        <v>1</v>
      </c>
      <c r="E356">
        <v>1</v>
      </c>
      <c r="F356">
        <v>1</v>
      </c>
      <c r="G356">
        <v>1</v>
      </c>
      <c r="H356">
        <v>1</v>
      </c>
      <c r="J356">
        <v>44</v>
      </c>
      <c r="K356">
        <v>1</v>
      </c>
      <c r="L356">
        <v>1</v>
      </c>
      <c r="M356">
        <v>1</v>
      </c>
      <c r="N356">
        <v>1</v>
      </c>
      <c r="O356">
        <v>1</v>
      </c>
      <c r="P356">
        <v>1</v>
      </c>
      <c r="R356">
        <v>44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AA356">
        <v>-7367.2034999999996</v>
      </c>
      <c r="AB356">
        <v>-7367.2034999999996</v>
      </c>
      <c r="AC356">
        <v>-7367.2034999999996</v>
      </c>
      <c r="AD356">
        <v>-7367.2034999999996</v>
      </c>
      <c r="AE356">
        <v>-7367.2034999999996</v>
      </c>
      <c r="AF356">
        <v>-7367.2034999999996</v>
      </c>
    </row>
    <row r="357" spans="2:32" x14ac:dyDescent="0.25">
      <c r="B357">
        <v>45</v>
      </c>
      <c r="C357">
        <v>1</v>
      </c>
      <c r="D357">
        <v>1</v>
      </c>
      <c r="E357">
        <v>1</v>
      </c>
      <c r="F357">
        <v>1</v>
      </c>
      <c r="G357">
        <v>1</v>
      </c>
      <c r="H357">
        <v>1</v>
      </c>
      <c r="J357">
        <v>45</v>
      </c>
      <c r="K357">
        <v>1</v>
      </c>
      <c r="L357">
        <v>1</v>
      </c>
      <c r="M357">
        <v>1</v>
      </c>
      <c r="N357">
        <v>1</v>
      </c>
      <c r="O357">
        <v>1</v>
      </c>
      <c r="P357">
        <v>1</v>
      </c>
      <c r="R357">
        <v>45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AA357">
        <v>-7358.6491999999998</v>
      </c>
      <c r="AB357">
        <v>-7358.6491999999998</v>
      </c>
      <c r="AC357">
        <v>-7358.6491999999998</v>
      </c>
      <c r="AD357">
        <v>-7358.6491999999998</v>
      </c>
      <c r="AE357">
        <v>-7358.6491999999998</v>
      </c>
      <c r="AF357">
        <v>-7358.6491999999998</v>
      </c>
    </row>
    <row r="358" spans="2:32" x14ac:dyDescent="0.25">
      <c r="B358">
        <v>46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1</v>
      </c>
      <c r="J358">
        <v>46</v>
      </c>
      <c r="K358">
        <v>1</v>
      </c>
      <c r="L358">
        <v>1</v>
      </c>
      <c r="M358">
        <v>1</v>
      </c>
      <c r="N358">
        <v>1</v>
      </c>
      <c r="O358">
        <v>1</v>
      </c>
      <c r="P358">
        <v>1</v>
      </c>
      <c r="R358">
        <v>46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AA358">
        <v>-7349.2232000000004</v>
      </c>
      <c r="AB358">
        <v>-7349.2232000000004</v>
      </c>
      <c r="AC358">
        <v>-7349.2232000000004</v>
      </c>
      <c r="AD358">
        <v>-7349.2232000000004</v>
      </c>
      <c r="AE358">
        <v>-7349.2232000000004</v>
      </c>
      <c r="AF358">
        <v>-7349.2232000000004</v>
      </c>
    </row>
    <row r="359" spans="2:32" x14ac:dyDescent="0.25">
      <c r="B359">
        <v>47</v>
      </c>
      <c r="C359">
        <v>1</v>
      </c>
      <c r="D359">
        <v>1</v>
      </c>
      <c r="E359">
        <v>1</v>
      </c>
      <c r="F359">
        <v>1</v>
      </c>
      <c r="G359">
        <v>1</v>
      </c>
      <c r="H359">
        <v>1</v>
      </c>
      <c r="J359">
        <v>47</v>
      </c>
      <c r="K359">
        <v>1</v>
      </c>
      <c r="L359">
        <v>1</v>
      </c>
      <c r="M359">
        <v>1</v>
      </c>
      <c r="N359">
        <v>1</v>
      </c>
      <c r="O359">
        <v>1</v>
      </c>
      <c r="P359">
        <v>1</v>
      </c>
      <c r="R359">
        <v>47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AA359">
        <v>-7338.8310000000001</v>
      </c>
      <c r="AB359">
        <v>-7338.8310000000001</v>
      </c>
      <c r="AC359">
        <v>-7338.8310000000001</v>
      </c>
      <c r="AD359">
        <v>-7338.8310000000001</v>
      </c>
      <c r="AE359">
        <v>-7338.8310000000001</v>
      </c>
      <c r="AF359">
        <v>-7338.8310000000001</v>
      </c>
    </row>
    <row r="360" spans="2:32" x14ac:dyDescent="0.25">
      <c r="B360">
        <v>48</v>
      </c>
      <c r="C360">
        <v>1</v>
      </c>
      <c r="D360">
        <v>1</v>
      </c>
      <c r="E360">
        <v>1</v>
      </c>
      <c r="F360">
        <v>1</v>
      </c>
      <c r="G360">
        <v>1</v>
      </c>
      <c r="H360">
        <v>1</v>
      </c>
      <c r="J360">
        <v>48</v>
      </c>
      <c r="K360">
        <v>1</v>
      </c>
      <c r="L360">
        <v>1</v>
      </c>
      <c r="M360">
        <v>1</v>
      </c>
      <c r="N360">
        <v>1</v>
      </c>
      <c r="O360">
        <v>1</v>
      </c>
      <c r="P360">
        <v>1</v>
      </c>
      <c r="R360">
        <v>48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AA360">
        <v>-7327.4297999999999</v>
      </c>
      <c r="AB360">
        <v>-7327.4297999999999</v>
      </c>
      <c r="AC360">
        <v>-7327.4297999999999</v>
      </c>
      <c r="AD360">
        <v>-7327.4297999999999</v>
      </c>
      <c r="AE360">
        <v>-7327.4297999999999</v>
      </c>
      <c r="AF360">
        <v>-7327.4297999999999</v>
      </c>
    </row>
    <row r="361" spans="2:32" x14ac:dyDescent="0.25">
      <c r="B361">
        <v>49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J361">
        <v>49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R361">
        <v>49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AA361">
        <v>-7314.951</v>
      </c>
      <c r="AB361">
        <v>-7314.951</v>
      </c>
      <c r="AC361">
        <v>-7314.951</v>
      </c>
      <c r="AD361">
        <v>-7314.951</v>
      </c>
      <c r="AE361">
        <v>-7314.951</v>
      </c>
      <c r="AF361">
        <v>-7314.951</v>
      </c>
    </row>
    <row r="362" spans="2:32" x14ac:dyDescent="0.25">
      <c r="B362">
        <v>50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1</v>
      </c>
      <c r="J362">
        <v>50</v>
      </c>
      <c r="K362">
        <v>1</v>
      </c>
      <c r="L362">
        <v>1</v>
      </c>
      <c r="M362">
        <v>1</v>
      </c>
      <c r="N362">
        <v>1</v>
      </c>
      <c r="O362">
        <v>1</v>
      </c>
      <c r="P362">
        <v>1</v>
      </c>
      <c r="R362">
        <v>50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AA362">
        <v>-7301.2851000000001</v>
      </c>
      <c r="AB362">
        <v>-7301.2851000000001</v>
      </c>
      <c r="AC362">
        <v>-7301.2851000000001</v>
      </c>
      <c r="AD362">
        <v>-7301.2851000000001</v>
      </c>
      <c r="AE362">
        <v>-7301.2851000000001</v>
      </c>
      <c r="AF362">
        <v>-7301.2851000000001</v>
      </c>
    </row>
    <row r="363" spans="2:32" x14ac:dyDescent="0.25">
      <c r="B363">
        <v>51</v>
      </c>
      <c r="C363">
        <v>1</v>
      </c>
      <c r="D363">
        <v>1</v>
      </c>
      <c r="E363">
        <v>1</v>
      </c>
      <c r="F363">
        <v>1</v>
      </c>
      <c r="G363">
        <v>1</v>
      </c>
      <c r="H363">
        <v>1</v>
      </c>
      <c r="J363">
        <v>51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R363">
        <v>51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AA363">
        <v>-7286.3271000000004</v>
      </c>
      <c r="AB363">
        <v>-7286.3271000000004</v>
      </c>
      <c r="AC363">
        <v>-7286.3271000000004</v>
      </c>
      <c r="AD363">
        <v>-7286.3271000000004</v>
      </c>
      <c r="AE363">
        <v>-7286.3271000000004</v>
      </c>
      <c r="AF363">
        <v>-7286.3271000000004</v>
      </c>
    </row>
    <row r="364" spans="2:32" x14ac:dyDescent="0.25">
      <c r="B364">
        <v>52</v>
      </c>
      <c r="C364">
        <v>1</v>
      </c>
      <c r="D364">
        <v>1</v>
      </c>
      <c r="E364">
        <v>1</v>
      </c>
      <c r="F364">
        <v>1</v>
      </c>
      <c r="G364">
        <v>1</v>
      </c>
      <c r="H364">
        <v>1</v>
      </c>
      <c r="J364">
        <v>52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R364">
        <v>52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AA364">
        <v>-7269.9448000000002</v>
      </c>
      <c r="AB364">
        <v>-7269.9448000000002</v>
      </c>
      <c r="AC364">
        <v>-7269.9448000000002</v>
      </c>
      <c r="AD364">
        <v>-7269.9448000000002</v>
      </c>
      <c r="AE364">
        <v>-7269.9448000000002</v>
      </c>
      <c r="AF364">
        <v>-7269.9448000000002</v>
      </c>
    </row>
    <row r="365" spans="2:32" x14ac:dyDescent="0.25">
      <c r="B365">
        <v>53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1</v>
      </c>
      <c r="J365">
        <v>53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R365">
        <v>53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AA365">
        <v>-7252.0574999999999</v>
      </c>
      <c r="AB365">
        <v>-7252.0574999999999</v>
      </c>
      <c r="AC365">
        <v>-7252.0574999999999</v>
      </c>
      <c r="AD365">
        <v>-7252.0574999999999</v>
      </c>
      <c r="AE365">
        <v>-7252.0574999999999</v>
      </c>
      <c r="AF365">
        <v>-7252.0574999999999</v>
      </c>
    </row>
    <row r="366" spans="2:32" x14ac:dyDescent="0.25">
      <c r="B366">
        <v>54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1</v>
      </c>
      <c r="J366">
        <v>54</v>
      </c>
      <c r="K366">
        <v>1</v>
      </c>
      <c r="L366">
        <v>1</v>
      </c>
      <c r="M366">
        <v>1</v>
      </c>
      <c r="N366">
        <v>1</v>
      </c>
      <c r="O366">
        <v>1</v>
      </c>
      <c r="P366">
        <v>1</v>
      </c>
      <c r="R366">
        <v>54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AA366">
        <v>-7232.5680000000002</v>
      </c>
      <c r="AB366">
        <v>-7232.5680000000002</v>
      </c>
      <c r="AC366">
        <v>-7232.5680000000002</v>
      </c>
      <c r="AD366">
        <v>-7232.5680000000002</v>
      </c>
      <c r="AE366">
        <v>-7232.5680000000002</v>
      </c>
      <c r="AF366">
        <v>-7232.5680000000002</v>
      </c>
    </row>
    <row r="367" spans="2:32" x14ac:dyDescent="0.25">
      <c r="B367">
        <v>55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1</v>
      </c>
      <c r="J367">
        <v>55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R367">
        <v>55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AA367">
        <v>-7211.3207000000002</v>
      </c>
      <c r="AB367">
        <v>-7211.3207000000002</v>
      </c>
      <c r="AC367">
        <v>-7211.3207000000002</v>
      </c>
      <c r="AD367">
        <v>-7211.3207000000002</v>
      </c>
      <c r="AE367">
        <v>-7211.3207000000002</v>
      </c>
      <c r="AF367">
        <v>-7211.3207000000002</v>
      </c>
    </row>
    <row r="370" spans="2:31" x14ac:dyDescent="0.25">
      <c r="B370" t="s">
        <v>46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32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48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2:31" x14ac:dyDescent="0.25">
      <c r="B371">
        <v>35</v>
      </c>
      <c r="C371">
        <v>1</v>
      </c>
      <c r="D371">
        <v>1</v>
      </c>
      <c r="E371">
        <v>1</v>
      </c>
      <c r="F371">
        <v>1</v>
      </c>
      <c r="G371">
        <v>1</v>
      </c>
      <c r="J371">
        <v>35</v>
      </c>
      <c r="K371">
        <v>1</v>
      </c>
      <c r="L371">
        <v>1</v>
      </c>
      <c r="M371">
        <v>1</v>
      </c>
      <c r="N371">
        <v>1</v>
      </c>
      <c r="O371">
        <v>1</v>
      </c>
      <c r="R371">
        <v>35</v>
      </c>
      <c r="S371">
        <v>1</v>
      </c>
      <c r="T371">
        <v>1</v>
      </c>
      <c r="U371">
        <v>1</v>
      </c>
      <c r="V371">
        <v>1</v>
      </c>
      <c r="W371">
        <v>1</v>
      </c>
      <c r="AA371">
        <v>-11308.6893</v>
      </c>
      <c r="AB371">
        <v>-11308.6893</v>
      </c>
      <c r="AC371">
        <v>-11308.6893</v>
      </c>
      <c r="AD371">
        <v>-11308.6893</v>
      </c>
      <c r="AE371">
        <v>-11308.6893</v>
      </c>
    </row>
    <row r="372" spans="2:31" x14ac:dyDescent="0.25">
      <c r="B372">
        <f t="shared" ref="B372:B401" si="15">B371+1</f>
        <v>36</v>
      </c>
      <c r="C372">
        <v>1</v>
      </c>
      <c r="D372">
        <v>1</v>
      </c>
      <c r="E372">
        <v>1</v>
      </c>
      <c r="F372">
        <v>1</v>
      </c>
      <c r="G372">
        <v>1</v>
      </c>
      <c r="J372">
        <f t="shared" ref="J372:J401" si="16">J371+1</f>
        <v>36</v>
      </c>
      <c r="K372">
        <v>1</v>
      </c>
      <c r="L372">
        <v>1</v>
      </c>
      <c r="M372">
        <v>1</v>
      </c>
      <c r="N372">
        <v>1</v>
      </c>
      <c r="O372">
        <v>1</v>
      </c>
      <c r="R372">
        <f t="shared" ref="R372:R401" si="17">R371+1</f>
        <v>36</v>
      </c>
      <c r="S372">
        <v>1</v>
      </c>
      <c r="T372">
        <v>1</v>
      </c>
      <c r="U372">
        <v>1</v>
      </c>
      <c r="V372">
        <v>1</v>
      </c>
      <c r="W372">
        <v>1</v>
      </c>
      <c r="AA372">
        <v>-11214.2592</v>
      </c>
      <c r="AB372">
        <v>-11214.2592</v>
      </c>
      <c r="AC372">
        <v>-11214.2592</v>
      </c>
      <c r="AD372">
        <v>-11214.2592</v>
      </c>
      <c r="AE372">
        <v>-11214.2592</v>
      </c>
    </row>
    <row r="373" spans="2:31" x14ac:dyDescent="0.25">
      <c r="B373">
        <f t="shared" si="15"/>
        <v>37</v>
      </c>
      <c r="C373">
        <v>1</v>
      </c>
      <c r="D373">
        <v>1</v>
      </c>
      <c r="E373">
        <v>1</v>
      </c>
      <c r="F373">
        <v>1</v>
      </c>
      <c r="G373">
        <v>1</v>
      </c>
      <c r="J373">
        <f t="shared" si="16"/>
        <v>37</v>
      </c>
      <c r="K373">
        <v>1</v>
      </c>
      <c r="L373">
        <v>1</v>
      </c>
      <c r="M373">
        <v>1</v>
      </c>
      <c r="N373">
        <v>1</v>
      </c>
      <c r="O373">
        <v>1</v>
      </c>
      <c r="R373">
        <f t="shared" si="17"/>
        <v>37</v>
      </c>
      <c r="S373">
        <v>1</v>
      </c>
      <c r="T373">
        <v>1</v>
      </c>
      <c r="U373">
        <v>1</v>
      </c>
      <c r="V373">
        <v>1</v>
      </c>
      <c r="W373">
        <v>1</v>
      </c>
      <c r="AA373">
        <v>-11117.406199999999</v>
      </c>
      <c r="AB373">
        <v>-11117.406199999999</v>
      </c>
      <c r="AC373">
        <v>-11117.406199999999</v>
      </c>
      <c r="AD373">
        <v>-11117.406199999999</v>
      </c>
      <c r="AE373">
        <v>-11117.406199999999</v>
      </c>
    </row>
    <row r="374" spans="2:31" x14ac:dyDescent="0.25">
      <c r="B374">
        <f t="shared" si="15"/>
        <v>38</v>
      </c>
      <c r="C374">
        <v>1</v>
      </c>
      <c r="D374">
        <v>1</v>
      </c>
      <c r="E374">
        <v>1</v>
      </c>
      <c r="F374">
        <v>1</v>
      </c>
      <c r="G374">
        <v>1</v>
      </c>
      <c r="J374">
        <f t="shared" si="16"/>
        <v>38</v>
      </c>
      <c r="K374">
        <v>1</v>
      </c>
      <c r="L374">
        <v>1</v>
      </c>
      <c r="M374">
        <v>1</v>
      </c>
      <c r="N374">
        <v>1</v>
      </c>
      <c r="O374">
        <v>1</v>
      </c>
      <c r="R374">
        <f t="shared" si="17"/>
        <v>38</v>
      </c>
      <c r="S374">
        <v>1</v>
      </c>
      <c r="T374">
        <v>1</v>
      </c>
      <c r="U374">
        <v>1</v>
      </c>
      <c r="V374">
        <v>1</v>
      </c>
      <c r="W374">
        <v>1</v>
      </c>
      <c r="AA374">
        <v>-11018.229799999999</v>
      </c>
      <c r="AB374">
        <v>-11018.229799999999</v>
      </c>
      <c r="AC374">
        <v>-11018.229799999999</v>
      </c>
      <c r="AD374">
        <v>-11018.229799999999</v>
      </c>
      <c r="AE374">
        <v>-11018.229799999999</v>
      </c>
    </row>
    <row r="375" spans="2:31" x14ac:dyDescent="0.25">
      <c r="B375">
        <f t="shared" si="15"/>
        <v>39</v>
      </c>
      <c r="C375">
        <v>1</v>
      </c>
      <c r="D375">
        <v>1</v>
      </c>
      <c r="E375">
        <v>1</v>
      </c>
      <c r="F375">
        <v>1</v>
      </c>
      <c r="G375">
        <v>1</v>
      </c>
      <c r="J375">
        <f t="shared" si="16"/>
        <v>39</v>
      </c>
      <c r="K375">
        <v>1</v>
      </c>
      <c r="L375">
        <v>1</v>
      </c>
      <c r="M375">
        <v>1</v>
      </c>
      <c r="N375">
        <v>1</v>
      </c>
      <c r="O375">
        <v>1</v>
      </c>
      <c r="R375">
        <f t="shared" si="17"/>
        <v>39</v>
      </c>
      <c r="S375">
        <v>1</v>
      </c>
      <c r="T375">
        <v>1</v>
      </c>
      <c r="U375">
        <v>1</v>
      </c>
      <c r="V375">
        <v>1</v>
      </c>
      <c r="W375">
        <v>1</v>
      </c>
      <c r="AA375">
        <v>-10916.737999999999</v>
      </c>
      <c r="AB375">
        <v>-10916.737999999999</v>
      </c>
      <c r="AC375">
        <v>-10916.737999999999</v>
      </c>
      <c r="AD375">
        <v>-10916.737999999999</v>
      </c>
      <c r="AE375">
        <v>-10916.737999999999</v>
      </c>
    </row>
    <row r="376" spans="2:31" x14ac:dyDescent="0.25">
      <c r="B376">
        <f t="shared" si="15"/>
        <v>40</v>
      </c>
      <c r="C376">
        <v>1</v>
      </c>
      <c r="D376">
        <v>1</v>
      </c>
      <c r="E376">
        <v>1</v>
      </c>
      <c r="F376">
        <v>1</v>
      </c>
      <c r="G376">
        <v>1</v>
      </c>
      <c r="J376">
        <f t="shared" si="16"/>
        <v>40</v>
      </c>
      <c r="K376">
        <v>1</v>
      </c>
      <c r="L376">
        <v>1</v>
      </c>
      <c r="M376">
        <v>1</v>
      </c>
      <c r="N376">
        <v>1</v>
      </c>
      <c r="O376">
        <v>1</v>
      </c>
      <c r="R376">
        <f t="shared" si="17"/>
        <v>40</v>
      </c>
      <c r="S376">
        <v>1</v>
      </c>
      <c r="T376">
        <v>1</v>
      </c>
      <c r="U376">
        <v>1</v>
      </c>
      <c r="V376">
        <v>1</v>
      </c>
      <c r="W376">
        <v>1</v>
      </c>
      <c r="AA376">
        <v>-10812.8714</v>
      </c>
      <c r="AB376">
        <v>-10812.8714</v>
      </c>
      <c r="AC376">
        <v>-10812.8714</v>
      </c>
      <c r="AD376">
        <v>-10812.8714</v>
      </c>
      <c r="AE376">
        <v>-10812.8714</v>
      </c>
    </row>
    <row r="377" spans="2:31" x14ac:dyDescent="0.25">
      <c r="B377">
        <f t="shared" si="15"/>
        <v>41</v>
      </c>
      <c r="C377">
        <v>1</v>
      </c>
      <c r="D377">
        <v>1</v>
      </c>
      <c r="E377">
        <v>1</v>
      </c>
      <c r="F377">
        <v>1</v>
      </c>
      <c r="G377">
        <v>1</v>
      </c>
      <c r="J377">
        <f t="shared" si="16"/>
        <v>41</v>
      </c>
      <c r="K377">
        <v>1</v>
      </c>
      <c r="L377">
        <v>1</v>
      </c>
      <c r="M377">
        <v>1</v>
      </c>
      <c r="N377">
        <v>1</v>
      </c>
      <c r="O377">
        <v>1</v>
      </c>
      <c r="R377">
        <f t="shared" si="17"/>
        <v>41</v>
      </c>
      <c r="S377">
        <v>1</v>
      </c>
      <c r="T377">
        <v>1</v>
      </c>
      <c r="U377">
        <v>1</v>
      </c>
      <c r="V377">
        <v>1</v>
      </c>
      <c r="W377">
        <v>1</v>
      </c>
      <c r="AA377">
        <v>-10706.559600000001</v>
      </c>
      <c r="AB377">
        <v>-10706.559600000001</v>
      </c>
      <c r="AC377">
        <v>-10706.559600000001</v>
      </c>
      <c r="AD377">
        <v>-10706.559600000001</v>
      </c>
      <c r="AE377">
        <v>-10706.559600000001</v>
      </c>
    </row>
    <row r="378" spans="2:31" x14ac:dyDescent="0.25">
      <c r="B378">
        <f t="shared" si="15"/>
        <v>42</v>
      </c>
      <c r="C378">
        <v>1</v>
      </c>
      <c r="D378">
        <v>1</v>
      </c>
      <c r="E378">
        <v>1</v>
      </c>
      <c r="F378">
        <v>1</v>
      </c>
      <c r="G378">
        <v>1</v>
      </c>
      <c r="J378">
        <f t="shared" si="16"/>
        <v>42</v>
      </c>
      <c r="K378">
        <v>1</v>
      </c>
      <c r="L378">
        <v>1</v>
      </c>
      <c r="M378">
        <v>1</v>
      </c>
      <c r="N378">
        <v>1</v>
      </c>
      <c r="O378">
        <v>1</v>
      </c>
      <c r="R378">
        <f t="shared" si="17"/>
        <v>42</v>
      </c>
      <c r="S378">
        <v>1</v>
      </c>
      <c r="T378">
        <v>1</v>
      </c>
      <c r="U378">
        <v>1</v>
      </c>
      <c r="V378">
        <v>1</v>
      </c>
      <c r="W378">
        <v>1</v>
      </c>
      <c r="AA378">
        <v>-10597.8485</v>
      </c>
      <c r="AB378">
        <v>-10597.8485</v>
      </c>
      <c r="AC378">
        <v>-10597.8485</v>
      </c>
      <c r="AD378">
        <v>-10597.8485</v>
      </c>
      <c r="AE378">
        <v>-10597.8485</v>
      </c>
    </row>
    <row r="379" spans="2:31" x14ac:dyDescent="0.25">
      <c r="B379">
        <f t="shared" si="15"/>
        <v>43</v>
      </c>
      <c r="C379">
        <v>1</v>
      </c>
      <c r="D379">
        <v>1</v>
      </c>
      <c r="E379">
        <v>1</v>
      </c>
      <c r="F379">
        <v>1</v>
      </c>
      <c r="G379">
        <v>1</v>
      </c>
      <c r="J379">
        <f t="shared" si="16"/>
        <v>43</v>
      </c>
      <c r="K379">
        <v>1</v>
      </c>
      <c r="L379">
        <v>1</v>
      </c>
      <c r="M379">
        <v>1</v>
      </c>
      <c r="N379">
        <v>1</v>
      </c>
      <c r="O379">
        <v>1</v>
      </c>
      <c r="R379">
        <f t="shared" si="17"/>
        <v>43</v>
      </c>
      <c r="S379">
        <v>1</v>
      </c>
      <c r="T379">
        <v>1</v>
      </c>
      <c r="U379">
        <v>1</v>
      </c>
      <c r="V379">
        <v>1</v>
      </c>
      <c r="W379">
        <v>1</v>
      </c>
      <c r="AA379">
        <v>-10486.615400000001</v>
      </c>
      <c r="AB379">
        <v>-10486.615400000001</v>
      </c>
      <c r="AC379">
        <v>-10486.615400000001</v>
      </c>
      <c r="AD379">
        <v>-10486.615400000001</v>
      </c>
      <c r="AE379">
        <v>-10486.615400000001</v>
      </c>
    </row>
    <row r="380" spans="2:31" x14ac:dyDescent="0.25">
      <c r="B380">
        <f t="shared" si="15"/>
        <v>44</v>
      </c>
      <c r="C380">
        <v>1</v>
      </c>
      <c r="D380">
        <v>1</v>
      </c>
      <c r="E380">
        <v>1</v>
      </c>
      <c r="F380">
        <v>1</v>
      </c>
      <c r="G380">
        <v>1</v>
      </c>
      <c r="J380">
        <f t="shared" si="16"/>
        <v>44</v>
      </c>
      <c r="K380">
        <v>1</v>
      </c>
      <c r="L380">
        <v>1</v>
      </c>
      <c r="M380">
        <v>1</v>
      </c>
      <c r="N380">
        <v>1</v>
      </c>
      <c r="O380">
        <v>1</v>
      </c>
      <c r="R380">
        <f t="shared" si="17"/>
        <v>44</v>
      </c>
      <c r="S380">
        <v>1</v>
      </c>
      <c r="T380">
        <v>1</v>
      </c>
      <c r="U380">
        <v>1</v>
      </c>
      <c r="V380">
        <v>1</v>
      </c>
      <c r="W380">
        <v>1</v>
      </c>
      <c r="AA380">
        <v>-10372.9005</v>
      </c>
      <c r="AB380">
        <v>-10372.9005</v>
      </c>
      <c r="AC380">
        <v>-10372.9005</v>
      </c>
      <c r="AD380">
        <v>-10372.9005</v>
      </c>
      <c r="AE380">
        <v>-10372.9005</v>
      </c>
    </row>
    <row r="381" spans="2:31" x14ac:dyDescent="0.25">
      <c r="B381">
        <f t="shared" si="15"/>
        <v>45</v>
      </c>
      <c r="C381">
        <v>1</v>
      </c>
      <c r="D381">
        <v>1</v>
      </c>
      <c r="E381">
        <v>1</v>
      </c>
      <c r="F381">
        <v>1</v>
      </c>
      <c r="G381">
        <v>1</v>
      </c>
      <c r="J381">
        <f t="shared" si="16"/>
        <v>45</v>
      </c>
      <c r="K381">
        <v>1</v>
      </c>
      <c r="L381">
        <v>1</v>
      </c>
      <c r="M381">
        <v>1</v>
      </c>
      <c r="N381">
        <v>1</v>
      </c>
      <c r="O381">
        <v>1</v>
      </c>
      <c r="R381">
        <f t="shared" si="17"/>
        <v>45</v>
      </c>
      <c r="S381">
        <v>1</v>
      </c>
      <c r="T381">
        <v>1</v>
      </c>
      <c r="U381">
        <v>1</v>
      </c>
      <c r="V381">
        <v>1</v>
      </c>
      <c r="W381">
        <v>1</v>
      </c>
      <c r="AA381">
        <v>-10256.650600000001</v>
      </c>
      <c r="AB381">
        <v>-10256.650600000001</v>
      </c>
      <c r="AC381">
        <v>-10256.650600000001</v>
      </c>
      <c r="AD381">
        <v>-10256.650600000001</v>
      </c>
      <c r="AE381">
        <v>-10256.650600000001</v>
      </c>
    </row>
    <row r="382" spans="2:31" x14ac:dyDescent="0.25">
      <c r="B382">
        <f t="shared" si="15"/>
        <v>46</v>
      </c>
      <c r="C382">
        <v>1</v>
      </c>
      <c r="D382">
        <v>1</v>
      </c>
      <c r="E382">
        <v>1</v>
      </c>
      <c r="F382">
        <v>1</v>
      </c>
      <c r="G382">
        <v>1</v>
      </c>
      <c r="J382">
        <f t="shared" si="16"/>
        <v>46</v>
      </c>
      <c r="K382">
        <v>1</v>
      </c>
      <c r="L382">
        <v>1</v>
      </c>
      <c r="M382">
        <v>1</v>
      </c>
      <c r="N382">
        <v>1</v>
      </c>
      <c r="O382">
        <v>1</v>
      </c>
      <c r="R382">
        <f t="shared" si="17"/>
        <v>46</v>
      </c>
      <c r="S382">
        <v>1</v>
      </c>
      <c r="T382">
        <v>1</v>
      </c>
      <c r="U382">
        <v>1</v>
      </c>
      <c r="V382">
        <v>1</v>
      </c>
      <c r="W382">
        <v>1</v>
      </c>
      <c r="AA382">
        <v>-10137.871499999999</v>
      </c>
      <c r="AB382">
        <v>-10137.871499999999</v>
      </c>
      <c r="AC382">
        <v>-10137.871499999999</v>
      </c>
      <c r="AD382">
        <v>-10137.871499999999</v>
      </c>
      <c r="AE382">
        <v>-10137.871499999999</v>
      </c>
    </row>
    <row r="383" spans="2:31" x14ac:dyDescent="0.25">
      <c r="B383">
        <f t="shared" si="15"/>
        <v>47</v>
      </c>
      <c r="C383">
        <v>1</v>
      </c>
      <c r="D383">
        <v>1</v>
      </c>
      <c r="E383">
        <v>1</v>
      </c>
      <c r="F383">
        <v>1</v>
      </c>
      <c r="G383">
        <v>1</v>
      </c>
      <c r="J383">
        <f t="shared" si="16"/>
        <v>47</v>
      </c>
      <c r="K383">
        <v>1</v>
      </c>
      <c r="L383">
        <v>1</v>
      </c>
      <c r="M383">
        <v>1</v>
      </c>
      <c r="N383">
        <v>1</v>
      </c>
      <c r="O383">
        <v>1</v>
      </c>
      <c r="R383">
        <f t="shared" si="17"/>
        <v>47</v>
      </c>
      <c r="S383">
        <v>1</v>
      </c>
      <c r="T383">
        <v>1</v>
      </c>
      <c r="U383">
        <v>1</v>
      </c>
      <c r="V383">
        <v>1</v>
      </c>
      <c r="W383">
        <v>1</v>
      </c>
      <c r="AA383">
        <v>-10016.4967</v>
      </c>
      <c r="AB383">
        <v>-10016.4967</v>
      </c>
      <c r="AC383">
        <v>-10016.4967</v>
      </c>
      <c r="AD383">
        <v>-10016.4967</v>
      </c>
      <c r="AE383">
        <v>-10016.4967</v>
      </c>
    </row>
    <row r="384" spans="2:31" x14ac:dyDescent="0.25">
      <c r="B384">
        <f t="shared" si="15"/>
        <v>48</v>
      </c>
      <c r="C384">
        <v>1</v>
      </c>
      <c r="D384">
        <v>1</v>
      </c>
      <c r="E384">
        <v>1</v>
      </c>
      <c r="F384">
        <v>1</v>
      </c>
      <c r="G384">
        <v>1</v>
      </c>
      <c r="J384">
        <f t="shared" si="16"/>
        <v>48</v>
      </c>
      <c r="K384">
        <v>1</v>
      </c>
      <c r="L384">
        <v>1</v>
      </c>
      <c r="M384">
        <v>1</v>
      </c>
      <c r="N384">
        <v>1</v>
      </c>
      <c r="O384">
        <v>1</v>
      </c>
      <c r="R384">
        <f t="shared" si="17"/>
        <v>48</v>
      </c>
      <c r="S384">
        <v>1</v>
      </c>
      <c r="T384">
        <v>1</v>
      </c>
      <c r="U384">
        <v>1</v>
      </c>
      <c r="V384">
        <v>1</v>
      </c>
      <c r="W384">
        <v>1</v>
      </c>
      <c r="AA384">
        <v>-9892.6355000000003</v>
      </c>
      <c r="AB384">
        <v>-9892.6355000000003</v>
      </c>
      <c r="AC384">
        <v>-9892.6355000000003</v>
      </c>
      <c r="AD384">
        <v>-9892.6355000000003</v>
      </c>
      <c r="AE384">
        <v>-9892.6355000000003</v>
      </c>
    </row>
    <row r="385" spans="2:31" x14ac:dyDescent="0.25">
      <c r="B385">
        <f t="shared" si="15"/>
        <v>49</v>
      </c>
      <c r="C385">
        <v>1</v>
      </c>
      <c r="D385">
        <v>1</v>
      </c>
      <c r="E385">
        <v>1</v>
      </c>
      <c r="F385">
        <v>1</v>
      </c>
      <c r="G385">
        <v>1</v>
      </c>
      <c r="J385">
        <f t="shared" si="16"/>
        <v>49</v>
      </c>
      <c r="K385">
        <v>1</v>
      </c>
      <c r="L385">
        <v>1</v>
      </c>
      <c r="M385">
        <v>1</v>
      </c>
      <c r="N385">
        <v>1</v>
      </c>
      <c r="O385">
        <v>1</v>
      </c>
      <c r="R385">
        <f t="shared" si="17"/>
        <v>49</v>
      </c>
      <c r="S385">
        <v>1</v>
      </c>
      <c r="T385">
        <v>1</v>
      </c>
      <c r="U385">
        <v>1</v>
      </c>
      <c r="V385">
        <v>1</v>
      </c>
      <c r="W385">
        <v>1</v>
      </c>
      <c r="AA385">
        <v>-9766.3366999999998</v>
      </c>
      <c r="AB385">
        <v>-9766.3366999999998</v>
      </c>
      <c r="AC385">
        <v>-9766.3366999999998</v>
      </c>
      <c r="AD385">
        <v>-9766.3366999999998</v>
      </c>
      <c r="AE385">
        <v>-9766.3366999999998</v>
      </c>
    </row>
    <row r="386" spans="2:31" x14ac:dyDescent="0.25">
      <c r="B386">
        <f t="shared" si="15"/>
        <v>50</v>
      </c>
      <c r="C386">
        <v>1</v>
      </c>
      <c r="D386">
        <v>1</v>
      </c>
      <c r="E386">
        <v>1</v>
      </c>
      <c r="F386">
        <v>1</v>
      </c>
      <c r="G386">
        <v>1</v>
      </c>
      <c r="J386">
        <f t="shared" si="16"/>
        <v>50</v>
      </c>
      <c r="K386">
        <v>1</v>
      </c>
      <c r="L386">
        <v>1</v>
      </c>
      <c r="M386">
        <v>1</v>
      </c>
      <c r="N386">
        <v>1</v>
      </c>
      <c r="O386">
        <v>1</v>
      </c>
      <c r="R386">
        <f t="shared" si="17"/>
        <v>50</v>
      </c>
      <c r="S386">
        <v>1</v>
      </c>
      <c r="T386">
        <v>1</v>
      </c>
      <c r="U386">
        <v>1</v>
      </c>
      <c r="V386">
        <v>1</v>
      </c>
      <c r="W386">
        <v>1</v>
      </c>
      <c r="AA386">
        <v>-9637.5864000000001</v>
      </c>
      <c r="AB386">
        <v>-9637.5864000000001</v>
      </c>
      <c r="AC386">
        <v>-9637.5864000000001</v>
      </c>
      <c r="AD386">
        <v>-9637.5864000000001</v>
      </c>
      <c r="AE386">
        <v>-9637.5864000000001</v>
      </c>
    </row>
    <row r="387" spans="2:31" x14ac:dyDescent="0.25">
      <c r="B387">
        <f t="shared" si="15"/>
        <v>51</v>
      </c>
      <c r="C387">
        <v>1</v>
      </c>
      <c r="D387">
        <v>1</v>
      </c>
      <c r="E387">
        <v>1</v>
      </c>
      <c r="F387">
        <v>1</v>
      </c>
      <c r="G387">
        <v>1</v>
      </c>
      <c r="J387">
        <f t="shared" si="16"/>
        <v>51</v>
      </c>
      <c r="K387">
        <v>1</v>
      </c>
      <c r="L387">
        <v>1</v>
      </c>
      <c r="M387">
        <v>1</v>
      </c>
      <c r="N387">
        <v>1</v>
      </c>
      <c r="O387">
        <v>1</v>
      </c>
      <c r="R387">
        <f t="shared" si="17"/>
        <v>51</v>
      </c>
      <c r="S387">
        <v>1</v>
      </c>
      <c r="T387">
        <v>1</v>
      </c>
      <c r="U387">
        <v>1</v>
      </c>
      <c r="V387">
        <v>1</v>
      </c>
      <c r="W387">
        <v>1</v>
      </c>
      <c r="AA387">
        <v>-9506.3734000000004</v>
      </c>
      <c r="AB387">
        <v>-9506.3734000000004</v>
      </c>
      <c r="AC387">
        <v>-9506.3734000000004</v>
      </c>
      <c r="AD387">
        <v>-9506.3734000000004</v>
      </c>
      <c r="AE387">
        <v>-9506.3734000000004</v>
      </c>
    </row>
    <row r="388" spans="2:31" x14ac:dyDescent="0.25">
      <c r="B388">
        <f t="shared" si="15"/>
        <v>52</v>
      </c>
      <c r="C388">
        <v>1</v>
      </c>
      <c r="D388">
        <v>1</v>
      </c>
      <c r="E388">
        <v>1</v>
      </c>
      <c r="F388">
        <v>1</v>
      </c>
      <c r="G388">
        <v>1</v>
      </c>
      <c r="J388">
        <f t="shared" si="16"/>
        <v>52</v>
      </c>
      <c r="K388">
        <v>1</v>
      </c>
      <c r="L388">
        <v>1</v>
      </c>
      <c r="M388">
        <v>1</v>
      </c>
      <c r="N388">
        <v>1</v>
      </c>
      <c r="O388">
        <v>1</v>
      </c>
      <c r="R388">
        <f t="shared" si="17"/>
        <v>52</v>
      </c>
      <c r="S388">
        <v>1</v>
      </c>
      <c r="T388">
        <v>1</v>
      </c>
      <c r="U388">
        <v>1</v>
      </c>
      <c r="V388">
        <v>1</v>
      </c>
      <c r="W388">
        <v>1</v>
      </c>
      <c r="AA388">
        <v>-9372.7019</v>
      </c>
      <c r="AB388">
        <v>-9372.7019</v>
      </c>
      <c r="AC388">
        <v>-9372.7019</v>
      </c>
      <c r="AD388">
        <v>-9372.7019</v>
      </c>
      <c r="AE388">
        <v>-9372.7019</v>
      </c>
    </row>
    <row r="389" spans="2:31" x14ac:dyDescent="0.25">
      <c r="B389">
        <f t="shared" si="15"/>
        <v>53</v>
      </c>
      <c r="C389">
        <v>1</v>
      </c>
      <c r="D389">
        <v>1</v>
      </c>
      <c r="E389">
        <v>1</v>
      </c>
      <c r="F389">
        <v>1</v>
      </c>
      <c r="G389">
        <v>1</v>
      </c>
      <c r="J389">
        <f t="shared" si="16"/>
        <v>53</v>
      </c>
      <c r="K389">
        <v>1</v>
      </c>
      <c r="L389">
        <v>1</v>
      </c>
      <c r="M389">
        <v>1</v>
      </c>
      <c r="N389">
        <v>1</v>
      </c>
      <c r="O389">
        <v>1</v>
      </c>
      <c r="R389">
        <f t="shared" si="17"/>
        <v>53</v>
      </c>
      <c r="S389">
        <v>1</v>
      </c>
      <c r="T389">
        <v>1</v>
      </c>
      <c r="U389">
        <v>1</v>
      </c>
      <c r="V389">
        <v>1</v>
      </c>
      <c r="W389">
        <v>1</v>
      </c>
      <c r="AA389">
        <v>-9236.6705000000002</v>
      </c>
      <c r="AB389">
        <v>-9236.6705000000002</v>
      </c>
      <c r="AC389">
        <v>-9236.6705000000002</v>
      </c>
      <c r="AD389">
        <v>-9236.6705000000002</v>
      </c>
      <c r="AE389">
        <v>-9236.6705000000002</v>
      </c>
    </row>
    <row r="390" spans="2:31" x14ac:dyDescent="0.25">
      <c r="B390">
        <f t="shared" si="15"/>
        <v>54</v>
      </c>
      <c r="C390">
        <v>1</v>
      </c>
      <c r="D390">
        <v>1</v>
      </c>
      <c r="E390">
        <v>1</v>
      </c>
      <c r="F390">
        <v>1</v>
      </c>
      <c r="G390">
        <v>1</v>
      </c>
      <c r="J390">
        <f t="shared" si="16"/>
        <v>54</v>
      </c>
      <c r="K390">
        <v>1</v>
      </c>
      <c r="L390">
        <v>1</v>
      </c>
      <c r="M390">
        <v>1</v>
      </c>
      <c r="N390">
        <v>1</v>
      </c>
      <c r="O390">
        <v>1</v>
      </c>
      <c r="R390">
        <f t="shared" si="17"/>
        <v>54</v>
      </c>
      <c r="S390">
        <v>1</v>
      </c>
      <c r="T390">
        <v>1</v>
      </c>
      <c r="U390">
        <v>1</v>
      </c>
      <c r="V390">
        <v>1</v>
      </c>
      <c r="W390">
        <v>1</v>
      </c>
      <c r="AA390">
        <v>-9098.4312000000009</v>
      </c>
      <c r="AB390">
        <v>-9098.4312000000009</v>
      </c>
      <c r="AC390">
        <v>-9098.4312000000009</v>
      </c>
      <c r="AD390">
        <v>-9098.4312000000009</v>
      </c>
      <c r="AE390">
        <v>-9098.4312000000009</v>
      </c>
    </row>
    <row r="391" spans="2:31" x14ac:dyDescent="0.25">
      <c r="B391">
        <f t="shared" si="15"/>
        <v>55</v>
      </c>
      <c r="C391">
        <v>1</v>
      </c>
      <c r="D391">
        <v>1</v>
      </c>
      <c r="E391">
        <v>1</v>
      </c>
      <c r="F391">
        <v>1</v>
      </c>
      <c r="G391">
        <v>1</v>
      </c>
      <c r="J391">
        <f t="shared" si="16"/>
        <v>55</v>
      </c>
      <c r="K391">
        <v>1</v>
      </c>
      <c r="L391">
        <v>1</v>
      </c>
      <c r="M391">
        <v>1</v>
      </c>
      <c r="N391">
        <v>1</v>
      </c>
      <c r="O391">
        <v>1</v>
      </c>
      <c r="R391">
        <f t="shared" si="17"/>
        <v>55</v>
      </c>
      <c r="S391">
        <v>1</v>
      </c>
      <c r="T391">
        <v>1</v>
      </c>
      <c r="U391">
        <v>1</v>
      </c>
      <c r="V391">
        <v>1</v>
      </c>
      <c r="W391">
        <v>1</v>
      </c>
      <c r="AA391">
        <v>-8958.0210999999999</v>
      </c>
      <c r="AB391">
        <v>-8958.0210999999999</v>
      </c>
      <c r="AC391">
        <v>-8958.0210999999999</v>
      </c>
      <c r="AD391">
        <v>-8958.0210999999999</v>
      </c>
      <c r="AE391">
        <v>-8958.0210999999999</v>
      </c>
    </row>
    <row r="392" spans="2:31" x14ac:dyDescent="0.25">
      <c r="B392">
        <f t="shared" si="15"/>
        <v>56</v>
      </c>
      <c r="C392">
        <v>1</v>
      </c>
      <c r="D392">
        <v>1</v>
      </c>
      <c r="E392">
        <v>1</v>
      </c>
      <c r="F392">
        <v>1</v>
      </c>
      <c r="G392">
        <v>1</v>
      </c>
      <c r="J392">
        <f t="shared" si="16"/>
        <v>56</v>
      </c>
      <c r="K392">
        <v>1</v>
      </c>
      <c r="L392">
        <v>1</v>
      </c>
      <c r="M392">
        <v>1</v>
      </c>
      <c r="N392">
        <v>1</v>
      </c>
      <c r="O392">
        <v>1</v>
      </c>
      <c r="R392">
        <f t="shared" si="17"/>
        <v>56</v>
      </c>
      <c r="S392">
        <v>1</v>
      </c>
      <c r="T392">
        <v>1</v>
      </c>
      <c r="U392">
        <v>1</v>
      </c>
      <c r="V392">
        <v>1</v>
      </c>
      <c r="W392">
        <v>1</v>
      </c>
      <c r="AA392">
        <v>-8815.6316999999999</v>
      </c>
      <c r="AB392">
        <v>-8815.6316999999999</v>
      </c>
      <c r="AC392">
        <v>-8815.6316999999999</v>
      </c>
      <c r="AD392">
        <v>-8815.6316999999999</v>
      </c>
      <c r="AE392">
        <v>-8815.6316999999999</v>
      </c>
    </row>
    <row r="393" spans="2:31" x14ac:dyDescent="0.25">
      <c r="B393">
        <f t="shared" si="15"/>
        <v>57</v>
      </c>
      <c r="C393">
        <v>1</v>
      </c>
      <c r="D393">
        <v>1</v>
      </c>
      <c r="E393">
        <v>1</v>
      </c>
      <c r="F393">
        <v>1</v>
      </c>
      <c r="G393">
        <v>1</v>
      </c>
      <c r="J393">
        <f t="shared" si="16"/>
        <v>57</v>
      </c>
      <c r="K393">
        <v>1</v>
      </c>
      <c r="L393">
        <v>1</v>
      </c>
      <c r="M393">
        <v>1</v>
      </c>
      <c r="N393">
        <v>1</v>
      </c>
      <c r="O393">
        <v>1</v>
      </c>
      <c r="R393">
        <f t="shared" si="17"/>
        <v>57</v>
      </c>
      <c r="S393">
        <v>1</v>
      </c>
      <c r="T393">
        <v>1</v>
      </c>
      <c r="U393">
        <v>1</v>
      </c>
      <c r="V393">
        <v>1</v>
      </c>
      <c r="W393">
        <v>1</v>
      </c>
      <c r="AA393">
        <v>-8671.3991999999998</v>
      </c>
      <c r="AB393">
        <v>-8671.3991999999998</v>
      </c>
      <c r="AC393">
        <v>-8671.3991999999998</v>
      </c>
      <c r="AD393">
        <v>-8671.3991999999998</v>
      </c>
      <c r="AE393">
        <v>-8671.3991999999998</v>
      </c>
    </row>
    <row r="394" spans="2:31" x14ac:dyDescent="0.25">
      <c r="B394">
        <f t="shared" si="15"/>
        <v>58</v>
      </c>
      <c r="C394">
        <v>1</v>
      </c>
      <c r="D394">
        <v>1</v>
      </c>
      <c r="E394">
        <v>1</v>
      </c>
      <c r="F394">
        <v>1</v>
      </c>
      <c r="G394">
        <v>1</v>
      </c>
      <c r="J394">
        <f t="shared" si="16"/>
        <v>58</v>
      </c>
      <c r="K394">
        <v>1</v>
      </c>
      <c r="L394">
        <v>1</v>
      </c>
      <c r="M394">
        <v>1</v>
      </c>
      <c r="N394">
        <v>1</v>
      </c>
      <c r="O394">
        <v>1</v>
      </c>
      <c r="R394">
        <f t="shared" si="17"/>
        <v>58</v>
      </c>
      <c r="S394">
        <v>1</v>
      </c>
      <c r="T394">
        <v>1</v>
      </c>
      <c r="U394">
        <v>1</v>
      </c>
      <c r="V394">
        <v>1</v>
      </c>
      <c r="W394">
        <v>1</v>
      </c>
      <c r="AA394">
        <v>-8525.2759999999998</v>
      </c>
      <c r="AB394">
        <v>-8525.2759999999998</v>
      </c>
      <c r="AC394">
        <v>-8525.2759999999998</v>
      </c>
      <c r="AD394">
        <v>-8525.2759999999998</v>
      </c>
      <c r="AE394">
        <v>-8525.2759999999998</v>
      </c>
    </row>
    <row r="395" spans="2:31" x14ac:dyDescent="0.25">
      <c r="B395">
        <f t="shared" si="15"/>
        <v>59</v>
      </c>
      <c r="C395">
        <v>1</v>
      </c>
      <c r="D395">
        <v>1</v>
      </c>
      <c r="E395">
        <v>1</v>
      </c>
      <c r="F395">
        <v>1</v>
      </c>
      <c r="G395">
        <v>1</v>
      </c>
      <c r="J395">
        <f t="shared" si="16"/>
        <v>59</v>
      </c>
      <c r="K395">
        <v>1</v>
      </c>
      <c r="L395">
        <v>1</v>
      </c>
      <c r="M395">
        <v>1</v>
      </c>
      <c r="N395">
        <v>1</v>
      </c>
      <c r="O395">
        <v>1</v>
      </c>
      <c r="R395">
        <f t="shared" si="17"/>
        <v>59</v>
      </c>
      <c r="S395">
        <v>1</v>
      </c>
      <c r="T395">
        <v>1</v>
      </c>
      <c r="U395">
        <v>1</v>
      </c>
      <c r="V395">
        <v>1</v>
      </c>
      <c r="W395">
        <v>1</v>
      </c>
      <c r="AA395">
        <v>-8377.2351999999992</v>
      </c>
      <c r="AB395">
        <v>-8377.2351999999992</v>
      </c>
      <c r="AC395">
        <v>-8377.2351999999992</v>
      </c>
      <c r="AD395">
        <v>-8377.2351999999992</v>
      </c>
      <c r="AE395">
        <v>-8377.2351999999992</v>
      </c>
    </row>
    <row r="396" spans="2:31" x14ac:dyDescent="0.25">
      <c r="B396">
        <f t="shared" si="15"/>
        <v>60</v>
      </c>
      <c r="C396">
        <v>1</v>
      </c>
      <c r="D396">
        <v>1</v>
      </c>
      <c r="E396">
        <v>1</v>
      </c>
      <c r="F396">
        <v>1</v>
      </c>
      <c r="G396">
        <v>1</v>
      </c>
      <c r="J396">
        <f t="shared" si="16"/>
        <v>60</v>
      </c>
      <c r="K396">
        <v>1</v>
      </c>
      <c r="L396">
        <v>1</v>
      </c>
      <c r="M396">
        <v>1</v>
      </c>
      <c r="N396">
        <v>1</v>
      </c>
      <c r="O396">
        <v>1</v>
      </c>
      <c r="R396">
        <f t="shared" si="17"/>
        <v>60</v>
      </c>
      <c r="S396">
        <v>1</v>
      </c>
      <c r="T396">
        <v>1</v>
      </c>
      <c r="U396">
        <v>1</v>
      </c>
      <c r="V396">
        <v>1</v>
      </c>
      <c r="W396">
        <v>1</v>
      </c>
      <c r="AA396">
        <v>-8227.3953999999994</v>
      </c>
      <c r="AB396">
        <v>-8227.3953999999994</v>
      </c>
      <c r="AC396">
        <v>-8227.3953999999994</v>
      </c>
      <c r="AD396">
        <v>-8227.3953999999994</v>
      </c>
      <c r="AE396">
        <v>-8227.3953999999994</v>
      </c>
    </row>
    <row r="397" spans="2:31" x14ac:dyDescent="0.25">
      <c r="B397">
        <f t="shared" si="15"/>
        <v>61</v>
      </c>
      <c r="C397">
        <v>1</v>
      </c>
      <c r="D397">
        <v>1</v>
      </c>
      <c r="E397">
        <v>1</v>
      </c>
      <c r="F397">
        <v>1</v>
      </c>
      <c r="G397">
        <v>1</v>
      </c>
      <c r="J397">
        <f t="shared" si="16"/>
        <v>61</v>
      </c>
      <c r="K397">
        <v>1</v>
      </c>
      <c r="L397">
        <v>1</v>
      </c>
      <c r="M397">
        <v>1</v>
      </c>
      <c r="N397">
        <v>1</v>
      </c>
      <c r="O397">
        <v>1</v>
      </c>
      <c r="R397">
        <f t="shared" si="17"/>
        <v>61</v>
      </c>
      <c r="S397">
        <v>1</v>
      </c>
      <c r="T397">
        <v>1</v>
      </c>
      <c r="U397">
        <v>1</v>
      </c>
      <c r="V397">
        <v>1</v>
      </c>
      <c r="W397">
        <v>1</v>
      </c>
      <c r="AA397">
        <v>-8076.1778999999997</v>
      </c>
      <c r="AB397">
        <v>-8076.1778999999997</v>
      </c>
      <c r="AC397">
        <v>-8076.1778999999997</v>
      </c>
      <c r="AD397">
        <v>-8076.1778999999997</v>
      </c>
      <c r="AE397">
        <v>-8076.1778999999997</v>
      </c>
    </row>
    <row r="398" spans="2:31" x14ac:dyDescent="0.25">
      <c r="B398">
        <f t="shared" si="15"/>
        <v>62</v>
      </c>
      <c r="C398">
        <v>1</v>
      </c>
      <c r="D398">
        <v>1</v>
      </c>
      <c r="E398">
        <v>1</v>
      </c>
      <c r="F398">
        <v>1</v>
      </c>
      <c r="G398">
        <v>1</v>
      </c>
      <c r="J398">
        <f t="shared" si="16"/>
        <v>62</v>
      </c>
      <c r="K398">
        <v>1</v>
      </c>
      <c r="L398">
        <v>1</v>
      </c>
      <c r="M398">
        <v>1</v>
      </c>
      <c r="N398">
        <v>1</v>
      </c>
      <c r="O398">
        <v>1</v>
      </c>
      <c r="R398">
        <f t="shared" si="17"/>
        <v>62</v>
      </c>
      <c r="S398">
        <v>1</v>
      </c>
      <c r="T398">
        <v>1</v>
      </c>
      <c r="U398">
        <v>1</v>
      </c>
      <c r="V398">
        <v>1</v>
      </c>
      <c r="W398">
        <v>1</v>
      </c>
      <c r="AA398">
        <v>-7923.5816000000004</v>
      </c>
      <c r="AB398">
        <v>-7923.5816000000004</v>
      </c>
      <c r="AC398">
        <v>-7923.5816000000004</v>
      </c>
      <c r="AD398">
        <v>-7923.5816000000004</v>
      </c>
      <c r="AE398">
        <v>-7923.5816000000004</v>
      </c>
    </row>
    <row r="399" spans="2:31" x14ac:dyDescent="0.25">
      <c r="B399">
        <f t="shared" si="15"/>
        <v>63</v>
      </c>
      <c r="C399">
        <v>1</v>
      </c>
      <c r="D399">
        <v>1</v>
      </c>
      <c r="E399">
        <v>1</v>
      </c>
      <c r="F399">
        <v>1</v>
      </c>
      <c r="G399">
        <v>1</v>
      </c>
      <c r="J399">
        <f t="shared" si="16"/>
        <v>63</v>
      </c>
      <c r="K399">
        <v>1</v>
      </c>
      <c r="L399">
        <v>1</v>
      </c>
      <c r="M399">
        <v>1</v>
      </c>
      <c r="N399">
        <v>1</v>
      </c>
      <c r="O399">
        <v>1</v>
      </c>
      <c r="R399">
        <f t="shared" si="17"/>
        <v>63</v>
      </c>
      <c r="S399">
        <v>1</v>
      </c>
      <c r="T399">
        <v>1</v>
      </c>
      <c r="U399">
        <v>1</v>
      </c>
      <c r="V399">
        <v>1</v>
      </c>
      <c r="W399">
        <v>1</v>
      </c>
      <c r="AA399">
        <v>-7769.2775000000001</v>
      </c>
      <c r="AB399">
        <v>-7769.2775000000001</v>
      </c>
      <c r="AC399">
        <v>-7769.2775000000001</v>
      </c>
      <c r="AD399">
        <v>-7769.2775000000001</v>
      </c>
      <c r="AE399">
        <v>-7769.2775000000001</v>
      </c>
    </row>
    <row r="400" spans="2:31" x14ac:dyDescent="0.25">
      <c r="B400">
        <f t="shared" si="15"/>
        <v>64</v>
      </c>
      <c r="C400">
        <v>1</v>
      </c>
      <c r="D400">
        <v>1</v>
      </c>
      <c r="E400">
        <v>1</v>
      </c>
      <c r="F400">
        <v>1</v>
      </c>
      <c r="G400">
        <v>1</v>
      </c>
      <c r="J400">
        <f t="shared" si="16"/>
        <v>64</v>
      </c>
      <c r="K400">
        <v>1</v>
      </c>
      <c r="L400">
        <v>1</v>
      </c>
      <c r="M400">
        <v>1</v>
      </c>
      <c r="N400">
        <v>1</v>
      </c>
      <c r="O400">
        <v>1</v>
      </c>
      <c r="R400">
        <f t="shared" si="17"/>
        <v>64</v>
      </c>
      <c r="S400">
        <v>1</v>
      </c>
      <c r="T400">
        <v>1</v>
      </c>
      <c r="U400">
        <v>1</v>
      </c>
      <c r="V400">
        <v>1</v>
      </c>
      <c r="W400">
        <v>1</v>
      </c>
      <c r="AA400">
        <v>-7613.3999000000003</v>
      </c>
      <c r="AB400">
        <v>-7613.3999000000003</v>
      </c>
      <c r="AC400">
        <v>-7613.3999000000003</v>
      </c>
      <c r="AD400">
        <v>-7613.3999000000003</v>
      </c>
      <c r="AE400">
        <v>-7613.3999000000003</v>
      </c>
    </row>
    <row r="401" spans="2:32" x14ac:dyDescent="0.25">
      <c r="B401">
        <f t="shared" si="15"/>
        <v>65</v>
      </c>
      <c r="C401">
        <v>1</v>
      </c>
      <c r="D401">
        <v>1</v>
      </c>
      <c r="E401">
        <v>1</v>
      </c>
      <c r="F401">
        <v>1</v>
      </c>
      <c r="G401">
        <v>1</v>
      </c>
      <c r="J401">
        <f t="shared" si="16"/>
        <v>65</v>
      </c>
      <c r="K401">
        <v>1</v>
      </c>
      <c r="L401">
        <v>1</v>
      </c>
      <c r="M401">
        <v>1</v>
      </c>
      <c r="N401">
        <v>1</v>
      </c>
      <c r="O401">
        <v>1</v>
      </c>
      <c r="R401">
        <f t="shared" si="17"/>
        <v>65</v>
      </c>
      <c r="S401">
        <v>1</v>
      </c>
      <c r="T401">
        <v>1</v>
      </c>
      <c r="U401">
        <v>1</v>
      </c>
      <c r="V401">
        <v>1</v>
      </c>
      <c r="W401">
        <v>1</v>
      </c>
      <c r="AA401">
        <v>-7455.8590000000004</v>
      </c>
      <c r="AB401">
        <v>-7455.8590000000004</v>
      </c>
      <c r="AC401">
        <v>-7455.8590000000004</v>
      </c>
      <c r="AD401">
        <v>-7455.8590000000004</v>
      </c>
      <c r="AE401">
        <v>-7455.8590000000004</v>
      </c>
    </row>
    <row r="404" spans="2:32" x14ac:dyDescent="0.25">
      <c r="B404" t="s">
        <v>46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47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48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2:32" x14ac:dyDescent="0.25">
      <c r="B405">
        <v>26</v>
      </c>
      <c r="C405">
        <v>1</v>
      </c>
      <c r="D405">
        <v>1</v>
      </c>
      <c r="E405">
        <v>1</v>
      </c>
      <c r="F405">
        <v>1</v>
      </c>
      <c r="G405">
        <v>1</v>
      </c>
      <c r="H405">
        <v>1</v>
      </c>
      <c r="J405">
        <v>26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R405">
        <v>26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AA405">
        <v>-7435.5060999999996</v>
      </c>
      <c r="AB405">
        <v>-7435.5060999999996</v>
      </c>
      <c r="AC405">
        <v>-7435.5060999999996</v>
      </c>
      <c r="AD405">
        <v>-7435.5060999999996</v>
      </c>
      <c r="AE405">
        <v>-7435.5060999999996</v>
      </c>
      <c r="AF405">
        <v>-7435.5060999999996</v>
      </c>
    </row>
    <row r="406" spans="2:32" x14ac:dyDescent="0.25">
      <c r="B406">
        <v>27</v>
      </c>
      <c r="C406">
        <v>1</v>
      </c>
      <c r="D406">
        <v>1</v>
      </c>
      <c r="E406">
        <v>1</v>
      </c>
      <c r="F406">
        <v>1</v>
      </c>
      <c r="G406">
        <v>1</v>
      </c>
      <c r="H406">
        <v>1</v>
      </c>
      <c r="J406">
        <v>27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R406">
        <v>27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AA406">
        <v>-7434.2619000000004</v>
      </c>
      <c r="AB406">
        <v>-7434.2619000000004</v>
      </c>
      <c r="AC406">
        <v>-7434.2619000000004</v>
      </c>
      <c r="AD406">
        <v>-7434.2619000000004</v>
      </c>
      <c r="AE406">
        <v>-7434.2619000000004</v>
      </c>
      <c r="AF406">
        <v>-7434.2619000000004</v>
      </c>
    </row>
    <row r="407" spans="2:32" x14ac:dyDescent="0.25">
      <c r="B407">
        <v>28</v>
      </c>
      <c r="C407">
        <v>1</v>
      </c>
      <c r="D407">
        <v>1</v>
      </c>
      <c r="E407">
        <v>1</v>
      </c>
      <c r="F407">
        <v>1</v>
      </c>
      <c r="G407">
        <v>1</v>
      </c>
      <c r="H407">
        <v>1</v>
      </c>
      <c r="J407">
        <v>28</v>
      </c>
      <c r="K407">
        <v>1</v>
      </c>
      <c r="L407">
        <v>1</v>
      </c>
      <c r="M407">
        <v>1</v>
      </c>
      <c r="N407">
        <v>1</v>
      </c>
      <c r="O407">
        <v>1</v>
      </c>
      <c r="P407">
        <v>1</v>
      </c>
      <c r="R407">
        <v>28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AA407">
        <v>-7432.8334999999997</v>
      </c>
      <c r="AB407">
        <v>-7432.8334999999997</v>
      </c>
      <c r="AC407">
        <v>-7432.8334999999997</v>
      </c>
      <c r="AD407">
        <v>-7432.8334999999997</v>
      </c>
      <c r="AE407">
        <v>-7432.8334999999997</v>
      </c>
      <c r="AF407">
        <v>-7432.8334999999997</v>
      </c>
    </row>
    <row r="408" spans="2:32" x14ac:dyDescent="0.25">
      <c r="B408">
        <v>29</v>
      </c>
      <c r="C408">
        <v>1</v>
      </c>
      <c r="D408">
        <v>1</v>
      </c>
      <c r="E408">
        <v>1</v>
      </c>
      <c r="F408">
        <v>1</v>
      </c>
      <c r="G408">
        <v>1</v>
      </c>
      <c r="H408">
        <v>1</v>
      </c>
      <c r="J408">
        <v>29</v>
      </c>
      <c r="K408">
        <v>1</v>
      </c>
      <c r="L408">
        <v>1</v>
      </c>
      <c r="M408">
        <v>1</v>
      </c>
      <c r="N408">
        <v>1</v>
      </c>
      <c r="O408">
        <v>1</v>
      </c>
      <c r="P408">
        <v>1</v>
      </c>
      <c r="R408">
        <v>29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AA408">
        <v>-7431.2058999999999</v>
      </c>
      <c r="AB408">
        <v>-7431.2058999999999</v>
      </c>
      <c r="AC408">
        <v>-7431.2058999999999</v>
      </c>
      <c r="AD408">
        <v>-7431.2058999999999</v>
      </c>
      <c r="AE408">
        <v>-7431.2058999999999</v>
      </c>
      <c r="AF408">
        <v>-7431.2058999999999</v>
      </c>
    </row>
    <row r="409" spans="2:32" x14ac:dyDescent="0.25">
      <c r="B409">
        <v>30</v>
      </c>
      <c r="C409">
        <v>1</v>
      </c>
      <c r="D409">
        <v>1</v>
      </c>
      <c r="E409">
        <v>1</v>
      </c>
      <c r="F409">
        <v>1</v>
      </c>
      <c r="G409">
        <v>1</v>
      </c>
      <c r="H409">
        <v>1</v>
      </c>
      <c r="J409">
        <v>30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R409">
        <v>30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AA409">
        <v>-7429.3476000000001</v>
      </c>
      <c r="AB409">
        <v>-7429.3476000000001</v>
      </c>
      <c r="AC409">
        <v>-7429.3476000000001</v>
      </c>
      <c r="AD409">
        <v>-7429.3476000000001</v>
      </c>
      <c r="AE409">
        <v>-7429.3476000000001</v>
      </c>
      <c r="AF409">
        <v>-7429.3476000000001</v>
      </c>
    </row>
    <row r="410" spans="2:32" x14ac:dyDescent="0.25">
      <c r="B410">
        <v>31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1</v>
      </c>
      <c r="J410">
        <v>31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R410">
        <v>31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AA410">
        <v>-7427.2446</v>
      </c>
      <c r="AB410">
        <v>-7427.2446</v>
      </c>
      <c r="AC410">
        <v>-7427.2446</v>
      </c>
      <c r="AD410">
        <v>-7427.2446</v>
      </c>
      <c r="AE410">
        <v>-7427.2446</v>
      </c>
      <c r="AF410">
        <v>-7427.2446</v>
      </c>
    </row>
    <row r="411" spans="2:32" x14ac:dyDescent="0.25">
      <c r="B411">
        <v>32</v>
      </c>
      <c r="C411">
        <v>1</v>
      </c>
      <c r="D411">
        <v>1</v>
      </c>
      <c r="E411">
        <v>1</v>
      </c>
      <c r="F411">
        <v>1</v>
      </c>
      <c r="G411">
        <v>1</v>
      </c>
      <c r="H411">
        <v>1</v>
      </c>
      <c r="J411">
        <v>32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R411">
        <v>32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AA411">
        <v>-7424.8944000000001</v>
      </c>
      <c r="AB411">
        <v>-7424.8944000000001</v>
      </c>
      <c r="AC411">
        <v>-7424.8944000000001</v>
      </c>
      <c r="AD411">
        <v>-7424.8944000000001</v>
      </c>
      <c r="AE411">
        <v>-7424.8944000000001</v>
      </c>
      <c r="AF411">
        <v>-7424.8944000000001</v>
      </c>
    </row>
    <row r="412" spans="2:32" x14ac:dyDescent="0.25">
      <c r="B412">
        <v>33</v>
      </c>
      <c r="C412">
        <v>1</v>
      </c>
      <c r="D412">
        <v>1</v>
      </c>
      <c r="E412">
        <v>1</v>
      </c>
      <c r="F412">
        <v>1</v>
      </c>
      <c r="G412">
        <v>1</v>
      </c>
      <c r="H412">
        <v>1</v>
      </c>
      <c r="J412">
        <v>33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R412">
        <v>33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AA412">
        <v>-7422.2834000000003</v>
      </c>
      <c r="AB412">
        <v>-7422.2834000000003</v>
      </c>
      <c r="AC412">
        <v>-7422.2834000000003</v>
      </c>
      <c r="AD412">
        <v>-7422.2834000000003</v>
      </c>
      <c r="AE412">
        <v>-7422.2834000000003</v>
      </c>
      <c r="AF412">
        <v>-7422.2834000000003</v>
      </c>
    </row>
    <row r="413" spans="2:32" x14ac:dyDescent="0.25">
      <c r="B413">
        <v>34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1</v>
      </c>
      <c r="J413">
        <v>34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R413">
        <v>34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AA413">
        <v>-7419.3683000000001</v>
      </c>
      <c r="AB413">
        <v>-7419.3683000000001</v>
      </c>
      <c r="AC413">
        <v>-7419.3683000000001</v>
      </c>
      <c r="AD413">
        <v>-7419.3683000000001</v>
      </c>
      <c r="AE413">
        <v>-7419.3683000000001</v>
      </c>
      <c r="AF413">
        <v>-7419.3683000000001</v>
      </c>
    </row>
    <row r="414" spans="2:32" x14ac:dyDescent="0.25">
      <c r="B414">
        <v>35</v>
      </c>
      <c r="C414">
        <v>1</v>
      </c>
      <c r="D414">
        <v>1</v>
      </c>
      <c r="E414">
        <v>1</v>
      </c>
      <c r="F414">
        <v>1</v>
      </c>
      <c r="G414">
        <v>1</v>
      </c>
      <c r="H414">
        <v>1</v>
      </c>
      <c r="J414">
        <v>35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R414">
        <v>35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AA414">
        <v>-7416.1363000000001</v>
      </c>
      <c r="AB414">
        <v>-7416.1363000000001</v>
      </c>
      <c r="AC414">
        <v>-7416.1363000000001</v>
      </c>
      <c r="AD414">
        <v>-7416.1363000000001</v>
      </c>
      <c r="AE414">
        <v>-7416.1363000000001</v>
      </c>
      <c r="AF414">
        <v>-7416.1363000000001</v>
      </c>
    </row>
    <row r="415" spans="2:32" x14ac:dyDescent="0.25">
      <c r="B415">
        <v>36</v>
      </c>
      <c r="C415">
        <v>1</v>
      </c>
      <c r="D415">
        <v>1</v>
      </c>
      <c r="E415">
        <v>1</v>
      </c>
      <c r="F415">
        <v>1</v>
      </c>
      <c r="G415">
        <v>1</v>
      </c>
      <c r="H415">
        <v>1</v>
      </c>
      <c r="J415">
        <v>36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R415">
        <v>36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AA415">
        <v>-7412.5378000000001</v>
      </c>
      <c r="AB415">
        <v>-7412.5378000000001</v>
      </c>
      <c r="AC415">
        <v>-7412.5378000000001</v>
      </c>
      <c r="AD415">
        <v>-7412.5378000000001</v>
      </c>
      <c r="AE415">
        <v>-7412.5378000000001</v>
      </c>
      <c r="AF415">
        <v>-7412.5378000000001</v>
      </c>
    </row>
    <row r="416" spans="2:32" x14ac:dyDescent="0.25">
      <c r="B416">
        <v>37</v>
      </c>
      <c r="C416">
        <v>1</v>
      </c>
      <c r="D416">
        <v>1</v>
      </c>
      <c r="E416">
        <v>1</v>
      </c>
      <c r="F416">
        <v>1</v>
      </c>
      <c r="G416">
        <v>1</v>
      </c>
      <c r="H416">
        <v>1</v>
      </c>
      <c r="J416">
        <v>37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R416">
        <v>37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AA416">
        <v>-7408.55</v>
      </c>
      <c r="AB416">
        <v>-7408.55</v>
      </c>
      <c r="AC416">
        <v>-7408.55</v>
      </c>
      <c r="AD416">
        <v>-7408.55</v>
      </c>
      <c r="AE416">
        <v>-7408.55</v>
      </c>
      <c r="AF416">
        <v>-7408.55</v>
      </c>
    </row>
    <row r="417" spans="2:32" x14ac:dyDescent="0.25">
      <c r="B417">
        <v>38</v>
      </c>
      <c r="C417">
        <v>1</v>
      </c>
      <c r="D417">
        <v>1</v>
      </c>
      <c r="E417">
        <v>1</v>
      </c>
      <c r="F417">
        <v>1</v>
      </c>
      <c r="G417">
        <v>1</v>
      </c>
      <c r="H417">
        <v>1</v>
      </c>
      <c r="J417">
        <v>38</v>
      </c>
      <c r="K417">
        <v>1</v>
      </c>
      <c r="L417">
        <v>1</v>
      </c>
      <c r="M417">
        <v>1</v>
      </c>
      <c r="N417">
        <v>1</v>
      </c>
      <c r="O417">
        <v>1</v>
      </c>
      <c r="P417">
        <v>1</v>
      </c>
      <c r="R417">
        <v>38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AA417">
        <v>-7404.1752999999999</v>
      </c>
      <c r="AB417">
        <v>-7404.1752999999999</v>
      </c>
      <c r="AC417">
        <v>-7404.1752999999999</v>
      </c>
      <c r="AD417">
        <v>-7404.1752999999999</v>
      </c>
      <c r="AE417">
        <v>-7404.1752999999999</v>
      </c>
      <c r="AF417">
        <v>-7404.1752999999999</v>
      </c>
    </row>
    <row r="418" spans="2:32" x14ac:dyDescent="0.25">
      <c r="B418">
        <v>39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1</v>
      </c>
      <c r="J418">
        <v>39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R418">
        <v>39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AA418">
        <v>-7399.3923999999997</v>
      </c>
      <c r="AB418">
        <v>-7399.3923999999997</v>
      </c>
      <c r="AC418">
        <v>-7399.3923999999997</v>
      </c>
      <c r="AD418">
        <v>-7399.3923999999997</v>
      </c>
      <c r="AE418">
        <v>-7399.3923999999997</v>
      </c>
      <c r="AF418">
        <v>-7399.3923999999997</v>
      </c>
    </row>
    <row r="419" spans="2:32" x14ac:dyDescent="0.25">
      <c r="B419">
        <v>40</v>
      </c>
      <c r="C419">
        <v>1</v>
      </c>
      <c r="D419">
        <v>1</v>
      </c>
      <c r="E419">
        <v>1</v>
      </c>
      <c r="F419">
        <v>1</v>
      </c>
      <c r="G419">
        <v>1</v>
      </c>
      <c r="H419">
        <v>1</v>
      </c>
      <c r="J419">
        <v>40</v>
      </c>
      <c r="K419">
        <v>1</v>
      </c>
      <c r="L419">
        <v>1</v>
      </c>
      <c r="M419">
        <v>1</v>
      </c>
      <c r="N419">
        <v>1</v>
      </c>
      <c r="O419">
        <v>1</v>
      </c>
      <c r="P419">
        <v>1</v>
      </c>
      <c r="R419">
        <v>40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AA419">
        <v>-7394.1365999999998</v>
      </c>
      <c r="AB419">
        <v>-7394.1365999999998</v>
      </c>
      <c r="AC419">
        <v>-7394.1365999999998</v>
      </c>
      <c r="AD419">
        <v>-7394.1365999999998</v>
      </c>
      <c r="AE419">
        <v>-7394.1365999999998</v>
      </c>
      <c r="AF419">
        <v>-7394.1365999999998</v>
      </c>
    </row>
    <row r="420" spans="2:32" x14ac:dyDescent="0.25">
      <c r="B420">
        <v>41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1</v>
      </c>
      <c r="J420">
        <v>41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R420">
        <v>41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AA420">
        <v>-7388.3469999999998</v>
      </c>
      <c r="AB420">
        <v>-7388.3469999999998</v>
      </c>
      <c r="AC420">
        <v>-7388.3469999999998</v>
      </c>
      <c r="AD420">
        <v>-7388.3469999999998</v>
      </c>
      <c r="AE420">
        <v>-7388.3469999999998</v>
      </c>
      <c r="AF420">
        <v>-7388.3469999999998</v>
      </c>
    </row>
    <row r="421" spans="2:32" x14ac:dyDescent="0.25">
      <c r="B421">
        <v>42</v>
      </c>
      <c r="C421">
        <v>1</v>
      </c>
      <c r="D421">
        <v>1</v>
      </c>
      <c r="E421">
        <v>1</v>
      </c>
      <c r="F421">
        <v>1</v>
      </c>
      <c r="G421">
        <v>1</v>
      </c>
      <c r="H421">
        <v>1</v>
      </c>
      <c r="J421">
        <v>42</v>
      </c>
      <c r="K421">
        <v>1</v>
      </c>
      <c r="L421">
        <v>1</v>
      </c>
      <c r="M421">
        <v>1</v>
      </c>
      <c r="N421">
        <v>1</v>
      </c>
      <c r="O421">
        <v>1</v>
      </c>
      <c r="P421">
        <v>1</v>
      </c>
      <c r="R421">
        <v>42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AA421">
        <v>-7381.9919</v>
      </c>
      <c r="AB421">
        <v>-7381.9919</v>
      </c>
      <c r="AC421">
        <v>-7381.9919</v>
      </c>
      <c r="AD421">
        <v>-7381.9919</v>
      </c>
      <c r="AE421">
        <v>-7381.9919</v>
      </c>
      <c r="AF421">
        <v>-7381.9919</v>
      </c>
    </row>
    <row r="422" spans="2:32" x14ac:dyDescent="0.25">
      <c r="B422">
        <v>43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1</v>
      </c>
      <c r="J422">
        <v>43</v>
      </c>
      <c r="K422">
        <v>1</v>
      </c>
      <c r="L422">
        <v>1</v>
      </c>
      <c r="M422">
        <v>1</v>
      </c>
      <c r="N422">
        <v>1</v>
      </c>
      <c r="O422">
        <v>1</v>
      </c>
      <c r="P422">
        <v>1</v>
      </c>
      <c r="R422">
        <v>43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AA422">
        <v>-7374.9579999999996</v>
      </c>
      <c r="AB422">
        <v>-7374.9579999999996</v>
      </c>
      <c r="AC422">
        <v>-7374.9579999999996</v>
      </c>
      <c r="AD422">
        <v>-7374.9579999999996</v>
      </c>
      <c r="AE422">
        <v>-7374.9579999999996</v>
      </c>
      <c r="AF422">
        <v>-7374.9579999999996</v>
      </c>
    </row>
    <row r="423" spans="2:32" x14ac:dyDescent="0.25">
      <c r="B423">
        <v>44</v>
      </c>
      <c r="C423">
        <v>1</v>
      </c>
      <c r="D423">
        <v>1</v>
      </c>
      <c r="E423">
        <v>1</v>
      </c>
      <c r="F423">
        <v>1</v>
      </c>
      <c r="G423">
        <v>1</v>
      </c>
      <c r="H423">
        <v>1</v>
      </c>
      <c r="J423">
        <v>44</v>
      </c>
      <c r="K423">
        <v>1</v>
      </c>
      <c r="L423">
        <v>1</v>
      </c>
      <c r="M423">
        <v>1</v>
      </c>
      <c r="N423">
        <v>1</v>
      </c>
      <c r="O423">
        <v>1</v>
      </c>
      <c r="P423">
        <v>1</v>
      </c>
      <c r="R423">
        <v>44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AA423">
        <v>-7367.2034999999996</v>
      </c>
      <c r="AB423">
        <v>-7367.2034999999996</v>
      </c>
      <c r="AC423">
        <v>-7367.2034999999996</v>
      </c>
      <c r="AD423">
        <v>-7367.2034999999996</v>
      </c>
      <c r="AE423">
        <v>-7367.2034999999996</v>
      </c>
      <c r="AF423">
        <v>-7367.2034999999996</v>
      </c>
    </row>
    <row r="424" spans="2:32" x14ac:dyDescent="0.25">
      <c r="B424">
        <v>45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1</v>
      </c>
      <c r="J424">
        <v>45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R424">
        <v>45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AA424">
        <v>-7358.6491999999998</v>
      </c>
      <c r="AB424">
        <v>-7358.6491999999998</v>
      </c>
      <c r="AC424">
        <v>-7358.6491999999998</v>
      </c>
      <c r="AD424">
        <v>-7358.6491999999998</v>
      </c>
      <c r="AE424">
        <v>-7358.6491999999998</v>
      </c>
      <c r="AF424">
        <v>-7358.6491999999998</v>
      </c>
    </row>
    <row r="425" spans="2:32" x14ac:dyDescent="0.25">
      <c r="B425">
        <v>46</v>
      </c>
      <c r="C425">
        <v>1</v>
      </c>
      <c r="D425">
        <v>1</v>
      </c>
      <c r="E425">
        <v>1</v>
      </c>
      <c r="F425">
        <v>1</v>
      </c>
      <c r="G425">
        <v>1</v>
      </c>
      <c r="H425">
        <v>1</v>
      </c>
      <c r="J425">
        <v>46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R425">
        <v>46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AA425">
        <v>-7349.2232000000004</v>
      </c>
      <c r="AB425">
        <v>-7349.2232000000004</v>
      </c>
      <c r="AC425">
        <v>-7349.2232000000004</v>
      </c>
      <c r="AD425">
        <v>-7349.2232000000004</v>
      </c>
      <c r="AE425">
        <v>-7349.2232000000004</v>
      </c>
      <c r="AF425">
        <v>-7349.2232000000004</v>
      </c>
    </row>
    <row r="426" spans="2:32" x14ac:dyDescent="0.25">
      <c r="B426">
        <v>47</v>
      </c>
      <c r="C426">
        <v>1</v>
      </c>
      <c r="D426">
        <v>1</v>
      </c>
      <c r="E426">
        <v>1</v>
      </c>
      <c r="F426">
        <v>1</v>
      </c>
      <c r="G426">
        <v>1</v>
      </c>
      <c r="H426">
        <v>1</v>
      </c>
      <c r="J426">
        <v>47</v>
      </c>
      <c r="K426">
        <v>1</v>
      </c>
      <c r="L426">
        <v>1</v>
      </c>
      <c r="M426">
        <v>1</v>
      </c>
      <c r="N426">
        <v>1</v>
      </c>
      <c r="O426">
        <v>1</v>
      </c>
      <c r="P426">
        <v>1</v>
      </c>
      <c r="R426">
        <v>47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AA426">
        <v>-7338.8310000000001</v>
      </c>
      <c r="AB426">
        <v>-7338.8310000000001</v>
      </c>
      <c r="AC426">
        <v>-7338.8310000000001</v>
      </c>
      <c r="AD426">
        <v>-7338.8310000000001</v>
      </c>
      <c r="AE426">
        <v>-7338.8310000000001</v>
      </c>
      <c r="AF426">
        <v>-7338.8310000000001</v>
      </c>
    </row>
    <row r="427" spans="2:32" x14ac:dyDescent="0.25">
      <c r="B427">
        <v>48</v>
      </c>
      <c r="C427">
        <v>1</v>
      </c>
      <c r="D427">
        <v>1</v>
      </c>
      <c r="E427">
        <v>1</v>
      </c>
      <c r="F427">
        <v>1</v>
      </c>
      <c r="G427">
        <v>1</v>
      </c>
      <c r="H427">
        <v>1</v>
      </c>
      <c r="J427">
        <v>48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R427">
        <v>48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AA427">
        <v>-7327.4297999999999</v>
      </c>
      <c r="AB427">
        <v>-7327.4297999999999</v>
      </c>
      <c r="AC427">
        <v>-7327.4297999999999</v>
      </c>
      <c r="AD427">
        <v>-7327.4297999999999</v>
      </c>
      <c r="AE427">
        <v>-7327.4297999999999</v>
      </c>
      <c r="AF427">
        <v>-7327.4297999999999</v>
      </c>
    </row>
    <row r="428" spans="2:32" x14ac:dyDescent="0.25">
      <c r="B428">
        <v>49</v>
      </c>
      <c r="C428">
        <v>1</v>
      </c>
      <c r="D428">
        <v>1</v>
      </c>
      <c r="E428">
        <v>1</v>
      </c>
      <c r="F428">
        <v>1</v>
      </c>
      <c r="G428">
        <v>1</v>
      </c>
      <c r="H428">
        <v>1</v>
      </c>
      <c r="J428">
        <v>49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R428">
        <v>49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AA428">
        <v>-7314.951</v>
      </c>
      <c r="AB428">
        <v>-7314.951</v>
      </c>
      <c r="AC428">
        <v>-7314.951</v>
      </c>
      <c r="AD428">
        <v>-7314.951</v>
      </c>
      <c r="AE428">
        <v>-7314.951</v>
      </c>
      <c r="AF428">
        <v>-7314.951</v>
      </c>
    </row>
    <row r="429" spans="2:32" x14ac:dyDescent="0.25">
      <c r="B429">
        <v>50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J429">
        <v>50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1</v>
      </c>
      <c r="R429">
        <v>50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AA429">
        <v>-7301.2851000000001</v>
      </c>
      <c r="AB429">
        <v>-7301.2851000000001</v>
      </c>
      <c r="AC429">
        <v>-7301.2851000000001</v>
      </c>
      <c r="AD429">
        <v>-7301.2851000000001</v>
      </c>
      <c r="AE429">
        <v>-7301.2851000000001</v>
      </c>
      <c r="AF429">
        <v>-7301.2851000000001</v>
      </c>
    </row>
    <row r="430" spans="2:32" x14ac:dyDescent="0.25">
      <c r="B430">
        <v>51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J430">
        <v>51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R430">
        <v>51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AA430">
        <v>-7286.3271000000004</v>
      </c>
      <c r="AB430">
        <v>-7286.3271000000004</v>
      </c>
      <c r="AC430">
        <v>-7286.3271000000004</v>
      </c>
      <c r="AD430">
        <v>-7286.3271000000004</v>
      </c>
      <c r="AE430">
        <v>-7286.3271000000004</v>
      </c>
      <c r="AF430">
        <v>-7286.3271000000004</v>
      </c>
    </row>
    <row r="431" spans="2:32" x14ac:dyDescent="0.25">
      <c r="B431">
        <v>52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1</v>
      </c>
      <c r="J431">
        <v>52</v>
      </c>
      <c r="K431">
        <v>1</v>
      </c>
      <c r="L431">
        <v>1</v>
      </c>
      <c r="M431">
        <v>1</v>
      </c>
      <c r="N431">
        <v>1</v>
      </c>
      <c r="O431">
        <v>1</v>
      </c>
      <c r="P431">
        <v>1</v>
      </c>
      <c r="R431">
        <v>52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AA431">
        <v>-7269.9448000000002</v>
      </c>
      <c r="AB431">
        <v>-7269.9448000000002</v>
      </c>
      <c r="AC431">
        <v>-7269.9448000000002</v>
      </c>
      <c r="AD431">
        <v>-7269.9448000000002</v>
      </c>
      <c r="AE431">
        <v>-7269.9448000000002</v>
      </c>
      <c r="AF431">
        <v>-7269.9448000000002</v>
      </c>
    </row>
    <row r="432" spans="2:32" x14ac:dyDescent="0.25">
      <c r="B432">
        <v>53</v>
      </c>
      <c r="C432">
        <v>1</v>
      </c>
      <c r="D432">
        <v>1</v>
      </c>
      <c r="E432">
        <v>1</v>
      </c>
      <c r="F432">
        <v>1</v>
      </c>
      <c r="G432">
        <v>1</v>
      </c>
      <c r="H432">
        <v>1</v>
      </c>
      <c r="J432">
        <v>53</v>
      </c>
      <c r="K432">
        <v>1</v>
      </c>
      <c r="L432">
        <v>1</v>
      </c>
      <c r="M432">
        <v>1</v>
      </c>
      <c r="N432">
        <v>1</v>
      </c>
      <c r="O432">
        <v>1</v>
      </c>
      <c r="P432">
        <v>1</v>
      </c>
      <c r="R432">
        <v>53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AA432">
        <v>-7252.0574999999999</v>
      </c>
      <c r="AB432">
        <v>-7252.0574999999999</v>
      </c>
      <c r="AC432">
        <v>-7252.0574999999999</v>
      </c>
      <c r="AD432">
        <v>-7252.0574999999999</v>
      </c>
      <c r="AE432">
        <v>-7252.0574999999999</v>
      </c>
      <c r="AF432">
        <v>-7252.0574999999999</v>
      </c>
    </row>
    <row r="433" spans="2:32" x14ac:dyDescent="0.25">
      <c r="B433">
        <v>54</v>
      </c>
      <c r="C433">
        <v>1</v>
      </c>
      <c r="D433">
        <v>1</v>
      </c>
      <c r="E433">
        <v>1</v>
      </c>
      <c r="F433">
        <v>1</v>
      </c>
      <c r="G433">
        <v>1</v>
      </c>
      <c r="H433">
        <v>1</v>
      </c>
      <c r="J433">
        <v>54</v>
      </c>
      <c r="K433">
        <v>1</v>
      </c>
      <c r="L433">
        <v>1</v>
      </c>
      <c r="M433">
        <v>1</v>
      </c>
      <c r="N433">
        <v>1</v>
      </c>
      <c r="O433">
        <v>1</v>
      </c>
      <c r="P433">
        <v>1</v>
      </c>
      <c r="R433">
        <v>54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AA433">
        <v>-7232.5680000000002</v>
      </c>
      <c r="AB433">
        <v>-7232.5680000000002</v>
      </c>
      <c r="AC433">
        <v>-7232.5680000000002</v>
      </c>
      <c r="AD433">
        <v>-7232.5680000000002</v>
      </c>
      <c r="AE433">
        <v>-7232.5680000000002</v>
      </c>
      <c r="AF433">
        <v>-7232.5680000000002</v>
      </c>
    </row>
    <row r="434" spans="2:32" x14ac:dyDescent="0.25">
      <c r="B434">
        <v>55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J434">
        <v>55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R434">
        <v>55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AA434">
        <v>-7211.3207000000002</v>
      </c>
      <c r="AB434">
        <v>-7211.3207000000002</v>
      </c>
      <c r="AC434">
        <v>-7211.3207000000002</v>
      </c>
      <c r="AD434">
        <v>-7211.3207000000002</v>
      </c>
      <c r="AE434">
        <v>-7211.3207000000002</v>
      </c>
      <c r="AF434">
        <v>-7211.3207000000002</v>
      </c>
    </row>
    <row r="437" spans="2:32" x14ac:dyDescent="0.25">
      <c r="B437" t="s">
        <v>46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32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48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2:32" x14ac:dyDescent="0.25">
      <c r="B438">
        <v>35</v>
      </c>
      <c r="C438">
        <v>1</v>
      </c>
      <c r="D438">
        <v>1</v>
      </c>
      <c r="E438">
        <v>1</v>
      </c>
      <c r="F438">
        <v>1</v>
      </c>
      <c r="G438">
        <v>1</v>
      </c>
      <c r="J438">
        <v>35</v>
      </c>
      <c r="K438">
        <v>1</v>
      </c>
      <c r="L438">
        <v>1</v>
      </c>
      <c r="M438">
        <v>1</v>
      </c>
      <c r="N438">
        <v>1</v>
      </c>
      <c r="O438">
        <v>1</v>
      </c>
      <c r="R438">
        <v>35</v>
      </c>
      <c r="S438">
        <v>1</v>
      </c>
      <c r="T438">
        <v>1</v>
      </c>
      <c r="U438">
        <v>1</v>
      </c>
      <c r="V438">
        <v>1</v>
      </c>
      <c r="W438">
        <v>1</v>
      </c>
      <c r="AA438">
        <v>-11308.6893</v>
      </c>
      <c r="AB438">
        <v>-11308.6893</v>
      </c>
      <c r="AC438">
        <v>-11308.6893</v>
      </c>
      <c r="AD438">
        <v>-11308.6893</v>
      </c>
      <c r="AE438">
        <v>-11308.6893</v>
      </c>
    </row>
    <row r="439" spans="2:32" x14ac:dyDescent="0.25">
      <c r="B439">
        <f t="shared" ref="B439:B468" si="18">B438+1</f>
        <v>36</v>
      </c>
      <c r="C439">
        <v>1</v>
      </c>
      <c r="D439">
        <v>1</v>
      </c>
      <c r="E439">
        <v>1</v>
      </c>
      <c r="F439">
        <v>1</v>
      </c>
      <c r="G439">
        <v>1</v>
      </c>
      <c r="J439">
        <f t="shared" ref="J439:J468" si="19">J438+1</f>
        <v>36</v>
      </c>
      <c r="K439">
        <v>1</v>
      </c>
      <c r="L439">
        <v>1</v>
      </c>
      <c r="M439">
        <v>1</v>
      </c>
      <c r="N439">
        <v>1</v>
      </c>
      <c r="O439">
        <v>1</v>
      </c>
      <c r="R439">
        <f t="shared" ref="R439:R468" si="20">R438+1</f>
        <v>36</v>
      </c>
      <c r="S439">
        <v>1</v>
      </c>
      <c r="T439">
        <v>1</v>
      </c>
      <c r="U439">
        <v>1</v>
      </c>
      <c r="V439">
        <v>1</v>
      </c>
      <c r="W439">
        <v>1</v>
      </c>
      <c r="AA439">
        <v>-11214.2592</v>
      </c>
      <c r="AB439">
        <v>-11214.2592</v>
      </c>
      <c r="AC439">
        <v>-11214.2592</v>
      </c>
      <c r="AD439">
        <v>-11214.2592</v>
      </c>
      <c r="AE439">
        <v>-11214.2592</v>
      </c>
    </row>
    <row r="440" spans="2:32" x14ac:dyDescent="0.25">
      <c r="B440">
        <f t="shared" si="18"/>
        <v>37</v>
      </c>
      <c r="C440">
        <v>1</v>
      </c>
      <c r="D440">
        <v>1</v>
      </c>
      <c r="E440">
        <v>1</v>
      </c>
      <c r="F440">
        <v>1</v>
      </c>
      <c r="G440">
        <v>1</v>
      </c>
      <c r="J440">
        <f t="shared" si="19"/>
        <v>37</v>
      </c>
      <c r="K440">
        <v>1</v>
      </c>
      <c r="L440">
        <v>1</v>
      </c>
      <c r="M440">
        <v>1</v>
      </c>
      <c r="N440">
        <v>1</v>
      </c>
      <c r="O440">
        <v>1</v>
      </c>
      <c r="R440">
        <f t="shared" si="20"/>
        <v>37</v>
      </c>
      <c r="S440">
        <v>1</v>
      </c>
      <c r="T440">
        <v>1</v>
      </c>
      <c r="U440">
        <v>1</v>
      </c>
      <c r="V440">
        <v>1</v>
      </c>
      <c r="W440">
        <v>1</v>
      </c>
      <c r="AA440">
        <v>-11117.406199999999</v>
      </c>
      <c r="AB440">
        <v>-11117.406199999999</v>
      </c>
      <c r="AC440">
        <v>-11117.406199999999</v>
      </c>
      <c r="AD440">
        <v>-11117.406199999999</v>
      </c>
      <c r="AE440">
        <v>-11117.406199999999</v>
      </c>
    </row>
    <row r="441" spans="2:32" x14ac:dyDescent="0.25">
      <c r="B441">
        <f t="shared" si="18"/>
        <v>38</v>
      </c>
      <c r="C441">
        <v>1</v>
      </c>
      <c r="D441">
        <v>1</v>
      </c>
      <c r="E441">
        <v>1</v>
      </c>
      <c r="F441">
        <v>1</v>
      </c>
      <c r="G441">
        <v>1</v>
      </c>
      <c r="J441">
        <f t="shared" si="19"/>
        <v>38</v>
      </c>
      <c r="K441">
        <v>1</v>
      </c>
      <c r="L441">
        <v>1</v>
      </c>
      <c r="M441">
        <v>1</v>
      </c>
      <c r="N441">
        <v>1</v>
      </c>
      <c r="O441">
        <v>1</v>
      </c>
      <c r="R441">
        <f t="shared" si="20"/>
        <v>38</v>
      </c>
      <c r="S441">
        <v>1</v>
      </c>
      <c r="T441">
        <v>1</v>
      </c>
      <c r="U441">
        <v>1</v>
      </c>
      <c r="V441">
        <v>1</v>
      </c>
      <c r="W441">
        <v>1</v>
      </c>
      <c r="AA441">
        <v>-11018.229799999999</v>
      </c>
      <c r="AB441">
        <v>-11018.229799999999</v>
      </c>
      <c r="AC441">
        <v>-11018.229799999999</v>
      </c>
      <c r="AD441">
        <v>-11018.229799999999</v>
      </c>
      <c r="AE441">
        <v>-11018.229799999999</v>
      </c>
    </row>
    <row r="442" spans="2:32" x14ac:dyDescent="0.25">
      <c r="B442">
        <f t="shared" si="18"/>
        <v>39</v>
      </c>
      <c r="C442">
        <v>1</v>
      </c>
      <c r="D442">
        <v>1</v>
      </c>
      <c r="E442">
        <v>1</v>
      </c>
      <c r="F442">
        <v>1</v>
      </c>
      <c r="G442">
        <v>1</v>
      </c>
      <c r="J442">
        <f t="shared" si="19"/>
        <v>39</v>
      </c>
      <c r="K442">
        <v>1</v>
      </c>
      <c r="L442">
        <v>1</v>
      </c>
      <c r="M442">
        <v>1</v>
      </c>
      <c r="N442">
        <v>1</v>
      </c>
      <c r="O442">
        <v>1</v>
      </c>
      <c r="R442">
        <f t="shared" si="20"/>
        <v>39</v>
      </c>
      <c r="S442">
        <v>1</v>
      </c>
      <c r="T442">
        <v>1</v>
      </c>
      <c r="U442">
        <v>1</v>
      </c>
      <c r="V442">
        <v>1</v>
      </c>
      <c r="W442">
        <v>1</v>
      </c>
      <c r="AA442">
        <v>-10916.737999999999</v>
      </c>
      <c r="AB442">
        <v>-10916.737999999999</v>
      </c>
      <c r="AC442">
        <v>-10916.737999999999</v>
      </c>
      <c r="AD442">
        <v>-10916.737999999999</v>
      </c>
      <c r="AE442">
        <v>-10916.737999999999</v>
      </c>
    </row>
    <row r="443" spans="2:32" x14ac:dyDescent="0.25">
      <c r="B443">
        <f t="shared" si="18"/>
        <v>40</v>
      </c>
      <c r="C443">
        <v>1</v>
      </c>
      <c r="D443">
        <v>1</v>
      </c>
      <c r="E443">
        <v>1</v>
      </c>
      <c r="F443">
        <v>1</v>
      </c>
      <c r="G443">
        <v>1</v>
      </c>
      <c r="J443">
        <f t="shared" si="19"/>
        <v>40</v>
      </c>
      <c r="K443">
        <v>1</v>
      </c>
      <c r="L443">
        <v>1</v>
      </c>
      <c r="M443">
        <v>1</v>
      </c>
      <c r="N443">
        <v>1</v>
      </c>
      <c r="O443">
        <v>1</v>
      </c>
      <c r="R443">
        <f t="shared" si="20"/>
        <v>40</v>
      </c>
      <c r="S443">
        <v>1</v>
      </c>
      <c r="T443">
        <v>1</v>
      </c>
      <c r="U443">
        <v>1</v>
      </c>
      <c r="V443">
        <v>1</v>
      </c>
      <c r="W443">
        <v>1</v>
      </c>
      <c r="AA443">
        <v>-10812.8714</v>
      </c>
      <c r="AB443">
        <v>-10812.8714</v>
      </c>
      <c r="AC443">
        <v>-10812.8714</v>
      </c>
      <c r="AD443">
        <v>-10812.8714</v>
      </c>
      <c r="AE443">
        <v>-10812.8714</v>
      </c>
    </row>
    <row r="444" spans="2:32" x14ac:dyDescent="0.25">
      <c r="B444">
        <f t="shared" si="18"/>
        <v>41</v>
      </c>
      <c r="C444">
        <v>1</v>
      </c>
      <c r="D444">
        <v>1</v>
      </c>
      <c r="E444">
        <v>1</v>
      </c>
      <c r="F444">
        <v>1</v>
      </c>
      <c r="G444">
        <v>1</v>
      </c>
      <c r="J444">
        <f t="shared" si="19"/>
        <v>41</v>
      </c>
      <c r="K444">
        <v>1</v>
      </c>
      <c r="L444">
        <v>1</v>
      </c>
      <c r="M444">
        <v>1</v>
      </c>
      <c r="N444">
        <v>1</v>
      </c>
      <c r="O444">
        <v>1</v>
      </c>
      <c r="R444">
        <f t="shared" si="20"/>
        <v>41</v>
      </c>
      <c r="S444">
        <v>1</v>
      </c>
      <c r="T444">
        <v>1</v>
      </c>
      <c r="U444">
        <v>1</v>
      </c>
      <c r="V444">
        <v>1</v>
      </c>
      <c r="W444">
        <v>1</v>
      </c>
      <c r="AA444">
        <v>-10706.559600000001</v>
      </c>
      <c r="AB444">
        <v>-10706.559600000001</v>
      </c>
      <c r="AC444">
        <v>-10706.559600000001</v>
      </c>
      <c r="AD444">
        <v>-10706.559600000001</v>
      </c>
      <c r="AE444">
        <v>-10706.559600000001</v>
      </c>
    </row>
    <row r="445" spans="2:32" x14ac:dyDescent="0.25">
      <c r="B445">
        <f t="shared" si="18"/>
        <v>42</v>
      </c>
      <c r="C445">
        <v>1</v>
      </c>
      <c r="D445">
        <v>1</v>
      </c>
      <c r="E445">
        <v>1</v>
      </c>
      <c r="F445">
        <v>1</v>
      </c>
      <c r="G445">
        <v>1</v>
      </c>
      <c r="J445">
        <f t="shared" si="19"/>
        <v>42</v>
      </c>
      <c r="K445">
        <v>1</v>
      </c>
      <c r="L445">
        <v>1</v>
      </c>
      <c r="M445">
        <v>1</v>
      </c>
      <c r="N445">
        <v>1</v>
      </c>
      <c r="O445">
        <v>1</v>
      </c>
      <c r="R445">
        <f t="shared" si="20"/>
        <v>42</v>
      </c>
      <c r="S445">
        <v>1</v>
      </c>
      <c r="T445">
        <v>1</v>
      </c>
      <c r="U445">
        <v>1</v>
      </c>
      <c r="V445">
        <v>1</v>
      </c>
      <c r="W445">
        <v>1</v>
      </c>
      <c r="AA445">
        <v>-10597.8485</v>
      </c>
      <c r="AB445">
        <v>-10597.8485</v>
      </c>
      <c r="AC445">
        <v>-10597.8485</v>
      </c>
      <c r="AD445">
        <v>-10597.8485</v>
      </c>
      <c r="AE445">
        <v>-10597.8485</v>
      </c>
    </row>
    <row r="446" spans="2:32" x14ac:dyDescent="0.25">
      <c r="B446">
        <f t="shared" si="18"/>
        <v>43</v>
      </c>
      <c r="C446">
        <v>1</v>
      </c>
      <c r="D446">
        <v>1</v>
      </c>
      <c r="E446">
        <v>1</v>
      </c>
      <c r="F446">
        <v>1</v>
      </c>
      <c r="G446">
        <v>1</v>
      </c>
      <c r="J446">
        <f t="shared" si="19"/>
        <v>43</v>
      </c>
      <c r="K446">
        <v>1</v>
      </c>
      <c r="L446">
        <v>1</v>
      </c>
      <c r="M446">
        <v>1</v>
      </c>
      <c r="N446">
        <v>1</v>
      </c>
      <c r="O446">
        <v>1</v>
      </c>
      <c r="R446">
        <f t="shared" si="20"/>
        <v>43</v>
      </c>
      <c r="S446">
        <v>1</v>
      </c>
      <c r="T446">
        <v>1</v>
      </c>
      <c r="U446">
        <v>1</v>
      </c>
      <c r="V446">
        <v>1</v>
      </c>
      <c r="W446">
        <v>1</v>
      </c>
      <c r="AA446">
        <v>-10486.615400000001</v>
      </c>
      <c r="AB446">
        <v>-10486.615400000001</v>
      </c>
      <c r="AC446">
        <v>-10486.615400000001</v>
      </c>
      <c r="AD446">
        <v>-10486.615400000001</v>
      </c>
      <c r="AE446">
        <v>-10486.615400000001</v>
      </c>
    </row>
    <row r="447" spans="2:32" x14ac:dyDescent="0.25">
      <c r="B447">
        <f t="shared" si="18"/>
        <v>44</v>
      </c>
      <c r="C447">
        <v>1</v>
      </c>
      <c r="D447">
        <v>1</v>
      </c>
      <c r="E447">
        <v>1</v>
      </c>
      <c r="F447">
        <v>1</v>
      </c>
      <c r="G447">
        <v>1</v>
      </c>
      <c r="J447">
        <f t="shared" si="19"/>
        <v>44</v>
      </c>
      <c r="K447">
        <v>1</v>
      </c>
      <c r="L447">
        <v>1</v>
      </c>
      <c r="M447">
        <v>1</v>
      </c>
      <c r="N447">
        <v>1</v>
      </c>
      <c r="O447">
        <v>1</v>
      </c>
      <c r="R447">
        <f t="shared" si="20"/>
        <v>44</v>
      </c>
      <c r="S447">
        <v>1</v>
      </c>
      <c r="T447">
        <v>1</v>
      </c>
      <c r="U447">
        <v>1</v>
      </c>
      <c r="V447">
        <v>1</v>
      </c>
      <c r="W447">
        <v>1</v>
      </c>
      <c r="AA447">
        <v>-10372.9005</v>
      </c>
      <c r="AB447">
        <v>-10372.9005</v>
      </c>
      <c r="AC447">
        <v>-10372.9005</v>
      </c>
      <c r="AD447">
        <v>-10372.9005</v>
      </c>
      <c r="AE447">
        <v>-10372.9005</v>
      </c>
    </row>
    <row r="448" spans="2:32" x14ac:dyDescent="0.25">
      <c r="B448">
        <f t="shared" si="18"/>
        <v>45</v>
      </c>
      <c r="C448">
        <v>1</v>
      </c>
      <c r="D448">
        <v>1</v>
      </c>
      <c r="E448">
        <v>1</v>
      </c>
      <c r="F448">
        <v>1</v>
      </c>
      <c r="G448">
        <v>1</v>
      </c>
      <c r="J448">
        <f t="shared" si="19"/>
        <v>45</v>
      </c>
      <c r="K448">
        <v>1</v>
      </c>
      <c r="L448">
        <v>1</v>
      </c>
      <c r="M448">
        <v>1</v>
      </c>
      <c r="N448">
        <v>1</v>
      </c>
      <c r="O448">
        <v>1</v>
      </c>
      <c r="R448">
        <f t="shared" si="20"/>
        <v>45</v>
      </c>
      <c r="S448">
        <v>1</v>
      </c>
      <c r="T448">
        <v>1</v>
      </c>
      <c r="U448">
        <v>1</v>
      </c>
      <c r="V448">
        <v>1</v>
      </c>
      <c r="W448">
        <v>1</v>
      </c>
      <c r="AA448">
        <v>-10256.650600000001</v>
      </c>
      <c r="AB448">
        <v>-10256.650600000001</v>
      </c>
      <c r="AC448">
        <v>-10256.650600000001</v>
      </c>
      <c r="AD448">
        <v>-10256.650600000001</v>
      </c>
      <c r="AE448">
        <v>-10256.650600000001</v>
      </c>
    </row>
    <row r="449" spans="2:31" x14ac:dyDescent="0.25">
      <c r="B449">
        <f t="shared" si="18"/>
        <v>46</v>
      </c>
      <c r="C449">
        <v>1</v>
      </c>
      <c r="D449">
        <v>1</v>
      </c>
      <c r="E449">
        <v>1</v>
      </c>
      <c r="F449">
        <v>1</v>
      </c>
      <c r="G449">
        <v>1</v>
      </c>
      <c r="J449">
        <f t="shared" si="19"/>
        <v>46</v>
      </c>
      <c r="K449">
        <v>1</v>
      </c>
      <c r="L449">
        <v>1</v>
      </c>
      <c r="M449">
        <v>1</v>
      </c>
      <c r="N449">
        <v>1</v>
      </c>
      <c r="O449">
        <v>1</v>
      </c>
      <c r="R449">
        <f t="shared" si="20"/>
        <v>46</v>
      </c>
      <c r="S449">
        <v>1</v>
      </c>
      <c r="T449">
        <v>1</v>
      </c>
      <c r="U449">
        <v>1</v>
      </c>
      <c r="V449">
        <v>1</v>
      </c>
      <c r="W449">
        <v>1</v>
      </c>
      <c r="AA449">
        <v>-10137.871499999999</v>
      </c>
      <c r="AB449">
        <v>-10137.871499999999</v>
      </c>
      <c r="AC449">
        <v>-10137.871499999999</v>
      </c>
      <c r="AD449">
        <v>-10137.871499999999</v>
      </c>
      <c r="AE449">
        <v>-10137.871499999999</v>
      </c>
    </row>
    <row r="450" spans="2:31" x14ac:dyDescent="0.25">
      <c r="B450">
        <f t="shared" si="18"/>
        <v>47</v>
      </c>
      <c r="C450">
        <v>1</v>
      </c>
      <c r="D450">
        <v>1</v>
      </c>
      <c r="E450">
        <v>1</v>
      </c>
      <c r="F450">
        <v>1</v>
      </c>
      <c r="G450">
        <v>1</v>
      </c>
      <c r="J450">
        <f t="shared" si="19"/>
        <v>47</v>
      </c>
      <c r="K450">
        <v>1</v>
      </c>
      <c r="L450">
        <v>1</v>
      </c>
      <c r="M450">
        <v>1</v>
      </c>
      <c r="N450">
        <v>1</v>
      </c>
      <c r="O450">
        <v>1</v>
      </c>
      <c r="R450">
        <f t="shared" si="20"/>
        <v>47</v>
      </c>
      <c r="S450">
        <v>1</v>
      </c>
      <c r="T450">
        <v>1</v>
      </c>
      <c r="U450">
        <v>1</v>
      </c>
      <c r="V450">
        <v>1</v>
      </c>
      <c r="W450">
        <v>1</v>
      </c>
      <c r="AA450">
        <v>-10016.4967</v>
      </c>
      <c r="AB450">
        <v>-10016.4967</v>
      </c>
      <c r="AC450">
        <v>-10016.4967</v>
      </c>
      <c r="AD450">
        <v>-10016.4967</v>
      </c>
      <c r="AE450">
        <v>-10016.4967</v>
      </c>
    </row>
    <row r="451" spans="2:31" x14ac:dyDescent="0.25">
      <c r="B451">
        <f t="shared" si="18"/>
        <v>48</v>
      </c>
      <c r="C451">
        <v>1</v>
      </c>
      <c r="D451">
        <v>1</v>
      </c>
      <c r="E451">
        <v>1</v>
      </c>
      <c r="F451">
        <v>1</v>
      </c>
      <c r="G451">
        <v>1</v>
      </c>
      <c r="J451">
        <f t="shared" si="19"/>
        <v>48</v>
      </c>
      <c r="K451">
        <v>1</v>
      </c>
      <c r="L451">
        <v>1</v>
      </c>
      <c r="M451">
        <v>1</v>
      </c>
      <c r="N451">
        <v>1</v>
      </c>
      <c r="O451">
        <v>1</v>
      </c>
      <c r="R451">
        <f t="shared" si="20"/>
        <v>48</v>
      </c>
      <c r="S451">
        <v>1</v>
      </c>
      <c r="T451">
        <v>1</v>
      </c>
      <c r="U451">
        <v>1</v>
      </c>
      <c r="V451">
        <v>1</v>
      </c>
      <c r="W451">
        <v>1</v>
      </c>
      <c r="AA451">
        <v>-9892.6355000000003</v>
      </c>
      <c r="AB451">
        <v>-9892.6355000000003</v>
      </c>
      <c r="AC451">
        <v>-9892.6355000000003</v>
      </c>
      <c r="AD451">
        <v>-9892.6355000000003</v>
      </c>
      <c r="AE451">
        <v>-9892.6355000000003</v>
      </c>
    </row>
    <row r="452" spans="2:31" x14ac:dyDescent="0.25">
      <c r="B452">
        <f t="shared" si="18"/>
        <v>49</v>
      </c>
      <c r="C452">
        <v>1</v>
      </c>
      <c r="D452">
        <v>1</v>
      </c>
      <c r="E452">
        <v>1</v>
      </c>
      <c r="F452">
        <v>1</v>
      </c>
      <c r="G452">
        <v>1</v>
      </c>
      <c r="J452">
        <f t="shared" si="19"/>
        <v>49</v>
      </c>
      <c r="K452">
        <v>1</v>
      </c>
      <c r="L452">
        <v>1</v>
      </c>
      <c r="M452">
        <v>1</v>
      </c>
      <c r="N452">
        <v>1</v>
      </c>
      <c r="O452">
        <v>1</v>
      </c>
      <c r="R452">
        <f t="shared" si="20"/>
        <v>49</v>
      </c>
      <c r="S452">
        <v>1</v>
      </c>
      <c r="T452">
        <v>1</v>
      </c>
      <c r="U452">
        <v>1</v>
      </c>
      <c r="V452">
        <v>1</v>
      </c>
      <c r="W452">
        <v>1</v>
      </c>
      <c r="AA452">
        <v>-9766.3366999999998</v>
      </c>
      <c r="AB452">
        <v>-9766.3366999999998</v>
      </c>
      <c r="AC452">
        <v>-9766.3366999999998</v>
      </c>
      <c r="AD452">
        <v>-9766.3366999999998</v>
      </c>
      <c r="AE452">
        <v>-9766.3366999999998</v>
      </c>
    </row>
    <row r="453" spans="2:31" x14ac:dyDescent="0.25">
      <c r="B453">
        <f t="shared" si="18"/>
        <v>50</v>
      </c>
      <c r="C453">
        <v>1</v>
      </c>
      <c r="D453">
        <v>1</v>
      </c>
      <c r="E453">
        <v>1</v>
      </c>
      <c r="F453">
        <v>1</v>
      </c>
      <c r="G453">
        <v>1</v>
      </c>
      <c r="J453">
        <f t="shared" si="19"/>
        <v>50</v>
      </c>
      <c r="K453">
        <v>1</v>
      </c>
      <c r="L453">
        <v>1</v>
      </c>
      <c r="M453">
        <v>1</v>
      </c>
      <c r="N453">
        <v>1</v>
      </c>
      <c r="O453">
        <v>1</v>
      </c>
      <c r="R453">
        <f t="shared" si="20"/>
        <v>50</v>
      </c>
      <c r="S453">
        <v>1</v>
      </c>
      <c r="T453">
        <v>1</v>
      </c>
      <c r="U453">
        <v>1</v>
      </c>
      <c r="V453">
        <v>1</v>
      </c>
      <c r="W453">
        <v>1</v>
      </c>
      <c r="AA453">
        <v>-9637.5864000000001</v>
      </c>
      <c r="AB453">
        <v>-9637.5864000000001</v>
      </c>
      <c r="AC453">
        <v>-9637.5864000000001</v>
      </c>
      <c r="AD453">
        <v>-9637.5864000000001</v>
      </c>
      <c r="AE453">
        <v>-9637.5864000000001</v>
      </c>
    </row>
    <row r="454" spans="2:31" x14ac:dyDescent="0.25">
      <c r="B454">
        <f t="shared" si="18"/>
        <v>51</v>
      </c>
      <c r="C454">
        <v>1</v>
      </c>
      <c r="D454">
        <v>1</v>
      </c>
      <c r="E454">
        <v>1</v>
      </c>
      <c r="F454">
        <v>1</v>
      </c>
      <c r="G454">
        <v>1</v>
      </c>
      <c r="J454">
        <f t="shared" si="19"/>
        <v>51</v>
      </c>
      <c r="K454">
        <v>1</v>
      </c>
      <c r="L454">
        <v>1</v>
      </c>
      <c r="M454">
        <v>1</v>
      </c>
      <c r="N454">
        <v>1</v>
      </c>
      <c r="O454">
        <v>1</v>
      </c>
      <c r="R454">
        <f t="shared" si="20"/>
        <v>51</v>
      </c>
      <c r="S454">
        <v>1</v>
      </c>
      <c r="T454">
        <v>1</v>
      </c>
      <c r="U454">
        <v>1</v>
      </c>
      <c r="V454">
        <v>1</v>
      </c>
      <c r="W454">
        <v>1</v>
      </c>
      <c r="AA454">
        <v>-9506.3734000000004</v>
      </c>
      <c r="AB454">
        <v>-9506.3734000000004</v>
      </c>
      <c r="AC454">
        <v>-9506.3734000000004</v>
      </c>
      <c r="AD454">
        <v>-9506.3734000000004</v>
      </c>
      <c r="AE454">
        <v>-9506.3734000000004</v>
      </c>
    </row>
    <row r="455" spans="2:31" x14ac:dyDescent="0.25">
      <c r="B455">
        <f t="shared" si="18"/>
        <v>52</v>
      </c>
      <c r="C455">
        <v>1</v>
      </c>
      <c r="D455">
        <v>1</v>
      </c>
      <c r="E455">
        <v>1</v>
      </c>
      <c r="F455">
        <v>1</v>
      </c>
      <c r="G455">
        <v>1</v>
      </c>
      <c r="J455">
        <f t="shared" si="19"/>
        <v>52</v>
      </c>
      <c r="K455">
        <v>1</v>
      </c>
      <c r="L455">
        <v>1</v>
      </c>
      <c r="M455">
        <v>1</v>
      </c>
      <c r="N455">
        <v>1</v>
      </c>
      <c r="O455">
        <v>1</v>
      </c>
      <c r="R455">
        <f t="shared" si="20"/>
        <v>52</v>
      </c>
      <c r="S455">
        <v>1</v>
      </c>
      <c r="T455">
        <v>1</v>
      </c>
      <c r="U455">
        <v>1</v>
      </c>
      <c r="V455">
        <v>1</v>
      </c>
      <c r="W455">
        <v>1</v>
      </c>
      <c r="AA455">
        <v>-9372.7019</v>
      </c>
      <c r="AB455">
        <v>-9372.7019</v>
      </c>
      <c r="AC455">
        <v>-9372.7019</v>
      </c>
      <c r="AD455">
        <v>-9372.7019</v>
      </c>
      <c r="AE455">
        <v>-9372.7019</v>
      </c>
    </row>
    <row r="456" spans="2:31" x14ac:dyDescent="0.25">
      <c r="B456">
        <f t="shared" si="18"/>
        <v>53</v>
      </c>
      <c r="C456">
        <v>1</v>
      </c>
      <c r="D456">
        <v>1</v>
      </c>
      <c r="E456">
        <v>1</v>
      </c>
      <c r="F456">
        <v>1</v>
      </c>
      <c r="G456">
        <v>1</v>
      </c>
      <c r="J456">
        <f t="shared" si="19"/>
        <v>53</v>
      </c>
      <c r="K456">
        <v>1</v>
      </c>
      <c r="L456">
        <v>1</v>
      </c>
      <c r="M456">
        <v>1</v>
      </c>
      <c r="N456">
        <v>1</v>
      </c>
      <c r="O456">
        <v>1</v>
      </c>
      <c r="R456">
        <f t="shared" si="20"/>
        <v>53</v>
      </c>
      <c r="S456">
        <v>1</v>
      </c>
      <c r="T456">
        <v>1</v>
      </c>
      <c r="U456">
        <v>1</v>
      </c>
      <c r="V456">
        <v>1</v>
      </c>
      <c r="W456">
        <v>1</v>
      </c>
      <c r="AA456">
        <v>-9236.6705000000002</v>
      </c>
      <c r="AB456">
        <v>-9236.6705000000002</v>
      </c>
      <c r="AC456">
        <v>-9236.6705000000002</v>
      </c>
      <c r="AD456">
        <v>-9236.6705000000002</v>
      </c>
      <c r="AE456">
        <v>-9236.6705000000002</v>
      </c>
    </row>
    <row r="457" spans="2:31" x14ac:dyDescent="0.25">
      <c r="B457">
        <f t="shared" si="18"/>
        <v>54</v>
      </c>
      <c r="C457">
        <v>1</v>
      </c>
      <c r="D457">
        <v>1</v>
      </c>
      <c r="E457">
        <v>1</v>
      </c>
      <c r="F457">
        <v>1</v>
      </c>
      <c r="G457">
        <v>1</v>
      </c>
      <c r="J457">
        <f t="shared" si="19"/>
        <v>54</v>
      </c>
      <c r="K457">
        <v>1</v>
      </c>
      <c r="L457">
        <v>1</v>
      </c>
      <c r="M457">
        <v>1</v>
      </c>
      <c r="N457">
        <v>1</v>
      </c>
      <c r="O457">
        <v>1</v>
      </c>
      <c r="R457">
        <f t="shared" si="20"/>
        <v>54</v>
      </c>
      <c r="S457">
        <v>1</v>
      </c>
      <c r="T457">
        <v>1</v>
      </c>
      <c r="U457">
        <v>1</v>
      </c>
      <c r="V457">
        <v>1</v>
      </c>
      <c r="W457">
        <v>1</v>
      </c>
      <c r="AA457">
        <v>-9098.4312000000009</v>
      </c>
      <c r="AB457">
        <v>-9098.4312000000009</v>
      </c>
      <c r="AC457">
        <v>-9098.4312000000009</v>
      </c>
      <c r="AD457">
        <v>-9098.4312000000009</v>
      </c>
      <c r="AE457">
        <v>-9098.4312000000009</v>
      </c>
    </row>
    <row r="458" spans="2:31" x14ac:dyDescent="0.25">
      <c r="B458">
        <f t="shared" si="18"/>
        <v>55</v>
      </c>
      <c r="C458">
        <v>1</v>
      </c>
      <c r="D458">
        <v>1</v>
      </c>
      <c r="E458">
        <v>1</v>
      </c>
      <c r="F458">
        <v>1</v>
      </c>
      <c r="G458">
        <v>1</v>
      </c>
      <c r="J458">
        <f t="shared" si="19"/>
        <v>55</v>
      </c>
      <c r="K458">
        <v>1</v>
      </c>
      <c r="L458">
        <v>1</v>
      </c>
      <c r="M458">
        <v>1</v>
      </c>
      <c r="N458">
        <v>1</v>
      </c>
      <c r="O458">
        <v>1</v>
      </c>
      <c r="R458">
        <f t="shared" si="20"/>
        <v>55</v>
      </c>
      <c r="S458">
        <v>1</v>
      </c>
      <c r="T458">
        <v>1</v>
      </c>
      <c r="U458">
        <v>1</v>
      </c>
      <c r="V458">
        <v>1</v>
      </c>
      <c r="W458">
        <v>1</v>
      </c>
      <c r="AA458">
        <v>-8958.0210999999999</v>
      </c>
      <c r="AB458">
        <v>-8958.0210999999999</v>
      </c>
      <c r="AC458">
        <v>-8958.0210999999999</v>
      </c>
      <c r="AD458">
        <v>-8958.0210999999999</v>
      </c>
      <c r="AE458">
        <v>-8958.0210999999999</v>
      </c>
    </row>
    <row r="459" spans="2:31" x14ac:dyDescent="0.25">
      <c r="B459">
        <f t="shared" si="18"/>
        <v>56</v>
      </c>
      <c r="C459">
        <v>1</v>
      </c>
      <c r="D459">
        <v>1</v>
      </c>
      <c r="E459">
        <v>1</v>
      </c>
      <c r="F459">
        <v>1</v>
      </c>
      <c r="G459">
        <v>1</v>
      </c>
      <c r="J459">
        <f t="shared" si="19"/>
        <v>56</v>
      </c>
      <c r="K459">
        <v>1</v>
      </c>
      <c r="L459">
        <v>1</v>
      </c>
      <c r="M459">
        <v>1</v>
      </c>
      <c r="N459">
        <v>1</v>
      </c>
      <c r="O459">
        <v>1</v>
      </c>
      <c r="R459">
        <f t="shared" si="20"/>
        <v>56</v>
      </c>
      <c r="S459">
        <v>1</v>
      </c>
      <c r="T459">
        <v>1</v>
      </c>
      <c r="U459">
        <v>1</v>
      </c>
      <c r="V459">
        <v>1</v>
      </c>
      <c r="W459">
        <v>1</v>
      </c>
      <c r="AA459">
        <v>-8815.6316999999999</v>
      </c>
      <c r="AB459">
        <v>-8815.6316999999999</v>
      </c>
      <c r="AC459">
        <v>-8815.6316999999999</v>
      </c>
      <c r="AD459">
        <v>-8815.6316999999999</v>
      </c>
      <c r="AE459">
        <v>-8815.6316999999999</v>
      </c>
    </row>
    <row r="460" spans="2:31" x14ac:dyDescent="0.25">
      <c r="B460">
        <f t="shared" si="18"/>
        <v>57</v>
      </c>
      <c r="C460">
        <v>1</v>
      </c>
      <c r="D460">
        <v>1</v>
      </c>
      <c r="E460">
        <v>1</v>
      </c>
      <c r="F460">
        <v>1</v>
      </c>
      <c r="G460">
        <v>1</v>
      </c>
      <c r="J460">
        <f t="shared" si="19"/>
        <v>57</v>
      </c>
      <c r="K460">
        <v>1</v>
      </c>
      <c r="L460">
        <v>1</v>
      </c>
      <c r="M460">
        <v>1</v>
      </c>
      <c r="N460">
        <v>1</v>
      </c>
      <c r="O460">
        <v>1</v>
      </c>
      <c r="R460">
        <f t="shared" si="20"/>
        <v>57</v>
      </c>
      <c r="S460">
        <v>1</v>
      </c>
      <c r="T460">
        <v>1</v>
      </c>
      <c r="U460">
        <v>1</v>
      </c>
      <c r="V460">
        <v>1</v>
      </c>
      <c r="W460">
        <v>1</v>
      </c>
      <c r="AA460">
        <v>-8671.3991999999998</v>
      </c>
      <c r="AB460">
        <v>-8671.3991999999998</v>
      </c>
      <c r="AC460">
        <v>-8671.3991999999998</v>
      </c>
      <c r="AD460">
        <v>-8671.3991999999998</v>
      </c>
      <c r="AE460">
        <v>-8671.3991999999998</v>
      </c>
    </row>
    <row r="461" spans="2:31" x14ac:dyDescent="0.25">
      <c r="B461">
        <f t="shared" si="18"/>
        <v>58</v>
      </c>
      <c r="C461">
        <v>1</v>
      </c>
      <c r="D461">
        <v>1</v>
      </c>
      <c r="E461">
        <v>1</v>
      </c>
      <c r="F461">
        <v>1</v>
      </c>
      <c r="G461">
        <v>1</v>
      </c>
      <c r="J461">
        <f t="shared" si="19"/>
        <v>58</v>
      </c>
      <c r="K461">
        <v>1</v>
      </c>
      <c r="L461">
        <v>1</v>
      </c>
      <c r="M461">
        <v>1</v>
      </c>
      <c r="N461">
        <v>1</v>
      </c>
      <c r="O461">
        <v>1</v>
      </c>
      <c r="R461">
        <f t="shared" si="20"/>
        <v>58</v>
      </c>
      <c r="S461">
        <v>1</v>
      </c>
      <c r="T461">
        <v>1</v>
      </c>
      <c r="U461">
        <v>1</v>
      </c>
      <c r="V461">
        <v>1</v>
      </c>
      <c r="W461">
        <v>1</v>
      </c>
      <c r="AA461">
        <v>-8525.2759999999998</v>
      </c>
      <c r="AB461">
        <v>-8525.2759999999998</v>
      </c>
      <c r="AC461">
        <v>-8525.2759999999998</v>
      </c>
      <c r="AD461">
        <v>-8525.2759999999998</v>
      </c>
      <c r="AE461">
        <v>-8525.2759999999998</v>
      </c>
    </row>
    <row r="462" spans="2:31" x14ac:dyDescent="0.25">
      <c r="B462">
        <f t="shared" si="18"/>
        <v>59</v>
      </c>
      <c r="C462">
        <v>1</v>
      </c>
      <c r="D462">
        <v>1</v>
      </c>
      <c r="E462">
        <v>1</v>
      </c>
      <c r="F462">
        <v>1</v>
      </c>
      <c r="G462">
        <v>1</v>
      </c>
      <c r="J462">
        <f t="shared" si="19"/>
        <v>59</v>
      </c>
      <c r="K462">
        <v>1</v>
      </c>
      <c r="L462">
        <v>1</v>
      </c>
      <c r="M462">
        <v>1</v>
      </c>
      <c r="N462">
        <v>1</v>
      </c>
      <c r="O462">
        <v>1</v>
      </c>
      <c r="R462">
        <f t="shared" si="20"/>
        <v>59</v>
      </c>
      <c r="S462">
        <v>1</v>
      </c>
      <c r="T462">
        <v>1</v>
      </c>
      <c r="U462">
        <v>1</v>
      </c>
      <c r="V462">
        <v>1</v>
      </c>
      <c r="W462">
        <v>1</v>
      </c>
      <c r="AA462">
        <v>-8377.2351999999992</v>
      </c>
      <c r="AB462">
        <v>-8377.2351999999992</v>
      </c>
      <c r="AC462">
        <v>-8377.2351999999992</v>
      </c>
      <c r="AD462">
        <v>-8377.2351999999992</v>
      </c>
      <c r="AE462">
        <v>-8377.2351999999992</v>
      </c>
    </row>
    <row r="463" spans="2:31" x14ac:dyDescent="0.25">
      <c r="B463">
        <f t="shared" si="18"/>
        <v>60</v>
      </c>
      <c r="C463">
        <v>1</v>
      </c>
      <c r="D463">
        <v>1</v>
      </c>
      <c r="E463">
        <v>1</v>
      </c>
      <c r="F463">
        <v>1</v>
      </c>
      <c r="G463">
        <v>1</v>
      </c>
      <c r="J463">
        <f t="shared" si="19"/>
        <v>60</v>
      </c>
      <c r="K463">
        <v>1</v>
      </c>
      <c r="L463">
        <v>1</v>
      </c>
      <c r="M463">
        <v>1</v>
      </c>
      <c r="N463">
        <v>1</v>
      </c>
      <c r="O463">
        <v>1</v>
      </c>
      <c r="R463">
        <f t="shared" si="20"/>
        <v>60</v>
      </c>
      <c r="S463">
        <v>1</v>
      </c>
      <c r="T463">
        <v>1</v>
      </c>
      <c r="U463">
        <v>1</v>
      </c>
      <c r="V463">
        <v>1</v>
      </c>
      <c r="W463">
        <v>1</v>
      </c>
      <c r="AA463">
        <v>-8227.3953999999994</v>
      </c>
      <c r="AB463">
        <v>-8227.3953999999994</v>
      </c>
      <c r="AC463">
        <v>-8227.3953999999994</v>
      </c>
      <c r="AD463">
        <v>-8227.3953999999994</v>
      </c>
      <c r="AE463">
        <v>-8227.3953999999994</v>
      </c>
    </row>
    <row r="464" spans="2:31" x14ac:dyDescent="0.25">
      <c r="B464">
        <f t="shared" si="18"/>
        <v>61</v>
      </c>
      <c r="C464">
        <v>1</v>
      </c>
      <c r="D464">
        <v>1</v>
      </c>
      <c r="E464">
        <v>1</v>
      </c>
      <c r="F464">
        <v>1</v>
      </c>
      <c r="G464">
        <v>1</v>
      </c>
      <c r="J464">
        <f t="shared" si="19"/>
        <v>61</v>
      </c>
      <c r="K464">
        <v>1</v>
      </c>
      <c r="L464">
        <v>1</v>
      </c>
      <c r="M464">
        <v>1</v>
      </c>
      <c r="N464">
        <v>1</v>
      </c>
      <c r="O464">
        <v>1</v>
      </c>
      <c r="R464">
        <f t="shared" si="20"/>
        <v>61</v>
      </c>
      <c r="S464">
        <v>1</v>
      </c>
      <c r="T464">
        <v>1</v>
      </c>
      <c r="U464">
        <v>1</v>
      </c>
      <c r="V464">
        <v>1</v>
      </c>
      <c r="W464">
        <v>1</v>
      </c>
      <c r="AA464">
        <v>-8076.1778999999997</v>
      </c>
      <c r="AB464">
        <v>-8076.1778999999997</v>
      </c>
      <c r="AC464">
        <v>-8076.1778999999997</v>
      </c>
      <c r="AD464">
        <v>-8076.1778999999997</v>
      </c>
      <c r="AE464">
        <v>-8076.1778999999997</v>
      </c>
    </row>
    <row r="465" spans="2:32" x14ac:dyDescent="0.25">
      <c r="B465">
        <f t="shared" si="18"/>
        <v>62</v>
      </c>
      <c r="C465">
        <v>1</v>
      </c>
      <c r="D465">
        <v>1</v>
      </c>
      <c r="E465">
        <v>1</v>
      </c>
      <c r="F465">
        <v>1</v>
      </c>
      <c r="G465">
        <v>1</v>
      </c>
      <c r="J465">
        <f t="shared" si="19"/>
        <v>62</v>
      </c>
      <c r="K465">
        <v>1</v>
      </c>
      <c r="L465">
        <v>1</v>
      </c>
      <c r="M465">
        <v>1</v>
      </c>
      <c r="N465">
        <v>1</v>
      </c>
      <c r="O465">
        <v>1</v>
      </c>
      <c r="R465">
        <f t="shared" si="20"/>
        <v>62</v>
      </c>
      <c r="S465">
        <v>1</v>
      </c>
      <c r="T465">
        <v>1</v>
      </c>
      <c r="U465">
        <v>1</v>
      </c>
      <c r="V465">
        <v>1</v>
      </c>
      <c r="W465">
        <v>1</v>
      </c>
      <c r="AA465">
        <v>-7923.5816000000004</v>
      </c>
      <c r="AB465">
        <v>-7923.5816000000004</v>
      </c>
      <c r="AC465">
        <v>-7923.5816000000004</v>
      </c>
      <c r="AD465">
        <v>-7923.5816000000004</v>
      </c>
      <c r="AE465">
        <v>-7923.5816000000004</v>
      </c>
    </row>
    <row r="466" spans="2:32" x14ac:dyDescent="0.25">
      <c r="B466">
        <f t="shared" si="18"/>
        <v>63</v>
      </c>
      <c r="C466">
        <v>1</v>
      </c>
      <c r="D466">
        <v>1</v>
      </c>
      <c r="E466">
        <v>1</v>
      </c>
      <c r="F466">
        <v>1</v>
      </c>
      <c r="G466">
        <v>1</v>
      </c>
      <c r="J466">
        <f t="shared" si="19"/>
        <v>63</v>
      </c>
      <c r="K466">
        <v>1</v>
      </c>
      <c r="L466">
        <v>1</v>
      </c>
      <c r="M466">
        <v>1</v>
      </c>
      <c r="N466">
        <v>1</v>
      </c>
      <c r="O466">
        <v>1</v>
      </c>
      <c r="R466">
        <f t="shared" si="20"/>
        <v>63</v>
      </c>
      <c r="S466">
        <v>1</v>
      </c>
      <c r="T466">
        <v>1</v>
      </c>
      <c r="U466">
        <v>1</v>
      </c>
      <c r="V466">
        <v>1</v>
      </c>
      <c r="W466">
        <v>1</v>
      </c>
      <c r="AA466">
        <v>-7769.2775000000001</v>
      </c>
      <c r="AB466">
        <v>-7769.2775000000001</v>
      </c>
      <c r="AC466">
        <v>-7769.2775000000001</v>
      </c>
      <c r="AD466">
        <v>-7769.2775000000001</v>
      </c>
      <c r="AE466">
        <v>-7769.2775000000001</v>
      </c>
    </row>
    <row r="467" spans="2:32" x14ac:dyDescent="0.25">
      <c r="B467">
        <f t="shared" si="18"/>
        <v>64</v>
      </c>
      <c r="C467">
        <v>1</v>
      </c>
      <c r="D467">
        <v>1</v>
      </c>
      <c r="E467">
        <v>1</v>
      </c>
      <c r="F467">
        <v>1</v>
      </c>
      <c r="G467">
        <v>1</v>
      </c>
      <c r="J467">
        <f t="shared" si="19"/>
        <v>64</v>
      </c>
      <c r="K467">
        <v>1</v>
      </c>
      <c r="L467">
        <v>1</v>
      </c>
      <c r="M467">
        <v>1</v>
      </c>
      <c r="N467">
        <v>1</v>
      </c>
      <c r="O467">
        <v>1</v>
      </c>
      <c r="R467">
        <f t="shared" si="20"/>
        <v>64</v>
      </c>
      <c r="S467">
        <v>1</v>
      </c>
      <c r="T467">
        <v>1</v>
      </c>
      <c r="U467">
        <v>1</v>
      </c>
      <c r="V467">
        <v>1</v>
      </c>
      <c r="W467">
        <v>1</v>
      </c>
      <c r="AA467">
        <v>-7613.3999000000003</v>
      </c>
      <c r="AB467">
        <v>-7613.3999000000003</v>
      </c>
      <c r="AC467">
        <v>-7613.3999000000003</v>
      </c>
      <c r="AD467">
        <v>-7613.3999000000003</v>
      </c>
      <c r="AE467">
        <v>-7613.3999000000003</v>
      </c>
    </row>
    <row r="468" spans="2:32" x14ac:dyDescent="0.25">
      <c r="B468">
        <f t="shared" si="18"/>
        <v>65</v>
      </c>
      <c r="C468">
        <v>1</v>
      </c>
      <c r="D468">
        <v>1</v>
      </c>
      <c r="E468">
        <v>1</v>
      </c>
      <c r="F468">
        <v>1</v>
      </c>
      <c r="G468">
        <v>1</v>
      </c>
      <c r="J468">
        <f t="shared" si="19"/>
        <v>65</v>
      </c>
      <c r="K468">
        <v>1</v>
      </c>
      <c r="L468">
        <v>1</v>
      </c>
      <c r="M468">
        <v>1</v>
      </c>
      <c r="N468">
        <v>1</v>
      </c>
      <c r="O468">
        <v>1</v>
      </c>
      <c r="R468">
        <f t="shared" si="20"/>
        <v>65</v>
      </c>
      <c r="S468">
        <v>1</v>
      </c>
      <c r="T468">
        <v>1</v>
      </c>
      <c r="U468">
        <v>1</v>
      </c>
      <c r="V468">
        <v>1</v>
      </c>
      <c r="W468">
        <v>1</v>
      </c>
      <c r="AA468">
        <v>-7455.8590000000004</v>
      </c>
      <c r="AB468">
        <v>-7455.8590000000004</v>
      </c>
      <c r="AC468">
        <v>-7455.8590000000004</v>
      </c>
      <c r="AD468">
        <v>-7455.8590000000004</v>
      </c>
      <c r="AE468">
        <v>-7455.8590000000004</v>
      </c>
    </row>
    <row r="471" spans="2:32" x14ac:dyDescent="0.25">
      <c r="B471" t="s">
        <v>46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47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48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2:32" x14ac:dyDescent="0.25">
      <c r="B472">
        <v>26</v>
      </c>
      <c r="C472">
        <v>1</v>
      </c>
      <c r="D472">
        <v>1</v>
      </c>
      <c r="E472">
        <v>1</v>
      </c>
      <c r="F472">
        <v>1</v>
      </c>
      <c r="G472">
        <v>1</v>
      </c>
      <c r="H472">
        <v>1</v>
      </c>
      <c r="J472">
        <v>26</v>
      </c>
      <c r="K472">
        <v>1</v>
      </c>
      <c r="L472">
        <v>1</v>
      </c>
      <c r="M472">
        <v>1</v>
      </c>
      <c r="N472">
        <v>1</v>
      </c>
      <c r="O472">
        <v>1</v>
      </c>
      <c r="P472">
        <v>1</v>
      </c>
      <c r="R472">
        <v>26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AA472">
        <v>-7435.5060999999996</v>
      </c>
      <c r="AB472">
        <v>-7435.5060999999996</v>
      </c>
      <c r="AC472">
        <v>-7435.5060999999996</v>
      </c>
      <c r="AD472">
        <v>-7435.5060999999996</v>
      </c>
      <c r="AE472">
        <v>-7435.5060999999996</v>
      </c>
      <c r="AF472">
        <v>-7435.5060999999996</v>
      </c>
    </row>
    <row r="473" spans="2:32" x14ac:dyDescent="0.25">
      <c r="B473">
        <v>27</v>
      </c>
      <c r="C473">
        <v>1</v>
      </c>
      <c r="D473">
        <v>1</v>
      </c>
      <c r="E473">
        <v>1</v>
      </c>
      <c r="F473">
        <v>1</v>
      </c>
      <c r="G473">
        <v>1</v>
      </c>
      <c r="H473">
        <v>1</v>
      </c>
      <c r="J473">
        <v>27</v>
      </c>
      <c r="K473">
        <v>1</v>
      </c>
      <c r="L473">
        <v>1</v>
      </c>
      <c r="M473">
        <v>1</v>
      </c>
      <c r="N473">
        <v>1</v>
      </c>
      <c r="O473">
        <v>1</v>
      </c>
      <c r="P473">
        <v>1</v>
      </c>
      <c r="R473">
        <v>27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AA473">
        <v>-7434.2619000000004</v>
      </c>
      <c r="AB473">
        <v>-7434.2619000000004</v>
      </c>
      <c r="AC473">
        <v>-7434.2619000000004</v>
      </c>
      <c r="AD473">
        <v>-7434.2619000000004</v>
      </c>
      <c r="AE473">
        <v>-7434.2619000000004</v>
      </c>
      <c r="AF473">
        <v>-7434.2619000000004</v>
      </c>
    </row>
    <row r="474" spans="2:32" x14ac:dyDescent="0.25">
      <c r="B474">
        <v>28</v>
      </c>
      <c r="C474">
        <v>1</v>
      </c>
      <c r="D474">
        <v>1</v>
      </c>
      <c r="E474">
        <v>1</v>
      </c>
      <c r="F474">
        <v>1</v>
      </c>
      <c r="G474">
        <v>1</v>
      </c>
      <c r="H474">
        <v>1</v>
      </c>
      <c r="J474">
        <v>28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R474">
        <v>28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AA474">
        <v>-7432.8334999999997</v>
      </c>
      <c r="AB474">
        <v>-7432.8334999999997</v>
      </c>
      <c r="AC474">
        <v>-7432.8334999999997</v>
      </c>
      <c r="AD474">
        <v>-7432.8334999999997</v>
      </c>
      <c r="AE474">
        <v>-7432.8334999999997</v>
      </c>
      <c r="AF474">
        <v>-7432.8334999999997</v>
      </c>
    </row>
    <row r="475" spans="2:32" x14ac:dyDescent="0.25">
      <c r="B475">
        <v>29</v>
      </c>
      <c r="C475">
        <v>1</v>
      </c>
      <c r="D475">
        <v>1</v>
      </c>
      <c r="E475">
        <v>1</v>
      </c>
      <c r="F475">
        <v>1</v>
      </c>
      <c r="G475">
        <v>1</v>
      </c>
      <c r="H475">
        <v>1</v>
      </c>
      <c r="J475">
        <v>29</v>
      </c>
      <c r="K475">
        <v>1</v>
      </c>
      <c r="L475">
        <v>1</v>
      </c>
      <c r="M475">
        <v>1</v>
      </c>
      <c r="N475">
        <v>1</v>
      </c>
      <c r="O475">
        <v>1</v>
      </c>
      <c r="P475">
        <v>1</v>
      </c>
      <c r="R475">
        <v>29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AA475">
        <v>-7431.2058999999999</v>
      </c>
      <c r="AB475">
        <v>-7431.2058999999999</v>
      </c>
      <c r="AC475">
        <v>-7431.2058999999999</v>
      </c>
      <c r="AD475">
        <v>-7431.2058999999999</v>
      </c>
      <c r="AE475">
        <v>-7431.2058999999999</v>
      </c>
      <c r="AF475">
        <v>-7431.2058999999999</v>
      </c>
    </row>
    <row r="476" spans="2:32" x14ac:dyDescent="0.25">
      <c r="B476">
        <v>30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J476">
        <v>30</v>
      </c>
      <c r="K476">
        <v>1</v>
      </c>
      <c r="L476">
        <v>1</v>
      </c>
      <c r="M476">
        <v>1</v>
      </c>
      <c r="N476">
        <v>1</v>
      </c>
      <c r="O476">
        <v>1</v>
      </c>
      <c r="P476">
        <v>1</v>
      </c>
      <c r="R476">
        <v>30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AA476">
        <v>-7429.3476000000001</v>
      </c>
      <c r="AB476">
        <v>-7429.3476000000001</v>
      </c>
      <c r="AC476">
        <v>-7429.3476000000001</v>
      </c>
      <c r="AD476">
        <v>-7429.3476000000001</v>
      </c>
      <c r="AE476">
        <v>-7429.3476000000001</v>
      </c>
      <c r="AF476">
        <v>-7429.3476000000001</v>
      </c>
    </row>
    <row r="477" spans="2:32" x14ac:dyDescent="0.25">
      <c r="B477">
        <v>31</v>
      </c>
      <c r="C477">
        <v>1</v>
      </c>
      <c r="D477">
        <v>1</v>
      </c>
      <c r="E477">
        <v>1</v>
      </c>
      <c r="F477">
        <v>1</v>
      </c>
      <c r="G477">
        <v>1</v>
      </c>
      <c r="H477">
        <v>1</v>
      </c>
      <c r="J477">
        <v>31</v>
      </c>
      <c r="K477">
        <v>1</v>
      </c>
      <c r="L477">
        <v>1</v>
      </c>
      <c r="M477">
        <v>1</v>
      </c>
      <c r="N477">
        <v>1</v>
      </c>
      <c r="O477">
        <v>1</v>
      </c>
      <c r="P477">
        <v>1</v>
      </c>
      <c r="R477">
        <v>31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AA477">
        <v>-7427.2446</v>
      </c>
      <c r="AB477">
        <v>-7427.2446</v>
      </c>
      <c r="AC477">
        <v>-7427.2446</v>
      </c>
      <c r="AD477">
        <v>-7427.2446</v>
      </c>
      <c r="AE477">
        <v>-7427.2446</v>
      </c>
      <c r="AF477">
        <v>-7427.2446</v>
      </c>
    </row>
    <row r="478" spans="2:32" x14ac:dyDescent="0.25">
      <c r="B478">
        <v>32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1</v>
      </c>
      <c r="J478">
        <v>32</v>
      </c>
      <c r="K478">
        <v>1</v>
      </c>
      <c r="L478">
        <v>1</v>
      </c>
      <c r="M478">
        <v>1</v>
      </c>
      <c r="N478">
        <v>1</v>
      </c>
      <c r="O478">
        <v>1</v>
      </c>
      <c r="P478">
        <v>1</v>
      </c>
      <c r="R478">
        <v>32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AA478">
        <v>-7424.8944000000001</v>
      </c>
      <c r="AB478">
        <v>-7424.8944000000001</v>
      </c>
      <c r="AC478">
        <v>-7424.8944000000001</v>
      </c>
      <c r="AD478">
        <v>-7424.8944000000001</v>
      </c>
      <c r="AE478">
        <v>-7424.8944000000001</v>
      </c>
      <c r="AF478">
        <v>-7424.8944000000001</v>
      </c>
    </row>
    <row r="479" spans="2:32" x14ac:dyDescent="0.25">
      <c r="B479">
        <v>33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1</v>
      </c>
      <c r="J479">
        <v>33</v>
      </c>
      <c r="K479">
        <v>1</v>
      </c>
      <c r="L479">
        <v>1</v>
      </c>
      <c r="M479">
        <v>1</v>
      </c>
      <c r="N479">
        <v>1</v>
      </c>
      <c r="O479">
        <v>1</v>
      </c>
      <c r="P479">
        <v>1</v>
      </c>
      <c r="R479">
        <v>33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AA479">
        <v>-7422.2834000000003</v>
      </c>
      <c r="AB479">
        <v>-7422.2834000000003</v>
      </c>
      <c r="AC479">
        <v>-7422.2834000000003</v>
      </c>
      <c r="AD479">
        <v>-7422.2834000000003</v>
      </c>
      <c r="AE479">
        <v>-7422.2834000000003</v>
      </c>
      <c r="AF479">
        <v>-7422.2834000000003</v>
      </c>
    </row>
    <row r="480" spans="2:32" x14ac:dyDescent="0.25">
      <c r="B480">
        <v>34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J480">
        <v>34</v>
      </c>
      <c r="K480">
        <v>1</v>
      </c>
      <c r="L480">
        <v>1</v>
      </c>
      <c r="M480">
        <v>1</v>
      </c>
      <c r="N480">
        <v>1</v>
      </c>
      <c r="O480">
        <v>1</v>
      </c>
      <c r="P480">
        <v>1</v>
      </c>
      <c r="R480">
        <v>34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AA480">
        <v>-7419.3683000000001</v>
      </c>
      <c r="AB480">
        <v>-7419.3683000000001</v>
      </c>
      <c r="AC480">
        <v>-7419.3683000000001</v>
      </c>
      <c r="AD480">
        <v>-7419.3683000000001</v>
      </c>
      <c r="AE480">
        <v>-7419.3683000000001</v>
      </c>
      <c r="AF480">
        <v>-7419.3683000000001</v>
      </c>
    </row>
    <row r="481" spans="2:32" x14ac:dyDescent="0.25">
      <c r="B481">
        <v>35</v>
      </c>
      <c r="C481">
        <v>1</v>
      </c>
      <c r="D481">
        <v>1</v>
      </c>
      <c r="E481">
        <v>1</v>
      </c>
      <c r="F481">
        <v>1</v>
      </c>
      <c r="G481">
        <v>1</v>
      </c>
      <c r="H481">
        <v>1</v>
      </c>
      <c r="J481">
        <v>35</v>
      </c>
      <c r="K481">
        <v>1</v>
      </c>
      <c r="L481">
        <v>1</v>
      </c>
      <c r="M481">
        <v>1</v>
      </c>
      <c r="N481">
        <v>1</v>
      </c>
      <c r="O481">
        <v>1</v>
      </c>
      <c r="P481">
        <v>1</v>
      </c>
      <c r="R481">
        <v>35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AA481">
        <v>-7416.1363000000001</v>
      </c>
      <c r="AB481">
        <v>-7416.1363000000001</v>
      </c>
      <c r="AC481">
        <v>-7416.1363000000001</v>
      </c>
      <c r="AD481">
        <v>-7416.1363000000001</v>
      </c>
      <c r="AE481">
        <v>-7416.1363000000001</v>
      </c>
      <c r="AF481">
        <v>-7416.1363000000001</v>
      </c>
    </row>
    <row r="482" spans="2:32" x14ac:dyDescent="0.25">
      <c r="B482">
        <v>36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J482">
        <v>36</v>
      </c>
      <c r="K482">
        <v>1</v>
      </c>
      <c r="L482">
        <v>1</v>
      </c>
      <c r="M482">
        <v>1</v>
      </c>
      <c r="N482">
        <v>1</v>
      </c>
      <c r="O482">
        <v>1</v>
      </c>
      <c r="P482">
        <v>1</v>
      </c>
      <c r="R482">
        <v>36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AA482">
        <v>-7412.5378000000001</v>
      </c>
      <c r="AB482">
        <v>-7412.5378000000001</v>
      </c>
      <c r="AC482">
        <v>-7412.5378000000001</v>
      </c>
      <c r="AD482">
        <v>-7412.5378000000001</v>
      </c>
      <c r="AE482">
        <v>-7412.5378000000001</v>
      </c>
      <c r="AF482">
        <v>-7412.5378000000001</v>
      </c>
    </row>
    <row r="483" spans="2:32" x14ac:dyDescent="0.25">
      <c r="B483">
        <v>37</v>
      </c>
      <c r="C483">
        <v>1</v>
      </c>
      <c r="D483">
        <v>1</v>
      </c>
      <c r="E483">
        <v>1</v>
      </c>
      <c r="F483">
        <v>1</v>
      </c>
      <c r="G483">
        <v>1</v>
      </c>
      <c r="H483">
        <v>1</v>
      </c>
      <c r="J483">
        <v>37</v>
      </c>
      <c r="K483">
        <v>1</v>
      </c>
      <c r="L483">
        <v>1</v>
      </c>
      <c r="M483">
        <v>1</v>
      </c>
      <c r="N483">
        <v>1</v>
      </c>
      <c r="O483">
        <v>1</v>
      </c>
      <c r="P483">
        <v>1</v>
      </c>
      <c r="R483">
        <v>37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AA483">
        <v>-7408.55</v>
      </c>
      <c r="AB483">
        <v>-7408.55</v>
      </c>
      <c r="AC483">
        <v>-7408.55</v>
      </c>
      <c r="AD483">
        <v>-7408.55</v>
      </c>
      <c r="AE483">
        <v>-7408.55</v>
      </c>
      <c r="AF483">
        <v>-7408.55</v>
      </c>
    </row>
    <row r="484" spans="2:32" x14ac:dyDescent="0.25">
      <c r="B484">
        <v>38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1</v>
      </c>
      <c r="J484">
        <v>38</v>
      </c>
      <c r="K484">
        <v>1</v>
      </c>
      <c r="L484">
        <v>1</v>
      </c>
      <c r="M484">
        <v>1</v>
      </c>
      <c r="N484">
        <v>1</v>
      </c>
      <c r="O484">
        <v>1</v>
      </c>
      <c r="P484">
        <v>1</v>
      </c>
      <c r="R484">
        <v>38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AA484">
        <v>-7404.1752999999999</v>
      </c>
      <c r="AB484">
        <v>-7404.1752999999999</v>
      </c>
      <c r="AC484">
        <v>-7404.1752999999999</v>
      </c>
      <c r="AD484">
        <v>-7404.1752999999999</v>
      </c>
      <c r="AE484">
        <v>-7404.1752999999999</v>
      </c>
      <c r="AF484">
        <v>-7404.1752999999999</v>
      </c>
    </row>
    <row r="485" spans="2:32" x14ac:dyDescent="0.25">
      <c r="B485">
        <v>39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1</v>
      </c>
      <c r="J485">
        <v>39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1</v>
      </c>
      <c r="R485">
        <v>39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AA485">
        <v>-7399.3923999999997</v>
      </c>
      <c r="AB485">
        <v>-7399.3923999999997</v>
      </c>
      <c r="AC485">
        <v>-7399.3923999999997</v>
      </c>
      <c r="AD485">
        <v>-7399.3923999999997</v>
      </c>
      <c r="AE485">
        <v>-7399.3923999999997</v>
      </c>
      <c r="AF485">
        <v>-7399.3923999999997</v>
      </c>
    </row>
    <row r="486" spans="2:32" x14ac:dyDescent="0.25">
      <c r="B486">
        <v>40</v>
      </c>
      <c r="C486">
        <v>1</v>
      </c>
      <c r="D486">
        <v>1</v>
      </c>
      <c r="E486">
        <v>1</v>
      </c>
      <c r="F486">
        <v>1</v>
      </c>
      <c r="G486">
        <v>1</v>
      </c>
      <c r="H486">
        <v>1</v>
      </c>
      <c r="J486">
        <v>40</v>
      </c>
      <c r="K486">
        <v>1</v>
      </c>
      <c r="L486">
        <v>1</v>
      </c>
      <c r="M486">
        <v>1</v>
      </c>
      <c r="N486">
        <v>1</v>
      </c>
      <c r="O486">
        <v>1</v>
      </c>
      <c r="P486">
        <v>1</v>
      </c>
      <c r="R486">
        <v>40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AA486">
        <v>-7394.1365999999998</v>
      </c>
      <c r="AB486">
        <v>-7394.1365999999998</v>
      </c>
      <c r="AC486">
        <v>-7394.1365999999998</v>
      </c>
      <c r="AD486">
        <v>-7394.1365999999998</v>
      </c>
      <c r="AE486">
        <v>-7394.1365999999998</v>
      </c>
      <c r="AF486">
        <v>-7394.1365999999998</v>
      </c>
    </row>
    <row r="487" spans="2:32" x14ac:dyDescent="0.25">
      <c r="B487">
        <v>41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1</v>
      </c>
      <c r="J487">
        <v>41</v>
      </c>
      <c r="K487">
        <v>1</v>
      </c>
      <c r="L487">
        <v>1</v>
      </c>
      <c r="M487">
        <v>1</v>
      </c>
      <c r="N487">
        <v>1</v>
      </c>
      <c r="O487">
        <v>1</v>
      </c>
      <c r="P487">
        <v>1</v>
      </c>
      <c r="R487">
        <v>41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AA487">
        <v>-7388.3469999999998</v>
      </c>
      <c r="AB487">
        <v>-7388.3469999999998</v>
      </c>
      <c r="AC487">
        <v>-7388.3469999999998</v>
      </c>
      <c r="AD487">
        <v>-7388.3469999999998</v>
      </c>
      <c r="AE487">
        <v>-7388.3469999999998</v>
      </c>
      <c r="AF487">
        <v>-7388.3469999999998</v>
      </c>
    </row>
    <row r="488" spans="2:32" x14ac:dyDescent="0.25">
      <c r="B488">
        <v>42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1</v>
      </c>
      <c r="J488">
        <v>42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R488">
        <v>42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AA488">
        <v>-7381.9919</v>
      </c>
      <c r="AB488">
        <v>-7381.9919</v>
      </c>
      <c r="AC488">
        <v>-7381.9919</v>
      </c>
      <c r="AD488">
        <v>-7381.9919</v>
      </c>
      <c r="AE488">
        <v>-7381.9919</v>
      </c>
      <c r="AF488">
        <v>-7381.9919</v>
      </c>
    </row>
    <row r="489" spans="2:32" x14ac:dyDescent="0.25">
      <c r="B489">
        <v>43</v>
      </c>
      <c r="C489">
        <v>1</v>
      </c>
      <c r="D489">
        <v>1</v>
      </c>
      <c r="E489">
        <v>1</v>
      </c>
      <c r="F489">
        <v>1</v>
      </c>
      <c r="G489">
        <v>1</v>
      </c>
      <c r="H489">
        <v>1</v>
      </c>
      <c r="J489">
        <v>43</v>
      </c>
      <c r="K489">
        <v>1</v>
      </c>
      <c r="L489">
        <v>1</v>
      </c>
      <c r="M489">
        <v>1</v>
      </c>
      <c r="N489">
        <v>1</v>
      </c>
      <c r="O489">
        <v>1</v>
      </c>
      <c r="P489">
        <v>1</v>
      </c>
      <c r="R489">
        <v>43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AA489">
        <v>-7374.9579999999996</v>
      </c>
      <c r="AB489">
        <v>-7374.9579999999996</v>
      </c>
      <c r="AC489">
        <v>-7374.9579999999996</v>
      </c>
      <c r="AD489">
        <v>-7374.9579999999996</v>
      </c>
      <c r="AE489">
        <v>-7374.9579999999996</v>
      </c>
      <c r="AF489">
        <v>-7374.9579999999996</v>
      </c>
    </row>
    <row r="490" spans="2:32" x14ac:dyDescent="0.25">
      <c r="B490">
        <v>44</v>
      </c>
      <c r="C490">
        <v>1</v>
      </c>
      <c r="D490">
        <v>1</v>
      </c>
      <c r="E490">
        <v>1</v>
      </c>
      <c r="F490">
        <v>1</v>
      </c>
      <c r="G490">
        <v>1</v>
      </c>
      <c r="H490">
        <v>1</v>
      </c>
      <c r="J490">
        <v>44</v>
      </c>
      <c r="K490">
        <v>1</v>
      </c>
      <c r="L490">
        <v>1</v>
      </c>
      <c r="M490">
        <v>1</v>
      </c>
      <c r="N490">
        <v>1</v>
      </c>
      <c r="O490">
        <v>1</v>
      </c>
      <c r="P490">
        <v>1</v>
      </c>
      <c r="R490">
        <v>44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AA490">
        <v>-7367.2034999999996</v>
      </c>
      <c r="AB490">
        <v>-7367.2034999999996</v>
      </c>
      <c r="AC490">
        <v>-7367.2034999999996</v>
      </c>
      <c r="AD490">
        <v>-7367.2034999999996</v>
      </c>
      <c r="AE490">
        <v>-7367.2034999999996</v>
      </c>
      <c r="AF490">
        <v>-7367.2034999999996</v>
      </c>
    </row>
    <row r="491" spans="2:32" x14ac:dyDescent="0.25">
      <c r="B491">
        <v>45</v>
      </c>
      <c r="C491">
        <v>1</v>
      </c>
      <c r="D491">
        <v>1</v>
      </c>
      <c r="E491">
        <v>1</v>
      </c>
      <c r="F491">
        <v>1</v>
      </c>
      <c r="G491">
        <v>1</v>
      </c>
      <c r="H491">
        <v>1</v>
      </c>
      <c r="J491">
        <v>45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R491">
        <v>45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AA491">
        <v>-7358.6491999999998</v>
      </c>
      <c r="AB491">
        <v>-7358.6491999999998</v>
      </c>
      <c r="AC491">
        <v>-7358.6491999999998</v>
      </c>
      <c r="AD491">
        <v>-7358.6491999999998</v>
      </c>
      <c r="AE491">
        <v>-7358.6491999999998</v>
      </c>
      <c r="AF491">
        <v>-7358.6491999999998</v>
      </c>
    </row>
    <row r="492" spans="2:32" x14ac:dyDescent="0.25">
      <c r="B492">
        <v>46</v>
      </c>
      <c r="C492">
        <v>1</v>
      </c>
      <c r="D492">
        <v>1</v>
      </c>
      <c r="E492">
        <v>1</v>
      </c>
      <c r="F492">
        <v>1</v>
      </c>
      <c r="G492">
        <v>1</v>
      </c>
      <c r="H492">
        <v>1</v>
      </c>
      <c r="J492">
        <v>46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R492">
        <v>46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AA492">
        <v>-7349.2232000000004</v>
      </c>
      <c r="AB492">
        <v>-7349.2232000000004</v>
      </c>
      <c r="AC492">
        <v>-7349.2232000000004</v>
      </c>
      <c r="AD492">
        <v>-7349.2232000000004</v>
      </c>
      <c r="AE492">
        <v>-7349.2232000000004</v>
      </c>
      <c r="AF492">
        <v>-7349.2232000000004</v>
      </c>
    </row>
    <row r="493" spans="2:32" x14ac:dyDescent="0.25">
      <c r="B493">
        <v>47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1</v>
      </c>
      <c r="J493">
        <v>47</v>
      </c>
      <c r="K493">
        <v>1</v>
      </c>
      <c r="L493">
        <v>1</v>
      </c>
      <c r="M493">
        <v>1</v>
      </c>
      <c r="N493">
        <v>1</v>
      </c>
      <c r="O493">
        <v>1</v>
      </c>
      <c r="P493">
        <v>1</v>
      </c>
      <c r="R493">
        <v>47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AA493">
        <v>-7338.8310000000001</v>
      </c>
      <c r="AB493">
        <v>-7338.8310000000001</v>
      </c>
      <c r="AC493">
        <v>-7338.8310000000001</v>
      </c>
      <c r="AD493">
        <v>-7338.8310000000001</v>
      </c>
      <c r="AE493">
        <v>-7338.8310000000001</v>
      </c>
      <c r="AF493">
        <v>-7338.8310000000001</v>
      </c>
    </row>
    <row r="494" spans="2:32" x14ac:dyDescent="0.25">
      <c r="B494">
        <v>48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1</v>
      </c>
      <c r="J494">
        <v>48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1</v>
      </c>
      <c r="R494">
        <v>48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AA494">
        <v>-7327.4297999999999</v>
      </c>
      <c r="AB494">
        <v>-7327.4297999999999</v>
      </c>
      <c r="AC494">
        <v>-7327.4297999999999</v>
      </c>
      <c r="AD494">
        <v>-7327.4297999999999</v>
      </c>
      <c r="AE494">
        <v>-7327.4297999999999</v>
      </c>
      <c r="AF494">
        <v>-7327.4297999999999</v>
      </c>
    </row>
    <row r="495" spans="2:32" x14ac:dyDescent="0.25">
      <c r="B495">
        <v>49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1</v>
      </c>
      <c r="J495">
        <v>49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R495">
        <v>49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AA495">
        <v>-7314.951</v>
      </c>
      <c r="AB495">
        <v>-7314.951</v>
      </c>
      <c r="AC495">
        <v>-7314.951</v>
      </c>
      <c r="AD495">
        <v>-7314.951</v>
      </c>
      <c r="AE495">
        <v>-7314.951</v>
      </c>
      <c r="AF495">
        <v>-7314.951</v>
      </c>
    </row>
    <row r="496" spans="2:32" x14ac:dyDescent="0.25">
      <c r="B496">
        <v>50</v>
      </c>
      <c r="C496">
        <v>1</v>
      </c>
      <c r="D496">
        <v>1</v>
      </c>
      <c r="E496">
        <v>1</v>
      </c>
      <c r="F496">
        <v>1</v>
      </c>
      <c r="G496">
        <v>1</v>
      </c>
      <c r="H496">
        <v>1</v>
      </c>
      <c r="J496">
        <v>50</v>
      </c>
      <c r="K496">
        <v>1</v>
      </c>
      <c r="L496">
        <v>1</v>
      </c>
      <c r="M496">
        <v>1</v>
      </c>
      <c r="N496">
        <v>1</v>
      </c>
      <c r="O496">
        <v>1</v>
      </c>
      <c r="P496">
        <v>1</v>
      </c>
      <c r="R496">
        <v>50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AA496">
        <v>-7301.2851000000001</v>
      </c>
      <c r="AB496">
        <v>-7301.2851000000001</v>
      </c>
      <c r="AC496">
        <v>-7301.2851000000001</v>
      </c>
      <c r="AD496">
        <v>-7301.2851000000001</v>
      </c>
      <c r="AE496">
        <v>-7301.2851000000001</v>
      </c>
      <c r="AF496">
        <v>-7301.2851000000001</v>
      </c>
    </row>
    <row r="497" spans="2:32" x14ac:dyDescent="0.25">
      <c r="B497">
        <v>51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J497">
        <v>51</v>
      </c>
      <c r="K497">
        <v>1</v>
      </c>
      <c r="L497">
        <v>1</v>
      </c>
      <c r="M497">
        <v>1</v>
      </c>
      <c r="N497">
        <v>1</v>
      </c>
      <c r="O497">
        <v>1</v>
      </c>
      <c r="P497">
        <v>1</v>
      </c>
      <c r="R497">
        <v>51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AA497">
        <v>-7286.3271000000004</v>
      </c>
      <c r="AB497">
        <v>-7286.3271000000004</v>
      </c>
      <c r="AC497">
        <v>-7286.3271000000004</v>
      </c>
      <c r="AD497">
        <v>-7286.3271000000004</v>
      </c>
      <c r="AE497">
        <v>-7286.3271000000004</v>
      </c>
      <c r="AF497">
        <v>-7286.3271000000004</v>
      </c>
    </row>
    <row r="498" spans="2:32" x14ac:dyDescent="0.25">
      <c r="B498">
        <v>52</v>
      </c>
      <c r="C498">
        <v>1</v>
      </c>
      <c r="D498">
        <v>1</v>
      </c>
      <c r="E498">
        <v>1</v>
      </c>
      <c r="F498">
        <v>1</v>
      </c>
      <c r="G498">
        <v>1</v>
      </c>
      <c r="H498">
        <v>1</v>
      </c>
      <c r="J498">
        <v>52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R498">
        <v>52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AA498">
        <v>-7269.9448000000002</v>
      </c>
      <c r="AB498">
        <v>-7269.9448000000002</v>
      </c>
      <c r="AC498">
        <v>-7269.9448000000002</v>
      </c>
      <c r="AD498">
        <v>-7269.9448000000002</v>
      </c>
      <c r="AE498">
        <v>-7269.9448000000002</v>
      </c>
      <c r="AF498">
        <v>-7269.9448000000002</v>
      </c>
    </row>
    <row r="499" spans="2:32" x14ac:dyDescent="0.25">
      <c r="B499">
        <v>53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1</v>
      </c>
      <c r="J499">
        <v>53</v>
      </c>
      <c r="K499">
        <v>1</v>
      </c>
      <c r="L499">
        <v>1</v>
      </c>
      <c r="M499">
        <v>1</v>
      </c>
      <c r="N499">
        <v>1</v>
      </c>
      <c r="O499">
        <v>1</v>
      </c>
      <c r="P499">
        <v>1</v>
      </c>
      <c r="R499">
        <v>53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AA499">
        <v>-7252.0574999999999</v>
      </c>
      <c r="AB499">
        <v>-7252.0574999999999</v>
      </c>
      <c r="AC499">
        <v>-7252.0574999999999</v>
      </c>
      <c r="AD499">
        <v>-7252.0574999999999</v>
      </c>
      <c r="AE499">
        <v>-7252.0574999999999</v>
      </c>
      <c r="AF499">
        <v>-7252.0574999999999</v>
      </c>
    </row>
    <row r="500" spans="2:32" x14ac:dyDescent="0.25">
      <c r="B500">
        <v>54</v>
      </c>
      <c r="C500">
        <v>1</v>
      </c>
      <c r="D500">
        <v>1</v>
      </c>
      <c r="E500">
        <v>1</v>
      </c>
      <c r="F500">
        <v>1</v>
      </c>
      <c r="G500">
        <v>1</v>
      </c>
      <c r="H500">
        <v>1</v>
      </c>
      <c r="J500">
        <v>54</v>
      </c>
      <c r="K500">
        <v>1</v>
      </c>
      <c r="L500">
        <v>1</v>
      </c>
      <c r="M500">
        <v>1</v>
      </c>
      <c r="N500">
        <v>1</v>
      </c>
      <c r="O500">
        <v>1</v>
      </c>
      <c r="P500">
        <v>1</v>
      </c>
      <c r="R500">
        <v>54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AA500">
        <v>-7232.5680000000002</v>
      </c>
      <c r="AB500">
        <v>-7232.5680000000002</v>
      </c>
      <c r="AC500">
        <v>-7232.5680000000002</v>
      </c>
      <c r="AD500">
        <v>-7232.5680000000002</v>
      </c>
      <c r="AE500">
        <v>-7232.5680000000002</v>
      </c>
      <c r="AF500">
        <v>-7232.5680000000002</v>
      </c>
    </row>
    <row r="501" spans="2:32" x14ac:dyDescent="0.25">
      <c r="B501">
        <v>55</v>
      </c>
      <c r="C501">
        <v>1</v>
      </c>
      <c r="D501">
        <v>1</v>
      </c>
      <c r="E501">
        <v>1</v>
      </c>
      <c r="F501">
        <v>1</v>
      </c>
      <c r="G501">
        <v>1</v>
      </c>
      <c r="H501">
        <v>1</v>
      </c>
      <c r="J501">
        <v>55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R501">
        <v>55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AA501">
        <v>-7211.3207000000002</v>
      </c>
      <c r="AB501">
        <v>-7211.3207000000002</v>
      </c>
      <c r="AC501">
        <v>-7211.3207000000002</v>
      </c>
      <c r="AD501">
        <v>-7211.3207000000002</v>
      </c>
      <c r="AE501">
        <v>-7211.3207000000002</v>
      </c>
      <c r="AF501">
        <v>-7211.3207000000002</v>
      </c>
    </row>
    <row r="504" spans="2:32" x14ac:dyDescent="0.25">
      <c r="B504" t="s">
        <v>46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32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48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2:32" x14ac:dyDescent="0.25">
      <c r="B505">
        <v>35</v>
      </c>
      <c r="C505">
        <v>1</v>
      </c>
      <c r="D505">
        <v>1</v>
      </c>
      <c r="E505">
        <v>1</v>
      </c>
      <c r="F505">
        <v>1</v>
      </c>
      <c r="G505">
        <v>1</v>
      </c>
      <c r="J505">
        <v>35</v>
      </c>
      <c r="K505">
        <v>1</v>
      </c>
      <c r="L505">
        <v>1</v>
      </c>
      <c r="M505">
        <v>1</v>
      </c>
      <c r="N505">
        <v>1</v>
      </c>
      <c r="O505">
        <v>1</v>
      </c>
      <c r="R505">
        <v>35</v>
      </c>
      <c r="S505">
        <v>1</v>
      </c>
      <c r="T505">
        <v>1</v>
      </c>
      <c r="U505">
        <v>1</v>
      </c>
      <c r="V505">
        <v>1</v>
      </c>
      <c r="W505">
        <v>1</v>
      </c>
      <c r="AA505">
        <v>-11308.6893</v>
      </c>
      <c r="AB505">
        <v>-11308.6893</v>
      </c>
      <c r="AC505">
        <v>-11308.6893</v>
      </c>
      <c r="AD505">
        <v>-11308.6893</v>
      </c>
      <c r="AE505">
        <v>-11308.6893</v>
      </c>
    </row>
    <row r="506" spans="2:32" x14ac:dyDescent="0.25">
      <c r="B506">
        <f t="shared" ref="B506:B535" si="21">B505+1</f>
        <v>36</v>
      </c>
      <c r="C506">
        <v>1</v>
      </c>
      <c r="D506">
        <v>1</v>
      </c>
      <c r="E506">
        <v>1</v>
      </c>
      <c r="F506">
        <v>1</v>
      </c>
      <c r="G506">
        <v>1</v>
      </c>
      <c r="J506">
        <f t="shared" ref="J506:J535" si="22">J505+1</f>
        <v>36</v>
      </c>
      <c r="K506">
        <v>1</v>
      </c>
      <c r="L506">
        <v>1</v>
      </c>
      <c r="M506">
        <v>1</v>
      </c>
      <c r="N506">
        <v>1</v>
      </c>
      <c r="O506">
        <v>1</v>
      </c>
      <c r="R506">
        <f t="shared" ref="R506:R535" si="23">R505+1</f>
        <v>36</v>
      </c>
      <c r="S506">
        <v>1</v>
      </c>
      <c r="T506">
        <v>1</v>
      </c>
      <c r="U506">
        <v>1</v>
      </c>
      <c r="V506">
        <v>1</v>
      </c>
      <c r="W506">
        <v>1</v>
      </c>
      <c r="AA506">
        <v>-11214.2592</v>
      </c>
      <c r="AB506">
        <v>-11214.2592</v>
      </c>
      <c r="AC506">
        <v>-11214.2592</v>
      </c>
      <c r="AD506">
        <v>-11214.2592</v>
      </c>
      <c r="AE506">
        <v>-11214.2592</v>
      </c>
    </row>
    <row r="507" spans="2:32" x14ac:dyDescent="0.25">
      <c r="B507">
        <f t="shared" si="21"/>
        <v>37</v>
      </c>
      <c r="C507">
        <v>1</v>
      </c>
      <c r="D507">
        <v>1</v>
      </c>
      <c r="E507">
        <v>1</v>
      </c>
      <c r="F507">
        <v>1</v>
      </c>
      <c r="G507">
        <v>1</v>
      </c>
      <c r="J507">
        <f t="shared" si="22"/>
        <v>37</v>
      </c>
      <c r="K507">
        <v>1</v>
      </c>
      <c r="L507">
        <v>1</v>
      </c>
      <c r="M507">
        <v>1</v>
      </c>
      <c r="N507">
        <v>1</v>
      </c>
      <c r="O507">
        <v>1</v>
      </c>
      <c r="R507">
        <f t="shared" si="23"/>
        <v>37</v>
      </c>
      <c r="S507">
        <v>1</v>
      </c>
      <c r="T507">
        <v>1</v>
      </c>
      <c r="U507">
        <v>1</v>
      </c>
      <c r="V507">
        <v>1</v>
      </c>
      <c r="W507">
        <v>1</v>
      </c>
      <c r="AA507">
        <v>-11117.406199999999</v>
      </c>
      <c r="AB507">
        <v>-11117.406199999999</v>
      </c>
      <c r="AC507">
        <v>-11117.406199999999</v>
      </c>
      <c r="AD507">
        <v>-11117.406199999999</v>
      </c>
      <c r="AE507">
        <v>-11117.406199999999</v>
      </c>
    </row>
    <row r="508" spans="2:32" x14ac:dyDescent="0.25">
      <c r="B508">
        <f t="shared" si="21"/>
        <v>38</v>
      </c>
      <c r="C508">
        <v>1</v>
      </c>
      <c r="D508">
        <v>1</v>
      </c>
      <c r="E508">
        <v>1</v>
      </c>
      <c r="F508">
        <v>1</v>
      </c>
      <c r="G508">
        <v>1</v>
      </c>
      <c r="J508">
        <f t="shared" si="22"/>
        <v>38</v>
      </c>
      <c r="K508">
        <v>1</v>
      </c>
      <c r="L508">
        <v>1</v>
      </c>
      <c r="M508">
        <v>1</v>
      </c>
      <c r="N508">
        <v>1</v>
      </c>
      <c r="O508">
        <v>1</v>
      </c>
      <c r="R508">
        <f t="shared" si="23"/>
        <v>38</v>
      </c>
      <c r="S508">
        <v>1</v>
      </c>
      <c r="T508">
        <v>1</v>
      </c>
      <c r="U508">
        <v>1</v>
      </c>
      <c r="V508">
        <v>1</v>
      </c>
      <c r="W508">
        <v>1</v>
      </c>
      <c r="AA508">
        <v>-11018.229799999999</v>
      </c>
      <c r="AB508">
        <v>-11018.229799999999</v>
      </c>
      <c r="AC508">
        <v>-11018.229799999999</v>
      </c>
      <c r="AD508">
        <v>-11018.229799999999</v>
      </c>
      <c r="AE508">
        <v>-11018.229799999999</v>
      </c>
    </row>
    <row r="509" spans="2:32" x14ac:dyDescent="0.25">
      <c r="B509">
        <f t="shared" si="21"/>
        <v>39</v>
      </c>
      <c r="C509">
        <v>1</v>
      </c>
      <c r="D509">
        <v>1</v>
      </c>
      <c r="E509">
        <v>1</v>
      </c>
      <c r="F509">
        <v>1</v>
      </c>
      <c r="G509">
        <v>1</v>
      </c>
      <c r="J509">
        <f t="shared" si="22"/>
        <v>39</v>
      </c>
      <c r="K509">
        <v>1</v>
      </c>
      <c r="L509">
        <v>1</v>
      </c>
      <c r="M509">
        <v>1</v>
      </c>
      <c r="N509">
        <v>1</v>
      </c>
      <c r="O509">
        <v>1</v>
      </c>
      <c r="R509">
        <f t="shared" si="23"/>
        <v>39</v>
      </c>
      <c r="S509">
        <v>1</v>
      </c>
      <c r="T509">
        <v>1</v>
      </c>
      <c r="U509">
        <v>1</v>
      </c>
      <c r="V509">
        <v>1</v>
      </c>
      <c r="W509">
        <v>1</v>
      </c>
      <c r="AA509">
        <v>-10916.737999999999</v>
      </c>
      <c r="AB509">
        <v>-10916.737999999999</v>
      </c>
      <c r="AC509">
        <v>-10916.737999999999</v>
      </c>
      <c r="AD509">
        <v>-10916.737999999999</v>
      </c>
      <c r="AE509">
        <v>-10916.737999999999</v>
      </c>
    </row>
    <row r="510" spans="2:32" x14ac:dyDescent="0.25">
      <c r="B510">
        <f t="shared" si="21"/>
        <v>40</v>
      </c>
      <c r="C510">
        <v>1</v>
      </c>
      <c r="D510">
        <v>1</v>
      </c>
      <c r="E510">
        <v>1</v>
      </c>
      <c r="F510">
        <v>1</v>
      </c>
      <c r="G510">
        <v>1</v>
      </c>
      <c r="J510">
        <f t="shared" si="22"/>
        <v>40</v>
      </c>
      <c r="K510">
        <v>1</v>
      </c>
      <c r="L510">
        <v>1</v>
      </c>
      <c r="M510">
        <v>1</v>
      </c>
      <c r="N510">
        <v>1</v>
      </c>
      <c r="O510">
        <v>1</v>
      </c>
      <c r="R510">
        <f t="shared" si="23"/>
        <v>40</v>
      </c>
      <c r="S510">
        <v>1</v>
      </c>
      <c r="T510">
        <v>1</v>
      </c>
      <c r="U510">
        <v>1</v>
      </c>
      <c r="V510">
        <v>1</v>
      </c>
      <c r="W510">
        <v>1</v>
      </c>
      <c r="AA510">
        <v>-10812.8714</v>
      </c>
      <c r="AB510">
        <v>-10812.8714</v>
      </c>
      <c r="AC510">
        <v>-10812.8714</v>
      </c>
      <c r="AD510">
        <v>-10812.8714</v>
      </c>
      <c r="AE510">
        <v>-10812.8714</v>
      </c>
    </row>
    <row r="511" spans="2:32" x14ac:dyDescent="0.25">
      <c r="B511">
        <f t="shared" si="21"/>
        <v>41</v>
      </c>
      <c r="C511">
        <v>1</v>
      </c>
      <c r="D511">
        <v>1</v>
      </c>
      <c r="E511">
        <v>1</v>
      </c>
      <c r="F511">
        <v>1</v>
      </c>
      <c r="G511">
        <v>1</v>
      </c>
      <c r="J511">
        <f t="shared" si="22"/>
        <v>41</v>
      </c>
      <c r="K511">
        <v>1</v>
      </c>
      <c r="L511">
        <v>1</v>
      </c>
      <c r="M511">
        <v>1</v>
      </c>
      <c r="N511">
        <v>1</v>
      </c>
      <c r="O511">
        <v>1</v>
      </c>
      <c r="R511">
        <f t="shared" si="23"/>
        <v>41</v>
      </c>
      <c r="S511">
        <v>1</v>
      </c>
      <c r="T511">
        <v>1</v>
      </c>
      <c r="U511">
        <v>1</v>
      </c>
      <c r="V511">
        <v>1</v>
      </c>
      <c r="W511">
        <v>1</v>
      </c>
      <c r="AA511">
        <v>-10706.559600000001</v>
      </c>
      <c r="AB511">
        <v>-10706.559600000001</v>
      </c>
      <c r="AC511">
        <v>-10706.559600000001</v>
      </c>
      <c r="AD511">
        <v>-10706.559600000001</v>
      </c>
      <c r="AE511">
        <v>-10706.559600000001</v>
      </c>
    </row>
    <row r="512" spans="2:32" x14ac:dyDescent="0.25">
      <c r="B512">
        <f t="shared" si="21"/>
        <v>42</v>
      </c>
      <c r="C512">
        <v>1</v>
      </c>
      <c r="D512">
        <v>1</v>
      </c>
      <c r="E512">
        <v>1</v>
      </c>
      <c r="F512">
        <v>1</v>
      </c>
      <c r="G512">
        <v>1</v>
      </c>
      <c r="J512">
        <f t="shared" si="22"/>
        <v>42</v>
      </c>
      <c r="K512">
        <v>1</v>
      </c>
      <c r="L512">
        <v>1</v>
      </c>
      <c r="M512">
        <v>1</v>
      </c>
      <c r="N512">
        <v>1</v>
      </c>
      <c r="O512">
        <v>1</v>
      </c>
      <c r="R512">
        <f t="shared" si="23"/>
        <v>42</v>
      </c>
      <c r="S512">
        <v>1</v>
      </c>
      <c r="T512">
        <v>1</v>
      </c>
      <c r="U512">
        <v>1</v>
      </c>
      <c r="V512">
        <v>1</v>
      </c>
      <c r="W512">
        <v>1</v>
      </c>
      <c r="AA512">
        <v>-10597.8485</v>
      </c>
      <c r="AB512">
        <v>-10597.8485</v>
      </c>
      <c r="AC512">
        <v>-10597.8485</v>
      </c>
      <c r="AD512">
        <v>-10597.8485</v>
      </c>
      <c r="AE512">
        <v>-10597.8485</v>
      </c>
    </row>
    <row r="513" spans="2:31" x14ac:dyDescent="0.25">
      <c r="B513">
        <f t="shared" si="21"/>
        <v>43</v>
      </c>
      <c r="C513">
        <v>1</v>
      </c>
      <c r="D513">
        <v>1</v>
      </c>
      <c r="E513">
        <v>1</v>
      </c>
      <c r="F513">
        <v>1</v>
      </c>
      <c r="G513">
        <v>1</v>
      </c>
      <c r="J513">
        <f t="shared" si="22"/>
        <v>43</v>
      </c>
      <c r="K513">
        <v>1</v>
      </c>
      <c r="L513">
        <v>1</v>
      </c>
      <c r="M513">
        <v>1</v>
      </c>
      <c r="N513">
        <v>1</v>
      </c>
      <c r="O513">
        <v>1</v>
      </c>
      <c r="R513">
        <f t="shared" si="23"/>
        <v>43</v>
      </c>
      <c r="S513">
        <v>1</v>
      </c>
      <c r="T513">
        <v>1</v>
      </c>
      <c r="U513">
        <v>1</v>
      </c>
      <c r="V513">
        <v>1</v>
      </c>
      <c r="W513">
        <v>1</v>
      </c>
      <c r="AA513">
        <v>-10486.615400000001</v>
      </c>
      <c r="AB513">
        <v>-10486.615400000001</v>
      </c>
      <c r="AC513">
        <v>-10486.615400000001</v>
      </c>
      <c r="AD513">
        <v>-10486.615400000001</v>
      </c>
      <c r="AE513">
        <v>-10486.615400000001</v>
      </c>
    </row>
    <row r="514" spans="2:31" x14ac:dyDescent="0.25">
      <c r="B514">
        <f t="shared" si="21"/>
        <v>44</v>
      </c>
      <c r="C514">
        <v>1</v>
      </c>
      <c r="D514">
        <v>1</v>
      </c>
      <c r="E514">
        <v>1</v>
      </c>
      <c r="F514">
        <v>1</v>
      </c>
      <c r="G514">
        <v>1</v>
      </c>
      <c r="J514">
        <f t="shared" si="22"/>
        <v>44</v>
      </c>
      <c r="K514">
        <v>1</v>
      </c>
      <c r="L514">
        <v>1</v>
      </c>
      <c r="M514">
        <v>1</v>
      </c>
      <c r="N514">
        <v>1</v>
      </c>
      <c r="O514">
        <v>1</v>
      </c>
      <c r="R514">
        <f t="shared" si="23"/>
        <v>44</v>
      </c>
      <c r="S514">
        <v>1</v>
      </c>
      <c r="T514">
        <v>1</v>
      </c>
      <c r="U514">
        <v>1</v>
      </c>
      <c r="V514">
        <v>1</v>
      </c>
      <c r="W514">
        <v>1</v>
      </c>
      <c r="AA514">
        <v>-10372.9005</v>
      </c>
      <c r="AB514">
        <v>-10372.9005</v>
      </c>
      <c r="AC514">
        <v>-10372.9005</v>
      </c>
      <c r="AD514">
        <v>-10372.9005</v>
      </c>
      <c r="AE514">
        <v>-10372.9005</v>
      </c>
    </row>
    <row r="515" spans="2:31" x14ac:dyDescent="0.25">
      <c r="B515">
        <f t="shared" si="21"/>
        <v>45</v>
      </c>
      <c r="C515">
        <v>1</v>
      </c>
      <c r="D515">
        <v>1</v>
      </c>
      <c r="E515">
        <v>1</v>
      </c>
      <c r="F515">
        <v>1</v>
      </c>
      <c r="G515">
        <v>1</v>
      </c>
      <c r="J515">
        <f t="shared" si="22"/>
        <v>45</v>
      </c>
      <c r="K515">
        <v>1</v>
      </c>
      <c r="L515">
        <v>1</v>
      </c>
      <c r="M515">
        <v>1</v>
      </c>
      <c r="N515">
        <v>1</v>
      </c>
      <c r="O515">
        <v>1</v>
      </c>
      <c r="R515">
        <f t="shared" si="23"/>
        <v>45</v>
      </c>
      <c r="S515">
        <v>1</v>
      </c>
      <c r="T515">
        <v>1</v>
      </c>
      <c r="U515">
        <v>1</v>
      </c>
      <c r="V515">
        <v>1</v>
      </c>
      <c r="W515">
        <v>1</v>
      </c>
      <c r="AA515">
        <v>-10256.650600000001</v>
      </c>
      <c r="AB515">
        <v>-10256.650600000001</v>
      </c>
      <c r="AC515">
        <v>-10256.650600000001</v>
      </c>
      <c r="AD515">
        <v>-10256.650600000001</v>
      </c>
      <c r="AE515">
        <v>-10256.650600000001</v>
      </c>
    </row>
    <row r="516" spans="2:31" x14ac:dyDescent="0.25">
      <c r="B516">
        <f t="shared" si="21"/>
        <v>46</v>
      </c>
      <c r="C516">
        <v>1</v>
      </c>
      <c r="D516">
        <v>1</v>
      </c>
      <c r="E516">
        <v>1</v>
      </c>
      <c r="F516">
        <v>1</v>
      </c>
      <c r="G516">
        <v>1</v>
      </c>
      <c r="J516">
        <f t="shared" si="22"/>
        <v>46</v>
      </c>
      <c r="K516">
        <v>1</v>
      </c>
      <c r="L516">
        <v>1</v>
      </c>
      <c r="M516">
        <v>1</v>
      </c>
      <c r="N516">
        <v>1</v>
      </c>
      <c r="O516">
        <v>1</v>
      </c>
      <c r="R516">
        <f t="shared" si="23"/>
        <v>46</v>
      </c>
      <c r="S516">
        <v>1</v>
      </c>
      <c r="T516">
        <v>1</v>
      </c>
      <c r="U516">
        <v>1</v>
      </c>
      <c r="V516">
        <v>1</v>
      </c>
      <c r="W516">
        <v>1</v>
      </c>
      <c r="AA516">
        <v>-10137.871499999999</v>
      </c>
      <c r="AB516">
        <v>-10137.871499999999</v>
      </c>
      <c r="AC516">
        <v>-10137.871499999999</v>
      </c>
      <c r="AD516">
        <v>-10137.871499999999</v>
      </c>
      <c r="AE516">
        <v>-10137.871499999999</v>
      </c>
    </row>
    <row r="517" spans="2:31" x14ac:dyDescent="0.25">
      <c r="B517">
        <f t="shared" si="21"/>
        <v>47</v>
      </c>
      <c r="C517">
        <v>1</v>
      </c>
      <c r="D517">
        <v>1</v>
      </c>
      <c r="E517">
        <v>1</v>
      </c>
      <c r="F517">
        <v>1</v>
      </c>
      <c r="G517">
        <v>1</v>
      </c>
      <c r="J517">
        <f t="shared" si="22"/>
        <v>47</v>
      </c>
      <c r="K517">
        <v>1</v>
      </c>
      <c r="L517">
        <v>1</v>
      </c>
      <c r="M517">
        <v>1</v>
      </c>
      <c r="N517">
        <v>1</v>
      </c>
      <c r="O517">
        <v>1</v>
      </c>
      <c r="R517">
        <f t="shared" si="23"/>
        <v>47</v>
      </c>
      <c r="S517">
        <v>1</v>
      </c>
      <c r="T517">
        <v>1</v>
      </c>
      <c r="U517">
        <v>1</v>
      </c>
      <c r="V517">
        <v>1</v>
      </c>
      <c r="W517">
        <v>1</v>
      </c>
      <c r="AA517">
        <v>-10016.4967</v>
      </c>
      <c r="AB517">
        <v>-10016.4967</v>
      </c>
      <c r="AC517">
        <v>-10016.4967</v>
      </c>
      <c r="AD517">
        <v>-10016.4967</v>
      </c>
      <c r="AE517">
        <v>-10016.4967</v>
      </c>
    </row>
    <row r="518" spans="2:31" x14ac:dyDescent="0.25">
      <c r="B518">
        <f t="shared" si="21"/>
        <v>48</v>
      </c>
      <c r="C518">
        <v>1</v>
      </c>
      <c r="D518">
        <v>1</v>
      </c>
      <c r="E518">
        <v>1</v>
      </c>
      <c r="F518">
        <v>1</v>
      </c>
      <c r="G518">
        <v>1</v>
      </c>
      <c r="J518">
        <f t="shared" si="22"/>
        <v>48</v>
      </c>
      <c r="K518">
        <v>1</v>
      </c>
      <c r="L518">
        <v>1</v>
      </c>
      <c r="M518">
        <v>1</v>
      </c>
      <c r="N518">
        <v>1</v>
      </c>
      <c r="O518">
        <v>1</v>
      </c>
      <c r="R518">
        <f t="shared" si="23"/>
        <v>48</v>
      </c>
      <c r="S518">
        <v>1</v>
      </c>
      <c r="T518">
        <v>1</v>
      </c>
      <c r="U518">
        <v>1</v>
      </c>
      <c r="V518">
        <v>1</v>
      </c>
      <c r="W518">
        <v>1</v>
      </c>
      <c r="AA518">
        <v>-9892.6355000000003</v>
      </c>
      <c r="AB518">
        <v>-9892.6355000000003</v>
      </c>
      <c r="AC518">
        <v>-9892.6355000000003</v>
      </c>
      <c r="AD518">
        <v>-9892.6355000000003</v>
      </c>
      <c r="AE518">
        <v>-9892.6355000000003</v>
      </c>
    </row>
    <row r="519" spans="2:31" x14ac:dyDescent="0.25">
      <c r="B519">
        <f t="shared" si="21"/>
        <v>49</v>
      </c>
      <c r="C519">
        <v>1</v>
      </c>
      <c r="D519">
        <v>1</v>
      </c>
      <c r="E519">
        <v>1</v>
      </c>
      <c r="F519">
        <v>1</v>
      </c>
      <c r="G519">
        <v>1</v>
      </c>
      <c r="J519">
        <f t="shared" si="22"/>
        <v>49</v>
      </c>
      <c r="K519">
        <v>1</v>
      </c>
      <c r="L519">
        <v>1</v>
      </c>
      <c r="M519">
        <v>1</v>
      </c>
      <c r="N519">
        <v>1</v>
      </c>
      <c r="O519">
        <v>1</v>
      </c>
      <c r="R519">
        <f t="shared" si="23"/>
        <v>49</v>
      </c>
      <c r="S519">
        <v>1</v>
      </c>
      <c r="T519">
        <v>1</v>
      </c>
      <c r="U519">
        <v>1</v>
      </c>
      <c r="V519">
        <v>1</v>
      </c>
      <c r="W519">
        <v>1</v>
      </c>
      <c r="AA519">
        <v>-9766.3366999999998</v>
      </c>
      <c r="AB519">
        <v>-9766.3366999999998</v>
      </c>
      <c r="AC519">
        <v>-9766.3366999999998</v>
      </c>
      <c r="AD519">
        <v>-9766.3366999999998</v>
      </c>
      <c r="AE519">
        <v>-9766.3366999999998</v>
      </c>
    </row>
    <row r="520" spans="2:31" x14ac:dyDescent="0.25">
      <c r="B520">
        <f t="shared" si="21"/>
        <v>50</v>
      </c>
      <c r="C520">
        <v>1</v>
      </c>
      <c r="D520">
        <v>1</v>
      </c>
      <c r="E520">
        <v>1</v>
      </c>
      <c r="F520">
        <v>1</v>
      </c>
      <c r="G520">
        <v>1</v>
      </c>
      <c r="J520">
        <f t="shared" si="22"/>
        <v>50</v>
      </c>
      <c r="K520">
        <v>1</v>
      </c>
      <c r="L520">
        <v>1</v>
      </c>
      <c r="M520">
        <v>1</v>
      </c>
      <c r="N520">
        <v>1</v>
      </c>
      <c r="O520">
        <v>1</v>
      </c>
      <c r="R520">
        <f t="shared" si="23"/>
        <v>50</v>
      </c>
      <c r="S520">
        <v>1</v>
      </c>
      <c r="T520">
        <v>1</v>
      </c>
      <c r="U520">
        <v>1</v>
      </c>
      <c r="V520">
        <v>1</v>
      </c>
      <c r="W520">
        <v>1</v>
      </c>
      <c r="AA520">
        <v>-9637.5864000000001</v>
      </c>
      <c r="AB520">
        <v>-9637.5864000000001</v>
      </c>
      <c r="AC520">
        <v>-9637.5864000000001</v>
      </c>
      <c r="AD520">
        <v>-9637.5864000000001</v>
      </c>
      <c r="AE520">
        <v>-9637.5864000000001</v>
      </c>
    </row>
    <row r="521" spans="2:31" x14ac:dyDescent="0.25">
      <c r="B521">
        <f t="shared" si="21"/>
        <v>51</v>
      </c>
      <c r="C521">
        <v>1</v>
      </c>
      <c r="D521">
        <v>1</v>
      </c>
      <c r="E521">
        <v>1</v>
      </c>
      <c r="F521">
        <v>1</v>
      </c>
      <c r="G521">
        <v>1</v>
      </c>
      <c r="J521">
        <f t="shared" si="22"/>
        <v>51</v>
      </c>
      <c r="K521">
        <v>1</v>
      </c>
      <c r="L521">
        <v>1</v>
      </c>
      <c r="M521">
        <v>1</v>
      </c>
      <c r="N521">
        <v>1</v>
      </c>
      <c r="O521">
        <v>1</v>
      </c>
      <c r="R521">
        <f t="shared" si="23"/>
        <v>51</v>
      </c>
      <c r="S521">
        <v>1</v>
      </c>
      <c r="T521">
        <v>1</v>
      </c>
      <c r="U521">
        <v>1</v>
      </c>
      <c r="V521">
        <v>1</v>
      </c>
      <c r="W521">
        <v>1</v>
      </c>
      <c r="AA521">
        <v>-9506.3734000000004</v>
      </c>
      <c r="AB521">
        <v>-9506.3734000000004</v>
      </c>
      <c r="AC521">
        <v>-9506.3734000000004</v>
      </c>
      <c r="AD521">
        <v>-9506.3734000000004</v>
      </c>
      <c r="AE521">
        <v>-9506.3734000000004</v>
      </c>
    </row>
    <row r="522" spans="2:31" x14ac:dyDescent="0.25">
      <c r="B522">
        <f t="shared" si="21"/>
        <v>52</v>
      </c>
      <c r="C522">
        <v>1</v>
      </c>
      <c r="D522">
        <v>1</v>
      </c>
      <c r="E522">
        <v>1</v>
      </c>
      <c r="F522">
        <v>1</v>
      </c>
      <c r="G522">
        <v>1</v>
      </c>
      <c r="J522">
        <f t="shared" si="22"/>
        <v>52</v>
      </c>
      <c r="K522">
        <v>1</v>
      </c>
      <c r="L522">
        <v>1</v>
      </c>
      <c r="M522">
        <v>1</v>
      </c>
      <c r="N522">
        <v>1</v>
      </c>
      <c r="O522">
        <v>1</v>
      </c>
      <c r="R522">
        <f t="shared" si="23"/>
        <v>52</v>
      </c>
      <c r="S522">
        <v>1</v>
      </c>
      <c r="T522">
        <v>1</v>
      </c>
      <c r="U522">
        <v>1</v>
      </c>
      <c r="V522">
        <v>1</v>
      </c>
      <c r="W522">
        <v>1</v>
      </c>
      <c r="AA522">
        <v>-9372.7019</v>
      </c>
      <c r="AB522">
        <v>-9372.7019</v>
      </c>
      <c r="AC522">
        <v>-9372.7019</v>
      </c>
      <c r="AD522">
        <v>-9372.7019</v>
      </c>
      <c r="AE522">
        <v>-9372.7019</v>
      </c>
    </row>
    <row r="523" spans="2:31" x14ac:dyDescent="0.25">
      <c r="B523">
        <f t="shared" si="21"/>
        <v>53</v>
      </c>
      <c r="C523">
        <v>1</v>
      </c>
      <c r="D523">
        <v>1</v>
      </c>
      <c r="E523">
        <v>1</v>
      </c>
      <c r="F523">
        <v>1</v>
      </c>
      <c r="G523">
        <v>1</v>
      </c>
      <c r="J523">
        <f t="shared" si="22"/>
        <v>53</v>
      </c>
      <c r="K523">
        <v>1</v>
      </c>
      <c r="L523">
        <v>1</v>
      </c>
      <c r="M523">
        <v>1</v>
      </c>
      <c r="N523">
        <v>1</v>
      </c>
      <c r="O523">
        <v>1</v>
      </c>
      <c r="R523">
        <f t="shared" si="23"/>
        <v>53</v>
      </c>
      <c r="S523">
        <v>1</v>
      </c>
      <c r="T523">
        <v>1</v>
      </c>
      <c r="U523">
        <v>1</v>
      </c>
      <c r="V523">
        <v>1</v>
      </c>
      <c r="W523">
        <v>1</v>
      </c>
      <c r="AA523">
        <v>-9236.6705000000002</v>
      </c>
      <c r="AB523">
        <v>-9236.6705000000002</v>
      </c>
      <c r="AC523">
        <v>-9236.6705000000002</v>
      </c>
      <c r="AD523">
        <v>-9236.6705000000002</v>
      </c>
      <c r="AE523">
        <v>-9236.6705000000002</v>
      </c>
    </row>
    <row r="524" spans="2:31" x14ac:dyDescent="0.25">
      <c r="B524">
        <f t="shared" si="21"/>
        <v>54</v>
      </c>
      <c r="C524">
        <v>1</v>
      </c>
      <c r="D524">
        <v>1</v>
      </c>
      <c r="E524">
        <v>1</v>
      </c>
      <c r="F524">
        <v>1</v>
      </c>
      <c r="G524">
        <v>1</v>
      </c>
      <c r="J524">
        <f t="shared" si="22"/>
        <v>54</v>
      </c>
      <c r="K524">
        <v>1</v>
      </c>
      <c r="L524">
        <v>1</v>
      </c>
      <c r="M524">
        <v>1</v>
      </c>
      <c r="N524">
        <v>1</v>
      </c>
      <c r="O524">
        <v>1</v>
      </c>
      <c r="R524">
        <f t="shared" si="23"/>
        <v>54</v>
      </c>
      <c r="S524">
        <v>1</v>
      </c>
      <c r="T524">
        <v>1</v>
      </c>
      <c r="U524">
        <v>1</v>
      </c>
      <c r="V524">
        <v>1</v>
      </c>
      <c r="W524">
        <v>1</v>
      </c>
      <c r="AA524">
        <v>-9098.4312000000009</v>
      </c>
      <c r="AB524">
        <v>-9098.4312000000009</v>
      </c>
      <c r="AC524">
        <v>-9098.4312000000009</v>
      </c>
      <c r="AD524">
        <v>-9098.4312000000009</v>
      </c>
      <c r="AE524">
        <v>-9098.4312000000009</v>
      </c>
    </row>
    <row r="525" spans="2:31" x14ac:dyDescent="0.25">
      <c r="B525">
        <f t="shared" si="21"/>
        <v>55</v>
      </c>
      <c r="C525">
        <v>1</v>
      </c>
      <c r="D525">
        <v>1</v>
      </c>
      <c r="E525">
        <v>1</v>
      </c>
      <c r="F525">
        <v>1</v>
      </c>
      <c r="G525">
        <v>1</v>
      </c>
      <c r="J525">
        <f t="shared" si="22"/>
        <v>55</v>
      </c>
      <c r="K525">
        <v>1</v>
      </c>
      <c r="L525">
        <v>1</v>
      </c>
      <c r="M525">
        <v>1</v>
      </c>
      <c r="N525">
        <v>1</v>
      </c>
      <c r="O525">
        <v>1</v>
      </c>
      <c r="R525">
        <f t="shared" si="23"/>
        <v>55</v>
      </c>
      <c r="S525">
        <v>1</v>
      </c>
      <c r="T525">
        <v>1</v>
      </c>
      <c r="U525">
        <v>1</v>
      </c>
      <c r="V525">
        <v>1</v>
      </c>
      <c r="W525">
        <v>1</v>
      </c>
      <c r="AA525">
        <v>-8958.0210999999999</v>
      </c>
      <c r="AB525">
        <v>-8958.0210999999999</v>
      </c>
      <c r="AC525">
        <v>-8958.0210999999999</v>
      </c>
      <c r="AD525">
        <v>-8958.0210999999999</v>
      </c>
      <c r="AE525">
        <v>-8958.0210999999999</v>
      </c>
    </row>
    <row r="526" spans="2:31" x14ac:dyDescent="0.25">
      <c r="B526">
        <f t="shared" si="21"/>
        <v>56</v>
      </c>
      <c r="C526">
        <v>1</v>
      </c>
      <c r="D526">
        <v>1</v>
      </c>
      <c r="E526">
        <v>1</v>
      </c>
      <c r="F526">
        <v>1</v>
      </c>
      <c r="G526">
        <v>1</v>
      </c>
      <c r="J526">
        <f t="shared" si="22"/>
        <v>56</v>
      </c>
      <c r="K526">
        <v>1</v>
      </c>
      <c r="L526">
        <v>1</v>
      </c>
      <c r="M526">
        <v>1</v>
      </c>
      <c r="N526">
        <v>1</v>
      </c>
      <c r="O526">
        <v>1</v>
      </c>
      <c r="R526">
        <f t="shared" si="23"/>
        <v>56</v>
      </c>
      <c r="S526">
        <v>1</v>
      </c>
      <c r="T526">
        <v>1</v>
      </c>
      <c r="U526">
        <v>1</v>
      </c>
      <c r="V526">
        <v>1</v>
      </c>
      <c r="W526">
        <v>1</v>
      </c>
      <c r="AA526">
        <v>-8815.6316999999999</v>
      </c>
      <c r="AB526">
        <v>-8815.6316999999999</v>
      </c>
      <c r="AC526">
        <v>-8815.6316999999999</v>
      </c>
      <c r="AD526">
        <v>-8815.6316999999999</v>
      </c>
      <c r="AE526">
        <v>-8815.6316999999999</v>
      </c>
    </row>
    <row r="527" spans="2:31" x14ac:dyDescent="0.25">
      <c r="B527">
        <f t="shared" si="21"/>
        <v>57</v>
      </c>
      <c r="C527">
        <v>1</v>
      </c>
      <c r="D527">
        <v>1</v>
      </c>
      <c r="E527">
        <v>1</v>
      </c>
      <c r="F527">
        <v>1</v>
      </c>
      <c r="G527">
        <v>1</v>
      </c>
      <c r="J527">
        <f t="shared" si="22"/>
        <v>57</v>
      </c>
      <c r="K527">
        <v>1</v>
      </c>
      <c r="L527">
        <v>1</v>
      </c>
      <c r="M527">
        <v>1</v>
      </c>
      <c r="N527">
        <v>1</v>
      </c>
      <c r="O527">
        <v>1</v>
      </c>
      <c r="R527">
        <f t="shared" si="23"/>
        <v>57</v>
      </c>
      <c r="S527">
        <v>1</v>
      </c>
      <c r="T527">
        <v>1</v>
      </c>
      <c r="U527">
        <v>1</v>
      </c>
      <c r="V527">
        <v>1</v>
      </c>
      <c r="W527">
        <v>1</v>
      </c>
      <c r="AA527">
        <v>-8671.3991999999998</v>
      </c>
      <c r="AB527">
        <v>-8671.3991999999998</v>
      </c>
      <c r="AC527">
        <v>-8671.3991999999998</v>
      </c>
      <c r="AD527">
        <v>-8671.3991999999998</v>
      </c>
      <c r="AE527">
        <v>-8671.3991999999998</v>
      </c>
    </row>
    <row r="528" spans="2:31" x14ac:dyDescent="0.25">
      <c r="B528">
        <f t="shared" si="21"/>
        <v>58</v>
      </c>
      <c r="C528">
        <v>1</v>
      </c>
      <c r="D528">
        <v>1</v>
      </c>
      <c r="E528">
        <v>1</v>
      </c>
      <c r="F528">
        <v>1</v>
      </c>
      <c r="G528">
        <v>1</v>
      </c>
      <c r="J528">
        <f t="shared" si="22"/>
        <v>58</v>
      </c>
      <c r="K528">
        <v>1</v>
      </c>
      <c r="L528">
        <v>1</v>
      </c>
      <c r="M528">
        <v>1</v>
      </c>
      <c r="N528">
        <v>1</v>
      </c>
      <c r="O528">
        <v>1</v>
      </c>
      <c r="R528">
        <f t="shared" si="23"/>
        <v>58</v>
      </c>
      <c r="S528">
        <v>1</v>
      </c>
      <c r="T528">
        <v>1</v>
      </c>
      <c r="U528">
        <v>1</v>
      </c>
      <c r="V528">
        <v>1</v>
      </c>
      <c r="W528">
        <v>1</v>
      </c>
      <c r="AA528">
        <v>-8525.2759999999998</v>
      </c>
      <c r="AB528">
        <v>-8525.2759999999998</v>
      </c>
      <c r="AC528">
        <v>-8525.2759999999998</v>
      </c>
      <c r="AD528">
        <v>-8525.2759999999998</v>
      </c>
      <c r="AE528">
        <v>-8525.2759999999998</v>
      </c>
    </row>
    <row r="529" spans="2:32" x14ac:dyDescent="0.25">
      <c r="B529">
        <f t="shared" si="21"/>
        <v>59</v>
      </c>
      <c r="C529">
        <v>1</v>
      </c>
      <c r="D529">
        <v>1</v>
      </c>
      <c r="E529">
        <v>1</v>
      </c>
      <c r="F529">
        <v>1</v>
      </c>
      <c r="G529">
        <v>1</v>
      </c>
      <c r="J529">
        <f t="shared" si="22"/>
        <v>59</v>
      </c>
      <c r="K529">
        <v>1</v>
      </c>
      <c r="L529">
        <v>1</v>
      </c>
      <c r="M529">
        <v>1</v>
      </c>
      <c r="N529">
        <v>1</v>
      </c>
      <c r="O529">
        <v>1</v>
      </c>
      <c r="R529">
        <f t="shared" si="23"/>
        <v>59</v>
      </c>
      <c r="S529">
        <v>1</v>
      </c>
      <c r="T529">
        <v>1</v>
      </c>
      <c r="U529">
        <v>1</v>
      </c>
      <c r="V529">
        <v>1</v>
      </c>
      <c r="W529">
        <v>1</v>
      </c>
      <c r="AA529">
        <v>-8377.2351999999992</v>
      </c>
      <c r="AB529">
        <v>-8377.2351999999992</v>
      </c>
      <c r="AC529">
        <v>-8377.2351999999992</v>
      </c>
      <c r="AD529">
        <v>-8377.2351999999992</v>
      </c>
      <c r="AE529">
        <v>-8377.2351999999992</v>
      </c>
    </row>
    <row r="530" spans="2:32" x14ac:dyDescent="0.25">
      <c r="B530">
        <f t="shared" si="21"/>
        <v>60</v>
      </c>
      <c r="C530">
        <v>1</v>
      </c>
      <c r="D530">
        <v>1</v>
      </c>
      <c r="E530">
        <v>1</v>
      </c>
      <c r="F530">
        <v>1</v>
      </c>
      <c r="G530">
        <v>1</v>
      </c>
      <c r="J530">
        <f t="shared" si="22"/>
        <v>60</v>
      </c>
      <c r="K530">
        <v>1</v>
      </c>
      <c r="L530">
        <v>1</v>
      </c>
      <c r="M530">
        <v>1</v>
      </c>
      <c r="N530">
        <v>1</v>
      </c>
      <c r="O530">
        <v>1</v>
      </c>
      <c r="R530">
        <f t="shared" si="23"/>
        <v>60</v>
      </c>
      <c r="S530">
        <v>1</v>
      </c>
      <c r="T530">
        <v>1</v>
      </c>
      <c r="U530">
        <v>1</v>
      </c>
      <c r="V530">
        <v>1</v>
      </c>
      <c r="W530">
        <v>1</v>
      </c>
      <c r="AA530">
        <v>-8227.3953999999994</v>
      </c>
      <c r="AB530">
        <v>-8227.3953999999994</v>
      </c>
      <c r="AC530">
        <v>-8227.3953999999994</v>
      </c>
      <c r="AD530">
        <v>-8227.3953999999994</v>
      </c>
      <c r="AE530">
        <v>-8227.3953999999994</v>
      </c>
    </row>
    <row r="531" spans="2:32" x14ac:dyDescent="0.25">
      <c r="B531">
        <f t="shared" si="21"/>
        <v>61</v>
      </c>
      <c r="C531">
        <v>1</v>
      </c>
      <c r="D531">
        <v>1</v>
      </c>
      <c r="E531">
        <v>1</v>
      </c>
      <c r="F531">
        <v>1</v>
      </c>
      <c r="G531">
        <v>1</v>
      </c>
      <c r="J531">
        <f t="shared" si="22"/>
        <v>61</v>
      </c>
      <c r="K531">
        <v>1</v>
      </c>
      <c r="L531">
        <v>1</v>
      </c>
      <c r="M531">
        <v>1</v>
      </c>
      <c r="N531">
        <v>1</v>
      </c>
      <c r="O531">
        <v>1</v>
      </c>
      <c r="R531">
        <f t="shared" si="23"/>
        <v>61</v>
      </c>
      <c r="S531">
        <v>1</v>
      </c>
      <c r="T531">
        <v>1</v>
      </c>
      <c r="U531">
        <v>1</v>
      </c>
      <c r="V531">
        <v>1</v>
      </c>
      <c r="W531">
        <v>1</v>
      </c>
      <c r="AA531">
        <v>-8076.1778999999997</v>
      </c>
      <c r="AB531">
        <v>-8076.1778999999997</v>
      </c>
      <c r="AC531">
        <v>-8076.1778999999997</v>
      </c>
      <c r="AD531">
        <v>-8076.1778999999997</v>
      </c>
      <c r="AE531">
        <v>-8076.1778999999997</v>
      </c>
    </row>
    <row r="532" spans="2:32" x14ac:dyDescent="0.25">
      <c r="B532">
        <f t="shared" si="21"/>
        <v>62</v>
      </c>
      <c r="C532">
        <v>1</v>
      </c>
      <c r="D532">
        <v>1</v>
      </c>
      <c r="E532">
        <v>1</v>
      </c>
      <c r="F532">
        <v>1</v>
      </c>
      <c r="G532">
        <v>1</v>
      </c>
      <c r="J532">
        <f t="shared" si="22"/>
        <v>62</v>
      </c>
      <c r="K532">
        <v>1</v>
      </c>
      <c r="L532">
        <v>1</v>
      </c>
      <c r="M532">
        <v>1</v>
      </c>
      <c r="N532">
        <v>1</v>
      </c>
      <c r="O532">
        <v>1</v>
      </c>
      <c r="R532">
        <f t="shared" si="23"/>
        <v>62</v>
      </c>
      <c r="S532">
        <v>1</v>
      </c>
      <c r="T532">
        <v>1</v>
      </c>
      <c r="U532">
        <v>1</v>
      </c>
      <c r="V532">
        <v>1</v>
      </c>
      <c r="W532">
        <v>1</v>
      </c>
      <c r="AA532">
        <v>-7923.5816000000004</v>
      </c>
      <c r="AB532">
        <v>-7923.5816000000004</v>
      </c>
      <c r="AC532">
        <v>-7923.5816000000004</v>
      </c>
      <c r="AD532">
        <v>-7923.5816000000004</v>
      </c>
      <c r="AE532">
        <v>-7923.5816000000004</v>
      </c>
    </row>
    <row r="533" spans="2:32" x14ac:dyDescent="0.25">
      <c r="B533">
        <f t="shared" si="21"/>
        <v>63</v>
      </c>
      <c r="C533">
        <v>1</v>
      </c>
      <c r="D533">
        <v>1</v>
      </c>
      <c r="E533">
        <v>1</v>
      </c>
      <c r="F533">
        <v>1</v>
      </c>
      <c r="G533">
        <v>1</v>
      </c>
      <c r="J533">
        <f t="shared" si="22"/>
        <v>63</v>
      </c>
      <c r="K533">
        <v>1</v>
      </c>
      <c r="L533">
        <v>1</v>
      </c>
      <c r="M533">
        <v>1</v>
      </c>
      <c r="N533">
        <v>1</v>
      </c>
      <c r="O533">
        <v>1</v>
      </c>
      <c r="R533">
        <f t="shared" si="23"/>
        <v>63</v>
      </c>
      <c r="S533">
        <v>1</v>
      </c>
      <c r="T533">
        <v>1</v>
      </c>
      <c r="U533">
        <v>1</v>
      </c>
      <c r="V533">
        <v>1</v>
      </c>
      <c r="W533">
        <v>1</v>
      </c>
      <c r="AA533">
        <v>-7769.2775000000001</v>
      </c>
      <c r="AB533">
        <v>-7769.2775000000001</v>
      </c>
      <c r="AC533">
        <v>-7769.2775000000001</v>
      </c>
      <c r="AD533">
        <v>-7769.2775000000001</v>
      </c>
      <c r="AE533">
        <v>-7769.2775000000001</v>
      </c>
    </row>
    <row r="534" spans="2:32" x14ac:dyDescent="0.25">
      <c r="B534">
        <f t="shared" si="21"/>
        <v>64</v>
      </c>
      <c r="C534">
        <v>1</v>
      </c>
      <c r="D534">
        <v>1</v>
      </c>
      <c r="E534">
        <v>1</v>
      </c>
      <c r="F534">
        <v>1</v>
      </c>
      <c r="G534">
        <v>1</v>
      </c>
      <c r="J534">
        <f t="shared" si="22"/>
        <v>64</v>
      </c>
      <c r="K534">
        <v>1</v>
      </c>
      <c r="L534">
        <v>1</v>
      </c>
      <c r="M534">
        <v>1</v>
      </c>
      <c r="N534">
        <v>1</v>
      </c>
      <c r="O534">
        <v>1</v>
      </c>
      <c r="R534">
        <f t="shared" si="23"/>
        <v>64</v>
      </c>
      <c r="S534">
        <v>1</v>
      </c>
      <c r="T534">
        <v>1</v>
      </c>
      <c r="U534">
        <v>1</v>
      </c>
      <c r="V534">
        <v>1</v>
      </c>
      <c r="W534">
        <v>1</v>
      </c>
      <c r="AA534">
        <v>-7613.3999000000003</v>
      </c>
      <c r="AB534">
        <v>-7613.3999000000003</v>
      </c>
      <c r="AC534">
        <v>-7613.3999000000003</v>
      </c>
      <c r="AD534">
        <v>-7613.3999000000003</v>
      </c>
      <c r="AE534">
        <v>-7613.3999000000003</v>
      </c>
    </row>
    <row r="535" spans="2:32" x14ac:dyDescent="0.25">
      <c r="B535">
        <f t="shared" si="21"/>
        <v>65</v>
      </c>
      <c r="C535">
        <v>1</v>
      </c>
      <c r="D535">
        <v>1</v>
      </c>
      <c r="E535">
        <v>1</v>
      </c>
      <c r="F535">
        <v>1</v>
      </c>
      <c r="G535">
        <v>1</v>
      </c>
      <c r="J535">
        <f t="shared" si="22"/>
        <v>65</v>
      </c>
      <c r="K535">
        <v>1</v>
      </c>
      <c r="L535">
        <v>1</v>
      </c>
      <c r="M535">
        <v>1</v>
      </c>
      <c r="N535">
        <v>1</v>
      </c>
      <c r="O535">
        <v>1</v>
      </c>
      <c r="R535">
        <f t="shared" si="23"/>
        <v>65</v>
      </c>
      <c r="S535">
        <v>1</v>
      </c>
      <c r="T535">
        <v>1</v>
      </c>
      <c r="U535">
        <v>1</v>
      </c>
      <c r="V535">
        <v>1</v>
      </c>
      <c r="W535">
        <v>1</v>
      </c>
      <c r="AA535">
        <v>-7455.8590000000004</v>
      </c>
      <c r="AB535">
        <v>-7455.8590000000004</v>
      </c>
      <c r="AC535">
        <v>-7455.8590000000004</v>
      </c>
      <c r="AD535">
        <v>-7455.8590000000004</v>
      </c>
      <c r="AE535">
        <v>-7455.8590000000004</v>
      </c>
    </row>
    <row r="538" spans="2:32" x14ac:dyDescent="0.25">
      <c r="B538" t="s">
        <v>46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47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48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2:32" x14ac:dyDescent="0.25">
      <c r="B539">
        <v>26</v>
      </c>
      <c r="C539">
        <v>1</v>
      </c>
      <c r="D539">
        <v>1</v>
      </c>
      <c r="E539">
        <v>1</v>
      </c>
      <c r="F539">
        <v>1</v>
      </c>
      <c r="G539">
        <v>1</v>
      </c>
      <c r="H539">
        <v>1</v>
      </c>
      <c r="J539">
        <v>26</v>
      </c>
      <c r="K539">
        <v>1</v>
      </c>
      <c r="L539">
        <v>1</v>
      </c>
      <c r="M539">
        <v>1</v>
      </c>
      <c r="N539">
        <v>1</v>
      </c>
      <c r="O539">
        <v>1</v>
      </c>
      <c r="P539">
        <v>1</v>
      </c>
      <c r="R539">
        <v>26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AA539">
        <v>-7435.5060999999996</v>
      </c>
      <c r="AB539">
        <v>-7435.5060999999996</v>
      </c>
      <c r="AC539">
        <v>-7435.5060999999996</v>
      </c>
      <c r="AD539">
        <v>-7435.5060999999996</v>
      </c>
      <c r="AE539">
        <v>-7435.5060999999996</v>
      </c>
      <c r="AF539">
        <v>-7435.5060999999996</v>
      </c>
    </row>
    <row r="540" spans="2:32" x14ac:dyDescent="0.25">
      <c r="B540">
        <v>27</v>
      </c>
      <c r="C540">
        <v>1</v>
      </c>
      <c r="D540">
        <v>1</v>
      </c>
      <c r="E540">
        <v>1</v>
      </c>
      <c r="F540">
        <v>1</v>
      </c>
      <c r="G540">
        <v>1</v>
      </c>
      <c r="H540">
        <v>1</v>
      </c>
      <c r="J540">
        <v>27</v>
      </c>
      <c r="K540">
        <v>1</v>
      </c>
      <c r="L540">
        <v>1</v>
      </c>
      <c r="M540">
        <v>1</v>
      </c>
      <c r="N540">
        <v>1</v>
      </c>
      <c r="O540">
        <v>1</v>
      </c>
      <c r="P540">
        <v>1</v>
      </c>
      <c r="R540">
        <v>27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AA540">
        <v>-7434.2619000000004</v>
      </c>
      <c r="AB540">
        <v>-7434.2619000000004</v>
      </c>
      <c r="AC540">
        <v>-7434.2619000000004</v>
      </c>
      <c r="AD540">
        <v>-7434.2619000000004</v>
      </c>
      <c r="AE540">
        <v>-7434.2619000000004</v>
      </c>
      <c r="AF540">
        <v>-7434.2619000000004</v>
      </c>
    </row>
    <row r="541" spans="2:32" x14ac:dyDescent="0.25">
      <c r="B541">
        <v>28</v>
      </c>
      <c r="C541">
        <v>1</v>
      </c>
      <c r="D541">
        <v>1</v>
      </c>
      <c r="E541">
        <v>1</v>
      </c>
      <c r="F541">
        <v>1</v>
      </c>
      <c r="G541">
        <v>1</v>
      </c>
      <c r="H541">
        <v>1</v>
      </c>
      <c r="J541">
        <v>28</v>
      </c>
      <c r="K541">
        <v>1</v>
      </c>
      <c r="L541">
        <v>1</v>
      </c>
      <c r="M541">
        <v>1</v>
      </c>
      <c r="N541">
        <v>1</v>
      </c>
      <c r="O541">
        <v>1</v>
      </c>
      <c r="P541">
        <v>1</v>
      </c>
      <c r="R541">
        <v>28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AA541">
        <v>-7432.8334999999997</v>
      </c>
      <c r="AB541">
        <v>-7432.8334999999997</v>
      </c>
      <c r="AC541">
        <v>-7432.8334999999997</v>
      </c>
      <c r="AD541">
        <v>-7432.8334999999997</v>
      </c>
      <c r="AE541">
        <v>-7432.8334999999997</v>
      </c>
      <c r="AF541">
        <v>-7432.8334999999997</v>
      </c>
    </row>
    <row r="542" spans="2:32" x14ac:dyDescent="0.25">
      <c r="B542">
        <v>29</v>
      </c>
      <c r="C542">
        <v>1</v>
      </c>
      <c r="D542">
        <v>1</v>
      </c>
      <c r="E542">
        <v>1</v>
      </c>
      <c r="F542">
        <v>1</v>
      </c>
      <c r="G542">
        <v>1</v>
      </c>
      <c r="H542">
        <v>1</v>
      </c>
      <c r="J542">
        <v>29</v>
      </c>
      <c r="K542">
        <v>1</v>
      </c>
      <c r="L542">
        <v>1</v>
      </c>
      <c r="M542">
        <v>1</v>
      </c>
      <c r="N542">
        <v>1</v>
      </c>
      <c r="O542">
        <v>1</v>
      </c>
      <c r="P542">
        <v>1</v>
      </c>
      <c r="R542">
        <v>29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AA542">
        <v>-7431.2058999999999</v>
      </c>
      <c r="AB542">
        <v>-7431.2058999999999</v>
      </c>
      <c r="AC542">
        <v>-7431.2058999999999</v>
      </c>
      <c r="AD542">
        <v>-7431.2058999999999</v>
      </c>
      <c r="AE542">
        <v>-7431.2058999999999</v>
      </c>
      <c r="AF542">
        <v>-7431.2058999999999</v>
      </c>
    </row>
    <row r="543" spans="2:32" x14ac:dyDescent="0.25">
      <c r="B543">
        <v>30</v>
      </c>
      <c r="C543">
        <v>1</v>
      </c>
      <c r="D543">
        <v>1</v>
      </c>
      <c r="E543">
        <v>1</v>
      </c>
      <c r="F543">
        <v>1</v>
      </c>
      <c r="G543">
        <v>1</v>
      </c>
      <c r="H543">
        <v>1</v>
      </c>
      <c r="J543">
        <v>30</v>
      </c>
      <c r="K543">
        <v>1</v>
      </c>
      <c r="L543">
        <v>1</v>
      </c>
      <c r="M543">
        <v>1</v>
      </c>
      <c r="N543">
        <v>1</v>
      </c>
      <c r="O543">
        <v>1</v>
      </c>
      <c r="P543">
        <v>1</v>
      </c>
      <c r="R543">
        <v>30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AA543">
        <v>-7429.3476000000001</v>
      </c>
      <c r="AB543">
        <v>-7429.3476000000001</v>
      </c>
      <c r="AC543">
        <v>-7429.3476000000001</v>
      </c>
      <c r="AD543">
        <v>-7429.3476000000001</v>
      </c>
      <c r="AE543">
        <v>-7429.3476000000001</v>
      </c>
      <c r="AF543">
        <v>-7429.3476000000001</v>
      </c>
    </row>
    <row r="544" spans="2:32" x14ac:dyDescent="0.25">
      <c r="B544">
        <v>31</v>
      </c>
      <c r="C544">
        <v>1</v>
      </c>
      <c r="D544">
        <v>1</v>
      </c>
      <c r="E544">
        <v>1</v>
      </c>
      <c r="F544">
        <v>1</v>
      </c>
      <c r="G544">
        <v>1</v>
      </c>
      <c r="H544">
        <v>1</v>
      </c>
      <c r="J544">
        <v>31</v>
      </c>
      <c r="K544">
        <v>1</v>
      </c>
      <c r="L544">
        <v>1</v>
      </c>
      <c r="M544">
        <v>1</v>
      </c>
      <c r="N544">
        <v>1</v>
      </c>
      <c r="O544">
        <v>1</v>
      </c>
      <c r="P544">
        <v>1</v>
      </c>
      <c r="R544">
        <v>31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AA544">
        <v>-7427.2446</v>
      </c>
      <c r="AB544">
        <v>-7427.2446</v>
      </c>
      <c r="AC544">
        <v>-7427.2446</v>
      </c>
      <c r="AD544">
        <v>-7427.2446</v>
      </c>
      <c r="AE544">
        <v>-7427.2446</v>
      </c>
      <c r="AF544">
        <v>-7427.2446</v>
      </c>
    </row>
    <row r="545" spans="2:32" x14ac:dyDescent="0.25">
      <c r="B545">
        <v>32</v>
      </c>
      <c r="C545">
        <v>1</v>
      </c>
      <c r="D545">
        <v>1</v>
      </c>
      <c r="E545">
        <v>1</v>
      </c>
      <c r="F545">
        <v>1</v>
      </c>
      <c r="G545">
        <v>1</v>
      </c>
      <c r="H545">
        <v>1</v>
      </c>
      <c r="J545">
        <v>32</v>
      </c>
      <c r="K545">
        <v>1</v>
      </c>
      <c r="L545">
        <v>1</v>
      </c>
      <c r="M545">
        <v>1</v>
      </c>
      <c r="N545">
        <v>1</v>
      </c>
      <c r="O545">
        <v>1</v>
      </c>
      <c r="P545">
        <v>1</v>
      </c>
      <c r="R545">
        <v>32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AA545">
        <v>-7424.8944000000001</v>
      </c>
      <c r="AB545">
        <v>-7424.8944000000001</v>
      </c>
      <c r="AC545">
        <v>-7424.8944000000001</v>
      </c>
      <c r="AD545">
        <v>-7424.8944000000001</v>
      </c>
      <c r="AE545">
        <v>-7424.8944000000001</v>
      </c>
      <c r="AF545">
        <v>-7424.8944000000001</v>
      </c>
    </row>
    <row r="546" spans="2:32" x14ac:dyDescent="0.25">
      <c r="B546">
        <v>33</v>
      </c>
      <c r="C546">
        <v>1</v>
      </c>
      <c r="D546">
        <v>1</v>
      </c>
      <c r="E546">
        <v>1</v>
      </c>
      <c r="F546">
        <v>1</v>
      </c>
      <c r="G546">
        <v>1</v>
      </c>
      <c r="H546">
        <v>1</v>
      </c>
      <c r="J546">
        <v>33</v>
      </c>
      <c r="K546">
        <v>1</v>
      </c>
      <c r="L546">
        <v>1</v>
      </c>
      <c r="M546">
        <v>1</v>
      </c>
      <c r="N546">
        <v>1</v>
      </c>
      <c r="O546">
        <v>1</v>
      </c>
      <c r="P546">
        <v>1</v>
      </c>
      <c r="R546">
        <v>33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AA546">
        <v>-7422.2834000000003</v>
      </c>
      <c r="AB546">
        <v>-7422.2834000000003</v>
      </c>
      <c r="AC546">
        <v>-7422.2834000000003</v>
      </c>
      <c r="AD546">
        <v>-7422.2834000000003</v>
      </c>
      <c r="AE546">
        <v>-7422.2834000000003</v>
      </c>
      <c r="AF546">
        <v>-7422.2834000000003</v>
      </c>
    </row>
    <row r="547" spans="2:32" x14ac:dyDescent="0.25">
      <c r="B547">
        <v>34</v>
      </c>
      <c r="C547">
        <v>1</v>
      </c>
      <c r="D547">
        <v>1</v>
      </c>
      <c r="E547">
        <v>1</v>
      </c>
      <c r="F547">
        <v>1</v>
      </c>
      <c r="G547">
        <v>1</v>
      </c>
      <c r="H547">
        <v>1</v>
      </c>
      <c r="J547">
        <v>34</v>
      </c>
      <c r="K547">
        <v>1</v>
      </c>
      <c r="L547">
        <v>1</v>
      </c>
      <c r="M547">
        <v>1</v>
      </c>
      <c r="N547">
        <v>1</v>
      </c>
      <c r="O547">
        <v>1</v>
      </c>
      <c r="P547">
        <v>1</v>
      </c>
      <c r="R547">
        <v>34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AA547">
        <v>-7419.3683000000001</v>
      </c>
      <c r="AB547">
        <v>-7419.3683000000001</v>
      </c>
      <c r="AC547">
        <v>-7419.3683000000001</v>
      </c>
      <c r="AD547">
        <v>-7419.3683000000001</v>
      </c>
      <c r="AE547">
        <v>-7419.3683000000001</v>
      </c>
      <c r="AF547">
        <v>-7419.3683000000001</v>
      </c>
    </row>
    <row r="548" spans="2:32" x14ac:dyDescent="0.25">
      <c r="B548">
        <v>35</v>
      </c>
      <c r="C548">
        <v>1</v>
      </c>
      <c r="D548">
        <v>1</v>
      </c>
      <c r="E548">
        <v>1</v>
      </c>
      <c r="F548">
        <v>1</v>
      </c>
      <c r="G548">
        <v>1</v>
      </c>
      <c r="H548">
        <v>1</v>
      </c>
      <c r="J548">
        <v>35</v>
      </c>
      <c r="K548">
        <v>1</v>
      </c>
      <c r="L548">
        <v>1</v>
      </c>
      <c r="M548">
        <v>1</v>
      </c>
      <c r="N548">
        <v>1</v>
      </c>
      <c r="O548">
        <v>1</v>
      </c>
      <c r="P548">
        <v>1</v>
      </c>
      <c r="R548">
        <v>35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AA548">
        <v>-7416.1363000000001</v>
      </c>
      <c r="AB548">
        <v>-7416.1363000000001</v>
      </c>
      <c r="AC548">
        <v>-7416.1363000000001</v>
      </c>
      <c r="AD548">
        <v>-7416.1363000000001</v>
      </c>
      <c r="AE548">
        <v>-7416.1363000000001</v>
      </c>
      <c r="AF548">
        <v>-7416.1363000000001</v>
      </c>
    </row>
    <row r="549" spans="2:32" x14ac:dyDescent="0.25">
      <c r="B549">
        <v>36</v>
      </c>
      <c r="C549">
        <v>1</v>
      </c>
      <c r="D549">
        <v>1</v>
      </c>
      <c r="E549">
        <v>1</v>
      </c>
      <c r="F549">
        <v>1</v>
      </c>
      <c r="G549">
        <v>1</v>
      </c>
      <c r="H549">
        <v>1</v>
      </c>
      <c r="J549">
        <v>36</v>
      </c>
      <c r="K549">
        <v>1</v>
      </c>
      <c r="L549">
        <v>1</v>
      </c>
      <c r="M549">
        <v>1</v>
      </c>
      <c r="N549">
        <v>1</v>
      </c>
      <c r="O549">
        <v>1</v>
      </c>
      <c r="P549">
        <v>1</v>
      </c>
      <c r="R549">
        <v>36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AA549">
        <v>-7412.5378000000001</v>
      </c>
      <c r="AB549">
        <v>-7412.5378000000001</v>
      </c>
      <c r="AC549">
        <v>-7412.5378000000001</v>
      </c>
      <c r="AD549">
        <v>-7412.5378000000001</v>
      </c>
      <c r="AE549">
        <v>-7412.5378000000001</v>
      </c>
      <c r="AF549">
        <v>-7412.5378000000001</v>
      </c>
    </row>
    <row r="550" spans="2:32" x14ac:dyDescent="0.25">
      <c r="B550">
        <v>37</v>
      </c>
      <c r="C550">
        <v>1</v>
      </c>
      <c r="D550">
        <v>1</v>
      </c>
      <c r="E550">
        <v>1</v>
      </c>
      <c r="F550">
        <v>1</v>
      </c>
      <c r="G550">
        <v>1</v>
      </c>
      <c r="H550">
        <v>1</v>
      </c>
      <c r="J550">
        <v>37</v>
      </c>
      <c r="K550">
        <v>1</v>
      </c>
      <c r="L550">
        <v>1</v>
      </c>
      <c r="M550">
        <v>1</v>
      </c>
      <c r="N550">
        <v>1</v>
      </c>
      <c r="O550">
        <v>1</v>
      </c>
      <c r="P550">
        <v>1</v>
      </c>
      <c r="R550">
        <v>37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AA550">
        <v>-7408.55</v>
      </c>
      <c r="AB550">
        <v>-7408.55</v>
      </c>
      <c r="AC550">
        <v>-7408.55</v>
      </c>
      <c r="AD550">
        <v>-7408.55</v>
      </c>
      <c r="AE550">
        <v>-7408.55</v>
      </c>
      <c r="AF550">
        <v>-7408.55</v>
      </c>
    </row>
    <row r="551" spans="2:32" x14ac:dyDescent="0.25">
      <c r="B551">
        <v>38</v>
      </c>
      <c r="C551">
        <v>1</v>
      </c>
      <c r="D551">
        <v>1</v>
      </c>
      <c r="E551">
        <v>1</v>
      </c>
      <c r="F551">
        <v>1</v>
      </c>
      <c r="G551">
        <v>1</v>
      </c>
      <c r="H551">
        <v>1</v>
      </c>
      <c r="J551">
        <v>38</v>
      </c>
      <c r="K551">
        <v>1</v>
      </c>
      <c r="L551">
        <v>1</v>
      </c>
      <c r="M551">
        <v>1</v>
      </c>
      <c r="N551">
        <v>1</v>
      </c>
      <c r="O551">
        <v>1</v>
      </c>
      <c r="P551">
        <v>1</v>
      </c>
      <c r="R551">
        <v>38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AA551">
        <v>-7404.1752999999999</v>
      </c>
      <c r="AB551">
        <v>-7404.1752999999999</v>
      </c>
      <c r="AC551">
        <v>-7404.1752999999999</v>
      </c>
      <c r="AD551">
        <v>-7404.1752999999999</v>
      </c>
      <c r="AE551">
        <v>-7404.1752999999999</v>
      </c>
      <c r="AF551">
        <v>-7404.1752999999999</v>
      </c>
    </row>
    <row r="552" spans="2:32" x14ac:dyDescent="0.25">
      <c r="B552">
        <v>39</v>
      </c>
      <c r="C552">
        <v>1</v>
      </c>
      <c r="D552">
        <v>1</v>
      </c>
      <c r="E552">
        <v>1</v>
      </c>
      <c r="F552">
        <v>1</v>
      </c>
      <c r="G552">
        <v>1</v>
      </c>
      <c r="H552">
        <v>1</v>
      </c>
      <c r="J552">
        <v>39</v>
      </c>
      <c r="K552">
        <v>1</v>
      </c>
      <c r="L552">
        <v>1</v>
      </c>
      <c r="M552">
        <v>1</v>
      </c>
      <c r="N552">
        <v>1</v>
      </c>
      <c r="O552">
        <v>1</v>
      </c>
      <c r="P552">
        <v>1</v>
      </c>
      <c r="R552">
        <v>39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AA552">
        <v>-7399.3923999999997</v>
      </c>
      <c r="AB552">
        <v>-7399.3923999999997</v>
      </c>
      <c r="AC552">
        <v>-7399.3923999999997</v>
      </c>
      <c r="AD552">
        <v>-7399.3923999999997</v>
      </c>
      <c r="AE552">
        <v>-7399.3923999999997</v>
      </c>
      <c r="AF552">
        <v>-7399.3923999999997</v>
      </c>
    </row>
    <row r="553" spans="2:32" x14ac:dyDescent="0.25">
      <c r="B553">
        <v>40</v>
      </c>
      <c r="C553">
        <v>1</v>
      </c>
      <c r="D553">
        <v>1</v>
      </c>
      <c r="E553">
        <v>1</v>
      </c>
      <c r="F553">
        <v>1</v>
      </c>
      <c r="G553">
        <v>1</v>
      </c>
      <c r="H553">
        <v>1</v>
      </c>
      <c r="J553">
        <v>40</v>
      </c>
      <c r="K553">
        <v>1</v>
      </c>
      <c r="L553">
        <v>1</v>
      </c>
      <c r="M553">
        <v>1</v>
      </c>
      <c r="N553">
        <v>1</v>
      </c>
      <c r="O553">
        <v>1</v>
      </c>
      <c r="P553">
        <v>1</v>
      </c>
      <c r="R553">
        <v>40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AA553">
        <v>-7394.1365999999998</v>
      </c>
      <c r="AB553">
        <v>-7394.1365999999998</v>
      </c>
      <c r="AC553">
        <v>-7394.1365999999998</v>
      </c>
      <c r="AD553">
        <v>-7394.1365999999998</v>
      </c>
      <c r="AE553">
        <v>-7394.1365999999998</v>
      </c>
      <c r="AF553">
        <v>-7394.1365999999998</v>
      </c>
    </row>
    <row r="554" spans="2:32" x14ac:dyDescent="0.25">
      <c r="B554">
        <v>41</v>
      </c>
      <c r="C554">
        <v>1</v>
      </c>
      <c r="D554">
        <v>1</v>
      </c>
      <c r="E554">
        <v>1</v>
      </c>
      <c r="F554">
        <v>1</v>
      </c>
      <c r="G554">
        <v>1</v>
      </c>
      <c r="H554">
        <v>1</v>
      </c>
      <c r="J554">
        <v>41</v>
      </c>
      <c r="K554">
        <v>1</v>
      </c>
      <c r="L554">
        <v>1</v>
      </c>
      <c r="M554">
        <v>1</v>
      </c>
      <c r="N554">
        <v>1</v>
      </c>
      <c r="O554">
        <v>1</v>
      </c>
      <c r="P554">
        <v>1</v>
      </c>
      <c r="R554">
        <v>41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AA554">
        <v>-7388.3469999999998</v>
      </c>
      <c r="AB554">
        <v>-7388.3469999999998</v>
      </c>
      <c r="AC554">
        <v>-7388.3469999999998</v>
      </c>
      <c r="AD554">
        <v>-7388.3469999999998</v>
      </c>
      <c r="AE554">
        <v>-7388.3469999999998</v>
      </c>
      <c r="AF554">
        <v>-7388.3469999999998</v>
      </c>
    </row>
    <row r="555" spans="2:32" x14ac:dyDescent="0.25">
      <c r="B555">
        <v>42</v>
      </c>
      <c r="C555">
        <v>1</v>
      </c>
      <c r="D555">
        <v>1</v>
      </c>
      <c r="E555">
        <v>1</v>
      </c>
      <c r="F555">
        <v>1</v>
      </c>
      <c r="G555">
        <v>1</v>
      </c>
      <c r="H555">
        <v>1</v>
      </c>
      <c r="J555">
        <v>42</v>
      </c>
      <c r="K555">
        <v>1</v>
      </c>
      <c r="L555">
        <v>1</v>
      </c>
      <c r="M555">
        <v>1</v>
      </c>
      <c r="N555">
        <v>1</v>
      </c>
      <c r="O555">
        <v>1</v>
      </c>
      <c r="P555">
        <v>1</v>
      </c>
      <c r="R555">
        <v>42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AA555">
        <v>-7381.9919</v>
      </c>
      <c r="AB555">
        <v>-7381.9919</v>
      </c>
      <c r="AC555">
        <v>-7381.9919</v>
      </c>
      <c r="AD555">
        <v>-7381.9919</v>
      </c>
      <c r="AE555">
        <v>-7381.9919</v>
      </c>
      <c r="AF555">
        <v>-7381.9919</v>
      </c>
    </row>
    <row r="556" spans="2:32" x14ac:dyDescent="0.25">
      <c r="B556">
        <v>43</v>
      </c>
      <c r="C556">
        <v>1</v>
      </c>
      <c r="D556">
        <v>1</v>
      </c>
      <c r="E556">
        <v>1</v>
      </c>
      <c r="F556">
        <v>1</v>
      </c>
      <c r="G556">
        <v>1</v>
      </c>
      <c r="H556">
        <v>1</v>
      </c>
      <c r="J556">
        <v>43</v>
      </c>
      <c r="K556">
        <v>1</v>
      </c>
      <c r="L556">
        <v>1</v>
      </c>
      <c r="M556">
        <v>1</v>
      </c>
      <c r="N556">
        <v>1</v>
      </c>
      <c r="O556">
        <v>1</v>
      </c>
      <c r="P556">
        <v>1</v>
      </c>
      <c r="R556">
        <v>43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AA556">
        <v>-7374.9579999999996</v>
      </c>
      <c r="AB556">
        <v>-7374.9579999999996</v>
      </c>
      <c r="AC556">
        <v>-7374.9579999999996</v>
      </c>
      <c r="AD556">
        <v>-7374.9579999999996</v>
      </c>
      <c r="AE556">
        <v>-7374.9579999999996</v>
      </c>
      <c r="AF556">
        <v>-7374.9579999999996</v>
      </c>
    </row>
    <row r="557" spans="2:32" x14ac:dyDescent="0.25">
      <c r="B557">
        <v>44</v>
      </c>
      <c r="C557">
        <v>1</v>
      </c>
      <c r="D557">
        <v>1</v>
      </c>
      <c r="E557">
        <v>1</v>
      </c>
      <c r="F557">
        <v>1</v>
      </c>
      <c r="G557">
        <v>1</v>
      </c>
      <c r="H557">
        <v>1</v>
      </c>
      <c r="J557">
        <v>44</v>
      </c>
      <c r="K557">
        <v>1</v>
      </c>
      <c r="L557">
        <v>1</v>
      </c>
      <c r="M557">
        <v>1</v>
      </c>
      <c r="N557">
        <v>1</v>
      </c>
      <c r="O557">
        <v>1</v>
      </c>
      <c r="P557">
        <v>1</v>
      </c>
      <c r="R557">
        <v>44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AA557">
        <v>-7367.2034999999996</v>
      </c>
      <c r="AB557">
        <v>-7367.2034999999996</v>
      </c>
      <c r="AC557">
        <v>-7367.2034999999996</v>
      </c>
      <c r="AD557">
        <v>-7367.2034999999996</v>
      </c>
      <c r="AE557">
        <v>-7367.2034999999996</v>
      </c>
      <c r="AF557">
        <v>-7367.2034999999996</v>
      </c>
    </row>
    <row r="558" spans="2:32" x14ac:dyDescent="0.25">
      <c r="B558">
        <v>45</v>
      </c>
      <c r="C558">
        <v>1</v>
      </c>
      <c r="D558">
        <v>1</v>
      </c>
      <c r="E558">
        <v>1</v>
      </c>
      <c r="F558">
        <v>1</v>
      </c>
      <c r="G558">
        <v>1</v>
      </c>
      <c r="H558">
        <v>1</v>
      </c>
      <c r="J558">
        <v>45</v>
      </c>
      <c r="K558">
        <v>1</v>
      </c>
      <c r="L558">
        <v>1</v>
      </c>
      <c r="M558">
        <v>1</v>
      </c>
      <c r="N558">
        <v>1</v>
      </c>
      <c r="O558">
        <v>1</v>
      </c>
      <c r="P558">
        <v>1</v>
      </c>
      <c r="R558">
        <v>45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AA558">
        <v>-7358.6491999999998</v>
      </c>
      <c r="AB558">
        <v>-7358.6491999999998</v>
      </c>
      <c r="AC558">
        <v>-7358.6491999999998</v>
      </c>
      <c r="AD558">
        <v>-7358.6491999999998</v>
      </c>
      <c r="AE558">
        <v>-7358.6491999999998</v>
      </c>
      <c r="AF558">
        <v>-7358.6491999999998</v>
      </c>
    </row>
    <row r="559" spans="2:32" x14ac:dyDescent="0.25">
      <c r="B559">
        <v>46</v>
      </c>
      <c r="C559">
        <v>1</v>
      </c>
      <c r="D559">
        <v>1</v>
      </c>
      <c r="E559">
        <v>1</v>
      </c>
      <c r="F559">
        <v>1</v>
      </c>
      <c r="G559">
        <v>1</v>
      </c>
      <c r="H559">
        <v>1</v>
      </c>
      <c r="J559">
        <v>46</v>
      </c>
      <c r="K559">
        <v>1</v>
      </c>
      <c r="L559">
        <v>1</v>
      </c>
      <c r="M559">
        <v>1</v>
      </c>
      <c r="N559">
        <v>1</v>
      </c>
      <c r="O559">
        <v>1</v>
      </c>
      <c r="P559">
        <v>1</v>
      </c>
      <c r="R559">
        <v>46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AA559">
        <v>-7349.2232000000004</v>
      </c>
      <c r="AB559">
        <v>-7349.2232000000004</v>
      </c>
      <c r="AC559">
        <v>-7349.2232000000004</v>
      </c>
      <c r="AD559">
        <v>-7349.2232000000004</v>
      </c>
      <c r="AE559">
        <v>-7349.2232000000004</v>
      </c>
      <c r="AF559">
        <v>-7349.2232000000004</v>
      </c>
    </row>
    <row r="560" spans="2:32" x14ac:dyDescent="0.25">
      <c r="B560">
        <v>47</v>
      </c>
      <c r="C560">
        <v>1</v>
      </c>
      <c r="D560">
        <v>1</v>
      </c>
      <c r="E560">
        <v>1</v>
      </c>
      <c r="F560">
        <v>1</v>
      </c>
      <c r="G560">
        <v>1</v>
      </c>
      <c r="H560">
        <v>1</v>
      </c>
      <c r="J560">
        <v>47</v>
      </c>
      <c r="K560">
        <v>1</v>
      </c>
      <c r="L560">
        <v>1</v>
      </c>
      <c r="M560">
        <v>1</v>
      </c>
      <c r="N560">
        <v>1</v>
      </c>
      <c r="O560">
        <v>1</v>
      </c>
      <c r="P560">
        <v>1</v>
      </c>
      <c r="R560">
        <v>47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AA560">
        <v>-7338.8310000000001</v>
      </c>
      <c r="AB560">
        <v>-7338.8310000000001</v>
      </c>
      <c r="AC560">
        <v>-7338.8310000000001</v>
      </c>
      <c r="AD560">
        <v>-7338.8310000000001</v>
      </c>
      <c r="AE560">
        <v>-7338.8310000000001</v>
      </c>
      <c r="AF560">
        <v>-7338.8310000000001</v>
      </c>
    </row>
    <row r="561" spans="2:32" x14ac:dyDescent="0.25">
      <c r="B561">
        <v>48</v>
      </c>
      <c r="C561">
        <v>1</v>
      </c>
      <c r="D561">
        <v>1</v>
      </c>
      <c r="E561">
        <v>1</v>
      </c>
      <c r="F561">
        <v>1</v>
      </c>
      <c r="G561">
        <v>1</v>
      </c>
      <c r="H561">
        <v>1</v>
      </c>
      <c r="J561">
        <v>48</v>
      </c>
      <c r="K561">
        <v>1</v>
      </c>
      <c r="L561">
        <v>1</v>
      </c>
      <c r="M561">
        <v>1</v>
      </c>
      <c r="N561">
        <v>1</v>
      </c>
      <c r="O561">
        <v>1</v>
      </c>
      <c r="P561">
        <v>1</v>
      </c>
      <c r="R561">
        <v>48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AA561">
        <v>-7327.4297999999999</v>
      </c>
      <c r="AB561">
        <v>-7327.4297999999999</v>
      </c>
      <c r="AC561">
        <v>-7327.4297999999999</v>
      </c>
      <c r="AD561">
        <v>-7327.4297999999999</v>
      </c>
      <c r="AE561">
        <v>-7327.4297999999999</v>
      </c>
      <c r="AF561">
        <v>-7327.4297999999999</v>
      </c>
    </row>
    <row r="562" spans="2:32" x14ac:dyDescent="0.25">
      <c r="B562">
        <v>49</v>
      </c>
      <c r="C562">
        <v>1</v>
      </c>
      <c r="D562">
        <v>1</v>
      </c>
      <c r="E562">
        <v>1</v>
      </c>
      <c r="F562">
        <v>1</v>
      </c>
      <c r="G562">
        <v>1</v>
      </c>
      <c r="H562">
        <v>1</v>
      </c>
      <c r="J562">
        <v>49</v>
      </c>
      <c r="K562">
        <v>1</v>
      </c>
      <c r="L562">
        <v>1</v>
      </c>
      <c r="M562">
        <v>1</v>
      </c>
      <c r="N562">
        <v>1</v>
      </c>
      <c r="O562">
        <v>1</v>
      </c>
      <c r="P562">
        <v>1</v>
      </c>
      <c r="R562">
        <v>49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AA562">
        <v>-7314.951</v>
      </c>
      <c r="AB562">
        <v>-7314.951</v>
      </c>
      <c r="AC562">
        <v>-7314.951</v>
      </c>
      <c r="AD562">
        <v>-7314.951</v>
      </c>
      <c r="AE562">
        <v>-7314.951</v>
      </c>
      <c r="AF562">
        <v>-7314.951</v>
      </c>
    </row>
    <row r="563" spans="2:32" x14ac:dyDescent="0.25">
      <c r="B563">
        <v>50</v>
      </c>
      <c r="C563">
        <v>1</v>
      </c>
      <c r="D563">
        <v>1</v>
      </c>
      <c r="E563">
        <v>1</v>
      </c>
      <c r="F563">
        <v>1</v>
      </c>
      <c r="G563">
        <v>1</v>
      </c>
      <c r="H563">
        <v>1</v>
      </c>
      <c r="J563">
        <v>50</v>
      </c>
      <c r="K563">
        <v>1</v>
      </c>
      <c r="L563">
        <v>1</v>
      </c>
      <c r="M563">
        <v>1</v>
      </c>
      <c r="N563">
        <v>1</v>
      </c>
      <c r="O563">
        <v>1</v>
      </c>
      <c r="P563">
        <v>1</v>
      </c>
      <c r="R563">
        <v>50</v>
      </c>
      <c r="S563">
        <v>1</v>
      </c>
      <c r="T563">
        <v>1</v>
      </c>
      <c r="U563">
        <v>1</v>
      </c>
      <c r="V563">
        <v>1</v>
      </c>
      <c r="W563">
        <v>1</v>
      </c>
      <c r="X563">
        <v>1</v>
      </c>
      <c r="AA563">
        <v>-7301.2851000000001</v>
      </c>
      <c r="AB563">
        <v>-7301.2851000000001</v>
      </c>
      <c r="AC563">
        <v>-7301.2851000000001</v>
      </c>
      <c r="AD563">
        <v>-7301.2851000000001</v>
      </c>
      <c r="AE563">
        <v>-7301.2851000000001</v>
      </c>
      <c r="AF563">
        <v>-7301.2851000000001</v>
      </c>
    </row>
    <row r="564" spans="2:32" x14ac:dyDescent="0.25">
      <c r="B564">
        <v>51</v>
      </c>
      <c r="C564">
        <v>1</v>
      </c>
      <c r="D564">
        <v>1</v>
      </c>
      <c r="E564">
        <v>1</v>
      </c>
      <c r="F564">
        <v>1</v>
      </c>
      <c r="G564">
        <v>1</v>
      </c>
      <c r="H564">
        <v>1</v>
      </c>
      <c r="J564">
        <v>51</v>
      </c>
      <c r="K564">
        <v>1</v>
      </c>
      <c r="L564">
        <v>1</v>
      </c>
      <c r="M564">
        <v>1</v>
      </c>
      <c r="N564">
        <v>1</v>
      </c>
      <c r="O564">
        <v>1</v>
      </c>
      <c r="P564">
        <v>1</v>
      </c>
      <c r="R564">
        <v>51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AA564">
        <v>-7286.3271000000004</v>
      </c>
      <c r="AB564">
        <v>-7286.3271000000004</v>
      </c>
      <c r="AC564">
        <v>-7286.3271000000004</v>
      </c>
      <c r="AD564">
        <v>-7286.3271000000004</v>
      </c>
      <c r="AE564">
        <v>-7286.3271000000004</v>
      </c>
      <c r="AF564">
        <v>-7286.3271000000004</v>
      </c>
    </row>
    <row r="565" spans="2:32" x14ac:dyDescent="0.25">
      <c r="B565">
        <v>52</v>
      </c>
      <c r="C565">
        <v>1</v>
      </c>
      <c r="D565">
        <v>1</v>
      </c>
      <c r="E565">
        <v>1</v>
      </c>
      <c r="F565">
        <v>1</v>
      </c>
      <c r="G565">
        <v>1</v>
      </c>
      <c r="H565">
        <v>1</v>
      </c>
      <c r="J565">
        <v>52</v>
      </c>
      <c r="K565">
        <v>1</v>
      </c>
      <c r="L565">
        <v>1</v>
      </c>
      <c r="M565">
        <v>1</v>
      </c>
      <c r="N565">
        <v>1</v>
      </c>
      <c r="O565">
        <v>1</v>
      </c>
      <c r="P565">
        <v>1</v>
      </c>
      <c r="R565">
        <v>52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AA565">
        <v>-7269.9448000000002</v>
      </c>
      <c r="AB565">
        <v>-7269.9448000000002</v>
      </c>
      <c r="AC565">
        <v>-7269.9448000000002</v>
      </c>
      <c r="AD565">
        <v>-7269.9448000000002</v>
      </c>
      <c r="AE565">
        <v>-7269.9448000000002</v>
      </c>
      <c r="AF565">
        <v>-7269.9448000000002</v>
      </c>
    </row>
    <row r="566" spans="2:32" x14ac:dyDescent="0.25">
      <c r="B566">
        <v>53</v>
      </c>
      <c r="C566">
        <v>1</v>
      </c>
      <c r="D566">
        <v>1</v>
      </c>
      <c r="E566">
        <v>1</v>
      </c>
      <c r="F566">
        <v>1</v>
      </c>
      <c r="G566">
        <v>1</v>
      </c>
      <c r="H566">
        <v>1</v>
      </c>
      <c r="J566">
        <v>53</v>
      </c>
      <c r="K566">
        <v>1</v>
      </c>
      <c r="L566">
        <v>1</v>
      </c>
      <c r="M566">
        <v>1</v>
      </c>
      <c r="N566">
        <v>1</v>
      </c>
      <c r="O566">
        <v>1</v>
      </c>
      <c r="P566">
        <v>1</v>
      </c>
      <c r="R566">
        <v>53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AA566">
        <v>-7252.0574999999999</v>
      </c>
      <c r="AB566">
        <v>-7252.0574999999999</v>
      </c>
      <c r="AC566">
        <v>-7252.0574999999999</v>
      </c>
      <c r="AD566">
        <v>-7252.0574999999999</v>
      </c>
      <c r="AE566">
        <v>-7252.0574999999999</v>
      </c>
      <c r="AF566">
        <v>-7252.0574999999999</v>
      </c>
    </row>
    <row r="567" spans="2:32" x14ac:dyDescent="0.25">
      <c r="B567">
        <v>54</v>
      </c>
      <c r="C567">
        <v>1</v>
      </c>
      <c r="D567">
        <v>1</v>
      </c>
      <c r="E567">
        <v>1</v>
      </c>
      <c r="F567">
        <v>1</v>
      </c>
      <c r="G567">
        <v>1</v>
      </c>
      <c r="H567">
        <v>1</v>
      </c>
      <c r="J567">
        <v>54</v>
      </c>
      <c r="K567">
        <v>1</v>
      </c>
      <c r="L567">
        <v>1</v>
      </c>
      <c r="M567">
        <v>1</v>
      </c>
      <c r="N567">
        <v>1</v>
      </c>
      <c r="O567">
        <v>1</v>
      </c>
      <c r="P567">
        <v>1</v>
      </c>
      <c r="R567">
        <v>54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AA567">
        <v>-7232.5680000000002</v>
      </c>
      <c r="AB567">
        <v>-7232.5680000000002</v>
      </c>
      <c r="AC567">
        <v>-7232.5680000000002</v>
      </c>
      <c r="AD567">
        <v>-7232.5680000000002</v>
      </c>
      <c r="AE567">
        <v>-7232.5680000000002</v>
      </c>
      <c r="AF567">
        <v>-7232.5680000000002</v>
      </c>
    </row>
    <row r="568" spans="2:32" x14ac:dyDescent="0.25">
      <c r="B568">
        <v>55</v>
      </c>
      <c r="C568">
        <v>1</v>
      </c>
      <c r="D568">
        <v>1</v>
      </c>
      <c r="E568">
        <v>1</v>
      </c>
      <c r="F568">
        <v>1</v>
      </c>
      <c r="G568">
        <v>1</v>
      </c>
      <c r="H568">
        <v>1</v>
      </c>
      <c r="J568">
        <v>55</v>
      </c>
      <c r="K568">
        <v>1</v>
      </c>
      <c r="L568">
        <v>1</v>
      </c>
      <c r="M568">
        <v>1</v>
      </c>
      <c r="N568">
        <v>1</v>
      </c>
      <c r="O568">
        <v>1</v>
      </c>
      <c r="P568">
        <v>1</v>
      </c>
      <c r="R568">
        <v>55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AA568">
        <v>-7211.3207000000002</v>
      </c>
      <c r="AB568">
        <v>-7211.3207000000002</v>
      </c>
      <c r="AC568">
        <v>-7211.3207000000002</v>
      </c>
      <c r="AD568">
        <v>-7211.3207000000002</v>
      </c>
      <c r="AE568">
        <v>-7211.3207000000002</v>
      </c>
      <c r="AF568">
        <v>-7211.3207000000002</v>
      </c>
    </row>
    <row r="571" spans="2:32" x14ac:dyDescent="0.25">
      <c r="B571" t="s">
        <v>46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32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48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2:32" x14ac:dyDescent="0.25">
      <c r="B572">
        <v>35</v>
      </c>
      <c r="C572">
        <v>1</v>
      </c>
      <c r="D572">
        <v>1</v>
      </c>
      <c r="E572">
        <v>1</v>
      </c>
      <c r="F572">
        <v>1</v>
      </c>
      <c r="G572">
        <v>1</v>
      </c>
      <c r="J572">
        <v>35</v>
      </c>
      <c r="K572">
        <v>1</v>
      </c>
      <c r="L572">
        <v>1</v>
      </c>
      <c r="M572">
        <v>1</v>
      </c>
      <c r="N572">
        <v>1</v>
      </c>
      <c r="O572">
        <v>1</v>
      </c>
      <c r="R572">
        <v>35</v>
      </c>
      <c r="S572">
        <v>1</v>
      </c>
      <c r="T572">
        <v>1</v>
      </c>
      <c r="U572">
        <v>1</v>
      </c>
      <c r="V572">
        <v>1</v>
      </c>
      <c r="W572">
        <v>1</v>
      </c>
      <c r="AA572">
        <v>-11308.6893</v>
      </c>
      <c r="AB572">
        <v>-11308.6893</v>
      </c>
      <c r="AC572">
        <v>-11308.6893</v>
      </c>
      <c r="AD572">
        <v>-11308.6893</v>
      </c>
      <c r="AE572">
        <v>-11308.6893</v>
      </c>
    </row>
    <row r="573" spans="2:32" x14ac:dyDescent="0.25">
      <c r="B573">
        <f t="shared" ref="B573:B602" si="24">B572+1</f>
        <v>36</v>
      </c>
      <c r="C573">
        <v>1</v>
      </c>
      <c r="D573">
        <v>1</v>
      </c>
      <c r="E573">
        <v>1</v>
      </c>
      <c r="F573">
        <v>1</v>
      </c>
      <c r="G573">
        <v>1</v>
      </c>
      <c r="J573">
        <f t="shared" ref="J573:J602" si="25">J572+1</f>
        <v>36</v>
      </c>
      <c r="K573">
        <v>1</v>
      </c>
      <c r="L573">
        <v>1</v>
      </c>
      <c r="M573">
        <v>1</v>
      </c>
      <c r="N573">
        <v>1</v>
      </c>
      <c r="O573">
        <v>1</v>
      </c>
      <c r="R573">
        <f t="shared" ref="R573:R602" si="26">R572+1</f>
        <v>36</v>
      </c>
      <c r="S573">
        <v>1</v>
      </c>
      <c r="T573">
        <v>1</v>
      </c>
      <c r="U573">
        <v>1</v>
      </c>
      <c r="V573">
        <v>1</v>
      </c>
      <c r="W573">
        <v>1</v>
      </c>
      <c r="AA573">
        <v>-11214.2592</v>
      </c>
      <c r="AB573">
        <v>-11214.2592</v>
      </c>
      <c r="AC573">
        <v>-11214.2592</v>
      </c>
      <c r="AD573">
        <v>-11214.2592</v>
      </c>
      <c r="AE573">
        <v>-11214.2592</v>
      </c>
    </row>
    <row r="574" spans="2:32" x14ac:dyDescent="0.25">
      <c r="B574">
        <f t="shared" si="24"/>
        <v>37</v>
      </c>
      <c r="C574">
        <v>1</v>
      </c>
      <c r="D574">
        <v>1</v>
      </c>
      <c r="E574">
        <v>1</v>
      </c>
      <c r="F574">
        <v>1</v>
      </c>
      <c r="G574">
        <v>1</v>
      </c>
      <c r="J574">
        <f t="shared" si="25"/>
        <v>37</v>
      </c>
      <c r="K574">
        <v>1</v>
      </c>
      <c r="L574">
        <v>1</v>
      </c>
      <c r="M574">
        <v>1</v>
      </c>
      <c r="N574">
        <v>1</v>
      </c>
      <c r="O574">
        <v>1</v>
      </c>
      <c r="R574">
        <f t="shared" si="26"/>
        <v>37</v>
      </c>
      <c r="S574">
        <v>1</v>
      </c>
      <c r="T574">
        <v>1</v>
      </c>
      <c r="U574">
        <v>1</v>
      </c>
      <c r="V574">
        <v>1</v>
      </c>
      <c r="W574">
        <v>1</v>
      </c>
      <c r="AA574">
        <v>-11117.406199999999</v>
      </c>
      <c r="AB574">
        <v>-11117.406199999999</v>
      </c>
      <c r="AC574">
        <v>-11117.406199999999</v>
      </c>
      <c r="AD574">
        <v>-11117.406199999999</v>
      </c>
      <c r="AE574">
        <v>-11117.406199999999</v>
      </c>
    </row>
    <row r="575" spans="2:32" x14ac:dyDescent="0.25">
      <c r="B575">
        <f t="shared" si="24"/>
        <v>38</v>
      </c>
      <c r="C575">
        <v>1</v>
      </c>
      <c r="D575">
        <v>1</v>
      </c>
      <c r="E575">
        <v>1</v>
      </c>
      <c r="F575">
        <v>1</v>
      </c>
      <c r="G575">
        <v>1</v>
      </c>
      <c r="J575">
        <f t="shared" si="25"/>
        <v>38</v>
      </c>
      <c r="K575">
        <v>1</v>
      </c>
      <c r="L575">
        <v>1</v>
      </c>
      <c r="M575">
        <v>1</v>
      </c>
      <c r="N575">
        <v>1</v>
      </c>
      <c r="O575">
        <v>1</v>
      </c>
      <c r="R575">
        <f t="shared" si="26"/>
        <v>38</v>
      </c>
      <c r="S575">
        <v>1</v>
      </c>
      <c r="T575">
        <v>1</v>
      </c>
      <c r="U575">
        <v>1</v>
      </c>
      <c r="V575">
        <v>1</v>
      </c>
      <c r="W575">
        <v>1</v>
      </c>
      <c r="AA575">
        <v>-11018.229799999999</v>
      </c>
      <c r="AB575">
        <v>-11018.229799999999</v>
      </c>
      <c r="AC575">
        <v>-11018.229799999999</v>
      </c>
      <c r="AD575">
        <v>-11018.229799999999</v>
      </c>
      <c r="AE575">
        <v>-11018.229799999999</v>
      </c>
    </row>
    <row r="576" spans="2:32" x14ac:dyDescent="0.25">
      <c r="B576">
        <f t="shared" si="24"/>
        <v>39</v>
      </c>
      <c r="C576">
        <v>1</v>
      </c>
      <c r="D576">
        <v>1</v>
      </c>
      <c r="E576">
        <v>1</v>
      </c>
      <c r="F576">
        <v>1</v>
      </c>
      <c r="G576">
        <v>1</v>
      </c>
      <c r="J576">
        <f t="shared" si="25"/>
        <v>39</v>
      </c>
      <c r="K576">
        <v>1</v>
      </c>
      <c r="L576">
        <v>1</v>
      </c>
      <c r="M576">
        <v>1</v>
      </c>
      <c r="N576">
        <v>1</v>
      </c>
      <c r="O576">
        <v>1</v>
      </c>
      <c r="R576">
        <f t="shared" si="26"/>
        <v>39</v>
      </c>
      <c r="S576">
        <v>1</v>
      </c>
      <c r="T576">
        <v>1</v>
      </c>
      <c r="U576">
        <v>1</v>
      </c>
      <c r="V576">
        <v>1</v>
      </c>
      <c r="W576">
        <v>1</v>
      </c>
      <c r="AA576">
        <v>-10916.737999999999</v>
      </c>
      <c r="AB576">
        <v>-10916.737999999999</v>
      </c>
      <c r="AC576">
        <v>-10916.737999999999</v>
      </c>
      <c r="AD576">
        <v>-10916.737999999999</v>
      </c>
      <c r="AE576">
        <v>-10916.737999999999</v>
      </c>
    </row>
    <row r="577" spans="2:31" x14ac:dyDescent="0.25">
      <c r="B577">
        <f t="shared" si="24"/>
        <v>40</v>
      </c>
      <c r="C577">
        <v>1</v>
      </c>
      <c r="D577">
        <v>1</v>
      </c>
      <c r="E577">
        <v>1</v>
      </c>
      <c r="F577">
        <v>1</v>
      </c>
      <c r="G577">
        <v>1</v>
      </c>
      <c r="J577">
        <f t="shared" si="25"/>
        <v>40</v>
      </c>
      <c r="K577">
        <v>1</v>
      </c>
      <c r="L577">
        <v>1</v>
      </c>
      <c r="M577">
        <v>1</v>
      </c>
      <c r="N577">
        <v>1</v>
      </c>
      <c r="O577">
        <v>1</v>
      </c>
      <c r="R577">
        <f t="shared" si="26"/>
        <v>40</v>
      </c>
      <c r="S577">
        <v>1</v>
      </c>
      <c r="T577">
        <v>1</v>
      </c>
      <c r="U577">
        <v>1</v>
      </c>
      <c r="V577">
        <v>1</v>
      </c>
      <c r="W577">
        <v>1</v>
      </c>
      <c r="AA577">
        <v>-10812.8714</v>
      </c>
      <c r="AB577">
        <v>-10812.8714</v>
      </c>
      <c r="AC577">
        <v>-10812.8714</v>
      </c>
      <c r="AD577">
        <v>-10812.8714</v>
      </c>
      <c r="AE577">
        <v>-10812.8714</v>
      </c>
    </row>
    <row r="578" spans="2:31" x14ac:dyDescent="0.25">
      <c r="B578">
        <f t="shared" si="24"/>
        <v>41</v>
      </c>
      <c r="C578">
        <v>1</v>
      </c>
      <c r="D578">
        <v>1</v>
      </c>
      <c r="E578">
        <v>1</v>
      </c>
      <c r="F578">
        <v>1</v>
      </c>
      <c r="G578">
        <v>1</v>
      </c>
      <c r="J578">
        <f t="shared" si="25"/>
        <v>41</v>
      </c>
      <c r="K578">
        <v>1</v>
      </c>
      <c r="L578">
        <v>1</v>
      </c>
      <c r="M578">
        <v>1</v>
      </c>
      <c r="N578">
        <v>1</v>
      </c>
      <c r="O578">
        <v>1</v>
      </c>
      <c r="R578">
        <f t="shared" si="26"/>
        <v>41</v>
      </c>
      <c r="S578">
        <v>1</v>
      </c>
      <c r="T578">
        <v>1</v>
      </c>
      <c r="U578">
        <v>1</v>
      </c>
      <c r="V578">
        <v>1</v>
      </c>
      <c r="W578">
        <v>1</v>
      </c>
      <c r="AA578">
        <v>-10706.559600000001</v>
      </c>
      <c r="AB578">
        <v>-10706.559600000001</v>
      </c>
      <c r="AC578">
        <v>-10706.559600000001</v>
      </c>
      <c r="AD578">
        <v>-10706.559600000001</v>
      </c>
      <c r="AE578">
        <v>-10706.559600000001</v>
      </c>
    </row>
    <row r="579" spans="2:31" x14ac:dyDescent="0.25">
      <c r="B579">
        <f t="shared" si="24"/>
        <v>42</v>
      </c>
      <c r="C579">
        <v>1</v>
      </c>
      <c r="D579">
        <v>1</v>
      </c>
      <c r="E579">
        <v>1</v>
      </c>
      <c r="F579">
        <v>1</v>
      </c>
      <c r="G579">
        <v>1</v>
      </c>
      <c r="J579">
        <f t="shared" si="25"/>
        <v>42</v>
      </c>
      <c r="K579">
        <v>1</v>
      </c>
      <c r="L579">
        <v>1</v>
      </c>
      <c r="M579">
        <v>1</v>
      </c>
      <c r="N579">
        <v>1</v>
      </c>
      <c r="O579">
        <v>1</v>
      </c>
      <c r="R579">
        <f t="shared" si="26"/>
        <v>42</v>
      </c>
      <c r="S579">
        <v>1</v>
      </c>
      <c r="T579">
        <v>1</v>
      </c>
      <c r="U579">
        <v>1</v>
      </c>
      <c r="V579">
        <v>1</v>
      </c>
      <c r="W579">
        <v>1</v>
      </c>
      <c r="AA579">
        <v>-10597.8485</v>
      </c>
      <c r="AB579">
        <v>-10597.8485</v>
      </c>
      <c r="AC579">
        <v>-10597.8485</v>
      </c>
      <c r="AD579">
        <v>-10597.8485</v>
      </c>
      <c r="AE579">
        <v>-10597.8485</v>
      </c>
    </row>
    <row r="580" spans="2:31" x14ac:dyDescent="0.25">
      <c r="B580">
        <f t="shared" si="24"/>
        <v>43</v>
      </c>
      <c r="C580">
        <v>1</v>
      </c>
      <c r="D580">
        <v>1</v>
      </c>
      <c r="E580">
        <v>1</v>
      </c>
      <c r="F580">
        <v>1</v>
      </c>
      <c r="G580">
        <v>1</v>
      </c>
      <c r="J580">
        <f t="shared" si="25"/>
        <v>43</v>
      </c>
      <c r="K580">
        <v>1</v>
      </c>
      <c r="L580">
        <v>1</v>
      </c>
      <c r="M580">
        <v>1</v>
      </c>
      <c r="N580">
        <v>1</v>
      </c>
      <c r="O580">
        <v>1</v>
      </c>
      <c r="R580">
        <f t="shared" si="26"/>
        <v>43</v>
      </c>
      <c r="S580">
        <v>1</v>
      </c>
      <c r="T580">
        <v>1</v>
      </c>
      <c r="U580">
        <v>1</v>
      </c>
      <c r="V580">
        <v>1</v>
      </c>
      <c r="W580">
        <v>1</v>
      </c>
      <c r="AA580">
        <v>-10486.615400000001</v>
      </c>
      <c r="AB580">
        <v>-10486.615400000001</v>
      </c>
      <c r="AC580">
        <v>-10486.615400000001</v>
      </c>
      <c r="AD580">
        <v>-10486.615400000001</v>
      </c>
      <c r="AE580">
        <v>-10486.615400000001</v>
      </c>
    </row>
    <row r="581" spans="2:31" x14ac:dyDescent="0.25">
      <c r="B581">
        <f t="shared" si="24"/>
        <v>44</v>
      </c>
      <c r="C581">
        <v>1</v>
      </c>
      <c r="D581">
        <v>1</v>
      </c>
      <c r="E581">
        <v>1</v>
      </c>
      <c r="F581">
        <v>1</v>
      </c>
      <c r="G581">
        <v>1</v>
      </c>
      <c r="J581">
        <f t="shared" si="25"/>
        <v>44</v>
      </c>
      <c r="K581">
        <v>1</v>
      </c>
      <c r="L581">
        <v>1</v>
      </c>
      <c r="M581">
        <v>1</v>
      </c>
      <c r="N581">
        <v>1</v>
      </c>
      <c r="O581">
        <v>1</v>
      </c>
      <c r="R581">
        <f t="shared" si="26"/>
        <v>44</v>
      </c>
      <c r="S581">
        <v>1</v>
      </c>
      <c r="T581">
        <v>1</v>
      </c>
      <c r="U581">
        <v>1</v>
      </c>
      <c r="V581">
        <v>1</v>
      </c>
      <c r="W581">
        <v>1</v>
      </c>
      <c r="AA581">
        <v>-10372.9005</v>
      </c>
      <c r="AB581">
        <v>-10372.9005</v>
      </c>
      <c r="AC581">
        <v>-10372.9005</v>
      </c>
      <c r="AD581">
        <v>-10372.9005</v>
      </c>
      <c r="AE581">
        <v>-10372.9005</v>
      </c>
    </row>
    <row r="582" spans="2:31" x14ac:dyDescent="0.25">
      <c r="B582">
        <f t="shared" si="24"/>
        <v>45</v>
      </c>
      <c r="C582">
        <v>1</v>
      </c>
      <c r="D582">
        <v>1</v>
      </c>
      <c r="E582">
        <v>1</v>
      </c>
      <c r="F582">
        <v>1</v>
      </c>
      <c r="G582">
        <v>1</v>
      </c>
      <c r="J582">
        <f t="shared" si="25"/>
        <v>45</v>
      </c>
      <c r="K582">
        <v>1</v>
      </c>
      <c r="L582">
        <v>1</v>
      </c>
      <c r="M582">
        <v>1</v>
      </c>
      <c r="N582">
        <v>1</v>
      </c>
      <c r="O582">
        <v>1</v>
      </c>
      <c r="R582">
        <f t="shared" si="26"/>
        <v>45</v>
      </c>
      <c r="S582">
        <v>1</v>
      </c>
      <c r="T582">
        <v>1</v>
      </c>
      <c r="U582">
        <v>1</v>
      </c>
      <c r="V582">
        <v>1</v>
      </c>
      <c r="W582">
        <v>1</v>
      </c>
      <c r="AA582">
        <v>-10256.650600000001</v>
      </c>
      <c r="AB582">
        <v>-10256.650600000001</v>
      </c>
      <c r="AC582">
        <v>-10256.650600000001</v>
      </c>
      <c r="AD582">
        <v>-10256.650600000001</v>
      </c>
      <c r="AE582">
        <v>-10256.650600000001</v>
      </c>
    </row>
    <row r="583" spans="2:31" x14ac:dyDescent="0.25">
      <c r="B583">
        <f t="shared" si="24"/>
        <v>46</v>
      </c>
      <c r="C583">
        <v>1</v>
      </c>
      <c r="D583">
        <v>1</v>
      </c>
      <c r="E583">
        <v>1</v>
      </c>
      <c r="F583">
        <v>1</v>
      </c>
      <c r="G583">
        <v>1</v>
      </c>
      <c r="J583">
        <f t="shared" si="25"/>
        <v>46</v>
      </c>
      <c r="K583">
        <v>1</v>
      </c>
      <c r="L583">
        <v>1</v>
      </c>
      <c r="M583">
        <v>1</v>
      </c>
      <c r="N583">
        <v>1</v>
      </c>
      <c r="O583">
        <v>1</v>
      </c>
      <c r="R583">
        <f t="shared" si="26"/>
        <v>46</v>
      </c>
      <c r="S583">
        <v>1</v>
      </c>
      <c r="T583">
        <v>1</v>
      </c>
      <c r="U583">
        <v>1</v>
      </c>
      <c r="V583">
        <v>1</v>
      </c>
      <c r="W583">
        <v>1</v>
      </c>
      <c r="AA583">
        <v>-10137.871499999999</v>
      </c>
      <c r="AB583">
        <v>-10137.871499999999</v>
      </c>
      <c r="AC583">
        <v>-10137.871499999999</v>
      </c>
      <c r="AD583">
        <v>-10137.871499999999</v>
      </c>
      <c r="AE583">
        <v>-10137.871499999999</v>
      </c>
    </row>
    <row r="584" spans="2:31" x14ac:dyDescent="0.25">
      <c r="B584">
        <f t="shared" si="24"/>
        <v>47</v>
      </c>
      <c r="C584">
        <v>1</v>
      </c>
      <c r="D584">
        <v>1</v>
      </c>
      <c r="E584">
        <v>1</v>
      </c>
      <c r="F584">
        <v>1</v>
      </c>
      <c r="G584">
        <v>1</v>
      </c>
      <c r="J584">
        <f t="shared" si="25"/>
        <v>47</v>
      </c>
      <c r="K584">
        <v>1</v>
      </c>
      <c r="L584">
        <v>1</v>
      </c>
      <c r="M584">
        <v>1</v>
      </c>
      <c r="N584">
        <v>1</v>
      </c>
      <c r="O584">
        <v>1</v>
      </c>
      <c r="R584">
        <f t="shared" si="26"/>
        <v>47</v>
      </c>
      <c r="S584">
        <v>1</v>
      </c>
      <c r="T584">
        <v>1</v>
      </c>
      <c r="U584">
        <v>1</v>
      </c>
      <c r="V584">
        <v>1</v>
      </c>
      <c r="W584">
        <v>1</v>
      </c>
      <c r="AA584">
        <v>-10016.4967</v>
      </c>
      <c r="AB584">
        <v>-10016.4967</v>
      </c>
      <c r="AC584">
        <v>-10016.4967</v>
      </c>
      <c r="AD584">
        <v>-10016.4967</v>
      </c>
      <c r="AE584">
        <v>-10016.4967</v>
      </c>
    </row>
    <row r="585" spans="2:31" x14ac:dyDescent="0.25">
      <c r="B585">
        <f t="shared" si="24"/>
        <v>48</v>
      </c>
      <c r="C585">
        <v>1</v>
      </c>
      <c r="D585">
        <v>1</v>
      </c>
      <c r="E585">
        <v>1</v>
      </c>
      <c r="F585">
        <v>1</v>
      </c>
      <c r="G585">
        <v>1</v>
      </c>
      <c r="J585">
        <f t="shared" si="25"/>
        <v>48</v>
      </c>
      <c r="K585">
        <v>1</v>
      </c>
      <c r="L585">
        <v>1</v>
      </c>
      <c r="M585">
        <v>1</v>
      </c>
      <c r="N585">
        <v>1</v>
      </c>
      <c r="O585">
        <v>1</v>
      </c>
      <c r="R585">
        <f t="shared" si="26"/>
        <v>48</v>
      </c>
      <c r="S585">
        <v>1</v>
      </c>
      <c r="T585">
        <v>1</v>
      </c>
      <c r="U585">
        <v>1</v>
      </c>
      <c r="V585">
        <v>1</v>
      </c>
      <c r="W585">
        <v>1</v>
      </c>
      <c r="AA585">
        <v>-9892.6355000000003</v>
      </c>
      <c r="AB585">
        <v>-9892.6355000000003</v>
      </c>
      <c r="AC585">
        <v>-9892.6355000000003</v>
      </c>
      <c r="AD585">
        <v>-9892.6355000000003</v>
      </c>
      <c r="AE585">
        <v>-9892.6355000000003</v>
      </c>
    </row>
    <row r="586" spans="2:31" x14ac:dyDescent="0.25">
      <c r="B586">
        <f t="shared" si="24"/>
        <v>49</v>
      </c>
      <c r="C586">
        <v>1</v>
      </c>
      <c r="D586">
        <v>1</v>
      </c>
      <c r="E586">
        <v>1</v>
      </c>
      <c r="F586">
        <v>1</v>
      </c>
      <c r="G586">
        <v>1</v>
      </c>
      <c r="J586">
        <f t="shared" si="25"/>
        <v>49</v>
      </c>
      <c r="K586">
        <v>1</v>
      </c>
      <c r="L586">
        <v>1</v>
      </c>
      <c r="M586">
        <v>1</v>
      </c>
      <c r="N586">
        <v>1</v>
      </c>
      <c r="O586">
        <v>1</v>
      </c>
      <c r="R586">
        <f t="shared" si="26"/>
        <v>49</v>
      </c>
      <c r="S586">
        <v>1</v>
      </c>
      <c r="T586">
        <v>1</v>
      </c>
      <c r="U586">
        <v>1</v>
      </c>
      <c r="V586">
        <v>1</v>
      </c>
      <c r="W586">
        <v>1</v>
      </c>
      <c r="AA586">
        <v>-9766.3366999999998</v>
      </c>
      <c r="AB586">
        <v>-9766.3366999999998</v>
      </c>
      <c r="AC586">
        <v>-9766.3366999999998</v>
      </c>
      <c r="AD586">
        <v>-9766.3366999999998</v>
      </c>
      <c r="AE586">
        <v>-9766.3366999999998</v>
      </c>
    </row>
    <row r="587" spans="2:31" x14ac:dyDescent="0.25">
      <c r="B587">
        <f t="shared" si="24"/>
        <v>50</v>
      </c>
      <c r="C587">
        <v>1</v>
      </c>
      <c r="D587">
        <v>1</v>
      </c>
      <c r="E587">
        <v>1</v>
      </c>
      <c r="F587">
        <v>1</v>
      </c>
      <c r="G587">
        <v>1</v>
      </c>
      <c r="J587">
        <f t="shared" si="25"/>
        <v>50</v>
      </c>
      <c r="K587">
        <v>1</v>
      </c>
      <c r="L587">
        <v>1</v>
      </c>
      <c r="M587">
        <v>1</v>
      </c>
      <c r="N587">
        <v>1</v>
      </c>
      <c r="O587">
        <v>1</v>
      </c>
      <c r="R587">
        <f t="shared" si="26"/>
        <v>50</v>
      </c>
      <c r="S587">
        <v>1</v>
      </c>
      <c r="T587">
        <v>1</v>
      </c>
      <c r="U587">
        <v>1</v>
      </c>
      <c r="V587">
        <v>1</v>
      </c>
      <c r="W587">
        <v>1</v>
      </c>
      <c r="AA587">
        <v>-9637.5864000000001</v>
      </c>
      <c r="AB587">
        <v>-9637.5864000000001</v>
      </c>
      <c r="AC587">
        <v>-9637.5864000000001</v>
      </c>
      <c r="AD587">
        <v>-9637.5864000000001</v>
      </c>
      <c r="AE587">
        <v>-9637.5864000000001</v>
      </c>
    </row>
    <row r="588" spans="2:31" x14ac:dyDescent="0.25">
      <c r="B588">
        <f t="shared" si="24"/>
        <v>51</v>
      </c>
      <c r="C588">
        <v>1</v>
      </c>
      <c r="D588">
        <v>1</v>
      </c>
      <c r="E588">
        <v>1</v>
      </c>
      <c r="F588">
        <v>1</v>
      </c>
      <c r="G588">
        <v>1</v>
      </c>
      <c r="J588">
        <f t="shared" si="25"/>
        <v>51</v>
      </c>
      <c r="K588">
        <v>1</v>
      </c>
      <c r="L588">
        <v>1</v>
      </c>
      <c r="M588">
        <v>1</v>
      </c>
      <c r="N588">
        <v>1</v>
      </c>
      <c r="O588">
        <v>1</v>
      </c>
      <c r="R588">
        <f t="shared" si="26"/>
        <v>51</v>
      </c>
      <c r="S588">
        <v>1</v>
      </c>
      <c r="T588">
        <v>1</v>
      </c>
      <c r="U588">
        <v>1</v>
      </c>
      <c r="V588">
        <v>1</v>
      </c>
      <c r="W588">
        <v>1</v>
      </c>
      <c r="AA588">
        <v>-9506.3734000000004</v>
      </c>
      <c r="AB588">
        <v>-9506.3734000000004</v>
      </c>
      <c r="AC588">
        <v>-9506.3734000000004</v>
      </c>
      <c r="AD588">
        <v>-9506.3734000000004</v>
      </c>
      <c r="AE588">
        <v>-9506.3734000000004</v>
      </c>
    </row>
    <row r="589" spans="2:31" x14ac:dyDescent="0.25">
      <c r="B589">
        <f t="shared" si="24"/>
        <v>52</v>
      </c>
      <c r="C589">
        <v>1</v>
      </c>
      <c r="D589">
        <v>1</v>
      </c>
      <c r="E589">
        <v>1</v>
      </c>
      <c r="F589">
        <v>1</v>
      </c>
      <c r="G589">
        <v>1</v>
      </c>
      <c r="J589">
        <f t="shared" si="25"/>
        <v>52</v>
      </c>
      <c r="K589">
        <v>1</v>
      </c>
      <c r="L589">
        <v>1</v>
      </c>
      <c r="M589">
        <v>1</v>
      </c>
      <c r="N589">
        <v>1</v>
      </c>
      <c r="O589">
        <v>1</v>
      </c>
      <c r="R589">
        <f t="shared" si="26"/>
        <v>52</v>
      </c>
      <c r="S589">
        <v>1</v>
      </c>
      <c r="T589">
        <v>1</v>
      </c>
      <c r="U589">
        <v>1</v>
      </c>
      <c r="V589">
        <v>1</v>
      </c>
      <c r="W589">
        <v>1</v>
      </c>
      <c r="AA589">
        <v>-9372.7019</v>
      </c>
      <c r="AB589">
        <v>-9372.7019</v>
      </c>
      <c r="AC589">
        <v>-9372.7019</v>
      </c>
      <c r="AD589">
        <v>-9372.7019</v>
      </c>
      <c r="AE589">
        <v>-9372.7019</v>
      </c>
    </row>
    <row r="590" spans="2:31" x14ac:dyDescent="0.25">
      <c r="B590">
        <f t="shared" si="24"/>
        <v>53</v>
      </c>
      <c r="C590">
        <v>1</v>
      </c>
      <c r="D590">
        <v>1</v>
      </c>
      <c r="E590">
        <v>1</v>
      </c>
      <c r="F590">
        <v>1</v>
      </c>
      <c r="G590">
        <v>1</v>
      </c>
      <c r="J590">
        <f t="shared" si="25"/>
        <v>53</v>
      </c>
      <c r="K590">
        <v>1</v>
      </c>
      <c r="L590">
        <v>1</v>
      </c>
      <c r="M590">
        <v>1</v>
      </c>
      <c r="N590">
        <v>1</v>
      </c>
      <c r="O590">
        <v>1</v>
      </c>
      <c r="R590">
        <f t="shared" si="26"/>
        <v>53</v>
      </c>
      <c r="S590">
        <v>1</v>
      </c>
      <c r="T590">
        <v>1</v>
      </c>
      <c r="U590">
        <v>1</v>
      </c>
      <c r="V590">
        <v>1</v>
      </c>
      <c r="W590">
        <v>1</v>
      </c>
      <c r="AA590">
        <v>-9236.6705000000002</v>
      </c>
      <c r="AB590">
        <v>-9236.6705000000002</v>
      </c>
      <c r="AC590">
        <v>-9236.6705000000002</v>
      </c>
      <c r="AD590">
        <v>-9236.6705000000002</v>
      </c>
      <c r="AE590">
        <v>-9236.6705000000002</v>
      </c>
    </row>
    <row r="591" spans="2:31" x14ac:dyDescent="0.25">
      <c r="B591">
        <f t="shared" si="24"/>
        <v>54</v>
      </c>
      <c r="C591">
        <v>1</v>
      </c>
      <c r="D591">
        <v>1</v>
      </c>
      <c r="E591">
        <v>1</v>
      </c>
      <c r="F591">
        <v>1</v>
      </c>
      <c r="G591">
        <v>1</v>
      </c>
      <c r="J591">
        <f t="shared" si="25"/>
        <v>54</v>
      </c>
      <c r="K591">
        <v>1</v>
      </c>
      <c r="L591">
        <v>1</v>
      </c>
      <c r="M591">
        <v>1</v>
      </c>
      <c r="N591">
        <v>1</v>
      </c>
      <c r="O591">
        <v>1</v>
      </c>
      <c r="R591">
        <f t="shared" si="26"/>
        <v>54</v>
      </c>
      <c r="S591">
        <v>1</v>
      </c>
      <c r="T591">
        <v>1</v>
      </c>
      <c r="U591">
        <v>1</v>
      </c>
      <c r="V591">
        <v>1</v>
      </c>
      <c r="W591">
        <v>1</v>
      </c>
      <c r="AA591">
        <v>-9098.4312000000009</v>
      </c>
      <c r="AB591">
        <v>-9098.4312000000009</v>
      </c>
      <c r="AC591">
        <v>-9098.4312000000009</v>
      </c>
      <c r="AD591">
        <v>-9098.4312000000009</v>
      </c>
      <c r="AE591">
        <v>-9098.4312000000009</v>
      </c>
    </row>
    <row r="592" spans="2:31" x14ac:dyDescent="0.25">
      <c r="B592">
        <f t="shared" si="24"/>
        <v>55</v>
      </c>
      <c r="C592">
        <v>1</v>
      </c>
      <c r="D592">
        <v>1</v>
      </c>
      <c r="E592">
        <v>1</v>
      </c>
      <c r="F592">
        <v>1</v>
      </c>
      <c r="G592">
        <v>1</v>
      </c>
      <c r="J592">
        <f t="shared" si="25"/>
        <v>55</v>
      </c>
      <c r="K592">
        <v>1</v>
      </c>
      <c r="L592">
        <v>1</v>
      </c>
      <c r="M592">
        <v>1</v>
      </c>
      <c r="N592">
        <v>1</v>
      </c>
      <c r="O592">
        <v>1</v>
      </c>
      <c r="R592">
        <f t="shared" si="26"/>
        <v>55</v>
      </c>
      <c r="S592">
        <v>1</v>
      </c>
      <c r="T592">
        <v>1</v>
      </c>
      <c r="U592">
        <v>1</v>
      </c>
      <c r="V592">
        <v>1</v>
      </c>
      <c r="W592">
        <v>1</v>
      </c>
      <c r="AA592">
        <v>-8958.0210999999999</v>
      </c>
      <c r="AB592">
        <v>-8958.0210999999999</v>
      </c>
      <c r="AC592">
        <v>-8958.0210999999999</v>
      </c>
      <c r="AD592">
        <v>-8958.0210999999999</v>
      </c>
      <c r="AE592">
        <v>-8958.0210999999999</v>
      </c>
    </row>
    <row r="593" spans="2:32" x14ac:dyDescent="0.25">
      <c r="B593">
        <f t="shared" si="24"/>
        <v>56</v>
      </c>
      <c r="C593">
        <v>1</v>
      </c>
      <c r="D593">
        <v>1</v>
      </c>
      <c r="E593">
        <v>1</v>
      </c>
      <c r="F593">
        <v>1</v>
      </c>
      <c r="G593">
        <v>1</v>
      </c>
      <c r="J593">
        <f t="shared" si="25"/>
        <v>56</v>
      </c>
      <c r="K593">
        <v>1</v>
      </c>
      <c r="L593">
        <v>1</v>
      </c>
      <c r="M593">
        <v>1</v>
      </c>
      <c r="N593">
        <v>1</v>
      </c>
      <c r="O593">
        <v>1</v>
      </c>
      <c r="R593">
        <f t="shared" si="26"/>
        <v>56</v>
      </c>
      <c r="S593">
        <v>1</v>
      </c>
      <c r="T593">
        <v>1</v>
      </c>
      <c r="U593">
        <v>1</v>
      </c>
      <c r="V593">
        <v>1</v>
      </c>
      <c r="W593">
        <v>1</v>
      </c>
      <c r="AA593">
        <v>-8815.6316999999999</v>
      </c>
      <c r="AB593">
        <v>-8815.6316999999999</v>
      </c>
      <c r="AC593">
        <v>-8815.6316999999999</v>
      </c>
      <c r="AD593">
        <v>-8815.6316999999999</v>
      </c>
      <c r="AE593">
        <v>-8815.6316999999999</v>
      </c>
    </row>
    <row r="594" spans="2:32" x14ac:dyDescent="0.25">
      <c r="B594">
        <f t="shared" si="24"/>
        <v>57</v>
      </c>
      <c r="C594">
        <v>1</v>
      </c>
      <c r="D594">
        <v>1</v>
      </c>
      <c r="E594">
        <v>1</v>
      </c>
      <c r="F594">
        <v>1</v>
      </c>
      <c r="G594">
        <v>1</v>
      </c>
      <c r="J594">
        <f t="shared" si="25"/>
        <v>57</v>
      </c>
      <c r="K594">
        <v>1</v>
      </c>
      <c r="L594">
        <v>1</v>
      </c>
      <c r="M594">
        <v>1</v>
      </c>
      <c r="N594">
        <v>1</v>
      </c>
      <c r="O594">
        <v>1</v>
      </c>
      <c r="R594">
        <f t="shared" si="26"/>
        <v>57</v>
      </c>
      <c r="S594">
        <v>1</v>
      </c>
      <c r="T594">
        <v>1</v>
      </c>
      <c r="U594">
        <v>1</v>
      </c>
      <c r="V594">
        <v>1</v>
      </c>
      <c r="W594">
        <v>1</v>
      </c>
      <c r="AA594">
        <v>-8671.3991999999998</v>
      </c>
      <c r="AB594">
        <v>-8671.3991999999998</v>
      </c>
      <c r="AC594">
        <v>-8671.3991999999998</v>
      </c>
      <c r="AD594">
        <v>-8671.3991999999998</v>
      </c>
      <c r="AE594">
        <v>-8671.3991999999998</v>
      </c>
    </row>
    <row r="595" spans="2:32" x14ac:dyDescent="0.25">
      <c r="B595">
        <f t="shared" si="24"/>
        <v>58</v>
      </c>
      <c r="C595">
        <v>1</v>
      </c>
      <c r="D595">
        <v>1</v>
      </c>
      <c r="E595">
        <v>1</v>
      </c>
      <c r="F595">
        <v>1</v>
      </c>
      <c r="G595">
        <v>1</v>
      </c>
      <c r="J595">
        <f t="shared" si="25"/>
        <v>58</v>
      </c>
      <c r="K595">
        <v>1</v>
      </c>
      <c r="L595">
        <v>1</v>
      </c>
      <c r="M595">
        <v>1</v>
      </c>
      <c r="N595">
        <v>1</v>
      </c>
      <c r="O595">
        <v>1</v>
      </c>
      <c r="R595">
        <f t="shared" si="26"/>
        <v>58</v>
      </c>
      <c r="S595">
        <v>1</v>
      </c>
      <c r="T595">
        <v>1</v>
      </c>
      <c r="U595">
        <v>1</v>
      </c>
      <c r="V595">
        <v>1</v>
      </c>
      <c r="W595">
        <v>1</v>
      </c>
      <c r="AA595">
        <v>-8525.2759999999998</v>
      </c>
      <c r="AB595">
        <v>-8525.2759999999998</v>
      </c>
      <c r="AC595">
        <v>-8525.2759999999998</v>
      </c>
      <c r="AD595">
        <v>-8525.2759999999998</v>
      </c>
      <c r="AE595">
        <v>-8525.2759999999998</v>
      </c>
    </row>
    <row r="596" spans="2:32" x14ac:dyDescent="0.25">
      <c r="B596">
        <f t="shared" si="24"/>
        <v>59</v>
      </c>
      <c r="C596">
        <v>1</v>
      </c>
      <c r="D596">
        <v>1</v>
      </c>
      <c r="E596">
        <v>1</v>
      </c>
      <c r="F596">
        <v>1</v>
      </c>
      <c r="G596">
        <v>1</v>
      </c>
      <c r="J596">
        <f t="shared" si="25"/>
        <v>59</v>
      </c>
      <c r="K596">
        <v>1</v>
      </c>
      <c r="L596">
        <v>1</v>
      </c>
      <c r="M596">
        <v>1</v>
      </c>
      <c r="N596">
        <v>1</v>
      </c>
      <c r="O596">
        <v>1</v>
      </c>
      <c r="R596">
        <f t="shared" si="26"/>
        <v>59</v>
      </c>
      <c r="S596">
        <v>1</v>
      </c>
      <c r="T596">
        <v>1</v>
      </c>
      <c r="U596">
        <v>1</v>
      </c>
      <c r="V596">
        <v>1</v>
      </c>
      <c r="W596">
        <v>1</v>
      </c>
      <c r="AA596">
        <v>-8377.2351999999992</v>
      </c>
      <c r="AB596">
        <v>-8377.2351999999992</v>
      </c>
      <c r="AC596">
        <v>-8377.2351999999992</v>
      </c>
      <c r="AD596">
        <v>-8377.2351999999992</v>
      </c>
      <c r="AE596">
        <v>-8377.2351999999992</v>
      </c>
    </row>
    <row r="597" spans="2:32" x14ac:dyDescent="0.25">
      <c r="B597">
        <f t="shared" si="24"/>
        <v>60</v>
      </c>
      <c r="C597">
        <v>1</v>
      </c>
      <c r="D597">
        <v>1</v>
      </c>
      <c r="E597">
        <v>1</v>
      </c>
      <c r="F597">
        <v>1</v>
      </c>
      <c r="G597">
        <v>1</v>
      </c>
      <c r="J597">
        <f t="shared" si="25"/>
        <v>60</v>
      </c>
      <c r="K597">
        <v>1</v>
      </c>
      <c r="L597">
        <v>1</v>
      </c>
      <c r="M597">
        <v>1</v>
      </c>
      <c r="N597">
        <v>1</v>
      </c>
      <c r="O597">
        <v>1</v>
      </c>
      <c r="R597">
        <f t="shared" si="26"/>
        <v>60</v>
      </c>
      <c r="S597">
        <v>1</v>
      </c>
      <c r="T597">
        <v>1</v>
      </c>
      <c r="U597">
        <v>1</v>
      </c>
      <c r="V597">
        <v>1</v>
      </c>
      <c r="W597">
        <v>1</v>
      </c>
      <c r="AA597">
        <v>-8227.3953999999994</v>
      </c>
      <c r="AB597">
        <v>-8227.3953999999994</v>
      </c>
      <c r="AC597">
        <v>-8227.3953999999994</v>
      </c>
      <c r="AD597">
        <v>-8227.3953999999994</v>
      </c>
      <c r="AE597">
        <v>-8227.3953999999994</v>
      </c>
    </row>
    <row r="598" spans="2:32" x14ac:dyDescent="0.25">
      <c r="B598">
        <f t="shared" si="24"/>
        <v>61</v>
      </c>
      <c r="C598">
        <v>1</v>
      </c>
      <c r="D598">
        <v>1</v>
      </c>
      <c r="E598">
        <v>1</v>
      </c>
      <c r="F598">
        <v>1</v>
      </c>
      <c r="G598">
        <v>1</v>
      </c>
      <c r="J598">
        <f t="shared" si="25"/>
        <v>61</v>
      </c>
      <c r="K598">
        <v>1</v>
      </c>
      <c r="L598">
        <v>1</v>
      </c>
      <c r="M598">
        <v>1</v>
      </c>
      <c r="N598">
        <v>1</v>
      </c>
      <c r="O598">
        <v>1</v>
      </c>
      <c r="R598">
        <f t="shared" si="26"/>
        <v>61</v>
      </c>
      <c r="S598">
        <v>1</v>
      </c>
      <c r="T598">
        <v>1</v>
      </c>
      <c r="U598">
        <v>1</v>
      </c>
      <c r="V598">
        <v>1</v>
      </c>
      <c r="W598">
        <v>1</v>
      </c>
      <c r="AA598">
        <v>-8076.1778999999997</v>
      </c>
      <c r="AB598">
        <v>-8076.1778999999997</v>
      </c>
      <c r="AC598">
        <v>-8076.1778999999997</v>
      </c>
      <c r="AD598">
        <v>-8076.1778999999997</v>
      </c>
      <c r="AE598">
        <v>-8076.1778999999997</v>
      </c>
    </row>
    <row r="599" spans="2:32" x14ac:dyDescent="0.25">
      <c r="B599">
        <f t="shared" si="24"/>
        <v>62</v>
      </c>
      <c r="C599">
        <v>1</v>
      </c>
      <c r="D599">
        <v>1</v>
      </c>
      <c r="E599">
        <v>1</v>
      </c>
      <c r="F599">
        <v>1</v>
      </c>
      <c r="G599">
        <v>1</v>
      </c>
      <c r="J599">
        <f t="shared" si="25"/>
        <v>62</v>
      </c>
      <c r="K599">
        <v>1</v>
      </c>
      <c r="L599">
        <v>1</v>
      </c>
      <c r="M599">
        <v>1</v>
      </c>
      <c r="N599">
        <v>1</v>
      </c>
      <c r="O599">
        <v>1</v>
      </c>
      <c r="R599">
        <f t="shared" si="26"/>
        <v>62</v>
      </c>
      <c r="S599">
        <v>1</v>
      </c>
      <c r="T599">
        <v>1</v>
      </c>
      <c r="U599">
        <v>1</v>
      </c>
      <c r="V599">
        <v>1</v>
      </c>
      <c r="W599">
        <v>1</v>
      </c>
      <c r="AA599">
        <v>-7923.5816000000004</v>
      </c>
      <c r="AB599">
        <v>-7923.5816000000004</v>
      </c>
      <c r="AC599">
        <v>-7923.5816000000004</v>
      </c>
      <c r="AD599">
        <v>-7923.5816000000004</v>
      </c>
      <c r="AE599">
        <v>-7923.5816000000004</v>
      </c>
    </row>
    <row r="600" spans="2:32" x14ac:dyDescent="0.25">
      <c r="B600">
        <f t="shared" si="24"/>
        <v>63</v>
      </c>
      <c r="C600">
        <v>1</v>
      </c>
      <c r="D600">
        <v>1</v>
      </c>
      <c r="E600">
        <v>1</v>
      </c>
      <c r="F600">
        <v>1</v>
      </c>
      <c r="G600">
        <v>1</v>
      </c>
      <c r="J600">
        <f t="shared" si="25"/>
        <v>63</v>
      </c>
      <c r="K600">
        <v>1</v>
      </c>
      <c r="L600">
        <v>1</v>
      </c>
      <c r="M600">
        <v>1</v>
      </c>
      <c r="N600">
        <v>1</v>
      </c>
      <c r="O600">
        <v>1</v>
      </c>
      <c r="R600">
        <f t="shared" si="26"/>
        <v>63</v>
      </c>
      <c r="S600">
        <v>1</v>
      </c>
      <c r="T600">
        <v>1</v>
      </c>
      <c r="U600">
        <v>1</v>
      </c>
      <c r="V600">
        <v>1</v>
      </c>
      <c r="W600">
        <v>1</v>
      </c>
      <c r="AA600">
        <v>-7769.2775000000001</v>
      </c>
      <c r="AB600">
        <v>-7769.2775000000001</v>
      </c>
      <c r="AC600">
        <v>-7769.2775000000001</v>
      </c>
      <c r="AD600">
        <v>-7769.2775000000001</v>
      </c>
      <c r="AE600">
        <v>-7769.2775000000001</v>
      </c>
    </row>
    <row r="601" spans="2:32" x14ac:dyDescent="0.25">
      <c r="B601">
        <f t="shared" si="24"/>
        <v>64</v>
      </c>
      <c r="C601">
        <v>1</v>
      </c>
      <c r="D601">
        <v>1</v>
      </c>
      <c r="E601">
        <v>1</v>
      </c>
      <c r="F601">
        <v>1</v>
      </c>
      <c r="G601">
        <v>1</v>
      </c>
      <c r="J601">
        <f t="shared" si="25"/>
        <v>64</v>
      </c>
      <c r="K601">
        <v>1</v>
      </c>
      <c r="L601">
        <v>1</v>
      </c>
      <c r="M601">
        <v>1</v>
      </c>
      <c r="N601">
        <v>1</v>
      </c>
      <c r="O601">
        <v>1</v>
      </c>
      <c r="R601">
        <f t="shared" si="26"/>
        <v>64</v>
      </c>
      <c r="S601">
        <v>1</v>
      </c>
      <c r="T601">
        <v>1</v>
      </c>
      <c r="U601">
        <v>1</v>
      </c>
      <c r="V601">
        <v>1</v>
      </c>
      <c r="W601">
        <v>1</v>
      </c>
      <c r="AA601">
        <v>-7613.3999000000003</v>
      </c>
      <c r="AB601">
        <v>-7613.3999000000003</v>
      </c>
      <c r="AC601">
        <v>-7613.3999000000003</v>
      </c>
      <c r="AD601">
        <v>-7613.3999000000003</v>
      </c>
      <c r="AE601">
        <v>-7613.3999000000003</v>
      </c>
    </row>
    <row r="602" spans="2:32" x14ac:dyDescent="0.25">
      <c r="B602">
        <f t="shared" si="24"/>
        <v>65</v>
      </c>
      <c r="C602">
        <v>1</v>
      </c>
      <c r="D602">
        <v>1</v>
      </c>
      <c r="E602">
        <v>1</v>
      </c>
      <c r="F602">
        <v>1</v>
      </c>
      <c r="G602">
        <v>1</v>
      </c>
      <c r="J602">
        <f t="shared" si="25"/>
        <v>65</v>
      </c>
      <c r="K602">
        <v>1</v>
      </c>
      <c r="L602">
        <v>1</v>
      </c>
      <c r="M602">
        <v>1</v>
      </c>
      <c r="N602">
        <v>1</v>
      </c>
      <c r="O602">
        <v>1</v>
      </c>
      <c r="R602">
        <f t="shared" si="26"/>
        <v>65</v>
      </c>
      <c r="S602">
        <v>1</v>
      </c>
      <c r="T602">
        <v>1</v>
      </c>
      <c r="U602">
        <v>1</v>
      </c>
      <c r="V602">
        <v>1</v>
      </c>
      <c r="W602">
        <v>1</v>
      </c>
      <c r="AA602">
        <v>-7455.8590000000004</v>
      </c>
      <c r="AB602">
        <v>-7455.8590000000004</v>
      </c>
      <c r="AC602">
        <v>-7455.8590000000004</v>
      </c>
      <c r="AD602">
        <v>-7455.8590000000004</v>
      </c>
      <c r="AE602">
        <v>-7455.8590000000004</v>
      </c>
    </row>
    <row r="605" spans="2:32" x14ac:dyDescent="0.25">
      <c r="B605" t="s">
        <v>46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47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48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2:32" x14ac:dyDescent="0.25">
      <c r="B606">
        <v>26</v>
      </c>
      <c r="C606">
        <v>1</v>
      </c>
      <c r="D606">
        <v>1</v>
      </c>
      <c r="E606">
        <v>1</v>
      </c>
      <c r="F606">
        <v>1</v>
      </c>
      <c r="G606">
        <v>1</v>
      </c>
      <c r="H606">
        <v>1</v>
      </c>
      <c r="J606">
        <v>26</v>
      </c>
      <c r="K606">
        <v>1</v>
      </c>
      <c r="L606">
        <v>1</v>
      </c>
      <c r="M606">
        <v>1</v>
      </c>
      <c r="N606">
        <v>1</v>
      </c>
      <c r="O606">
        <v>1</v>
      </c>
      <c r="P606">
        <v>1</v>
      </c>
      <c r="R606">
        <v>26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AA606">
        <v>-7435.5060999999996</v>
      </c>
      <c r="AB606">
        <v>-7435.5060999999996</v>
      </c>
      <c r="AC606">
        <v>-7435.5060999999996</v>
      </c>
      <c r="AD606">
        <v>-7435.5060999999996</v>
      </c>
      <c r="AE606">
        <v>-7435.5060999999996</v>
      </c>
      <c r="AF606">
        <v>-7435.5060999999996</v>
      </c>
    </row>
    <row r="607" spans="2:32" x14ac:dyDescent="0.25">
      <c r="B607">
        <v>27</v>
      </c>
      <c r="C607">
        <v>1</v>
      </c>
      <c r="D607">
        <v>1</v>
      </c>
      <c r="E607">
        <v>1</v>
      </c>
      <c r="F607">
        <v>1</v>
      </c>
      <c r="G607">
        <v>1</v>
      </c>
      <c r="H607">
        <v>1</v>
      </c>
      <c r="J607">
        <v>27</v>
      </c>
      <c r="K607">
        <v>1</v>
      </c>
      <c r="L607">
        <v>1</v>
      </c>
      <c r="M607">
        <v>1</v>
      </c>
      <c r="N607">
        <v>1</v>
      </c>
      <c r="O607">
        <v>1</v>
      </c>
      <c r="P607">
        <v>1</v>
      </c>
      <c r="R607">
        <v>27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AA607">
        <v>-7434.2619000000004</v>
      </c>
      <c r="AB607">
        <v>-7434.2619000000004</v>
      </c>
      <c r="AC607">
        <v>-7434.2619000000004</v>
      </c>
      <c r="AD607">
        <v>-7434.2619000000004</v>
      </c>
      <c r="AE607">
        <v>-7434.2619000000004</v>
      </c>
      <c r="AF607">
        <v>-7434.2619000000004</v>
      </c>
    </row>
    <row r="608" spans="2:32" x14ac:dyDescent="0.25">
      <c r="B608">
        <v>28</v>
      </c>
      <c r="C608">
        <v>1</v>
      </c>
      <c r="D608">
        <v>1</v>
      </c>
      <c r="E608">
        <v>1</v>
      </c>
      <c r="F608">
        <v>1</v>
      </c>
      <c r="G608">
        <v>1</v>
      </c>
      <c r="H608">
        <v>1</v>
      </c>
      <c r="J608">
        <v>28</v>
      </c>
      <c r="K608">
        <v>1</v>
      </c>
      <c r="L608">
        <v>1</v>
      </c>
      <c r="M608">
        <v>1</v>
      </c>
      <c r="N608">
        <v>1</v>
      </c>
      <c r="O608">
        <v>1</v>
      </c>
      <c r="P608">
        <v>1</v>
      </c>
      <c r="R608">
        <v>28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AA608">
        <v>-7432.8334999999997</v>
      </c>
      <c r="AB608">
        <v>-7432.8334999999997</v>
      </c>
      <c r="AC608">
        <v>-7432.8334999999997</v>
      </c>
      <c r="AD608">
        <v>-7432.8334999999997</v>
      </c>
      <c r="AE608">
        <v>-7432.8334999999997</v>
      </c>
      <c r="AF608">
        <v>-7432.8334999999997</v>
      </c>
    </row>
    <row r="609" spans="2:32" x14ac:dyDescent="0.25">
      <c r="B609">
        <v>29</v>
      </c>
      <c r="C609">
        <v>1</v>
      </c>
      <c r="D609">
        <v>1</v>
      </c>
      <c r="E609">
        <v>1</v>
      </c>
      <c r="F609">
        <v>1</v>
      </c>
      <c r="G609">
        <v>1</v>
      </c>
      <c r="H609">
        <v>1</v>
      </c>
      <c r="J609">
        <v>29</v>
      </c>
      <c r="K609">
        <v>1</v>
      </c>
      <c r="L609">
        <v>1</v>
      </c>
      <c r="M609">
        <v>1</v>
      </c>
      <c r="N609">
        <v>1</v>
      </c>
      <c r="O609">
        <v>1</v>
      </c>
      <c r="P609">
        <v>1</v>
      </c>
      <c r="R609">
        <v>29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AA609">
        <v>-7431.2058999999999</v>
      </c>
      <c r="AB609">
        <v>-7431.2058999999999</v>
      </c>
      <c r="AC609">
        <v>-7431.2058999999999</v>
      </c>
      <c r="AD609">
        <v>-7431.2058999999999</v>
      </c>
      <c r="AE609">
        <v>-7431.2058999999999</v>
      </c>
      <c r="AF609">
        <v>-7431.2058999999999</v>
      </c>
    </row>
    <row r="610" spans="2:32" x14ac:dyDescent="0.25">
      <c r="B610">
        <v>30</v>
      </c>
      <c r="C610">
        <v>1</v>
      </c>
      <c r="D610">
        <v>1</v>
      </c>
      <c r="E610">
        <v>1</v>
      </c>
      <c r="F610">
        <v>1</v>
      </c>
      <c r="G610">
        <v>1</v>
      </c>
      <c r="H610">
        <v>1</v>
      </c>
      <c r="J610">
        <v>30</v>
      </c>
      <c r="K610">
        <v>1</v>
      </c>
      <c r="L610">
        <v>1</v>
      </c>
      <c r="M610">
        <v>1</v>
      </c>
      <c r="N610">
        <v>1</v>
      </c>
      <c r="O610">
        <v>1</v>
      </c>
      <c r="P610">
        <v>1</v>
      </c>
      <c r="R610">
        <v>30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AA610">
        <v>-7429.3476000000001</v>
      </c>
      <c r="AB610">
        <v>-7429.3476000000001</v>
      </c>
      <c r="AC610">
        <v>-7429.3476000000001</v>
      </c>
      <c r="AD610">
        <v>-7429.3476000000001</v>
      </c>
      <c r="AE610">
        <v>-7429.3476000000001</v>
      </c>
      <c r="AF610">
        <v>-7429.3476000000001</v>
      </c>
    </row>
    <row r="611" spans="2:32" x14ac:dyDescent="0.25">
      <c r="B611">
        <v>31</v>
      </c>
      <c r="C611">
        <v>1</v>
      </c>
      <c r="D611">
        <v>1</v>
      </c>
      <c r="E611">
        <v>1</v>
      </c>
      <c r="F611">
        <v>1</v>
      </c>
      <c r="G611">
        <v>1</v>
      </c>
      <c r="H611">
        <v>1</v>
      </c>
      <c r="J611">
        <v>31</v>
      </c>
      <c r="K611">
        <v>1</v>
      </c>
      <c r="L611">
        <v>1</v>
      </c>
      <c r="M611">
        <v>1</v>
      </c>
      <c r="N611">
        <v>1</v>
      </c>
      <c r="O611">
        <v>1</v>
      </c>
      <c r="P611">
        <v>1</v>
      </c>
      <c r="R611">
        <v>31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AA611">
        <v>-7427.2446</v>
      </c>
      <c r="AB611">
        <v>-7427.2446</v>
      </c>
      <c r="AC611">
        <v>-7427.2446</v>
      </c>
      <c r="AD611">
        <v>-7427.2446</v>
      </c>
      <c r="AE611">
        <v>-7427.2446</v>
      </c>
      <c r="AF611">
        <v>-7427.2446</v>
      </c>
    </row>
    <row r="612" spans="2:32" x14ac:dyDescent="0.25">
      <c r="B612">
        <v>32</v>
      </c>
      <c r="C612">
        <v>1</v>
      </c>
      <c r="D612">
        <v>1</v>
      </c>
      <c r="E612">
        <v>1</v>
      </c>
      <c r="F612">
        <v>1</v>
      </c>
      <c r="G612">
        <v>1</v>
      </c>
      <c r="H612">
        <v>1</v>
      </c>
      <c r="J612">
        <v>32</v>
      </c>
      <c r="K612">
        <v>1</v>
      </c>
      <c r="L612">
        <v>1</v>
      </c>
      <c r="M612">
        <v>1</v>
      </c>
      <c r="N612">
        <v>1</v>
      </c>
      <c r="O612">
        <v>1</v>
      </c>
      <c r="P612">
        <v>1</v>
      </c>
      <c r="R612">
        <v>32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AA612">
        <v>-7424.8944000000001</v>
      </c>
      <c r="AB612">
        <v>-7424.8944000000001</v>
      </c>
      <c r="AC612">
        <v>-7424.8944000000001</v>
      </c>
      <c r="AD612">
        <v>-7424.8944000000001</v>
      </c>
      <c r="AE612">
        <v>-7424.8944000000001</v>
      </c>
      <c r="AF612">
        <v>-7424.8944000000001</v>
      </c>
    </row>
    <row r="613" spans="2:32" x14ac:dyDescent="0.25">
      <c r="B613">
        <v>33</v>
      </c>
      <c r="C613">
        <v>1</v>
      </c>
      <c r="D613">
        <v>1</v>
      </c>
      <c r="E613">
        <v>1</v>
      </c>
      <c r="F613">
        <v>1</v>
      </c>
      <c r="G613">
        <v>1</v>
      </c>
      <c r="H613">
        <v>1</v>
      </c>
      <c r="J613">
        <v>33</v>
      </c>
      <c r="K613">
        <v>1</v>
      </c>
      <c r="L613">
        <v>1</v>
      </c>
      <c r="M613">
        <v>1</v>
      </c>
      <c r="N613">
        <v>1</v>
      </c>
      <c r="O613">
        <v>1</v>
      </c>
      <c r="P613">
        <v>1</v>
      </c>
      <c r="R613">
        <v>33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AA613">
        <v>-7422.2834000000003</v>
      </c>
      <c r="AB613">
        <v>-7422.2834000000003</v>
      </c>
      <c r="AC613">
        <v>-7422.2834000000003</v>
      </c>
      <c r="AD613">
        <v>-7422.2834000000003</v>
      </c>
      <c r="AE613">
        <v>-7422.2834000000003</v>
      </c>
      <c r="AF613">
        <v>-7422.2834000000003</v>
      </c>
    </row>
    <row r="614" spans="2:32" x14ac:dyDescent="0.25">
      <c r="B614">
        <v>34</v>
      </c>
      <c r="C614">
        <v>1</v>
      </c>
      <c r="D614">
        <v>1</v>
      </c>
      <c r="E614">
        <v>1</v>
      </c>
      <c r="F614">
        <v>1</v>
      </c>
      <c r="G614">
        <v>1</v>
      </c>
      <c r="H614">
        <v>1</v>
      </c>
      <c r="J614">
        <v>34</v>
      </c>
      <c r="K614">
        <v>1</v>
      </c>
      <c r="L614">
        <v>1</v>
      </c>
      <c r="M614">
        <v>1</v>
      </c>
      <c r="N614">
        <v>1</v>
      </c>
      <c r="O614">
        <v>1</v>
      </c>
      <c r="P614">
        <v>1</v>
      </c>
      <c r="R614">
        <v>34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AA614">
        <v>-7419.3683000000001</v>
      </c>
      <c r="AB614">
        <v>-7419.3683000000001</v>
      </c>
      <c r="AC614">
        <v>-7419.3683000000001</v>
      </c>
      <c r="AD614">
        <v>-7419.3683000000001</v>
      </c>
      <c r="AE614">
        <v>-7419.3683000000001</v>
      </c>
      <c r="AF614">
        <v>-7419.3683000000001</v>
      </c>
    </row>
    <row r="615" spans="2:32" x14ac:dyDescent="0.25">
      <c r="B615">
        <v>35</v>
      </c>
      <c r="C615">
        <v>1</v>
      </c>
      <c r="D615">
        <v>1</v>
      </c>
      <c r="E615">
        <v>1</v>
      </c>
      <c r="F615">
        <v>1</v>
      </c>
      <c r="G615">
        <v>1</v>
      </c>
      <c r="H615">
        <v>1</v>
      </c>
      <c r="J615">
        <v>35</v>
      </c>
      <c r="K615">
        <v>1</v>
      </c>
      <c r="L615">
        <v>1</v>
      </c>
      <c r="M615">
        <v>1</v>
      </c>
      <c r="N615">
        <v>1</v>
      </c>
      <c r="O615">
        <v>1</v>
      </c>
      <c r="P615">
        <v>1</v>
      </c>
      <c r="R615">
        <v>35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AA615">
        <v>-7416.1363000000001</v>
      </c>
      <c r="AB615">
        <v>-7416.1363000000001</v>
      </c>
      <c r="AC615">
        <v>-7416.1363000000001</v>
      </c>
      <c r="AD615">
        <v>-7416.1363000000001</v>
      </c>
      <c r="AE615">
        <v>-7416.1363000000001</v>
      </c>
      <c r="AF615">
        <v>-7416.1363000000001</v>
      </c>
    </row>
    <row r="616" spans="2:32" x14ac:dyDescent="0.25">
      <c r="B616">
        <v>36</v>
      </c>
      <c r="C616">
        <v>1</v>
      </c>
      <c r="D616">
        <v>1</v>
      </c>
      <c r="E616">
        <v>1</v>
      </c>
      <c r="F616">
        <v>1</v>
      </c>
      <c r="G616">
        <v>1</v>
      </c>
      <c r="H616">
        <v>1</v>
      </c>
      <c r="J616">
        <v>36</v>
      </c>
      <c r="K616">
        <v>1</v>
      </c>
      <c r="L616">
        <v>1</v>
      </c>
      <c r="M616">
        <v>1</v>
      </c>
      <c r="N616">
        <v>1</v>
      </c>
      <c r="O616">
        <v>1</v>
      </c>
      <c r="P616">
        <v>1</v>
      </c>
      <c r="R616">
        <v>36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AA616">
        <v>-7412.5378000000001</v>
      </c>
      <c r="AB616">
        <v>-7412.5378000000001</v>
      </c>
      <c r="AC616">
        <v>-7412.5378000000001</v>
      </c>
      <c r="AD616">
        <v>-7412.5378000000001</v>
      </c>
      <c r="AE616">
        <v>-7412.5378000000001</v>
      </c>
      <c r="AF616">
        <v>-7412.5378000000001</v>
      </c>
    </row>
    <row r="617" spans="2:32" x14ac:dyDescent="0.25">
      <c r="B617">
        <v>37</v>
      </c>
      <c r="C617">
        <v>1</v>
      </c>
      <c r="D617">
        <v>1</v>
      </c>
      <c r="E617">
        <v>1</v>
      </c>
      <c r="F617">
        <v>1</v>
      </c>
      <c r="G617">
        <v>1</v>
      </c>
      <c r="H617">
        <v>1</v>
      </c>
      <c r="J617">
        <v>37</v>
      </c>
      <c r="K617">
        <v>1</v>
      </c>
      <c r="L617">
        <v>1</v>
      </c>
      <c r="M617">
        <v>1</v>
      </c>
      <c r="N617">
        <v>1</v>
      </c>
      <c r="O617">
        <v>1</v>
      </c>
      <c r="P617">
        <v>1</v>
      </c>
      <c r="R617">
        <v>37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AA617">
        <v>-7408.55</v>
      </c>
      <c r="AB617">
        <v>-7408.55</v>
      </c>
      <c r="AC617">
        <v>-7408.55</v>
      </c>
      <c r="AD617">
        <v>-7408.55</v>
      </c>
      <c r="AE617">
        <v>-7408.55</v>
      </c>
      <c r="AF617">
        <v>-7408.55</v>
      </c>
    </row>
    <row r="618" spans="2:32" x14ac:dyDescent="0.25">
      <c r="B618">
        <v>38</v>
      </c>
      <c r="C618">
        <v>1</v>
      </c>
      <c r="D618">
        <v>1</v>
      </c>
      <c r="E618">
        <v>1</v>
      </c>
      <c r="F618">
        <v>1</v>
      </c>
      <c r="G618">
        <v>1</v>
      </c>
      <c r="H618">
        <v>1</v>
      </c>
      <c r="J618">
        <v>38</v>
      </c>
      <c r="K618">
        <v>1</v>
      </c>
      <c r="L618">
        <v>1</v>
      </c>
      <c r="M618">
        <v>1</v>
      </c>
      <c r="N618">
        <v>1</v>
      </c>
      <c r="O618">
        <v>1</v>
      </c>
      <c r="P618">
        <v>1</v>
      </c>
      <c r="R618">
        <v>38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AA618">
        <v>-7404.1752999999999</v>
      </c>
      <c r="AB618">
        <v>-7404.1752999999999</v>
      </c>
      <c r="AC618">
        <v>-7404.1752999999999</v>
      </c>
      <c r="AD618">
        <v>-7404.1752999999999</v>
      </c>
      <c r="AE618">
        <v>-7404.1752999999999</v>
      </c>
      <c r="AF618">
        <v>-7404.1752999999999</v>
      </c>
    </row>
    <row r="619" spans="2:32" x14ac:dyDescent="0.25">
      <c r="B619">
        <v>39</v>
      </c>
      <c r="C619">
        <v>1</v>
      </c>
      <c r="D619">
        <v>1</v>
      </c>
      <c r="E619">
        <v>1</v>
      </c>
      <c r="F619">
        <v>1</v>
      </c>
      <c r="G619">
        <v>1</v>
      </c>
      <c r="H619">
        <v>1</v>
      </c>
      <c r="J619">
        <v>39</v>
      </c>
      <c r="K619">
        <v>1</v>
      </c>
      <c r="L619">
        <v>1</v>
      </c>
      <c r="M619">
        <v>1</v>
      </c>
      <c r="N619">
        <v>1</v>
      </c>
      <c r="O619">
        <v>1</v>
      </c>
      <c r="P619">
        <v>1</v>
      </c>
      <c r="R619">
        <v>39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AA619">
        <v>-7399.3923999999997</v>
      </c>
      <c r="AB619">
        <v>-7399.3923999999997</v>
      </c>
      <c r="AC619">
        <v>-7399.3923999999997</v>
      </c>
      <c r="AD619">
        <v>-7399.3923999999997</v>
      </c>
      <c r="AE619">
        <v>-7399.3923999999997</v>
      </c>
      <c r="AF619">
        <v>-7399.3923999999997</v>
      </c>
    </row>
    <row r="620" spans="2:32" x14ac:dyDescent="0.25">
      <c r="B620">
        <v>40</v>
      </c>
      <c r="C620">
        <v>1</v>
      </c>
      <c r="D620">
        <v>1</v>
      </c>
      <c r="E620">
        <v>1</v>
      </c>
      <c r="F620">
        <v>1</v>
      </c>
      <c r="G620">
        <v>1</v>
      </c>
      <c r="H620">
        <v>1</v>
      </c>
      <c r="J620">
        <v>40</v>
      </c>
      <c r="K620">
        <v>1</v>
      </c>
      <c r="L620">
        <v>1</v>
      </c>
      <c r="M620">
        <v>1</v>
      </c>
      <c r="N620">
        <v>1</v>
      </c>
      <c r="O620">
        <v>1</v>
      </c>
      <c r="P620">
        <v>1</v>
      </c>
      <c r="R620">
        <v>40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AA620">
        <v>-7394.1365999999998</v>
      </c>
      <c r="AB620">
        <v>-7394.1365999999998</v>
      </c>
      <c r="AC620">
        <v>-7394.1365999999998</v>
      </c>
      <c r="AD620">
        <v>-7394.1365999999998</v>
      </c>
      <c r="AE620">
        <v>-7394.1365999999998</v>
      </c>
      <c r="AF620">
        <v>-7394.1365999999998</v>
      </c>
    </row>
    <row r="621" spans="2:32" x14ac:dyDescent="0.25">
      <c r="B621">
        <v>41</v>
      </c>
      <c r="C621">
        <v>1</v>
      </c>
      <c r="D621">
        <v>1</v>
      </c>
      <c r="E621">
        <v>1</v>
      </c>
      <c r="F621">
        <v>1</v>
      </c>
      <c r="G621">
        <v>1</v>
      </c>
      <c r="H621">
        <v>1</v>
      </c>
      <c r="J621">
        <v>41</v>
      </c>
      <c r="K621">
        <v>1</v>
      </c>
      <c r="L621">
        <v>1</v>
      </c>
      <c r="M621">
        <v>1</v>
      </c>
      <c r="N621">
        <v>1</v>
      </c>
      <c r="O621">
        <v>1</v>
      </c>
      <c r="P621">
        <v>1</v>
      </c>
      <c r="R621">
        <v>41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AA621">
        <v>-7388.3469999999998</v>
      </c>
      <c r="AB621">
        <v>-7388.3469999999998</v>
      </c>
      <c r="AC621">
        <v>-7388.3469999999998</v>
      </c>
      <c r="AD621">
        <v>-7388.3469999999998</v>
      </c>
      <c r="AE621">
        <v>-7388.3469999999998</v>
      </c>
      <c r="AF621">
        <v>-7388.3469999999998</v>
      </c>
    </row>
    <row r="622" spans="2:32" x14ac:dyDescent="0.25">
      <c r="B622">
        <v>42</v>
      </c>
      <c r="C622">
        <v>1</v>
      </c>
      <c r="D622">
        <v>1</v>
      </c>
      <c r="E622">
        <v>1</v>
      </c>
      <c r="F622">
        <v>1</v>
      </c>
      <c r="G622">
        <v>1</v>
      </c>
      <c r="H622">
        <v>1</v>
      </c>
      <c r="J622">
        <v>42</v>
      </c>
      <c r="K622">
        <v>1</v>
      </c>
      <c r="L622">
        <v>1</v>
      </c>
      <c r="M622">
        <v>1</v>
      </c>
      <c r="N622">
        <v>1</v>
      </c>
      <c r="O622">
        <v>1</v>
      </c>
      <c r="P622">
        <v>1</v>
      </c>
      <c r="R622">
        <v>42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AA622">
        <v>-7381.9919</v>
      </c>
      <c r="AB622">
        <v>-7381.9919</v>
      </c>
      <c r="AC622">
        <v>-7381.9919</v>
      </c>
      <c r="AD622">
        <v>-7381.9919</v>
      </c>
      <c r="AE622">
        <v>-7381.9919</v>
      </c>
      <c r="AF622">
        <v>-7381.9919</v>
      </c>
    </row>
    <row r="623" spans="2:32" x14ac:dyDescent="0.25">
      <c r="B623">
        <v>43</v>
      </c>
      <c r="C623">
        <v>1</v>
      </c>
      <c r="D623">
        <v>1</v>
      </c>
      <c r="E623">
        <v>1</v>
      </c>
      <c r="F623">
        <v>1</v>
      </c>
      <c r="G623">
        <v>1</v>
      </c>
      <c r="H623">
        <v>1</v>
      </c>
      <c r="J623">
        <v>43</v>
      </c>
      <c r="K623">
        <v>1</v>
      </c>
      <c r="L623">
        <v>1</v>
      </c>
      <c r="M623">
        <v>1</v>
      </c>
      <c r="N623">
        <v>1</v>
      </c>
      <c r="O623">
        <v>1</v>
      </c>
      <c r="P623">
        <v>1</v>
      </c>
      <c r="R623">
        <v>43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AA623">
        <v>-7374.9579999999996</v>
      </c>
      <c r="AB623">
        <v>-7374.9579999999996</v>
      </c>
      <c r="AC623">
        <v>-7374.9579999999996</v>
      </c>
      <c r="AD623">
        <v>-7374.9579999999996</v>
      </c>
      <c r="AE623">
        <v>-7374.9579999999996</v>
      </c>
      <c r="AF623">
        <v>-7374.9579999999996</v>
      </c>
    </row>
    <row r="624" spans="2:32" x14ac:dyDescent="0.25">
      <c r="B624">
        <v>44</v>
      </c>
      <c r="C624">
        <v>1</v>
      </c>
      <c r="D624">
        <v>1</v>
      </c>
      <c r="E624">
        <v>1</v>
      </c>
      <c r="F624">
        <v>1</v>
      </c>
      <c r="G624">
        <v>1</v>
      </c>
      <c r="H624">
        <v>1</v>
      </c>
      <c r="J624">
        <v>44</v>
      </c>
      <c r="K624">
        <v>1</v>
      </c>
      <c r="L624">
        <v>1</v>
      </c>
      <c r="M624">
        <v>1</v>
      </c>
      <c r="N624">
        <v>1</v>
      </c>
      <c r="O624">
        <v>1</v>
      </c>
      <c r="P624">
        <v>1</v>
      </c>
      <c r="R624">
        <v>44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AA624">
        <v>-7367.2034999999996</v>
      </c>
      <c r="AB624">
        <v>-7367.2034999999996</v>
      </c>
      <c r="AC624">
        <v>-7367.2034999999996</v>
      </c>
      <c r="AD624">
        <v>-7367.2034999999996</v>
      </c>
      <c r="AE624">
        <v>-7367.2034999999996</v>
      </c>
      <c r="AF624">
        <v>-7367.2034999999996</v>
      </c>
    </row>
    <row r="625" spans="2:32" x14ac:dyDescent="0.25">
      <c r="B625">
        <v>45</v>
      </c>
      <c r="C625">
        <v>1</v>
      </c>
      <c r="D625">
        <v>1</v>
      </c>
      <c r="E625">
        <v>1</v>
      </c>
      <c r="F625">
        <v>1</v>
      </c>
      <c r="G625">
        <v>1</v>
      </c>
      <c r="H625">
        <v>1</v>
      </c>
      <c r="J625">
        <v>45</v>
      </c>
      <c r="K625">
        <v>1</v>
      </c>
      <c r="L625">
        <v>1</v>
      </c>
      <c r="M625">
        <v>1</v>
      </c>
      <c r="N625">
        <v>1</v>
      </c>
      <c r="O625">
        <v>1</v>
      </c>
      <c r="P625">
        <v>1</v>
      </c>
      <c r="R625">
        <v>45</v>
      </c>
      <c r="S625">
        <v>1</v>
      </c>
      <c r="T625">
        <v>1</v>
      </c>
      <c r="U625">
        <v>1</v>
      </c>
      <c r="V625">
        <v>1</v>
      </c>
      <c r="W625">
        <v>1</v>
      </c>
      <c r="X625">
        <v>1</v>
      </c>
      <c r="AA625">
        <v>-7358.6491999999998</v>
      </c>
      <c r="AB625">
        <v>-7358.6491999999998</v>
      </c>
      <c r="AC625">
        <v>-7358.6491999999998</v>
      </c>
      <c r="AD625">
        <v>-7358.6491999999998</v>
      </c>
      <c r="AE625">
        <v>-7358.6491999999998</v>
      </c>
      <c r="AF625">
        <v>-7358.6491999999998</v>
      </c>
    </row>
    <row r="626" spans="2:32" x14ac:dyDescent="0.25">
      <c r="B626">
        <v>46</v>
      </c>
      <c r="C626">
        <v>1</v>
      </c>
      <c r="D626">
        <v>1</v>
      </c>
      <c r="E626">
        <v>1</v>
      </c>
      <c r="F626">
        <v>1</v>
      </c>
      <c r="G626">
        <v>1</v>
      </c>
      <c r="H626">
        <v>1</v>
      </c>
      <c r="J626">
        <v>46</v>
      </c>
      <c r="K626">
        <v>1</v>
      </c>
      <c r="L626">
        <v>1</v>
      </c>
      <c r="M626">
        <v>1</v>
      </c>
      <c r="N626">
        <v>1</v>
      </c>
      <c r="O626">
        <v>1</v>
      </c>
      <c r="P626">
        <v>1</v>
      </c>
      <c r="R626">
        <v>46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AA626">
        <v>-7349.2232000000004</v>
      </c>
      <c r="AB626">
        <v>-7349.2232000000004</v>
      </c>
      <c r="AC626">
        <v>-7349.2232000000004</v>
      </c>
      <c r="AD626">
        <v>-7349.2232000000004</v>
      </c>
      <c r="AE626">
        <v>-7349.2232000000004</v>
      </c>
      <c r="AF626">
        <v>-7349.2232000000004</v>
      </c>
    </row>
    <row r="627" spans="2:32" x14ac:dyDescent="0.25">
      <c r="B627">
        <v>47</v>
      </c>
      <c r="C627">
        <v>1</v>
      </c>
      <c r="D627">
        <v>1</v>
      </c>
      <c r="E627">
        <v>1</v>
      </c>
      <c r="F627">
        <v>1</v>
      </c>
      <c r="G627">
        <v>1</v>
      </c>
      <c r="H627">
        <v>1</v>
      </c>
      <c r="J627">
        <v>47</v>
      </c>
      <c r="K627">
        <v>1</v>
      </c>
      <c r="L627">
        <v>1</v>
      </c>
      <c r="M627">
        <v>1</v>
      </c>
      <c r="N627">
        <v>1</v>
      </c>
      <c r="O627">
        <v>1</v>
      </c>
      <c r="P627">
        <v>1</v>
      </c>
      <c r="R627">
        <v>47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AA627">
        <v>-7338.8310000000001</v>
      </c>
      <c r="AB627">
        <v>-7338.8310000000001</v>
      </c>
      <c r="AC627">
        <v>-7338.8310000000001</v>
      </c>
      <c r="AD627">
        <v>-7338.8310000000001</v>
      </c>
      <c r="AE627">
        <v>-7338.8310000000001</v>
      </c>
      <c r="AF627">
        <v>-7338.8310000000001</v>
      </c>
    </row>
    <row r="628" spans="2:32" x14ac:dyDescent="0.25">
      <c r="B628">
        <v>48</v>
      </c>
      <c r="C628">
        <v>1</v>
      </c>
      <c r="D628">
        <v>1</v>
      </c>
      <c r="E628">
        <v>1</v>
      </c>
      <c r="F628">
        <v>1</v>
      </c>
      <c r="G628">
        <v>1</v>
      </c>
      <c r="H628">
        <v>1</v>
      </c>
      <c r="J628">
        <v>48</v>
      </c>
      <c r="K628">
        <v>1</v>
      </c>
      <c r="L628">
        <v>1</v>
      </c>
      <c r="M628">
        <v>1</v>
      </c>
      <c r="N628">
        <v>1</v>
      </c>
      <c r="O628">
        <v>1</v>
      </c>
      <c r="P628">
        <v>1</v>
      </c>
      <c r="R628">
        <v>48</v>
      </c>
      <c r="S628">
        <v>1</v>
      </c>
      <c r="T628">
        <v>1</v>
      </c>
      <c r="U628">
        <v>1</v>
      </c>
      <c r="V628">
        <v>1</v>
      </c>
      <c r="W628">
        <v>1</v>
      </c>
      <c r="X628">
        <v>1</v>
      </c>
      <c r="AA628">
        <v>-7327.4297999999999</v>
      </c>
      <c r="AB628">
        <v>-7327.4297999999999</v>
      </c>
      <c r="AC628">
        <v>-7327.4297999999999</v>
      </c>
      <c r="AD628">
        <v>-7327.4297999999999</v>
      </c>
      <c r="AE628">
        <v>-7327.4297999999999</v>
      </c>
      <c r="AF628">
        <v>-7327.4297999999999</v>
      </c>
    </row>
    <row r="629" spans="2:32" x14ac:dyDescent="0.25">
      <c r="B629">
        <v>49</v>
      </c>
      <c r="C629">
        <v>1</v>
      </c>
      <c r="D629">
        <v>1</v>
      </c>
      <c r="E629">
        <v>1</v>
      </c>
      <c r="F629">
        <v>1</v>
      </c>
      <c r="G629">
        <v>1</v>
      </c>
      <c r="H629">
        <v>1</v>
      </c>
      <c r="J629">
        <v>49</v>
      </c>
      <c r="K629">
        <v>1</v>
      </c>
      <c r="L629">
        <v>1</v>
      </c>
      <c r="M629">
        <v>1</v>
      </c>
      <c r="N629">
        <v>1</v>
      </c>
      <c r="O629">
        <v>1</v>
      </c>
      <c r="P629">
        <v>1</v>
      </c>
      <c r="R629">
        <v>49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AA629">
        <v>-7314.951</v>
      </c>
      <c r="AB629">
        <v>-7314.951</v>
      </c>
      <c r="AC629">
        <v>-7314.951</v>
      </c>
      <c r="AD629">
        <v>-7314.951</v>
      </c>
      <c r="AE629">
        <v>-7314.951</v>
      </c>
      <c r="AF629">
        <v>-7314.951</v>
      </c>
    </row>
    <row r="630" spans="2:32" x14ac:dyDescent="0.25">
      <c r="B630">
        <v>50</v>
      </c>
      <c r="C630">
        <v>1</v>
      </c>
      <c r="D630">
        <v>1</v>
      </c>
      <c r="E630">
        <v>1</v>
      </c>
      <c r="F630">
        <v>1</v>
      </c>
      <c r="G630">
        <v>1</v>
      </c>
      <c r="H630">
        <v>1</v>
      </c>
      <c r="J630">
        <v>50</v>
      </c>
      <c r="K630">
        <v>1</v>
      </c>
      <c r="L630">
        <v>1</v>
      </c>
      <c r="M630">
        <v>1</v>
      </c>
      <c r="N630">
        <v>1</v>
      </c>
      <c r="O630">
        <v>1</v>
      </c>
      <c r="P630">
        <v>1</v>
      </c>
      <c r="R630">
        <v>50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AA630">
        <v>-7301.2851000000001</v>
      </c>
      <c r="AB630">
        <v>-7301.2851000000001</v>
      </c>
      <c r="AC630">
        <v>-7301.2851000000001</v>
      </c>
      <c r="AD630">
        <v>-7301.2851000000001</v>
      </c>
      <c r="AE630">
        <v>-7301.2851000000001</v>
      </c>
      <c r="AF630">
        <v>-7301.2851000000001</v>
      </c>
    </row>
    <row r="631" spans="2:32" x14ac:dyDescent="0.25">
      <c r="B631">
        <v>51</v>
      </c>
      <c r="C631">
        <v>1</v>
      </c>
      <c r="D631">
        <v>1</v>
      </c>
      <c r="E631">
        <v>1</v>
      </c>
      <c r="F631">
        <v>1</v>
      </c>
      <c r="G631">
        <v>1</v>
      </c>
      <c r="H631">
        <v>1</v>
      </c>
      <c r="J631">
        <v>51</v>
      </c>
      <c r="K631">
        <v>1</v>
      </c>
      <c r="L631">
        <v>1</v>
      </c>
      <c r="M631">
        <v>1</v>
      </c>
      <c r="N631">
        <v>1</v>
      </c>
      <c r="O631">
        <v>1</v>
      </c>
      <c r="P631">
        <v>1</v>
      </c>
      <c r="R631">
        <v>51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AA631">
        <v>-7286.3271000000004</v>
      </c>
      <c r="AB631">
        <v>-7286.3271000000004</v>
      </c>
      <c r="AC631">
        <v>-7286.3271000000004</v>
      </c>
      <c r="AD631">
        <v>-7286.3271000000004</v>
      </c>
      <c r="AE631">
        <v>-7286.3271000000004</v>
      </c>
      <c r="AF631">
        <v>-7286.3271000000004</v>
      </c>
    </row>
    <row r="632" spans="2:32" x14ac:dyDescent="0.25">
      <c r="B632">
        <v>52</v>
      </c>
      <c r="C632">
        <v>1</v>
      </c>
      <c r="D632">
        <v>1</v>
      </c>
      <c r="E632">
        <v>1</v>
      </c>
      <c r="F632">
        <v>1</v>
      </c>
      <c r="G632">
        <v>1</v>
      </c>
      <c r="H632">
        <v>1</v>
      </c>
      <c r="J632">
        <v>52</v>
      </c>
      <c r="K632">
        <v>1</v>
      </c>
      <c r="L632">
        <v>1</v>
      </c>
      <c r="M632">
        <v>1</v>
      </c>
      <c r="N632">
        <v>1</v>
      </c>
      <c r="O632">
        <v>1</v>
      </c>
      <c r="P632">
        <v>1</v>
      </c>
      <c r="R632">
        <v>52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AA632">
        <v>-7269.9448000000002</v>
      </c>
      <c r="AB632">
        <v>-7269.9448000000002</v>
      </c>
      <c r="AC632">
        <v>-7269.9448000000002</v>
      </c>
      <c r="AD632">
        <v>-7269.9448000000002</v>
      </c>
      <c r="AE632">
        <v>-7269.9448000000002</v>
      </c>
      <c r="AF632">
        <v>-7269.9448000000002</v>
      </c>
    </row>
    <row r="633" spans="2:32" x14ac:dyDescent="0.25">
      <c r="B633">
        <v>53</v>
      </c>
      <c r="C633">
        <v>1</v>
      </c>
      <c r="D633">
        <v>1</v>
      </c>
      <c r="E633">
        <v>1</v>
      </c>
      <c r="F633">
        <v>1</v>
      </c>
      <c r="G633">
        <v>1</v>
      </c>
      <c r="H633">
        <v>1</v>
      </c>
      <c r="J633">
        <v>53</v>
      </c>
      <c r="K633">
        <v>1</v>
      </c>
      <c r="L633">
        <v>1</v>
      </c>
      <c r="M633">
        <v>1</v>
      </c>
      <c r="N633">
        <v>1</v>
      </c>
      <c r="O633">
        <v>1</v>
      </c>
      <c r="P633">
        <v>1</v>
      </c>
      <c r="R633">
        <v>53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AA633">
        <v>-7252.0574999999999</v>
      </c>
      <c r="AB633">
        <v>-7252.0574999999999</v>
      </c>
      <c r="AC633">
        <v>-7252.0574999999999</v>
      </c>
      <c r="AD633">
        <v>-7252.0574999999999</v>
      </c>
      <c r="AE633">
        <v>-7252.0574999999999</v>
      </c>
      <c r="AF633">
        <v>-7252.0574999999999</v>
      </c>
    </row>
    <row r="634" spans="2:32" x14ac:dyDescent="0.25">
      <c r="B634">
        <v>54</v>
      </c>
      <c r="C634">
        <v>1</v>
      </c>
      <c r="D634">
        <v>1</v>
      </c>
      <c r="E634">
        <v>1</v>
      </c>
      <c r="F634">
        <v>1</v>
      </c>
      <c r="G634">
        <v>1</v>
      </c>
      <c r="H634">
        <v>1</v>
      </c>
      <c r="J634">
        <v>54</v>
      </c>
      <c r="K634">
        <v>1</v>
      </c>
      <c r="L634">
        <v>1</v>
      </c>
      <c r="M634">
        <v>1</v>
      </c>
      <c r="N634">
        <v>1</v>
      </c>
      <c r="O634">
        <v>1</v>
      </c>
      <c r="P634">
        <v>1</v>
      </c>
      <c r="R634">
        <v>54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AA634">
        <v>-7232.5680000000002</v>
      </c>
      <c r="AB634">
        <v>-7232.5680000000002</v>
      </c>
      <c r="AC634">
        <v>-7232.5680000000002</v>
      </c>
      <c r="AD634">
        <v>-7232.5680000000002</v>
      </c>
      <c r="AE634">
        <v>-7232.5680000000002</v>
      </c>
      <c r="AF634">
        <v>-7232.5680000000002</v>
      </c>
    </row>
    <row r="635" spans="2:32" x14ac:dyDescent="0.25">
      <c r="B635">
        <v>55</v>
      </c>
      <c r="C635">
        <v>1</v>
      </c>
      <c r="D635">
        <v>1</v>
      </c>
      <c r="E635">
        <v>1</v>
      </c>
      <c r="F635">
        <v>1</v>
      </c>
      <c r="G635">
        <v>1</v>
      </c>
      <c r="H635">
        <v>1</v>
      </c>
      <c r="J635">
        <v>55</v>
      </c>
      <c r="K635">
        <v>1</v>
      </c>
      <c r="L635">
        <v>1</v>
      </c>
      <c r="M635">
        <v>1</v>
      </c>
      <c r="N635">
        <v>1</v>
      </c>
      <c r="O635">
        <v>1</v>
      </c>
      <c r="P635">
        <v>1</v>
      </c>
      <c r="R635">
        <v>55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AA635">
        <v>-7211.3207000000002</v>
      </c>
      <c r="AB635">
        <v>-7211.3207000000002</v>
      </c>
      <c r="AC635">
        <v>-7211.3207000000002</v>
      </c>
      <c r="AD635">
        <v>-7211.3207000000002</v>
      </c>
      <c r="AE635">
        <v>-7211.3207000000002</v>
      </c>
      <c r="AF635">
        <v>-7211.3207000000002</v>
      </c>
    </row>
    <row r="638" spans="2:32" x14ac:dyDescent="0.25">
      <c r="B638" t="s">
        <v>46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32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48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2:32" x14ac:dyDescent="0.25">
      <c r="B639">
        <v>35</v>
      </c>
      <c r="C639">
        <v>1</v>
      </c>
      <c r="D639">
        <v>1</v>
      </c>
      <c r="E639">
        <v>1</v>
      </c>
      <c r="F639">
        <v>1</v>
      </c>
      <c r="G639">
        <v>1</v>
      </c>
      <c r="J639">
        <v>35</v>
      </c>
      <c r="K639">
        <v>1</v>
      </c>
      <c r="L639">
        <v>1</v>
      </c>
      <c r="M639">
        <v>1</v>
      </c>
      <c r="N639">
        <v>1</v>
      </c>
      <c r="O639">
        <v>1</v>
      </c>
      <c r="R639">
        <v>35</v>
      </c>
      <c r="S639">
        <v>1</v>
      </c>
      <c r="T639">
        <v>1</v>
      </c>
      <c r="U639">
        <v>1</v>
      </c>
      <c r="V639">
        <v>1</v>
      </c>
      <c r="W639">
        <v>1</v>
      </c>
      <c r="AA639">
        <v>-11308.6893</v>
      </c>
      <c r="AB639">
        <v>-11308.6893</v>
      </c>
      <c r="AC639">
        <v>-11308.6893</v>
      </c>
      <c r="AD639">
        <v>-11308.6893</v>
      </c>
      <c r="AE639">
        <v>-11308.6893</v>
      </c>
    </row>
    <row r="640" spans="2:32" x14ac:dyDescent="0.25">
      <c r="B640">
        <f t="shared" ref="B640:B669" si="27">B639+1</f>
        <v>36</v>
      </c>
      <c r="C640">
        <v>1</v>
      </c>
      <c r="D640">
        <v>1</v>
      </c>
      <c r="E640">
        <v>1</v>
      </c>
      <c r="F640">
        <v>1</v>
      </c>
      <c r="G640">
        <v>1</v>
      </c>
      <c r="J640">
        <f t="shared" ref="J640:J669" si="28">J639+1</f>
        <v>36</v>
      </c>
      <c r="K640">
        <v>1</v>
      </c>
      <c r="L640">
        <v>1</v>
      </c>
      <c r="M640">
        <v>1</v>
      </c>
      <c r="N640">
        <v>1</v>
      </c>
      <c r="O640">
        <v>1</v>
      </c>
      <c r="R640">
        <f t="shared" ref="R640:R669" si="29">R639+1</f>
        <v>36</v>
      </c>
      <c r="S640">
        <v>1</v>
      </c>
      <c r="T640">
        <v>1</v>
      </c>
      <c r="U640">
        <v>1</v>
      </c>
      <c r="V640">
        <v>1</v>
      </c>
      <c r="W640">
        <v>1</v>
      </c>
      <c r="AA640">
        <v>-11214.2592</v>
      </c>
      <c r="AB640">
        <v>-11214.2592</v>
      </c>
      <c r="AC640">
        <v>-11214.2592</v>
      </c>
      <c r="AD640">
        <v>-11214.2592</v>
      </c>
      <c r="AE640">
        <v>-11214.2592</v>
      </c>
    </row>
    <row r="641" spans="2:31" x14ac:dyDescent="0.25">
      <c r="B641">
        <f t="shared" si="27"/>
        <v>37</v>
      </c>
      <c r="C641">
        <v>1</v>
      </c>
      <c r="D641">
        <v>1</v>
      </c>
      <c r="E641">
        <v>1</v>
      </c>
      <c r="F641">
        <v>1</v>
      </c>
      <c r="G641">
        <v>1</v>
      </c>
      <c r="J641">
        <f t="shared" si="28"/>
        <v>37</v>
      </c>
      <c r="K641">
        <v>1</v>
      </c>
      <c r="L641">
        <v>1</v>
      </c>
      <c r="M641">
        <v>1</v>
      </c>
      <c r="N641">
        <v>1</v>
      </c>
      <c r="O641">
        <v>1</v>
      </c>
      <c r="R641">
        <f t="shared" si="29"/>
        <v>37</v>
      </c>
      <c r="S641">
        <v>1</v>
      </c>
      <c r="T641">
        <v>1</v>
      </c>
      <c r="U641">
        <v>1</v>
      </c>
      <c r="V641">
        <v>1</v>
      </c>
      <c r="W641">
        <v>1</v>
      </c>
      <c r="AA641">
        <v>-11117.406199999999</v>
      </c>
      <c r="AB641">
        <v>-11117.406199999999</v>
      </c>
      <c r="AC641">
        <v>-11117.406199999999</v>
      </c>
      <c r="AD641">
        <v>-11117.406199999999</v>
      </c>
      <c r="AE641">
        <v>-11117.406199999999</v>
      </c>
    </row>
    <row r="642" spans="2:31" x14ac:dyDescent="0.25">
      <c r="B642">
        <f t="shared" si="27"/>
        <v>38</v>
      </c>
      <c r="C642">
        <v>1</v>
      </c>
      <c r="D642">
        <v>1</v>
      </c>
      <c r="E642">
        <v>1</v>
      </c>
      <c r="F642">
        <v>1</v>
      </c>
      <c r="G642">
        <v>1</v>
      </c>
      <c r="J642">
        <f t="shared" si="28"/>
        <v>38</v>
      </c>
      <c r="K642">
        <v>1</v>
      </c>
      <c r="L642">
        <v>1</v>
      </c>
      <c r="M642">
        <v>1</v>
      </c>
      <c r="N642">
        <v>1</v>
      </c>
      <c r="O642">
        <v>1</v>
      </c>
      <c r="R642">
        <f t="shared" si="29"/>
        <v>38</v>
      </c>
      <c r="S642">
        <v>1</v>
      </c>
      <c r="T642">
        <v>1</v>
      </c>
      <c r="U642">
        <v>1</v>
      </c>
      <c r="V642">
        <v>1</v>
      </c>
      <c r="W642">
        <v>1</v>
      </c>
      <c r="AA642">
        <v>-11018.229799999999</v>
      </c>
      <c r="AB642">
        <v>-11018.229799999999</v>
      </c>
      <c r="AC642">
        <v>-11018.229799999999</v>
      </c>
      <c r="AD642">
        <v>-11018.229799999999</v>
      </c>
      <c r="AE642">
        <v>-11018.229799999999</v>
      </c>
    </row>
    <row r="643" spans="2:31" x14ac:dyDescent="0.25">
      <c r="B643">
        <f t="shared" si="27"/>
        <v>39</v>
      </c>
      <c r="C643">
        <v>1</v>
      </c>
      <c r="D643">
        <v>1</v>
      </c>
      <c r="E643">
        <v>1</v>
      </c>
      <c r="F643">
        <v>1</v>
      </c>
      <c r="G643">
        <v>1</v>
      </c>
      <c r="J643">
        <f t="shared" si="28"/>
        <v>39</v>
      </c>
      <c r="K643">
        <v>1</v>
      </c>
      <c r="L643">
        <v>1</v>
      </c>
      <c r="M643">
        <v>1</v>
      </c>
      <c r="N643">
        <v>1</v>
      </c>
      <c r="O643">
        <v>1</v>
      </c>
      <c r="R643">
        <f t="shared" si="29"/>
        <v>39</v>
      </c>
      <c r="S643">
        <v>1</v>
      </c>
      <c r="T643">
        <v>1</v>
      </c>
      <c r="U643">
        <v>1</v>
      </c>
      <c r="V643">
        <v>1</v>
      </c>
      <c r="W643">
        <v>1</v>
      </c>
      <c r="AA643">
        <v>-10916.737999999999</v>
      </c>
      <c r="AB643">
        <v>-10916.737999999999</v>
      </c>
      <c r="AC643">
        <v>-10916.737999999999</v>
      </c>
      <c r="AD643">
        <v>-10916.737999999999</v>
      </c>
      <c r="AE643">
        <v>-10916.737999999999</v>
      </c>
    </row>
    <row r="644" spans="2:31" x14ac:dyDescent="0.25">
      <c r="B644">
        <f t="shared" si="27"/>
        <v>40</v>
      </c>
      <c r="C644">
        <v>1</v>
      </c>
      <c r="D644">
        <v>1</v>
      </c>
      <c r="E644">
        <v>1</v>
      </c>
      <c r="F644">
        <v>1</v>
      </c>
      <c r="G644">
        <v>1</v>
      </c>
      <c r="J644">
        <f t="shared" si="28"/>
        <v>40</v>
      </c>
      <c r="K644">
        <v>1</v>
      </c>
      <c r="L644">
        <v>1</v>
      </c>
      <c r="M644">
        <v>1</v>
      </c>
      <c r="N644">
        <v>1</v>
      </c>
      <c r="O644">
        <v>1</v>
      </c>
      <c r="R644">
        <f t="shared" si="29"/>
        <v>40</v>
      </c>
      <c r="S644">
        <v>1</v>
      </c>
      <c r="T644">
        <v>1</v>
      </c>
      <c r="U644">
        <v>1</v>
      </c>
      <c r="V644">
        <v>1</v>
      </c>
      <c r="W644">
        <v>1</v>
      </c>
      <c r="AA644">
        <v>-10812.8714</v>
      </c>
      <c r="AB644">
        <v>-10812.8714</v>
      </c>
      <c r="AC644">
        <v>-10812.8714</v>
      </c>
      <c r="AD644">
        <v>-10812.8714</v>
      </c>
      <c r="AE644">
        <v>-10812.8714</v>
      </c>
    </row>
    <row r="645" spans="2:31" x14ac:dyDescent="0.25">
      <c r="B645">
        <f t="shared" si="27"/>
        <v>41</v>
      </c>
      <c r="C645">
        <v>1</v>
      </c>
      <c r="D645">
        <v>1</v>
      </c>
      <c r="E645">
        <v>1</v>
      </c>
      <c r="F645">
        <v>1</v>
      </c>
      <c r="G645">
        <v>1</v>
      </c>
      <c r="J645">
        <f t="shared" si="28"/>
        <v>41</v>
      </c>
      <c r="K645">
        <v>1</v>
      </c>
      <c r="L645">
        <v>1</v>
      </c>
      <c r="M645">
        <v>1</v>
      </c>
      <c r="N645">
        <v>1</v>
      </c>
      <c r="O645">
        <v>1</v>
      </c>
      <c r="R645">
        <f t="shared" si="29"/>
        <v>41</v>
      </c>
      <c r="S645">
        <v>1</v>
      </c>
      <c r="T645">
        <v>1</v>
      </c>
      <c r="U645">
        <v>1</v>
      </c>
      <c r="V645">
        <v>1</v>
      </c>
      <c r="W645">
        <v>1</v>
      </c>
      <c r="AA645">
        <v>-10706.559600000001</v>
      </c>
      <c r="AB645">
        <v>-10706.559600000001</v>
      </c>
      <c r="AC645">
        <v>-10706.559600000001</v>
      </c>
      <c r="AD645">
        <v>-10706.559600000001</v>
      </c>
      <c r="AE645">
        <v>-10706.559600000001</v>
      </c>
    </row>
    <row r="646" spans="2:31" x14ac:dyDescent="0.25">
      <c r="B646">
        <f t="shared" si="27"/>
        <v>42</v>
      </c>
      <c r="C646">
        <v>1</v>
      </c>
      <c r="D646">
        <v>1</v>
      </c>
      <c r="E646">
        <v>1</v>
      </c>
      <c r="F646">
        <v>1</v>
      </c>
      <c r="G646">
        <v>1</v>
      </c>
      <c r="J646">
        <f t="shared" si="28"/>
        <v>42</v>
      </c>
      <c r="K646">
        <v>1</v>
      </c>
      <c r="L646">
        <v>1</v>
      </c>
      <c r="M646">
        <v>1</v>
      </c>
      <c r="N646">
        <v>1</v>
      </c>
      <c r="O646">
        <v>1</v>
      </c>
      <c r="R646">
        <f t="shared" si="29"/>
        <v>42</v>
      </c>
      <c r="S646">
        <v>1</v>
      </c>
      <c r="T646">
        <v>1</v>
      </c>
      <c r="U646">
        <v>1</v>
      </c>
      <c r="V646">
        <v>1</v>
      </c>
      <c r="W646">
        <v>1</v>
      </c>
      <c r="AA646">
        <v>-10597.8485</v>
      </c>
      <c r="AB646">
        <v>-10597.8485</v>
      </c>
      <c r="AC646">
        <v>-10597.8485</v>
      </c>
      <c r="AD646">
        <v>-10597.8485</v>
      </c>
      <c r="AE646">
        <v>-10597.8485</v>
      </c>
    </row>
    <row r="647" spans="2:31" x14ac:dyDescent="0.25">
      <c r="B647">
        <f t="shared" si="27"/>
        <v>43</v>
      </c>
      <c r="C647">
        <v>1</v>
      </c>
      <c r="D647">
        <v>1</v>
      </c>
      <c r="E647">
        <v>1</v>
      </c>
      <c r="F647">
        <v>1</v>
      </c>
      <c r="G647">
        <v>1</v>
      </c>
      <c r="J647">
        <f t="shared" si="28"/>
        <v>43</v>
      </c>
      <c r="K647">
        <v>1</v>
      </c>
      <c r="L647">
        <v>1</v>
      </c>
      <c r="M647">
        <v>1</v>
      </c>
      <c r="N647">
        <v>1</v>
      </c>
      <c r="O647">
        <v>1</v>
      </c>
      <c r="R647">
        <f t="shared" si="29"/>
        <v>43</v>
      </c>
      <c r="S647">
        <v>1</v>
      </c>
      <c r="T647">
        <v>1</v>
      </c>
      <c r="U647">
        <v>1</v>
      </c>
      <c r="V647">
        <v>1</v>
      </c>
      <c r="W647">
        <v>1</v>
      </c>
      <c r="AA647">
        <v>-10486.615400000001</v>
      </c>
      <c r="AB647">
        <v>-10486.615400000001</v>
      </c>
      <c r="AC647">
        <v>-10486.615400000001</v>
      </c>
      <c r="AD647">
        <v>-10486.615400000001</v>
      </c>
      <c r="AE647">
        <v>-10486.615400000001</v>
      </c>
    </row>
    <row r="648" spans="2:31" x14ac:dyDescent="0.25">
      <c r="B648">
        <f t="shared" si="27"/>
        <v>44</v>
      </c>
      <c r="C648">
        <v>1</v>
      </c>
      <c r="D648">
        <v>1</v>
      </c>
      <c r="E648">
        <v>1</v>
      </c>
      <c r="F648">
        <v>1</v>
      </c>
      <c r="G648">
        <v>1</v>
      </c>
      <c r="J648">
        <f t="shared" si="28"/>
        <v>44</v>
      </c>
      <c r="K648">
        <v>1</v>
      </c>
      <c r="L648">
        <v>1</v>
      </c>
      <c r="M648">
        <v>1</v>
      </c>
      <c r="N648">
        <v>1</v>
      </c>
      <c r="O648">
        <v>1</v>
      </c>
      <c r="R648">
        <f t="shared" si="29"/>
        <v>44</v>
      </c>
      <c r="S648">
        <v>1</v>
      </c>
      <c r="T648">
        <v>1</v>
      </c>
      <c r="U648">
        <v>1</v>
      </c>
      <c r="V648">
        <v>1</v>
      </c>
      <c r="W648">
        <v>1</v>
      </c>
      <c r="AA648">
        <v>-10372.9005</v>
      </c>
      <c r="AB648">
        <v>-10372.9005</v>
      </c>
      <c r="AC648">
        <v>-10372.9005</v>
      </c>
      <c r="AD648">
        <v>-10372.9005</v>
      </c>
      <c r="AE648">
        <v>-10372.9005</v>
      </c>
    </row>
    <row r="649" spans="2:31" x14ac:dyDescent="0.25">
      <c r="B649">
        <f t="shared" si="27"/>
        <v>45</v>
      </c>
      <c r="C649">
        <v>1</v>
      </c>
      <c r="D649">
        <v>1</v>
      </c>
      <c r="E649">
        <v>1</v>
      </c>
      <c r="F649">
        <v>1</v>
      </c>
      <c r="G649">
        <v>1</v>
      </c>
      <c r="J649">
        <f t="shared" si="28"/>
        <v>45</v>
      </c>
      <c r="K649">
        <v>1</v>
      </c>
      <c r="L649">
        <v>1</v>
      </c>
      <c r="M649">
        <v>1</v>
      </c>
      <c r="N649">
        <v>1</v>
      </c>
      <c r="O649">
        <v>1</v>
      </c>
      <c r="R649">
        <f t="shared" si="29"/>
        <v>45</v>
      </c>
      <c r="S649">
        <v>1</v>
      </c>
      <c r="T649">
        <v>1</v>
      </c>
      <c r="U649">
        <v>1</v>
      </c>
      <c r="V649">
        <v>1</v>
      </c>
      <c r="W649">
        <v>1</v>
      </c>
      <c r="AA649">
        <v>-10256.650600000001</v>
      </c>
      <c r="AB649">
        <v>-10256.650600000001</v>
      </c>
      <c r="AC649">
        <v>-10256.650600000001</v>
      </c>
      <c r="AD649">
        <v>-10256.650600000001</v>
      </c>
      <c r="AE649">
        <v>-10256.650600000001</v>
      </c>
    </row>
    <row r="650" spans="2:31" x14ac:dyDescent="0.25">
      <c r="B650">
        <f t="shared" si="27"/>
        <v>46</v>
      </c>
      <c r="C650">
        <v>1</v>
      </c>
      <c r="D650">
        <v>1</v>
      </c>
      <c r="E650">
        <v>1</v>
      </c>
      <c r="F650">
        <v>1</v>
      </c>
      <c r="G650">
        <v>1</v>
      </c>
      <c r="J650">
        <f t="shared" si="28"/>
        <v>46</v>
      </c>
      <c r="K650">
        <v>1</v>
      </c>
      <c r="L650">
        <v>1</v>
      </c>
      <c r="M650">
        <v>1</v>
      </c>
      <c r="N650">
        <v>1</v>
      </c>
      <c r="O650">
        <v>1</v>
      </c>
      <c r="R650">
        <f t="shared" si="29"/>
        <v>46</v>
      </c>
      <c r="S650">
        <v>1</v>
      </c>
      <c r="T650">
        <v>1</v>
      </c>
      <c r="U650">
        <v>1</v>
      </c>
      <c r="V650">
        <v>1</v>
      </c>
      <c r="W650">
        <v>1</v>
      </c>
      <c r="AA650">
        <v>-10137.871499999999</v>
      </c>
      <c r="AB650">
        <v>-10137.871499999999</v>
      </c>
      <c r="AC650">
        <v>-10137.871499999999</v>
      </c>
      <c r="AD650">
        <v>-10137.871499999999</v>
      </c>
      <c r="AE650">
        <v>-10137.871499999999</v>
      </c>
    </row>
    <row r="651" spans="2:31" x14ac:dyDescent="0.25">
      <c r="B651">
        <f t="shared" si="27"/>
        <v>47</v>
      </c>
      <c r="C651">
        <v>1</v>
      </c>
      <c r="D651">
        <v>1</v>
      </c>
      <c r="E651">
        <v>1</v>
      </c>
      <c r="F651">
        <v>1</v>
      </c>
      <c r="G651">
        <v>1</v>
      </c>
      <c r="J651">
        <f t="shared" si="28"/>
        <v>47</v>
      </c>
      <c r="K651">
        <v>1</v>
      </c>
      <c r="L651">
        <v>1</v>
      </c>
      <c r="M651">
        <v>1</v>
      </c>
      <c r="N651">
        <v>1</v>
      </c>
      <c r="O651">
        <v>1</v>
      </c>
      <c r="R651">
        <f t="shared" si="29"/>
        <v>47</v>
      </c>
      <c r="S651">
        <v>1</v>
      </c>
      <c r="T651">
        <v>1</v>
      </c>
      <c r="U651">
        <v>1</v>
      </c>
      <c r="V651">
        <v>1</v>
      </c>
      <c r="W651">
        <v>1</v>
      </c>
      <c r="AA651">
        <v>-10016.4967</v>
      </c>
      <c r="AB651">
        <v>-10016.4967</v>
      </c>
      <c r="AC651">
        <v>-10016.4967</v>
      </c>
      <c r="AD651">
        <v>-10016.4967</v>
      </c>
      <c r="AE651">
        <v>-10016.4967</v>
      </c>
    </row>
    <row r="652" spans="2:31" x14ac:dyDescent="0.25">
      <c r="B652">
        <f t="shared" si="27"/>
        <v>48</v>
      </c>
      <c r="C652">
        <v>1</v>
      </c>
      <c r="D652">
        <v>1</v>
      </c>
      <c r="E652">
        <v>1</v>
      </c>
      <c r="F652">
        <v>1</v>
      </c>
      <c r="G652">
        <v>1</v>
      </c>
      <c r="J652">
        <f t="shared" si="28"/>
        <v>48</v>
      </c>
      <c r="K652">
        <v>1</v>
      </c>
      <c r="L652">
        <v>1</v>
      </c>
      <c r="M652">
        <v>1</v>
      </c>
      <c r="N652">
        <v>1</v>
      </c>
      <c r="O652">
        <v>1</v>
      </c>
      <c r="R652">
        <f t="shared" si="29"/>
        <v>48</v>
      </c>
      <c r="S652">
        <v>1</v>
      </c>
      <c r="T652">
        <v>1</v>
      </c>
      <c r="U652">
        <v>1</v>
      </c>
      <c r="V652">
        <v>1</v>
      </c>
      <c r="W652">
        <v>1</v>
      </c>
      <c r="AA652">
        <v>-9892.6355000000003</v>
      </c>
      <c r="AB652">
        <v>-9892.6355000000003</v>
      </c>
      <c r="AC652">
        <v>-9892.6355000000003</v>
      </c>
      <c r="AD652">
        <v>-9892.6355000000003</v>
      </c>
      <c r="AE652">
        <v>-9892.6355000000003</v>
      </c>
    </row>
    <row r="653" spans="2:31" x14ac:dyDescent="0.25">
      <c r="B653">
        <f t="shared" si="27"/>
        <v>49</v>
      </c>
      <c r="C653">
        <v>1</v>
      </c>
      <c r="D653">
        <v>1</v>
      </c>
      <c r="E653">
        <v>1</v>
      </c>
      <c r="F653">
        <v>1</v>
      </c>
      <c r="G653">
        <v>1</v>
      </c>
      <c r="J653">
        <f t="shared" si="28"/>
        <v>49</v>
      </c>
      <c r="K653">
        <v>1</v>
      </c>
      <c r="L653">
        <v>1</v>
      </c>
      <c r="M653">
        <v>1</v>
      </c>
      <c r="N653">
        <v>1</v>
      </c>
      <c r="O653">
        <v>1</v>
      </c>
      <c r="R653">
        <f t="shared" si="29"/>
        <v>49</v>
      </c>
      <c r="S653">
        <v>1</v>
      </c>
      <c r="T653">
        <v>1</v>
      </c>
      <c r="U653">
        <v>1</v>
      </c>
      <c r="V653">
        <v>1</v>
      </c>
      <c r="W653">
        <v>1</v>
      </c>
      <c r="AA653">
        <v>-9766.3366999999998</v>
      </c>
      <c r="AB653">
        <v>-9766.3366999999998</v>
      </c>
      <c r="AC653">
        <v>-9766.3366999999998</v>
      </c>
      <c r="AD653">
        <v>-9766.3366999999998</v>
      </c>
      <c r="AE653">
        <v>-9766.3366999999998</v>
      </c>
    </row>
    <row r="654" spans="2:31" x14ac:dyDescent="0.25">
      <c r="B654">
        <f t="shared" si="27"/>
        <v>50</v>
      </c>
      <c r="C654">
        <v>1</v>
      </c>
      <c r="D654">
        <v>1</v>
      </c>
      <c r="E654">
        <v>1</v>
      </c>
      <c r="F654">
        <v>1</v>
      </c>
      <c r="G654">
        <v>1</v>
      </c>
      <c r="J654">
        <f t="shared" si="28"/>
        <v>50</v>
      </c>
      <c r="K654">
        <v>1</v>
      </c>
      <c r="L654">
        <v>1</v>
      </c>
      <c r="M654">
        <v>1</v>
      </c>
      <c r="N654">
        <v>1</v>
      </c>
      <c r="O654">
        <v>1</v>
      </c>
      <c r="R654">
        <f t="shared" si="29"/>
        <v>50</v>
      </c>
      <c r="S654">
        <v>1</v>
      </c>
      <c r="T654">
        <v>1</v>
      </c>
      <c r="U654">
        <v>1</v>
      </c>
      <c r="V654">
        <v>1</v>
      </c>
      <c r="W654">
        <v>1</v>
      </c>
      <c r="AA654">
        <v>-9637.5864000000001</v>
      </c>
      <c r="AB654">
        <v>-9637.5864000000001</v>
      </c>
      <c r="AC654">
        <v>-9637.5864000000001</v>
      </c>
      <c r="AD654">
        <v>-9637.5864000000001</v>
      </c>
      <c r="AE654">
        <v>-9637.5864000000001</v>
      </c>
    </row>
    <row r="655" spans="2:31" x14ac:dyDescent="0.25">
      <c r="B655">
        <f t="shared" si="27"/>
        <v>51</v>
      </c>
      <c r="C655">
        <v>1</v>
      </c>
      <c r="D655">
        <v>1</v>
      </c>
      <c r="E655">
        <v>1</v>
      </c>
      <c r="F655">
        <v>1</v>
      </c>
      <c r="G655">
        <v>1</v>
      </c>
      <c r="J655">
        <f t="shared" si="28"/>
        <v>51</v>
      </c>
      <c r="K655">
        <v>1</v>
      </c>
      <c r="L655">
        <v>1</v>
      </c>
      <c r="M655">
        <v>1</v>
      </c>
      <c r="N655">
        <v>1</v>
      </c>
      <c r="O655">
        <v>1</v>
      </c>
      <c r="R655">
        <f t="shared" si="29"/>
        <v>51</v>
      </c>
      <c r="S655">
        <v>1</v>
      </c>
      <c r="T655">
        <v>1</v>
      </c>
      <c r="U655">
        <v>1</v>
      </c>
      <c r="V655">
        <v>1</v>
      </c>
      <c r="W655">
        <v>1</v>
      </c>
      <c r="AA655">
        <v>-9506.3734000000004</v>
      </c>
      <c r="AB655">
        <v>-9506.3734000000004</v>
      </c>
      <c r="AC655">
        <v>-9506.3734000000004</v>
      </c>
      <c r="AD655">
        <v>-9506.3734000000004</v>
      </c>
      <c r="AE655">
        <v>-9506.3734000000004</v>
      </c>
    </row>
    <row r="656" spans="2:31" x14ac:dyDescent="0.25">
      <c r="B656">
        <f t="shared" si="27"/>
        <v>52</v>
      </c>
      <c r="C656">
        <v>1</v>
      </c>
      <c r="D656">
        <v>1</v>
      </c>
      <c r="E656">
        <v>1</v>
      </c>
      <c r="F656">
        <v>1</v>
      </c>
      <c r="G656">
        <v>1</v>
      </c>
      <c r="J656">
        <f t="shared" si="28"/>
        <v>52</v>
      </c>
      <c r="K656">
        <v>1</v>
      </c>
      <c r="L656">
        <v>1</v>
      </c>
      <c r="M656">
        <v>1</v>
      </c>
      <c r="N656">
        <v>1</v>
      </c>
      <c r="O656">
        <v>1</v>
      </c>
      <c r="R656">
        <f t="shared" si="29"/>
        <v>52</v>
      </c>
      <c r="S656">
        <v>1</v>
      </c>
      <c r="T656">
        <v>1</v>
      </c>
      <c r="U656">
        <v>1</v>
      </c>
      <c r="V656">
        <v>1</v>
      </c>
      <c r="W656">
        <v>1</v>
      </c>
      <c r="AA656">
        <v>-9372.7019</v>
      </c>
      <c r="AB656">
        <v>-9372.7019</v>
      </c>
      <c r="AC656">
        <v>-9372.7019</v>
      </c>
      <c r="AD656">
        <v>-9372.7019</v>
      </c>
      <c r="AE656">
        <v>-9372.7019</v>
      </c>
    </row>
    <row r="657" spans="2:31" x14ac:dyDescent="0.25">
      <c r="B657">
        <f t="shared" si="27"/>
        <v>53</v>
      </c>
      <c r="C657">
        <v>1</v>
      </c>
      <c r="D657">
        <v>1</v>
      </c>
      <c r="E657">
        <v>1</v>
      </c>
      <c r="F657">
        <v>1</v>
      </c>
      <c r="G657">
        <v>1</v>
      </c>
      <c r="J657">
        <f t="shared" si="28"/>
        <v>53</v>
      </c>
      <c r="K657">
        <v>1</v>
      </c>
      <c r="L657">
        <v>1</v>
      </c>
      <c r="M657">
        <v>1</v>
      </c>
      <c r="N657">
        <v>1</v>
      </c>
      <c r="O657">
        <v>1</v>
      </c>
      <c r="R657">
        <f t="shared" si="29"/>
        <v>53</v>
      </c>
      <c r="S657">
        <v>1</v>
      </c>
      <c r="T657">
        <v>1</v>
      </c>
      <c r="U657">
        <v>1</v>
      </c>
      <c r="V657">
        <v>1</v>
      </c>
      <c r="W657">
        <v>1</v>
      </c>
      <c r="AA657">
        <v>-9236.6705000000002</v>
      </c>
      <c r="AB657">
        <v>-9236.6705000000002</v>
      </c>
      <c r="AC657">
        <v>-9236.6705000000002</v>
      </c>
      <c r="AD657">
        <v>-9236.6705000000002</v>
      </c>
      <c r="AE657">
        <v>-9236.6705000000002</v>
      </c>
    </row>
    <row r="658" spans="2:31" x14ac:dyDescent="0.25">
      <c r="B658">
        <f t="shared" si="27"/>
        <v>54</v>
      </c>
      <c r="C658">
        <v>1</v>
      </c>
      <c r="D658">
        <v>1</v>
      </c>
      <c r="E658">
        <v>1</v>
      </c>
      <c r="F658">
        <v>1</v>
      </c>
      <c r="G658">
        <v>1</v>
      </c>
      <c r="J658">
        <f t="shared" si="28"/>
        <v>54</v>
      </c>
      <c r="K658">
        <v>1</v>
      </c>
      <c r="L658">
        <v>1</v>
      </c>
      <c r="M658">
        <v>1</v>
      </c>
      <c r="N658">
        <v>1</v>
      </c>
      <c r="O658">
        <v>1</v>
      </c>
      <c r="R658">
        <f t="shared" si="29"/>
        <v>54</v>
      </c>
      <c r="S658">
        <v>1</v>
      </c>
      <c r="T658">
        <v>1</v>
      </c>
      <c r="U658">
        <v>1</v>
      </c>
      <c r="V658">
        <v>1</v>
      </c>
      <c r="W658">
        <v>1</v>
      </c>
      <c r="AA658">
        <v>-9098.4312000000009</v>
      </c>
      <c r="AB658">
        <v>-9098.4312000000009</v>
      </c>
      <c r="AC658">
        <v>-9098.4312000000009</v>
      </c>
      <c r="AD658">
        <v>-9098.4312000000009</v>
      </c>
      <c r="AE658">
        <v>-9098.4312000000009</v>
      </c>
    </row>
    <row r="659" spans="2:31" x14ac:dyDescent="0.25">
      <c r="B659">
        <f t="shared" si="27"/>
        <v>55</v>
      </c>
      <c r="C659">
        <v>1</v>
      </c>
      <c r="D659">
        <v>1</v>
      </c>
      <c r="E659">
        <v>1</v>
      </c>
      <c r="F659">
        <v>1</v>
      </c>
      <c r="G659">
        <v>1</v>
      </c>
      <c r="J659">
        <f t="shared" si="28"/>
        <v>55</v>
      </c>
      <c r="K659">
        <v>1</v>
      </c>
      <c r="L659">
        <v>1</v>
      </c>
      <c r="M659">
        <v>1</v>
      </c>
      <c r="N659">
        <v>1</v>
      </c>
      <c r="O659">
        <v>1</v>
      </c>
      <c r="R659">
        <f t="shared" si="29"/>
        <v>55</v>
      </c>
      <c r="S659">
        <v>1</v>
      </c>
      <c r="T659">
        <v>1</v>
      </c>
      <c r="U659">
        <v>1</v>
      </c>
      <c r="V659">
        <v>1</v>
      </c>
      <c r="W659">
        <v>1</v>
      </c>
      <c r="AA659">
        <v>-8958.0210999999999</v>
      </c>
      <c r="AB659">
        <v>-8958.0210999999999</v>
      </c>
      <c r="AC659">
        <v>-8958.0210999999999</v>
      </c>
      <c r="AD659">
        <v>-8958.0210999999999</v>
      </c>
      <c r="AE659">
        <v>-8958.0210999999999</v>
      </c>
    </row>
    <row r="660" spans="2:31" x14ac:dyDescent="0.25">
      <c r="B660">
        <f t="shared" si="27"/>
        <v>56</v>
      </c>
      <c r="C660">
        <v>1</v>
      </c>
      <c r="D660">
        <v>1</v>
      </c>
      <c r="E660">
        <v>1</v>
      </c>
      <c r="F660">
        <v>1</v>
      </c>
      <c r="G660">
        <v>1</v>
      </c>
      <c r="J660">
        <f t="shared" si="28"/>
        <v>56</v>
      </c>
      <c r="K660">
        <v>1</v>
      </c>
      <c r="L660">
        <v>1</v>
      </c>
      <c r="M660">
        <v>1</v>
      </c>
      <c r="N660">
        <v>1</v>
      </c>
      <c r="O660">
        <v>1</v>
      </c>
      <c r="R660">
        <f t="shared" si="29"/>
        <v>56</v>
      </c>
      <c r="S660">
        <v>1</v>
      </c>
      <c r="T660">
        <v>1</v>
      </c>
      <c r="U660">
        <v>1</v>
      </c>
      <c r="V660">
        <v>1</v>
      </c>
      <c r="W660">
        <v>1</v>
      </c>
      <c r="AA660">
        <v>-8815.6316999999999</v>
      </c>
      <c r="AB660">
        <v>-8815.6316999999999</v>
      </c>
      <c r="AC660">
        <v>-8815.6316999999999</v>
      </c>
      <c r="AD660">
        <v>-8815.6316999999999</v>
      </c>
      <c r="AE660">
        <v>-8815.6316999999999</v>
      </c>
    </row>
    <row r="661" spans="2:31" x14ac:dyDescent="0.25">
      <c r="B661">
        <f t="shared" si="27"/>
        <v>57</v>
      </c>
      <c r="C661">
        <v>1</v>
      </c>
      <c r="D661">
        <v>1</v>
      </c>
      <c r="E661">
        <v>1</v>
      </c>
      <c r="F661">
        <v>1</v>
      </c>
      <c r="G661">
        <v>1</v>
      </c>
      <c r="J661">
        <f t="shared" si="28"/>
        <v>57</v>
      </c>
      <c r="K661">
        <v>1</v>
      </c>
      <c r="L661">
        <v>1</v>
      </c>
      <c r="M661">
        <v>1</v>
      </c>
      <c r="N661">
        <v>1</v>
      </c>
      <c r="O661">
        <v>1</v>
      </c>
      <c r="R661">
        <f t="shared" si="29"/>
        <v>57</v>
      </c>
      <c r="S661">
        <v>1</v>
      </c>
      <c r="T661">
        <v>1</v>
      </c>
      <c r="U661">
        <v>1</v>
      </c>
      <c r="V661">
        <v>1</v>
      </c>
      <c r="W661">
        <v>1</v>
      </c>
      <c r="AA661">
        <v>-8671.3991999999998</v>
      </c>
      <c r="AB661">
        <v>-8671.3991999999998</v>
      </c>
      <c r="AC661">
        <v>-8671.3991999999998</v>
      </c>
      <c r="AD661">
        <v>-8671.3991999999998</v>
      </c>
      <c r="AE661">
        <v>-8671.3991999999998</v>
      </c>
    </row>
    <row r="662" spans="2:31" x14ac:dyDescent="0.25">
      <c r="B662">
        <f t="shared" si="27"/>
        <v>58</v>
      </c>
      <c r="C662">
        <v>1</v>
      </c>
      <c r="D662">
        <v>1</v>
      </c>
      <c r="E662">
        <v>1</v>
      </c>
      <c r="F662">
        <v>1</v>
      </c>
      <c r="G662">
        <v>1</v>
      </c>
      <c r="J662">
        <f t="shared" si="28"/>
        <v>58</v>
      </c>
      <c r="K662">
        <v>1</v>
      </c>
      <c r="L662">
        <v>1</v>
      </c>
      <c r="M662">
        <v>1</v>
      </c>
      <c r="N662">
        <v>1</v>
      </c>
      <c r="O662">
        <v>1</v>
      </c>
      <c r="R662">
        <f t="shared" si="29"/>
        <v>58</v>
      </c>
      <c r="S662">
        <v>1</v>
      </c>
      <c r="T662">
        <v>1</v>
      </c>
      <c r="U662">
        <v>1</v>
      </c>
      <c r="V662">
        <v>1</v>
      </c>
      <c r="W662">
        <v>1</v>
      </c>
      <c r="AA662">
        <v>-8525.2759999999998</v>
      </c>
      <c r="AB662">
        <v>-8525.2759999999998</v>
      </c>
      <c r="AC662">
        <v>-8525.2759999999998</v>
      </c>
      <c r="AD662">
        <v>-8525.2759999999998</v>
      </c>
      <c r="AE662">
        <v>-8525.2759999999998</v>
      </c>
    </row>
    <row r="663" spans="2:31" x14ac:dyDescent="0.25">
      <c r="B663">
        <f t="shared" si="27"/>
        <v>59</v>
      </c>
      <c r="C663">
        <v>1</v>
      </c>
      <c r="D663">
        <v>1</v>
      </c>
      <c r="E663">
        <v>1</v>
      </c>
      <c r="F663">
        <v>1</v>
      </c>
      <c r="G663">
        <v>1</v>
      </c>
      <c r="J663">
        <f t="shared" si="28"/>
        <v>59</v>
      </c>
      <c r="K663">
        <v>1</v>
      </c>
      <c r="L663">
        <v>1</v>
      </c>
      <c r="M663">
        <v>1</v>
      </c>
      <c r="N663">
        <v>1</v>
      </c>
      <c r="O663">
        <v>1</v>
      </c>
      <c r="R663">
        <f t="shared" si="29"/>
        <v>59</v>
      </c>
      <c r="S663">
        <v>1</v>
      </c>
      <c r="T663">
        <v>1</v>
      </c>
      <c r="U663">
        <v>1</v>
      </c>
      <c r="V663">
        <v>1</v>
      </c>
      <c r="W663">
        <v>1</v>
      </c>
      <c r="AA663">
        <v>-8377.2351999999992</v>
      </c>
      <c r="AB663">
        <v>-8377.2351999999992</v>
      </c>
      <c r="AC663">
        <v>-8377.2351999999992</v>
      </c>
      <c r="AD663">
        <v>-8377.2351999999992</v>
      </c>
      <c r="AE663">
        <v>-8377.2351999999992</v>
      </c>
    </row>
    <row r="664" spans="2:31" x14ac:dyDescent="0.25">
      <c r="B664">
        <f t="shared" si="27"/>
        <v>60</v>
      </c>
      <c r="C664">
        <v>1</v>
      </c>
      <c r="D664">
        <v>1</v>
      </c>
      <c r="E664">
        <v>1</v>
      </c>
      <c r="F664">
        <v>1</v>
      </c>
      <c r="G664">
        <v>1</v>
      </c>
      <c r="J664">
        <f t="shared" si="28"/>
        <v>60</v>
      </c>
      <c r="K664">
        <v>1</v>
      </c>
      <c r="L664">
        <v>1</v>
      </c>
      <c r="M664">
        <v>1</v>
      </c>
      <c r="N664">
        <v>1</v>
      </c>
      <c r="O664">
        <v>1</v>
      </c>
      <c r="R664">
        <f t="shared" si="29"/>
        <v>60</v>
      </c>
      <c r="S664">
        <v>1</v>
      </c>
      <c r="T664">
        <v>1</v>
      </c>
      <c r="U664">
        <v>1</v>
      </c>
      <c r="V664">
        <v>1</v>
      </c>
      <c r="W664">
        <v>1</v>
      </c>
      <c r="AA664">
        <v>-8227.3953999999994</v>
      </c>
      <c r="AB664">
        <v>-8227.3953999999994</v>
      </c>
      <c r="AC664">
        <v>-8227.3953999999994</v>
      </c>
      <c r="AD664">
        <v>-8227.3953999999994</v>
      </c>
      <c r="AE664">
        <v>-8227.3953999999994</v>
      </c>
    </row>
    <row r="665" spans="2:31" x14ac:dyDescent="0.25">
      <c r="B665">
        <f t="shared" si="27"/>
        <v>61</v>
      </c>
      <c r="C665">
        <v>1</v>
      </c>
      <c r="D665">
        <v>1</v>
      </c>
      <c r="E665">
        <v>1</v>
      </c>
      <c r="F665">
        <v>1</v>
      </c>
      <c r="G665">
        <v>1</v>
      </c>
      <c r="J665">
        <f t="shared" si="28"/>
        <v>61</v>
      </c>
      <c r="K665">
        <v>1</v>
      </c>
      <c r="L665">
        <v>1</v>
      </c>
      <c r="M665">
        <v>1</v>
      </c>
      <c r="N665">
        <v>1</v>
      </c>
      <c r="O665">
        <v>1</v>
      </c>
      <c r="R665">
        <f t="shared" si="29"/>
        <v>61</v>
      </c>
      <c r="S665">
        <v>1</v>
      </c>
      <c r="T665">
        <v>1</v>
      </c>
      <c r="U665">
        <v>1</v>
      </c>
      <c r="V665">
        <v>1</v>
      </c>
      <c r="W665">
        <v>1</v>
      </c>
      <c r="AA665">
        <v>-8076.1778999999997</v>
      </c>
      <c r="AB665">
        <v>-8076.1778999999997</v>
      </c>
      <c r="AC665">
        <v>-8076.1778999999997</v>
      </c>
      <c r="AD665">
        <v>-8076.1778999999997</v>
      </c>
      <c r="AE665">
        <v>-8076.1778999999997</v>
      </c>
    </row>
    <row r="666" spans="2:31" x14ac:dyDescent="0.25">
      <c r="B666">
        <f t="shared" si="27"/>
        <v>62</v>
      </c>
      <c r="C666">
        <v>1</v>
      </c>
      <c r="D666">
        <v>1</v>
      </c>
      <c r="E666">
        <v>1</v>
      </c>
      <c r="F666">
        <v>1</v>
      </c>
      <c r="G666">
        <v>1</v>
      </c>
      <c r="J666">
        <f t="shared" si="28"/>
        <v>62</v>
      </c>
      <c r="K666">
        <v>1</v>
      </c>
      <c r="L666">
        <v>1</v>
      </c>
      <c r="M666">
        <v>1</v>
      </c>
      <c r="N666">
        <v>1</v>
      </c>
      <c r="O666">
        <v>1</v>
      </c>
      <c r="R666">
        <f t="shared" si="29"/>
        <v>62</v>
      </c>
      <c r="S666">
        <v>1</v>
      </c>
      <c r="T666">
        <v>1</v>
      </c>
      <c r="U666">
        <v>1</v>
      </c>
      <c r="V666">
        <v>1</v>
      </c>
      <c r="W666">
        <v>1</v>
      </c>
      <c r="AA666">
        <v>-7923.5816000000004</v>
      </c>
      <c r="AB666">
        <v>-7923.5816000000004</v>
      </c>
      <c r="AC666">
        <v>-7923.5816000000004</v>
      </c>
      <c r="AD666">
        <v>-7923.5816000000004</v>
      </c>
      <c r="AE666">
        <v>-7923.5816000000004</v>
      </c>
    </row>
    <row r="667" spans="2:31" x14ac:dyDescent="0.25">
      <c r="B667">
        <f t="shared" si="27"/>
        <v>63</v>
      </c>
      <c r="C667">
        <v>1</v>
      </c>
      <c r="D667">
        <v>1</v>
      </c>
      <c r="E667">
        <v>1</v>
      </c>
      <c r="F667">
        <v>1</v>
      </c>
      <c r="G667">
        <v>1</v>
      </c>
      <c r="J667">
        <f t="shared" si="28"/>
        <v>63</v>
      </c>
      <c r="K667">
        <v>1</v>
      </c>
      <c r="L667">
        <v>1</v>
      </c>
      <c r="M667">
        <v>1</v>
      </c>
      <c r="N667">
        <v>1</v>
      </c>
      <c r="O667">
        <v>1</v>
      </c>
      <c r="R667">
        <f t="shared" si="29"/>
        <v>63</v>
      </c>
      <c r="S667">
        <v>1</v>
      </c>
      <c r="T667">
        <v>1</v>
      </c>
      <c r="U667">
        <v>1</v>
      </c>
      <c r="V667">
        <v>1</v>
      </c>
      <c r="W667">
        <v>1</v>
      </c>
      <c r="AA667">
        <v>-7769.2775000000001</v>
      </c>
      <c r="AB667">
        <v>-7769.2775000000001</v>
      </c>
      <c r="AC667">
        <v>-7769.2775000000001</v>
      </c>
      <c r="AD667">
        <v>-7769.2775000000001</v>
      </c>
      <c r="AE667">
        <v>-7769.2775000000001</v>
      </c>
    </row>
    <row r="668" spans="2:31" x14ac:dyDescent="0.25">
      <c r="B668">
        <f t="shared" si="27"/>
        <v>64</v>
      </c>
      <c r="C668">
        <v>1</v>
      </c>
      <c r="D668">
        <v>1</v>
      </c>
      <c r="E668">
        <v>1</v>
      </c>
      <c r="F668">
        <v>1</v>
      </c>
      <c r="G668">
        <v>1</v>
      </c>
      <c r="J668">
        <f t="shared" si="28"/>
        <v>64</v>
      </c>
      <c r="K668">
        <v>1</v>
      </c>
      <c r="L668">
        <v>1</v>
      </c>
      <c r="M668">
        <v>1</v>
      </c>
      <c r="N668">
        <v>1</v>
      </c>
      <c r="O668">
        <v>1</v>
      </c>
      <c r="R668">
        <f t="shared" si="29"/>
        <v>64</v>
      </c>
      <c r="S668">
        <v>1</v>
      </c>
      <c r="T668">
        <v>1</v>
      </c>
      <c r="U668">
        <v>1</v>
      </c>
      <c r="V668">
        <v>1</v>
      </c>
      <c r="W668">
        <v>1</v>
      </c>
      <c r="AA668">
        <v>-7613.3999000000003</v>
      </c>
      <c r="AB668">
        <v>-7613.3999000000003</v>
      </c>
      <c r="AC668">
        <v>-7613.3999000000003</v>
      </c>
      <c r="AD668">
        <v>-7613.3999000000003</v>
      </c>
      <c r="AE668">
        <v>-7613.3999000000003</v>
      </c>
    </row>
    <row r="669" spans="2:31" x14ac:dyDescent="0.25">
      <c r="B669">
        <f t="shared" si="27"/>
        <v>65</v>
      </c>
      <c r="C669">
        <v>1</v>
      </c>
      <c r="D669">
        <v>1</v>
      </c>
      <c r="E669">
        <v>1</v>
      </c>
      <c r="F669">
        <v>1</v>
      </c>
      <c r="G669">
        <v>1</v>
      </c>
      <c r="J669">
        <f t="shared" si="28"/>
        <v>65</v>
      </c>
      <c r="K669">
        <v>1</v>
      </c>
      <c r="L669">
        <v>1</v>
      </c>
      <c r="M669">
        <v>1</v>
      </c>
      <c r="N669">
        <v>1</v>
      </c>
      <c r="O669">
        <v>1</v>
      </c>
      <c r="R669">
        <f t="shared" si="29"/>
        <v>65</v>
      </c>
      <c r="S669">
        <v>1</v>
      </c>
      <c r="T669">
        <v>1</v>
      </c>
      <c r="U669">
        <v>1</v>
      </c>
      <c r="V669">
        <v>1</v>
      </c>
      <c r="W669">
        <v>1</v>
      </c>
      <c r="AA669">
        <v>-7455.8590000000004</v>
      </c>
      <c r="AB669">
        <v>-7455.8590000000004</v>
      </c>
      <c r="AC669">
        <v>-7455.8590000000004</v>
      </c>
      <c r="AD669">
        <v>-7455.8590000000004</v>
      </c>
      <c r="AE669">
        <v>-7455.8590000000004</v>
      </c>
    </row>
    <row r="672" spans="2:31" x14ac:dyDescent="0.25">
      <c r="B672" t="s">
        <v>46</v>
      </c>
      <c r="C672">
        <v>50000</v>
      </c>
      <c r="D672">
        <v>100000</v>
      </c>
      <c r="E672">
        <v>250000</v>
      </c>
      <c r="F672">
        <v>500000</v>
      </c>
      <c r="G672">
        <v>1000000</v>
      </c>
      <c r="H672">
        <v>2000000</v>
      </c>
      <c r="J672" t="s">
        <v>47</v>
      </c>
      <c r="K672">
        <v>50000</v>
      </c>
      <c r="L672">
        <v>100000</v>
      </c>
      <c r="M672">
        <v>250000</v>
      </c>
      <c r="N672">
        <v>500000</v>
      </c>
      <c r="O672">
        <v>1000000</v>
      </c>
      <c r="P672">
        <v>2000000</v>
      </c>
      <c r="R672" t="s">
        <v>48</v>
      </c>
      <c r="S672">
        <v>50000</v>
      </c>
      <c r="T672">
        <v>100000</v>
      </c>
      <c r="U672">
        <v>250000</v>
      </c>
      <c r="V672">
        <v>500000</v>
      </c>
      <c r="W672">
        <v>1000000</v>
      </c>
      <c r="X672">
        <v>2000000</v>
      </c>
    </row>
    <row r="673" spans="2:32" x14ac:dyDescent="0.25">
      <c r="B673">
        <v>26</v>
      </c>
      <c r="C673">
        <v>1</v>
      </c>
      <c r="D673">
        <v>1</v>
      </c>
      <c r="E673">
        <v>1</v>
      </c>
      <c r="F673">
        <v>1</v>
      </c>
      <c r="G673">
        <v>1</v>
      </c>
      <c r="H673">
        <v>1</v>
      </c>
      <c r="J673">
        <v>26</v>
      </c>
      <c r="K673">
        <v>1</v>
      </c>
      <c r="L673">
        <v>1</v>
      </c>
      <c r="M673">
        <v>1</v>
      </c>
      <c r="N673">
        <v>1</v>
      </c>
      <c r="O673">
        <v>1</v>
      </c>
      <c r="P673">
        <v>1</v>
      </c>
      <c r="R673">
        <v>26</v>
      </c>
      <c r="S673">
        <v>1</v>
      </c>
      <c r="T673">
        <v>1</v>
      </c>
      <c r="U673">
        <v>1</v>
      </c>
      <c r="V673">
        <v>1</v>
      </c>
      <c r="W673">
        <v>1</v>
      </c>
      <c r="X673">
        <v>1</v>
      </c>
      <c r="AA673">
        <v>-7435.5060999999996</v>
      </c>
      <c r="AB673">
        <v>-7435.5060999999996</v>
      </c>
      <c r="AC673">
        <v>-7435.5060999999996</v>
      </c>
      <c r="AD673">
        <v>-7435.5060999999996</v>
      </c>
      <c r="AE673">
        <v>-7435.5060999999996</v>
      </c>
      <c r="AF673">
        <v>-7435.5060999999996</v>
      </c>
    </row>
    <row r="674" spans="2:32" x14ac:dyDescent="0.25">
      <c r="B674">
        <v>27</v>
      </c>
      <c r="C674">
        <v>1</v>
      </c>
      <c r="D674">
        <v>1</v>
      </c>
      <c r="E674">
        <v>1</v>
      </c>
      <c r="F674">
        <v>1</v>
      </c>
      <c r="G674">
        <v>1</v>
      </c>
      <c r="H674">
        <v>1</v>
      </c>
      <c r="J674">
        <v>27</v>
      </c>
      <c r="K674">
        <v>1</v>
      </c>
      <c r="L674">
        <v>1</v>
      </c>
      <c r="M674">
        <v>1</v>
      </c>
      <c r="N674">
        <v>1</v>
      </c>
      <c r="O674">
        <v>1</v>
      </c>
      <c r="P674">
        <v>1</v>
      </c>
      <c r="R674">
        <v>27</v>
      </c>
      <c r="S674">
        <v>1</v>
      </c>
      <c r="T674">
        <v>1</v>
      </c>
      <c r="U674">
        <v>1</v>
      </c>
      <c r="V674">
        <v>1</v>
      </c>
      <c r="W674">
        <v>1</v>
      </c>
      <c r="X674">
        <v>1</v>
      </c>
      <c r="AA674">
        <v>-7434.2619000000004</v>
      </c>
      <c r="AB674">
        <v>-7434.2619000000004</v>
      </c>
      <c r="AC674">
        <v>-7434.2619000000004</v>
      </c>
      <c r="AD674">
        <v>-7434.2619000000004</v>
      </c>
      <c r="AE674">
        <v>-7434.2619000000004</v>
      </c>
      <c r="AF674">
        <v>-7434.2619000000004</v>
      </c>
    </row>
    <row r="675" spans="2:32" x14ac:dyDescent="0.25">
      <c r="B675">
        <v>28</v>
      </c>
      <c r="C675">
        <v>1</v>
      </c>
      <c r="D675">
        <v>1</v>
      </c>
      <c r="E675">
        <v>1</v>
      </c>
      <c r="F675">
        <v>1</v>
      </c>
      <c r="G675">
        <v>1</v>
      </c>
      <c r="H675">
        <v>1</v>
      </c>
      <c r="J675">
        <v>28</v>
      </c>
      <c r="K675">
        <v>1</v>
      </c>
      <c r="L675">
        <v>1</v>
      </c>
      <c r="M675">
        <v>1</v>
      </c>
      <c r="N675">
        <v>1</v>
      </c>
      <c r="O675">
        <v>1</v>
      </c>
      <c r="P675">
        <v>1</v>
      </c>
      <c r="R675">
        <v>28</v>
      </c>
      <c r="S675">
        <v>1</v>
      </c>
      <c r="T675">
        <v>1</v>
      </c>
      <c r="U675">
        <v>1</v>
      </c>
      <c r="V675">
        <v>1</v>
      </c>
      <c r="W675">
        <v>1</v>
      </c>
      <c r="X675">
        <v>1</v>
      </c>
      <c r="AA675">
        <v>-7432.8334999999997</v>
      </c>
      <c r="AB675">
        <v>-7432.8334999999997</v>
      </c>
      <c r="AC675">
        <v>-7432.8334999999997</v>
      </c>
      <c r="AD675">
        <v>-7432.8334999999997</v>
      </c>
      <c r="AE675">
        <v>-7432.8334999999997</v>
      </c>
      <c r="AF675">
        <v>-7432.8334999999997</v>
      </c>
    </row>
    <row r="676" spans="2:32" x14ac:dyDescent="0.25">
      <c r="B676">
        <v>29</v>
      </c>
      <c r="C676">
        <v>1</v>
      </c>
      <c r="D676">
        <v>1</v>
      </c>
      <c r="E676">
        <v>1</v>
      </c>
      <c r="F676">
        <v>1</v>
      </c>
      <c r="G676">
        <v>1</v>
      </c>
      <c r="H676">
        <v>1</v>
      </c>
      <c r="J676">
        <v>29</v>
      </c>
      <c r="K676">
        <v>1</v>
      </c>
      <c r="L676">
        <v>1</v>
      </c>
      <c r="M676">
        <v>1</v>
      </c>
      <c r="N676">
        <v>1</v>
      </c>
      <c r="O676">
        <v>1</v>
      </c>
      <c r="P676">
        <v>1</v>
      </c>
      <c r="R676">
        <v>29</v>
      </c>
      <c r="S676">
        <v>1</v>
      </c>
      <c r="T676">
        <v>1</v>
      </c>
      <c r="U676">
        <v>1</v>
      </c>
      <c r="V676">
        <v>1</v>
      </c>
      <c r="W676">
        <v>1</v>
      </c>
      <c r="X676">
        <v>1</v>
      </c>
      <c r="AA676">
        <v>-7431.2058999999999</v>
      </c>
      <c r="AB676">
        <v>-7431.2058999999999</v>
      </c>
      <c r="AC676">
        <v>-7431.2058999999999</v>
      </c>
      <c r="AD676">
        <v>-7431.2058999999999</v>
      </c>
      <c r="AE676">
        <v>-7431.2058999999999</v>
      </c>
      <c r="AF676">
        <v>-7431.2058999999999</v>
      </c>
    </row>
    <row r="677" spans="2:32" x14ac:dyDescent="0.25">
      <c r="B677">
        <v>30</v>
      </c>
      <c r="C677">
        <v>1</v>
      </c>
      <c r="D677">
        <v>1</v>
      </c>
      <c r="E677">
        <v>1</v>
      </c>
      <c r="F677">
        <v>1</v>
      </c>
      <c r="G677">
        <v>1</v>
      </c>
      <c r="H677">
        <v>1</v>
      </c>
      <c r="J677">
        <v>30</v>
      </c>
      <c r="K677">
        <v>1</v>
      </c>
      <c r="L677">
        <v>1</v>
      </c>
      <c r="M677">
        <v>1</v>
      </c>
      <c r="N677">
        <v>1</v>
      </c>
      <c r="O677">
        <v>1</v>
      </c>
      <c r="P677">
        <v>1</v>
      </c>
      <c r="R677">
        <v>30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AA677">
        <v>-7429.3476000000001</v>
      </c>
      <c r="AB677">
        <v>-7429.3476000000001</v>
      </c>
      <c r="AC677">
        <v>-7429.3476000000001</v>
      </c>
      <c r="AD677">
        <v>-7429.3476000000001</v>
      </c>
      <c r="AE677">
        <v>-7429.3476000000001</v>
      </c>
      <c r="AF677">
        <v>-7429.3476000000001</v>
      </c>
    </row>
    <row r="678" spans="2:32" x14ac:dyDescent="0.25">
      <c r="B678">
        <v>31</v>
      </c>
      <c r="C678">
        <v>1</v>
      </c>
      <c r="D678">
        <v>1</v>
      </c>
      <c r="E678">
        <v>1</v>
      </c>
      <c r="F678">
        <v>1</v>
      </c>
      <c r="G678">
        <v>1</v>
      </c>
      <c r="H678">
        <v>1</v>
      </c>
      <c r="J678">
        <v>31</v>
      </c>
      <c r="K678">
        <v>1</v>
      </c>
      <c r="L678">
        <v>1</v>
      </c>
      <c r="M678">
        <v>1</v>
      </c>
      <c r="N678">
        <v>1</v>
      </c>
      <c r="O678">
        <v>1</v>
      </c>
      <c r="P678">
        <v>1</v>
      </c>
      <c r="R678">
        <v>31</v>
      </c>
      <c r="S678">
        <v>1</v>
      </c>
      <c r="T678">
        <v>1</v>
      </c>
      <c r="U678">
        <v>1</v>
      </c>
      <c r="V678">
        <v>1</v>
      </c>
      <c r="W678">
        <v>1</v>
      </c>
      <c r="X678">
        <v>1</v>
      </c>
      <c r="AA678">
        <v>-7427.2446</v>
      </c>
      <c r="AB678">
        <v>-7427.2446</v>
      </c>
      <c r="AC678">
        <v>-7427.2446</v>
      </c>
      <c r="AD678">
        <v>-7427.2446</v>
      </c>
      <c r="AE678">
        <v>-7427.2446</v>
      </c>
      <c r="AF678">
        <v>-7427.2446</v>
      </c>
    </row>
    <row r="679" spans="2:32" x14ac:dyDescent="0.25">
      <c r="B679">
        <v>32</v>
      </c>
      <c r="C679">
        <v>1</v>
      </c>
      <c r="D679">
        <v>1</v>
      </c>
      <c r="E679">
        <v>1</v>
      </c>
      <c r="F679">
        <v>1</v>
      </c>
      <c r="G679">
        <v>1</v>
      </c>
      <c r="H679">
        <v>1</v>
      </c>
      <c r="J679">
        <v>32</v>
      </c>
      <c r="K679">
        <v>1</v>
      </c>
      <c r="L679">
        <v>1</v>
      </c>
      <c r="M679">
        <v>1</v>
      </c>
      <c r="N679">
        <v>1</v>
      </c>
      <c r="O679">
        <v>1</v>
      </c>
      <c r="P679">
        <v>1</v>
      </c>
      <c r="R679">
        <v>32</v>
      </c>
      <c r="S679">
        <v>1</v>
      </c>
      <c r="T679">
        <v>1</v>
      </c>
      <c r="U679">
        <v>1</v>
      </c>
      <c r="V679">
        <v>1</v>
      </c>
      <c r="W679">
        <v>1</v>
      </c>
      <c r="X679">
        <v>1</v>
      </c>
      <c r="AA679">
        <v>-7424.8944000000001</v>
      </c>
      <c r="AB679">
        <v>-7424.8944000000001</v>
      </c>
      <c r="AC679">
        <v>-7424.8944000000001</v>
      </c>
      <c r="AD679">
        <v>-7424.8944000000001</v>
      </c>
      <c r="AE679">
        <v>-7424.8944000000001</v>
      </c>
      <c r="AF679">
        <v>-7424.8944000000001</v>
      </c>
    </row>
    <row r="680" spans="2:32" x14ac:dyDescent="0.25">
      <c r="B680">
        <v>33</v>
      </c>
      <c r="C680">
        <v>1</v>
      </c>
      <c r="D680">
        <v>1</v>
      </c>
      <c r="E680">
        <v>1</v>
      </c>
      <c r="F680">
        <v>1</v>
      </c>
      <c r="G680">
        <v>1</v>
      </c>
      <c r="H680">
        <v>1</v>
      </c>
      <c r="J680">
        <v>33</v>
      </c>
      <c r="K680">
        <v>1</v>
      </c>
      <c r="L680">
        <v>1</v>
      </c>
      <c r="M680">
        <v>1</v>
      </c>
      <c r="N680">
        <v>1</v>
      </c>
      <c r="O680">
        <v>1</v>
      </c>
      <c r="P680">
        <v>1</v>
      </c>
      <c r="R680">
        <v>33</v>
      </c>
      <c r="S680">
        <v>1</v>
      </c>
      <c r="T680">
        <v>1</v>
      </c>
      <c r="U680">
        <v>1</v>
      </c>
      <c r="V680">
        <v>1</v>
      </c>
      <c r="W680">
        <v>1</v>
      </c>
      <c r="X680">
        <v>1</v>
      </c>
      <c r="AA680">
        <v>-7422.2834000000003</v>
      </c>
      <c r="AB680">
        <v>-7422.2834000000003</v>
      </c>
      <c r="AC680">
        <v>-7422.2834000000003</v>
      </c>
      <c r="AD680">
        <v>-7422.2834000000003</v>
      </c>
      <c r="AE680">
        <v>-7422.2834000000003</v>
      </c>
      <c r="AF680">
        <v>-7422.2834000000003</v>
      </c>
    </row>
    <row r="681" spans="2:32" x14ac:dyDescent="0.25">
      <c r="B681">
        <v>34</v>
      </c>
      <c r="C681">
        <v>1</v>
      </c>
      <c r="D681">
        <v>1</v>
      </c>
      <c r="E681">
        <v>1</v>
      </c>
      <c r="F681">
        <v>1</v>
      </c>
      <c r="G681">
        <v>1</v>
      </c>
      <c r="H681">
        <v>1</v>
      </c>
      <c r="J681">
        <v>34</v>
      </c>
      <c r="K681">
        <v>1</v>
      </c>
      <c r="L681">
        <v>1</v>
      </c>
      <c r="M681">
        <v>1</v>
      </c>
      <c r="N681">
        <v>1</v>
      </c>
      <c r="O681">
        <v>1</v>
      </c>
      <c r="P681">
        <v>1</v>
      </c>
      <c r="R681">
        <v>34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AA681">
        <v>-7419.3683000000001</v>
      </c>
      <c r="AB681">
        <v>-7419.3683000000001</v>
      </c>
      <c r="AC681">
        <v>-7419.3683000000001</v>
      </c>
      <c r="AD681">
        <v>-7419.3683000000001</v>
      </c>
      <c r="AE681">
        <v>-7419.3683000000001</v>
      </c>
      <c r="AF681">
        <v>-7419.3683000000001</v>
      </c>
    </row>
    <row r="682" spans="2:32" x14ac:dyDescent="0.25">
      <c r="B682">
        <v>35</v>
      </c>
      <c r="C682">
        <v>1</v>
      </c>
      <c r="D682">
        <v>1</v>
      </c>
      <c r="E682">
        <v>1</v>
      </c>
      <c r="F682">
        <v>1</v>
      </c>
      <c r="G682">
        <v>1</v>
      </c>
      <c r="H682">
        <v>1</v>
      </c>
      <c r="J682">
        <v>35</v>
      </c>
      <c r="K682">
        <v>1</v>
      </c>
      <c r="L682">
        <v>1</v>
      </c>
      <c r="M682">
        <v>1</v>
      </c>
      <c r="N682">
        <v>1</v>
      </c>
      <c r="O682">
        <v>1</v>
      </c>
      <c r="P682">
        <v>1</v>
      </c>
      <c r="R682">
        <v>35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AA682">
        <v>-7416.1363000000001</v>
      </c>
      <c r="AB682">
        <v>-7416.1363000000001</v>
      </c>
      <c r="AC682">
        <v>-7416.1363000000001</v>
      </c>
      <c r="AD682">
        <v>-7416.1363000000001</v>
      </c>
      <c r="AE682">
        <v>-7416.1363000000001</v>
      </c>
      <c r="AF682">
        <v>-7416.1363000000001</v>
      </c>
    </row>
    <row r="683" spans="2:32" x14ac:dyDescent="0.25">
      <c r="B683">
        <v>36</v>
      </c>
      <c r="C683">
        <v>1</v>
      </c>
      <c r="D683">
        <v>1</v>
      </c>
      <c r="E683">
        <v>1</v>
      </c>
      <c r="F683">
        <v>1</v>
      </c>
      <c r="G683">
        <v>1</v>
      </c>
      <c r="H683">
        <v>1</v>
      </c>
      <c r="J683">
        <v>36</v>
      </c>
      <c r="K683">
        <v>1</v>
      </c>
      <c r="L683">
        <v>1</v>
      </c>
      <c r="M683">
        <v>1</v>
      </c>
      <c r="N683">
        <v>1</v>
      </c>
      <c r="O683">
        <v>1</v>
      </c>
      <c r="P683">
        <v>1</v>
      </c>
      <c r="R683">
        <v>36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AA683">
        <v>-7412.5378000000001</v>
      </c>
      <c r="AB683">
        <v>-7412.5378000000001</v>
      </c>
      <c r="AC683">
        <v>-7412.5378000000001</v>
      </c>
      <c r="AD683">
        <v>-7412.5378000000001</v>
      </c>
      <c r="AE683">
        <v>-7412.5378000000001</v>
      </c>
      <c r="AF683">
        <v>-7412.5378000000001</v>
      </c>
    </row>
    <row r="684" spans="2:32" x14ac:dyDescent="0.25">
      <c r="B684">
        <v>37</v>
      </c>
      <c r="C684">
        <v>1</v>
      </c>
      <c r="D684">
        <v>1</v>
      </c>
      <c r="E684">
        <v>1</v>
      </c>
      <c r="F684">
        <v>1</v>
      </c>
      <c r="G684">
        <v>1</v>
      </c>
      <c r="H684">
        <v>1</v>
      </c>
      <c r="J684">
        <v>37</v>
      </c>
      <c r="K684">
        <v>1</v>
      </c>
      <c r="L684">
        <v>1</v>
      </c>
      <c r="M684">
        <v>1</v>
      </c>
      <c r="N684">
        <v>1</v>
      </c>
      <c r="O684">
        <v>1</v>
      </c>
      <c r="P684">
        <v>1</v>
      </c>
      <c r="R684">
        <v>37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AA684">
        <v>-7408.55</v>
      </c>
      <c r="AB684">
        <v>-7408.55</v>
      </c>
      <c r="AC684">
        <v>-7408.55</v>
      </c>
      <c r="AD684">
        <v>-7408.55</v>
      </c>
      <c r="AE684">
        <v>-7408.55</v>
      </c>
      <c r="AF684">
        <v>-7408.55</v>
      </c>
    </row>
    <row r="685" spans="2:32" x14ac:dyDescent="0.25">
      <c r="B685">
        <v>38</v>
      </c>
      <c r="C685">
        <v>1</v>
      </c>
      <c r="D685">
        <v>1</v>
      </c>
      <c r="E685">
        <v>1</v>
      </c>
      <c r="F685">
        <v>1</v>
      </c>
      <c r="G685">
        <v>1</v>
      </c>
      <c r="H685">
        <v>1</v>
      </c>
      <c r="J685">
        <v>38</v>
      </c>
      <c r="K685">
        <v>1</v>
      </c>
      <c r="L685">
        <v>1</v>
      </c>
      <c r="M685">
        <v>1</v>
      </c>
      <c r="N685">
        <v>1</v>
      </c>
      <c r="O685">
        <v>1</v>
      </c>
      <c r="P685">
        <v>1</v>
      </c>
      <c r="R685">
        <v>38</v>
      </c>
      <c r="S685">
        <v>1</v>
      </c>
      <c r="T685">
        <v>1</v>
      </c>
      <c r="U685">
        <v>1</v>
      </c>
      <c r="V685">
        <v>1</v>
      </c>
      <c r="W685">
        <v>1</v>
      </c>
      <c r="X685">
        <v>1</v>
      </c>
      <c r="AA685">
        <v>-7404.1752999999999</v>
      </c>
      <c r="AB685">
        <v>-7404.1752999999999</v>
      </c>
      <c r="AC685">
        <v>-7404.1752999999999</v>
      </c>
      <c r="AD685">
        <v>-7404.1752999999999</v>
      </c>
      <c r="AE685">
        <v>-7404.1752999999999</v>
      </c>
      <c r="AF685">
        <v>-7404.1752999999999</v>
      </c>
    </row>
    <row r="686" spans="2:32" x14ac:dyDescent="0.25">
      <c r="B686">
        <v>39</v>
      </c>
      <c r="C686">
        <v>1</v>
      </c>
      <c r="D686">
        <v>1</v>
      </c>
      <c r="E686">
        <v>1</v>
      </c>
      <c r="F686">
        <v>1</v>
      </c>
      <c r="G686">
        <v>1</v>
      </c>
      <c r="H686">
        <v>1</v>
      </c>
      <c r="J686">
        <v>39</v>
      </c>
      <c r="K686">
        <v>1</v>
      </c>
      <c r="L686">
        <v>1</v>
      </c>
      <c r="M686">
        <v>1</v>
      </c>
      <c r="N686">
        <v>1</v>
      </c>
      <c r="O686">
        <v>1</v>
      </c>
      <c r="P686">
        <v>1</v>
      </c>
      <c r="R686">
        <v>39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AA686">
        <v>-7399.3923999999997</v>
      </c>
      <c r="AB686">
        <v>-7399.3923999999997</v>
      </c>
      <c r="AC686">
        <v>-7399.3923999999997</v>
      </c>
      <c r="AD686">
        <v>-7399.3923999999997</v>
      </c>
      <c r="AE686">
        <v>-7399.3923999999997</v>
      </c>
      <c r="AF686">
        <v>-7399.3923999999997</v>
      </c>
    </row>
    <row r="687" spans="2:32" x14ac:dyDescent="0.25">
      <c r="B687">
        <v>40</v>
      </c>
      <c r="C687">
        <v>1</v>
      </c>
      <c r="D687">
        <v>1</v>
      </c>
      <c r="E687">
        <v>1</v>
      </c>
      <c r="F687">
        <v>1</v>
      </c>
      <c r="G687">
        <v>1</v>
      </c>
      <c r="H687">
        <v>1</v>
      </c>
      <c r="J687">
        <v>40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1</v>
      </c>
      <c r="R687">
        <v>40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AA687">
        <v>-7394.1365999999998</v>
      </c>
      <c r="AB687">
        <v>-7394.1365999999998</v>
      </c>
      <c r="AC687">
        <v>-7394.1365999999998</v>
      </c>
      <c r="AD687">
        <v>-7394.1365999999998</v>
      </c>
      <c r="AE687">
        <v>-7394.1365999999998</v>
      </c>
      <c r="AF687">
        <v>-7394.1365999999998</v>
      </c>
    </row>
    <row r="688" spans="2:32" x14ac:dyDescent="0.25">
      <c r="B688">
        <v>41</v>
      </c>
      <c r="C688">
        <v>1</v>
      </c>
      <c r="D688">
        <v>1</v>
      </c>
      <c r="E688">
        <v>1</v>
      </c>
      <c r="F688">
        <v>1</v>
      </c>
      <c r="G688">
        <v>1</v>
      </c>
      <c r="H688">
        <v>1</v>
      </c>
      <c r="J688">
        <v>41</v>
      </c>
      <c r="K688">
        <v>1</v>
      </c>
      <c r="L688">
        <v>1</v>
      </c>
      <c r="M688">
        <v>1</v>
      </c>
      <c r="N688">
        <v>1</v>
      </c>
      <c r="O688">
        <v>1</v>
      </c>
      <c r="P688">
        <v>1</v>
      </c>
      <c r="R688">
        <v>41</v>
      </c>
      <c r="S688">
        <v>1</v>
      </c>
      <c r="T688">
        <v>1</v>
      </c>
      <c r="U688">
        <v>1</v>
      </c>
      <c r="V688">
        <v>1</v>
      </c>
      <c r="W688">
        <v>1</v>
      </c>
      <c r="X688">
        <v>1</v>
      </c>
      <c r="AA688">
        <v>-7388.3469999999998</v>
      </c>
      <c r="AB688">
        <v>-7388.3469999999998</v>
      </c>
      <c r="AC688">
        <v>-7388.3469999999998</v>
      </c>
      <c r="AD688">
        <v>-7388.3469999999998</v>
      </c>
      <c r="AE688">
        <v>-7388.3469999999998</v>
      </c>
      <c r="AF688">
        <v>-7388.3469999999998</v>
      </c>
    </row>
    <row r="689" spans="2:32" x14ac:dyDescent="0.25">
      <c r="B689">
        <v>42</v>
      </c>
      <c r="C689">
        <v>1</v>
      </c>
      <c r="D689">
        <v>1</v>
      </c>
      <c r="E689">
        <v>1</v>
      </c>
      <c r="F689">
        <v>1</v>
      </c>
      <c r="G689">
        <v>1</v>
      </c>
      <c r="H689">
        <v>1</v>
      </c>
      <c r="J689">
        <v>42</v>
      </c>
      <c r="K689">
        <v>1</v>
      </c>
      <c r="L689">
        <v>1</v>
      </c>
      <c r="M689">
        <v>1</v>
      </c>
      <c r="N689">
        <v>1</v>
      </c>
      <c r="O689">
        <v>1</v>
      </c>
      <c r="P689">
        <v>1</v>
      </c>
      <c r="R689">
        <v>42</v>
      </c>
      <c r="S689">
        <v>1</v>
      </c>
      <c r="T689">
        <v>1</v>
      </c>
      <c r="U689">
        <v>1</v>
      </c>
      <c r="V689">
        <v>1</v>
      </c>
      <c r="W689">
        <v>1</v>
      </c>
      <c r="X689">
        <v>1</v>
      </c>
      <c r="AA689">
        <v>-7381.9919</v>
      </c>
      <c r="AB689">
        <v>-7381.9919</v>
      </c>
      <c r="AC689">
        <v>-7381.9919</v>
      </c>
      <c r="AD689">
        <v>-7381.9919</v>
      </c>
      <c r="AE689">
        <v>-7381.9919</v>
      </c>
      <c r="AF689">
        <v>-7381.9919</v>
      </c>
    </row>
    <row r="690" spans="2:32" x14ac:dyDescent="0.25">
      <c r="B690">
        <v>43</v>
      </c>
      <c r="C690">
        <v>1</v>
      </c>
      <c r="D690">
        <v>1</v>
      </c>
      <c r="E690">
        <v>1</v>
      </c>
      <c r="F690">
        <v>1</v>
      </c>
      <c r="G690">
        <v>1</v>
      </c>
      <c r="H690">
        <v>1</v>
      </c>
      <c r="J690">
        <v>43</v>
      </c>
      <c r="K690">
        <v>1</v>
      </c>
      <c r="L690">
        <v>1</v>
      </c>
      <c r="M690">
        <v>1</v>
      </c>
      <c r="N690">
        <v>1</v>
      </c>
      <c r="O690">
        <v>1</v>
      </c>
      <c r="P690">
        <v>1</v>
      </c>
      <c r="R690">
        <v>43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AA690">
        <v>-7374.9579999999996</v>
      </c>
      <c r="AB690">
        <v>-7374.9579999999996</v>
      </c>
      <c r="AC690">
        <v>-7374.9579999999996</v>
      </c>
      <c r="AD690">
        <v>-7374.9579999999996</v>
      </c>
      <c r="AE690">
        <v>-7374.9579999999996</v>
      </c>
      <c r="AF690">
        <v>-7374.9579999999996</v>
      </c>
    </row>
    <row r="691" spans="2:32" x14ac:dyDescent="0.25">
      <c r="B691">
        <v>44</v>
      </c>
      <c r="C691">
        <v>1</v>
      </c>
      <c r="D691">
        <v>1</v>
      </c>
      <c r="E691">
        <v>1</v>
      </c>
      <c r="F691">
        <v>1</v>
      </c>
      <c r="G691">
        <v>1</v>
      </c>
      <c r="H691">
        <v>1</v>
      </c>
      <c r="J691">
        <v>44</v>
      </c>
      <c r="K691">
        <v>1</v>
      </c>
      <c r="L691">
        <v>1</v>
      </c>
      <c r="M691">
        <v>1</v>
      </c>
      <c r="N691">
        <v>1</v>
      </c>
      <c r="O691">
        <v>1</v>
      </c>
      <c r="P691">
        <v>1</v>
      </c>
      <c r="R691">
        <v>44</v>
      </c>
      <c r="S691">
        <v>1</v>
      </c>
      <c r="T691">
        <v>1</v>
      </c>
      <c r="U691">
        <v>1</v>
      </c>
      <c r="V691">
        <v>1</v>
      </c>
      <c r="W691">
        <v>1</v>
      </c>
      <c r="X691">
        <v>1</v>
      </c>
      <c r="AA691">
        <v>-7367.2034999999996</v>
      </c>
      <c r="AB691">
        <v>-7367.2034999999996</v>
      </c>
      <c r="AC691">
        <v>-7367.2034999999996</v>
      </c>
      <c r="AD691">
        <v>-7367.2034999999996</v>
      </c>
      <c r="AE691">
        <v>-7367.2034999999996</v>
      </c>
      <c r="AF691">
        <v>-7367.2034999999996</v>
      </c>
    </row>
    <row r="692" spans="2:32" x14ac:dyDescent="0.25">
      <c r="B692">
        <v>45</v>
      </c>
      <c r="C692">
        <v>1</v>
      </c>
      <c r="D692">
        <v>1</v>
      </c>
      <c r="E692">
        <v>1</v>
      </c>
      <c r="F692">
        <v>1</v>
      </c>
      <c r="G692">
        <v>1</v>
      </c>
      <c r="H692">
        <v>1</v>
      </c>
      <c r="J692">
        <v>45</v>
      </c>
      <c r="K692">
        <v>1</v>
      </c>
      <c r="L692">
        <v>1</v>
      </c>
      <c r="M692">
        <v>1</v>
      </c>
      <c r="N692">
        <v>1</v>
      </c>
      <c r="O692">
        <v>1</v>
      </c>
      <c r="P692">
        <v>1</v>
      </c>
      <c r="R692">
        <v>45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AA692">
        <v>-7358.6491999999998</v>
      </c>
      <c r="AB692">
        <v>-7358.6491999999998</v>
      </c>
      <c r="AC692">
        <v>-7358.6491999999998</v>
      </c>
      <c r="AD692">
        <v>-7358.6491999999998</v>
      </c>
      <c r="AE692">
        <v>-7358.6491999999998</v>
      </c>
      <c r="AF692">
        <v>-7358.6491999999998</v>
      </c>
    </row>
    <row r="693" spans="2:32" x14ac:dyDescent="0.25">
      <c r="B693">
        <v>46</v>
      </c>
      <c r="C693">
        <v>1</v>
      </c>
      <c r="D693">
        <v>1</v>
      </c>
      <c r="E693">
        <v>1</v>
      </c>
      <c r="F693">
        <v>1</v>
      </c>
      <c r="G693">
        <v>1</v>
      </c>
      <c r="H693">
        <v>1</v>
      </c>
      <c r="J693">
        <v>46</v>
      </c>
      <c r="K693">
        <v>1</v>
      </c>
      <c r="L693">
        <v>1</v>
      </c>
      <c r="M693">
        <v>1</v>
      </c>
      <c r="N693">
        <v>1</v>
      </c>
      <c r="O693">
        <v>1</v>
      </c>
      <c r="P693">
        <v>1</v>
      </c>
      <c r="R693">
        <v>46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AA693">
        <v>-7349.2232000000004</v>
      </c>
      <c r="AB693">
        <v>-7349.2232000000004</v>
      </c>
      <c r="AC693">
        <v>-7349.2232000000004</v>
      </c>
      <c r="AD693">
        <v>-7349.2232000000004</v>
      </c>
      <c r="AE693">
        <v>-7349.2232000000004</v>
      </c>
      <c r="AF693">
        <v>-7349.2232000000004</v>
      </c>
    </row>
    <row r="694" spans="2:32" x14ac:dyDescent="0.25">
      <c r="B694">
        <v>47</v>
      </c>
      <c r="C694">
        <v>1</v>
      </c>
      <c r="D694">
        <v>1</v>
      </c>
      <c r="E694">
        <v>1</v>
      </c>
      <c r="F694">
        <v>1</v>
      </c>
      <c r="G694">
        <v>1</v>
      </c>
      <c r="H694">
        <v>1</v>
      </c>
      <c r="J694">
        <v>47</v>
      </c>
      <c r="K694">
        <v>1</v>
      </c>
      <c r="L694">
        <v>1</v>
      </c>
      <c r="M694">
        <v>1</v>
      </c>
      <c r="N694">
        <v>1</v>
      </c>
      <c r="O694">
        <v>1</v>
      </c>
      <c r="P694">
        <v>1</v>
      </c>
      <c r="R694">
        <v>47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AA694">
        <v>-7338.8310000000001</v>
      </c>
      <c r="AB694">
        <v>-7338.8310000000001</v>
      </c>
      <c r="AC694">
        <v>-7338.8310000000001</v>
      </c>
      <c r="AD694">
        <v>-7338.8310000000001</v>
      </c>
      <c r="AE694">
        <v>-7338.8310000000001</v>
      </c>
      <c r="AF694">
        <v>-7338.8310000000001</v>
      </c>
    </row>
    <row r="695" spans="2:32" x14ac:dyDescent="0.25">
      <c r="B695">
        <v>48</v>
      </c>
      <c r="C695">
        <v>1</v>
      </c>
      <c r="D695">
        <v>1</v>
      </c>
      <c r="E695">
        <v>1</v>
      </c>
      <c r="F695">
        <v>1</v>
      </c>
      <c r="G695">
        <v>1</v>
      </c>
      <c r="H695">
        <v>1</v>
      </c>
      <c r="J695">
        <v>48</v>
      </c>
      <c r="K695">
        <v>1</v>
      </c>
      <c r="L695">
        <v>1</v>
      </c>
      <c r="M695">
        <v>1</v>
      </c>
      <c r="N695">
        <v>1</v>
      </c>
      <c r="O695">
        <v>1</v>
      </c>
      <c r="P695">
        <v>1</v>
      </c>
      <c r="R695">
        <v>48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AA695">
        <v>-7327.4297999999999</v>
      </c>
      <c r="AB695">
        <v>-7327.4297999999999</v>
      </c>
      <c r="AC695">
        <v>-7327.4297999999999</v>
      </c>
      <c r="AD695">
        <v>-7327.4297999999999</v>
      </c>
      <c r="AE695">
        <v>-7327.4297999999999</v>
      </c>
      <c r="AF695">
        <v>-7327.4297999999999</v>
      </c>
    </row>
    <row r="696" spans="2:32" x14ac:dyDescent="0.25">
      <c r="B696">
        <v>49</v>
      </c>
      <c r="C696">
        <v>1</v>
      </c>
      <c r="D696">
        <v>1</v>
      </c>
      <c r="E696">
        <v>1</v>
      </c>
      <c r="F696">
        <v>1</v>
      </c>
      <c r="G696">
        <v>1</v>
      </c>
      <c r="H696">
        <v>1</v>
      </c>
      <c r="J696">
        <v>49</v>
      </c>
      <c r="K696">
        <v>1</v>
      </c>
      <c r="L696">
        <v>1</v>
      </c>
      <c r="M696">
        <v>1</v>
      </c>
      <c r="N696">
        <v>1</v>
      </c>
      <c r="O696">
        <v>1</v>
      </c>
      <c r="P696">
        <v>1</v>
      </c>
      <c r="R696">
        <v>49</v>
      </c>
      <c r="S696">
        <v>1</v>
      </c>
      <c r="T696">
        <v>1</v>
      </c>
      <c r="U696">
        <v>1</v>
      </c>
      <c r="V696">
        <v>1</v>
      </c>
      <c r="W696">
        <v>1</v>
      </c>
      <c r="X696">
        <v>1</v>
      </c>
      <c r="AA696">
        <v>-7314.951</v>
      </c>
      <c r="AB696">
        <v>-7314.951</v>
      </c>
      <c r="AC696">
        <v>-7314.951</v>
      </c>
      <c r="AD696">
        <v>-7314.951</v>
      </c>
      <c r="AE696">
        <v>-7314.951</v>
      </c>
      <c r="AF696">
        <v>-7314.951</v>
      </c>
    </row>
    <row r="697" spans="2:32" x14ac:dyDescent="0.25">
      <c r="B697">
        <v>50</v>
      </c>
      <c r="C697">
        <v>1</v>
      </c>
      <c r="D697">
        <v>1</v>
      </c>
      <c r="E697">
        <v>1</v>
      </c>
      <c r="F697">
        <v>1</v>
      </c>
      <c r="G697">
        <v>1</v>
      </c>
      <c r="H697">
        <v>1</v>
      </c>
      <c r="J697">
        <v>50</v>
      </c>
      <c r="K697">
        <v>1</v>
      </c>
      <c r="L697">
        <v>1</v>
      </c>
      <c r="M697">
        <v>1</v>
      </c>
      <c r="N697">
        <v>1</v>
      </c>
      <c r="O697">
        <v>1</v>
      </c>
      <c r="P697">
        <v>1</v>
      </c>
      <c r="R697">
        <v>50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AA697">
        <v>-7301.2851000000001</v>
      </c>
      <c r="AB697">
        <v>-7301.2851000000001</v>
      </c>
      <c r="AC697">
        <v>-7301.2851000000001</v>
      </c>
      <c r="AD697">
        <v>-7301.2851000000001</v>
      </c>
      <c r="AE697">
        <v>-7301.2851000000001</v>
      </c>
      <c r="AF697">
        <v>-7301.2851000000001</v>
      </c>
    </row>
    <row r="698" spans="2:32" x14ac:dyDescent="0.25">
      <c r="B698">
        <v>51</v>
      </c>
      <c r="C698">
        <v>1</v>
      </c>
      <c r="D698">
        <v>1</v>
      </c>
      <c r="E698">
        <v>1</v>
      </c>
      <c r="F698">
        <v>1</v>
      </c>
      <c r="G698">
        <v>1</v>
      </c>
      <c r="H698">
        <v>1</v>
      </c>
      <c r="J698">
        <v>51</v>
      </c>
      <c r="K698">
        <v>1</v>
      </c>
      <c r="L698">
        <v>1</v>
      </c>
      <c r="M698">
        <v>1</v>
      </c>
      <c r="N698">
        <v>1</v>
      </c>
      <c r="O698">
        <v>1</v>
      </c>
      <c r="P698">
        <v>1</v>
      </c>
      <c r="R698">
        <v>51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AA698">
        <v>-7286.3271000000004</v>
      </c>
      <c r="AB698">
        <v>-7286.3271000000004</v>
      </c>
      <c r="AC698">
        <v>-7286.3271000000004</v>
      </c>
      <c r="AD698">
        <v>-7286.3271000000004</v>
      </c>
      <c r="AE698">
        <v>-7286.3271000000004</v>
      </c>
      <c r="AF698">
        <v>-7286.3271000000004</v>
      </c>
    </row>
    <row r="699" spans="2:32" x14ac:dyDescent="0.25">
      <c r="B699">
        <v>52</v>
      </c>
      <c r="C699">
        <v>1</v>
      </c>
      <c r="D699">
        <v>1</v>
      </c>
      <c r="E699">
        <v>1</v>
      </c>
      <c r="F699">
        <v>1</v>
      </c>
      <c r="G699">
        <v>1</v>
      </c>
      <c r="H699">
        <v>1</v>
      </c>
      <c r="J699">
        <v>52</v>
      </c>
      <c r="K699">
        <v>1</v>
      </c>
      <c r="L699">
        <v>1</v>
      </c>
      <c r="M699">
        <v>1</v>
      </c>
      <c r="N699">
        <v>1</v>
      </c>
      <c r="O699">
        <v>1</v>
      </c>
      <c r="P699">
        <v>1</v>
      </c>
      <c r="R699">
        <v>52</v>
      </c>
      <c r="S699">
        <v>1</v>
      </c>
      <c r="T699">
        <v>1</v>
      </c>
      <c r="U699">
        <v>1</v>
      </c>
      <c r="V699">
        <v>1</v>
      </c>
      <c r="W699">
        <v>1</v>
      </c>
      <c r="X699">
        <v>1</v>
      </c>
      <c r="AA699">
        <v>-7269.9448000000002</v>
      </c>
      <c r="AB699">
        <v>-7269.9448000000002</v>
      </c>
      <c r="AC699">
        <v>-7269.9448000000002</v>
      </c>
      <c r="AD699">
        <v>-7269.9448000000002</v>
      </c>
      <c r="AE699">
        <v>-7269.9448000000002</v>
      </c>
      <c r="AF699">
        <v>-7269.9448000000002</v>
      </c>
    </row>
    <row r="700" spans="2:32" x14ac:dyDescent="0.25">
      <c r="B700">
        <v>53</v>
      </c>
      <c r="C700">
        <v>1</v>
      </c>
      <c r="D700">
        <v>1</v>
      </c>
      <c r="E700">
        <v>1</v>
      </c>
      <c r="F700">
        <v>1</v>
      </c>
      <c r="G700">
        <v>1</v>
      </c>
      <c r="H700">
        <v>1</v>
      </c>
      <c r="J700">
        <v>53</v>
      </c>
      <c r="K700">
        <v>1</v>
      </c>
      <c r="L700">
        <v>1</v>
      </c>
      <c r="M700">
        <v>1</v>
      </c>
      <c r="N700">
        <v>1</v>
      </c>
      <c r="O700">
        <v>1</v>
      </c>
      <c r="P700">
        <v>1</v>
      </c>
      <c r="R700">
        <v>53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AA700">
        <v>-7252.0574999999999</v>
      </c>
      <c r="AB700">
        <v>-7252.0574999999999</v>
      </c>
      <c r="AC700">
        <v>-7252.0574999999999</v>
      </c>
      <c r="AD700">
        <v>-7252.0574999999999</v>
      </c>
      <c r="AE700">
        <v>-7252.0574999999999</v>
      </c>
      <c r="AF700">
        <v>-7252.0574999999999</v>
      </c>
    </row>
    <row r="701" spans="2:32" x14ac:dyDescent="0.25">
      <c r="B701">
        <v>54</v>
      </c>
      <c r="C701">
        <v>1</v>
      </c>
      <c r="D701">
        <v>1</v>
      </c>
      <c r="E701">
        <v>1</v>
      </c>
      <c r="F701">
        <v>1</v>
      </c>
      <c r="G701">
        <v>1</v>
      </c>
      <c r="H701">
        <v>1</v>
      </c>
      <c r="J701">
        <v>54</v>
      </c>
      <c r="K701">
        <v>1</v>
      </c>
      <c r="L701">
        <v>1</v>
      </c>
      <c r="M701">
        <v>1</v>
      </c>
      <c r="N701">
        <v>1</v>
      </c>
      <c r="O701">
        <v>1</v>
      </c>
      <c r="P701">
        <v>1</v>
      </c>
      <c r="R701">
        <v>54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AA701">
        <v>-7232.5680000000002</v>
      </c>
      <c r="AB701">
        <v>-7232.5680000000002</v>
      </c>
      <c r="AC701">
        <v>-7232.5680000000002</v>
      </c>
      <c r="AD701">
        <v>-7232.5680000000002</v>
      </c>
      <c r="AE701">
        <v>-7232.5680000000002</v>
      </c>
      <c r="AF701">
        <v>-7232.5680000000002</v>
      </c>
    </row>
    <row r="702" spans="2:32" x14ac:dyDescent="0.25">
      <c r="B702">
        <v>55</v>
      </c>
      <c r="C702">
        <v>1</v>
      </c>
      <c r="D702">
        <v>1</v>
      </c>
      <c r="E702">
        <v>1</v>
      </c>
      <c r="F702">
        <v>1</v>
      </c>
      <c r="G702">
        <v>1</v>
      </c>
      <c r="H702">
        <v>1</v>
      </c>
      <c r="J702">
        <v>55</v>
      </c>
      <c r="K702">
        <v>1</v>
      </c>
      <c r="L702">
        <v>1</v>
      </c>
      <c r="M702">
        <v>1</v>
      </c>
      <c r="N702">
        <v>1</v>
      </c>
      <c r="O702">
        <v>1</v>
      </c>
      <c r="P702">
        <v>1</v>
      </c>
      <c r="R702">
        <v>55</v>
      </c>
      <c r="S702">
        <v>1</v>
      </c>
      <c r="T702">
        <v>1</v>
      </c>
      <c r="U702">
        <v>1</v>
      </c>
      <c r="V702">
        <v>1</v>
      </c>
      <c r="W702">
        <v>1</v>
      </c>
      <c r="X702">
        <v>1</v>
      </c>
      <c r="AA702">
        <v>-7211.3207000000002</v>
      </c>
      <c r="AB702">
        <v>-7211.3207000000002</v>
      </c>
      <c r="AC702">
        <v>-7211.3207000000002</v>
      </c>
      <c r="AD702">
        <v>-7211.3207000000002</v>
      </c>
      <c r="AE702">
        <v>-7211.3207000000002</v>
      </c>
      <c r="AF702">
        <v>-7211.3207000000002</v>
      </c>
    </row>
    <row r="705" spans="2:31" x14ac:dyDescent="0.25">
      <c r="B705" t="s">
        <v>46</v>
      </c>
      <c r="C705">
        <v>100000</v>
      </c>
      <c r="D705">
        <v>250000</v>
      </c>
      <c r="E705">
        <v>500000</v>
      </c>
      <c r="F705">
        <v>1000000</v>
      </c>
      <c r="G705">
        <v>2000000</v>
      </c>
      <c r="J705" t="s">
        <v>32</v>
      </c>
      <c r="K705">
        <v>100000</v>
      </c>
      <c r="L705">
        <v>250000</v>
      </c>
      <c r="M705">
        <v>500000</v>
      </c>
      <c r="N705">
        <v>1000000</v>
      </c>
      <c r="O705">
        <v>2000000</v>
      </c>
      <c r="R705" t="s">
        <v>48</v>
      </c>
      <c r="S705">
        <v>100000</v>
      </c>
      <c r="T705">
        <v>250000</v>
      </c>
      <c r="U705">
        <v>500000</v>
      </c>
      <c r="V705">
        <v>1000000</v>
      </c>
      <c r="W705">
        <v>2000000</v>
      </c>
    </row>
    <row r="706" spans="2:31" x14ac:dyDescent="0.25">
      <c r="B706">
        <v>35</v>
      </c>
      <c r="C706">
        <v>1</v>
      </c>
      <c r="D706">
        <v>1</v>
      </c>
      <c r="E706">
        <v>1</v>
      </c>
      <c r="F706">
        <v>1</v>
      </c>
      <c r="G706">
        <v>1</v>
      </c>
      <c r="J706">
        <v>35</v>
      </c>
      <c r="K706">
        <v>1</v>
      </c>
      <c r="L706">
        <v>1</v>
      </c>
      <c r="M706">
        <v>1</v>
      </c>
      <c r="N706">
        <v>1</v>
      </c>
      <c r="O706">
        <v>1</v>
      </c>
      <c r="R706">
        <v>35</v>
      </c>
      <c r="S706">
        <v>1</v>
      </c>
      <c r="T706">
        <v>1</v>
      </c>
      <c r="U706">
        <v>1</v>
      </c>
      <c r="V706">
        <v>1</v>
      </c>
      <c r="W706">
        <v>1</v>
      </c>
      <c r="AA706">
        <v>-11308.6893</v>
      </c>
      <c r="AB706">
        <v>-11308.6893</v>
      </c>
      <c r="AC706">
        <v>-11308.6893</v>
      </c>
      <c r="AD706">
        <v>-11308.6893</v>
      </c>
      <c r="AE706">
        <v>-11308.6893</v>
      </c>
    </row>
    <row r="707" spans="2:31" x14ac:dyDescent="0.25">
      <c r="B707">
        <f t="shared" ref="B707:B736" si="30">B706+1</f>
        <v>36</v>
      </c>
      <c r="C707">
        <v>1</v>
      </c>
      <c r="D707">
        <v>1</v>
      </c>
      <c r="E707">
        <v>1</v>
      </c>
      <c r="F707">
        <v>1</v>
      </c>
      <c r="G707">
        <v>1</v>
      </c>
      <c r="J707">
        <f t="shared" ref="J707:J736" si="31">J706+1</f>
        <v>36</v>
      </c>
      <c r="K707">
        <v>1</v>
      </c>
      <c r="L707">
        <v>1</v>
      </c>
      <c r="M707">
        <v>1</v>
      </c>
      <c r="N707">
        <v>1</v>
      </c>
      <c r="O707">
        <v>1</v>
      </c>
      <c r="R707">
        <f t="shared" ref="R707:R736" si="32">R706+1</f>
        <v>36</v>
      </c>
      <c r="S707">
        <v>1</v>
      </c>
      <c r="T707">
        <v>1</v>
      </c>
      <c r="U707">
        <v>1</v>
      </c>
      <c r="V707">
        <v>1</v>
      </c>
      <c r="W707">
        <v>1</v>
      </c>
      <c r="AA707">
        <v>-11214.2592</v>
      </c>
      <c r="AB707">
        <v>-11214.2592</v>
      </c>
      <c r="AC707">
        <v>-11214.2592</v>
      </c>
      <c r="AD707">
        <v>-11214.2592</v>
      </c>
      <c r="AE707">
        <v>-11214.2592</v>
      </c>
    </row>
    <row r="708" spans="2:31" x14ac:dyDescent="0.25">
      <c r="B708">
        <f t="shared" si="30"/>
        <v>37</v>
      </c>
      <c r="C708">
        <v>1</v>
      </c>
      <c r="D708">
        <v>1</v>
      </c>
      <c r="E708">
        <v>1</v>
      </c>
      <c r="F708">
        <v>1</v>
      </c>
      <c r="G708">
        <v>1</v>
      </c>
      <c r="J708">
        <f t="shared" si="31"/>
        <v>37</v>
      </c>
      <c r="K708">
        <v>1</v>
      </c>
      <c r="L708">
        <v>1</v>
      </c>
      <c r="M708">
        <v>1</v>
      </c>
      <c r="N708">
        <v>1</v>
      </c>
      <c r="O708">
        <v>1</v>
      </c>
      <c r="R708">
        <f t="shared" si="32"/>
        <v>37</v>
      </c>
      <c r="S708">
        <v>1</v>
      </c>
      <c r="T708">
        <v>1</v>
      </c>
      <c r="U708">
        <v>1</v>
      </c>
      <c r="V708">
        <v>1</v>
      </c>
      <c r="W708">
        <v>1</v>
      </c>
      <c r="AA708">
        <v>-11117.406199999999</v>
      </c>
      <c r="AB708">
        <v>-11117.406199999999</v>
      </c>
      <c r="AC708">
        <v>-11117.406199999999</v>
      </c>
      <c r="AD708">
        <v>-11117.406199999999</v>
      </c>
      <c r="AE708">
        <v>-11117.406199999999</v>
      </c>
    </row>
    <row r="709" spans="2:31" x14ac:dyDescent="0.25">
      <c r="B709">
        <f t="shared" si="30"/>
        <v>38</v>
      </c>
      <c r="C709">
        <v>1</v>
      </c>
      <c r="D709">
        <v>1</v>
      </c>
      <c r="E709">
        <v>1</v>
      </c>
      <c r="F709">
        <v>1</v>
      </c>
      <c r="G709">
        <v>1</v>
      </c>
      <c r="J709">
        <f t="shared" si="31"/>
        <v>38</v>
      </c>
      <c r="K709">
        <v>1</v>
      </c>
      <c r="L709">
        <v>1</v>
      </c>
      <c r="M709">
        <v>1</v>
      </c>
      <c r="N709">
        <v>1</v>
      </c>
      <c r="O709">
        <v>1</v>
      </c>
      <c r="R709">
        <f t="shared" si="32"/>
        <v>38</v>
      </c>
      <c r="S709">
        <v>1</v>
      </c>
      <c r="T709">
        <v>1</v>
      </c>
      <c r="U709">
        <v>1</v>
      </c>
      <c r="V709">
        <v>1</v>
      </c>
      <c r="W709">
        <v>1</v>
      </c>
      <c r="AA709">
        <v>-11018.229799999999</v>
      </c>
      <c r="AB709">
        <v>-11018.229799999999</v>
      </c>
      <c r="AC709">
        <v>-11018.229799999999</v>
      </c>
      <c r="AD709">
        <v>-11018.229799999999</v>
      </c>
      <c r="AE709">
        <v>-11018.229799999999</v>
      </c>
    </row>
    <row r="710" spans="2:31" x14ac:dyDescent="0.25">
      <c r="B710">
        <f t="shared" si="30"/>
        <v>39</v>
      </c>
      <c r="C710">
        <v>1</v>
      </c>
      <c r="D710">
        <v>1</v>
      </c>
      <c r="E710">
        <v>1</v>
      </c>
      <c r="F710">
        <v>1</v>
      </c>
      <c r="G710">
        <v>1</v>
      </c>
      <c r="J710">
        <f t="shared" si="31"/>
        <v>39</v>
      </c>
      <c r="K710">
        <v>1</v>
      </c>
      <c r="L710">
        <v>1</v>
      </c>
      <c r="M710">
        <v>1</v>
      </c>
      <c r="N710">
        <v>1</v>
      </c>
      <c r="O710">
        <v>1</v>
      </c>
      <c r="R710">
        <f t="shared" si="32"/>
        <v>39</v>
      </c>
      <c r="S710">
        <v>1</v>
      </c>
      <c r="T710">
        <v>1</v>
      </c>
      <c r="U710">
        <v>1</v>
      </c>
      <c r="V710">
        <v>1</v>
      </c>
      <c r="W710">
        <v>1</v>
      </c>
      <c r="AA710">
        <v>-10916.737999999999</v>
      </c>
      <c r="AB710">
        <v>-10916.737999999999</v>
      </c>
      <c r="AC710">
        <v>-10916.737999999999</v>
      </c>
      <c r="AD710">
        <v>-10916.737999999999</v>
      </c>
      <c r="AE710">
        <v>-10916.737999999999</v>
      </c>
    </row>
    <row r="711" spans="2:31" x14ac:dyDescent="0.25">
      <c r="B711">
        <f t="shared" si="30"/>
        <v>40</v>
      </c>
      <c r="C711">
        <v>1</v>
      </c>
      <c r="D711">
        <v>1</v>
      </c>
      <c r="E711">
        <v>1</v>
      </c>
      <c r="F711">
        <v>1</v>
      </c>
      <c r="G711">
        <v>1</v>
      </c>
      <c r="J711">
        <f t="shared" si="31"/>
        <v>40</v>
      </c>
      <c r="K711">
        <v>1</v>
      </c>
      <c r="L711">
        <v>1</v>
      </c>
      <c r="M711">
        <v>1</v>
      </c>
      <c r="N711">
        <v>1</v>
      </c>
      <c r="O711">
        <v>1</v>
      </c>
      <c r="R711">
        <f t="shared" si="32"/>
        <v>40</v>
      </c>
      <c r="S711">
        <v>1</v>
      </c>
      <c r="T711">
        <v>1</v>
      </c>
      <c r="U711">
        <v>1</v>
      </c>
      <c r="V711">
        <v>1</v>
      </c>
      <c r="W711">
        <v>1</v>
      </c>
      <c r="AA711">
        <v>-10812.8714</v>
      </c>
      <c r="AB711">
        <v>-10812.8714</v>
      </c>
      <c r="AC711">
        <v>-10812.8714</v>
      </c>
      <c r="AD711">
        <v>-10812.8714</v>
      </c>
      <c r="AE711">
        <v>-10812.8714</v>
      </c>
    </row>
    <row r="712" spans="2:31" x14ac:dyDescent="0.25">
      <c r="B712">
        <f t="shared" si="30"/>
        <v>41</v>
      </c>
      <c r="C712">
        <v>1</v>
      </c>
      <c r="D712">
        <v>1</v>
      </c>
      <c r="E712">
        <v>1</v>
      </c>
      <c r="F712">
        <v>1</v>
      </c>
      <c r="G712">
        <v>1</v>
      </c>
      <c r="J712">
        <f t="shared" si="31"/>
        <v>41</v>
      </c>
      <c r="K712">
        <v>1</v>
      </c>
      <c r="L712">
        <v>1</v>
      </c>
      <c r="M712">
        <v>1</v>
      </c>
      <c r="N712">
        <v>1</v>
      </c>
      <c r="O712">
        <v>1</v>
      </c>
      <c r="R712">
        <f t="shared" si="32"/>
        <v>41</v>
      </c>
      <c r="S712">
        <v>1</v>
      </c>
      <c r="T712">
        <v>1</v>
      </c>
      <c r="U712">
        <v>1</v>
      </c>
      <c r="V712">
        <v>1</v>
      </c>
      <c r="W712">
        <v>1</v>
      </c>
      <c r="AA712">
        <v>-10706.559600000001</v>
      </c>
      <c r="AB712">
        <v>-10706.559600000001</v>
      </c>
      <c r="AC712">
        <v>-10706.559600000001</v>
      </c>
      <c r="AD712">
        <v>-10706.559600000001</v>
      </c>
      <c r="AE712">
        <v>-10706.559600000001</v>
      </c>
    </row>
    <row r="713" spans="2:31" x14ac:dyDescent="0.25">
      <c r="B713">
        <f t="shared" si="30"/>
        <v>42</v>
      </c>
      <c r="C713">
        <v>1</v>
      </c>
      <c r="D713">
        <v>1</v>
      </c>
      <c r="E713">
        <v>1</v>
      </c>
      <c r="F713">
        <v>1</v>
      </c>
      <c r="G713">
        <v>1</v>
      </c>
      <c r="J713">
        <f t="shared" si="31"/>
        <v>42</v>
      </c>
      <c r="K713">
        <v>1</v>
      </c>
      <c r="L713">
        <v>1</v>
      </c>
      <c r="M713">
        <v>1</v>
      </c>
      <c r="N713">
        <v>1</v>
      </c>
      <c r="O713">
        <v>1</v>
      </c>
      <c r="R713">
        <f t="shared" si="32"/>
        <v>42</v>
      </c>
      <c r="S713">
        <v>1</v>
      </c>
      <c r="T713">
        <v>1</v>
      </c>
      <c r="U713">
        <v>1</v>
      </c>
      <c r="V713">
        <v>1</v>
      </c>
      <c r="W713">
        <v>1</v>
      </c>
      <c r="AA713">
        <v>-10597.8485</v>
      </c>
      <c r="AB713">
        <v>-10597.8485</v>
      </c>
      <c r="AC713">
        <v>-10597.8485</v>
      </c>
      <c r="AD713">
        <v>-10597.8485</v>
      </c>
      <c r="AE713">
        <v>-10597.8485</v>
      </c>
    </row>
    <row r="714" spans="2:31" x14ac:dyDescent="0.25">
      <c r="B714">
        <f t="shared" si="30"/>
        <v>43</v>
      </c>
      <c r="C714">
        <v>1</v>
      </c>
      <c r="D714">
        <v>1</v>
      </c>
      <c r="E714">
        <v>1</v>
      </c>
      <c r="F714">
        <v>1</v>
      </c>
      <c r="G714">
        <v>1</v>
      </c>
      <c r="J714">
        <f t="shared" si="31"/>
        <v>43</v>
      </c>
      <c r="K714">
        <v>1</v>
      </c>
      <c r="L714">
        <v>1</v>
      </c>
      <c r="M714">
        <v>1</v>
      </c>
      <c r="N714">
        <v>1</v>
      </c>
      <c r="O714">
        <v>1</v>
      </c>
      <c r="R714">
        <f t="shared" si="32"/>
        <v>43</v>
      </c>
      <c r="S714">
        <v>1</v>
      </c>
      <c r="T714">
        <v>1</v>
      </c>
      <c r="U714">
        <v>1</v>
      </c>
      <c r="V714">
        <v>1</v>
      </c>
      <c r="W714">
        <v>1</v>
      </c>
      <c r="AA714">
        <v>-10486.615400000001</v>
      </c>
      <c r="AB714">
        <v>-10486.615400000001</v>
      </c>
      <c r="AC714">
        <v>-10486.615400000001</v>
      </c>
      <c r="AD714">
        <v>-10486.615400000001</v>
      </c>
      <c r="AE714">
        <v>-10486.615400000001</v>
      </c>
    </row>
    <row r="715" spans="2:31" x14ac:dyDescent="0.25">
      <c r="B715">
        <f t="shared" si="30"/>
        <v>44</v>
      </c>
      <c r="C715">
        <v>1</v>
      </c>
      <c r="D715">
        <v>1</v>
      </c>
      <c r="E715">
        <v>1</v>
      </c>
      <c r="F715">
        <v>1</v>
      </c>
      <c r="G715">
        <v>1</v>
      </c>
      <c r="J715">
        <f t="shared" si="31"/>
        <v>44</v>
      </c>
      <c r="K715">
        <v>1</v>
      </c>
      <c r="L715">
        <v>1</v>
      </c>
      <c r="M715">
        <v>1</v>
      </c>
      <c r="N715">
        <v>1</v>
      </c>
      <c r="O715">
        <v>1</v>
      </c>
      <c r="R715">
        <f t="shared" si="32"/>
        <v>44</v>
      </c>
      <c r="S715">
        <v>1</v>
      </c>
      <c r="T715">
        <v>1</v>
      </c>
      <c r="U715">
        <v>1</v>
      </c>
      <c r="V715">
        <v>1</v>
      </c>
      <c r="W715">
        <v>1</v>
      </c>
      <c r="AA715">
        <v>-10372.9005</v>
      </c>
      <c r="AB715">
        <v>-10372.9005</v>
      </c>
      <c r="AC715">
        <v>-10372.9005</v>
      </c>
      <c r="AD715">
        <v>-10372.9005</v>
      </c>
      <c r="AE715">
        <v>-10372.9005</v>
      </c>
    </row>
    <row r="716" spans="2:31" x14ac:dyDescent="0.25">
      <c r="B716">
        <f t="shared" si="30"/>
        <v>45</v>
      </c>
      <c r="C716">
        <v>1</v>
      </c>
      <c r="D716">
        <v>1</v>
      </c>
      <c r="E716">
        <v>1</v>
      </c>
      <c r="F716">
        <v>1</v>
      </c>
      <c r="G716">
        <v>1</v>
      </c>
      <c r="J716">
        <f t="shared" si="31"/>
        <v>45</v>
      </c>
      <c r="K716">
        <v>1</v>
      </c>
      <c r="L716">
        <v>1</v>
      </c>
      <c r="M716">
        <v>1</v>
      </c>
      <c r="N716">
        <v>1</v>
      </c>
      <c r="O716">
        <v>1</v>
      </c>
      <c r="R716">
        <f t="shared" si="32"/>
        <v>45</v>
      </c>
      <c r="S716">
        <v>1</v>
      </c>
      <c r="T716">
        <v>1</v>
      </c>
      <c r="U716">
        <v>1</v>
      </c>
      <c r="V716">
        <v>1</v>
      </c>
      <c r="W716">
        <v>1</v>
      </c>
      <c r="AA716">
        <v>-10256.650600000001</v>
      </c>
      <c r="AB716">
        <v>-10256.650600000001</v>
      </c>
      <c r="AC716">
        <v>-10256.650600000001</v>
      </c>
      <c r="AD716">
        <v>-10256.650600000001</v>
      </c>
      <c r="AE716">
        <v>-10256.650600000001</v>
      </c>
    </row>
    <row r="717" spans="2:31" x14ac:dyDescent="0.25">
      <c r="B717">
        <f t="shared" si="30"/>
        <v>46</v>
      </c>
      <c r="C717">
        <v>1</v>
      </c>
      <c r="D717">
        <v>1</v>
      </c>
      <c r="E717">
        <v>1</v>
      </c>
      <c r="F717">
        <v>1</v>
      </c>
      <c r="G717">
        <v>1</v>
      </c>
      <c r="J717">
        <f t="shared" si="31"/>
        <v>46</v>
      </c>
      <c r="K717">
        <v>1</v>
      </c>
      <c r="L717">
        <v>1</v>
      </c>
      <c r="M717">
        <v>1</v>
      </c>
      <c r="N717">
        <v>1</v>
      </c>
      <c r="O717">
        <v>1</v>
      </c>
      <c r="R717">
        <f t="shared" si="32"/>
        <v>46</v>
      </c>
      <c r="S717">
        <v>1</v>
      </c>
      <c r="T717">
        <v>1</v>
      </c>
      <c r="U717">
        <v>1</v>
      </c>
      <c r="V717">
        <v>1</v>
      </c>
      <c r="W717">
        <v>1</v>
      </c>
      <c r="AA717">
        <v>-10137.871499999999</v>
      </c>
      <c r="AB717">
        <v>-10137.871499999999</v>
      </c>
      <c r="AC717">
        <v>-10137.871499999999</v>
      </c>
      <c r="AD717">
        <v>-10137.871499999999</v>
      </c>
      <c r="AE717">
        <v>-10137.871499999999</v>
      </c>
    </row>
    <row r="718" spans="2:31" x14ac:dyDescent="0.25">
      <c r="B718">
        <f t="shared" si="30"/>
        <v>47</v>
      </c>
      <c r="C718">
        <v>1</v>
      </c>
      <c r="D718">
        <v>1</v>
      </c>
      <c r="E718">
        <v>1</v>
      </c>
      <c r="F718">
        <v>1</v>
      </c>
      <c r="G718">
        <v>1</v>
      </c>
      <c r="J718">
        <f t="shared" si="31"/>
        <v>47</v>
      </c>
      <c r="K718">
        <v>1</v>
      </c>
      <c r="L718">
        <v>1</v>
      </c>
      <c r="M718">
        <v>1</v>
      </c>
      <c r="N718">
        <v>1</v>
      </c>
      <c r="O718">
        <v>1</v>
      </c>
      <c r="R718">
        <f t="shared" si="32"/>
        <v>47</v>
      </c>
      <c r="S718">
        <v>1</v>
      </c>
      <c r="T718">
        <v>1</v>
      </c>
      <c r="U718">
        <v>1</v>
      </c>
      <c r="V718">
        <v>1</v>
      </c>
      <c r="W718">
        <v>1</v>
      </c>
      <c r="AA718">
        <v>-10016.4967</v>
      </c>
      <c r="AB718">
        <v>-10016.4967</v>
      </c>
      <c r="AC718">
        <v>-10016.4967</v>
      </c>
      <c r="AD718">
        <v>-10016.4967</v>
      </c>
      <c r="AE718">
        <v>-10016.4967</v>
      </c>
    </row>
    <row r="719" spans="2:31" x14ac:dyDescent="0.25">
      <c r="B719">
        <f t="shared" si="30"/>
        <v>48</v>
      </c>
      <c r="C719">
        <v>1</v>
      </c>
      <c r="D719">
        <v>1</v>
      </c>
      <c r="E719">
        <v>1</v>
      </c>
      <c r="F719">
        <v>1</v>
      </c>
      <c r="G719">
        <v>1</v>
      </c>
      <c r="J719">
        <f t="shared" si="31"/>
        <v>48</v>
      </c>
      <c r="K719">
        <v>1</v>
      </c>
      <c r="L719">
        <v>1</v>
      </c>
      <c r="M719">
        <v>1</v>
      </c>
      <c r="N719">
        <v>1</v>
      </c>
      <c r="O719">
        <v>1</v>
      </c>
      <c r="R719">
        <f t="shared" si="32"/>
        <v>48</v>
      </c>
      <c r="S719">
        <v>1</v>
      </c>
      <c r="T719">
        <v>1</v>
      </c>
      <c r="U719">
        <v>1</v>
      </c>
      <c r="V719">
        <v>1</v>
      </c>
      <c r="W719">
        <v>1</v>
      </c>
      <c r="AA719">
        <v>-9892.6355000000003</v>
      </c>
      <c r="AB719">
        <v>-9892.6355000000003</v>
      </c>
      <c r="AC719">
        <v>-9892.6355000000003</v>
      </c>
      <c r="AD719">
        <v>-9892.6355000000003</v>
      </c>
      <c r="AE719">
        <v>-9892.6355000000003</v>
      </c>
    </row>
    <row r="720" spans="2:31" x14ac:dyDescent="0.25">
      <c r="B720">
        <f t="shared" si="30"/>
        <v>49</v>
      </c>
      <c r="C720">
        <v>1</v>
      </c>
      <c r="D720">
        <v>1</v>
      </c>
      <c r="E720">
        <v>1</v>
      </c>
      <c r="F720">
        <v>1</v>
      </c>
      <c r="G720">
        <v>1</v>
      </c>
      <c r="J720">
        <f t="shared" si="31"/>
        <v>49</v>
      </c>
      <c r="K720">
        <v>1</v>
      </c>
      <c r="L720">
        <v>1</v>
      </c>
      <c r="M720">
        <v>1</v>
      </c>
      <c r="N720">
        <v>1</v>
      </c>
      <c r="O720">
        <v>1</v>
      </c>
      <c r="R720">
        <f t="shared" si="32"/>
        <v>49</v>
      </c>
      <c r="S720">
        <v>1</v>
      </c>
      <c r="T720">
        <v>1</v>
      </c>
      <c r="U720">
        <v>1</v>
      </c>
      <c r="V720">
        <v>1</v>
      </c>
      <c r="W720">
        <v>1</v>
      </c>
      <c r="AA720">
        <v>-9766.3366999999998</v>
      </c>
      <c r="AB720">
        <v>-9766.3366999999998</v>
      </c>
      <c r="AC720">
        <v>-9766.3366999999998</v>
      </c>
      <c r="AD720">
        <v>-9766.3366999999998</v>
      </c>
      <c r="AE720">
        <v>-9766.3366999999998</v>
      </c>
    </row>
    <row r="721" spans="2:31" x14ac:dyDescent="0.25">
      <c r="B721">
        <f t="shared" si="30"/>
        <v>50</v>
      </c>
      <c r="C721">
        <v>1</v>
      </c>
      <c r="D721">
        <v>1</v>
      </c>
      <c r="E721">
        <v>1</v>
      </c>
      <c r="F721">
        <v>1</v>
      </c>
      <c r="G721">
        <v>1</v>
      </c>
      <c r="J721">
        <f t="shared" si="31"/>
        <v>50</v>
      </c>
      <c r="K721">
        <v>1</v>
      </c>
      <c r="L721">
        <v>1</v>
      </c>
      <c r="M721">
        <v>1</v>
      </c>
      <c r="N721">
        <v>1</v>
      </c>
      <c r="O721">
        <v>1</v>
      </c>
      <c r="R721">
        <f t="shared" si="32"/>
        <v>50</v>
      </c>
      <c r="S721">
        <v>1</v>
      </c>
      <c r="T721">
        <v>1</v>
      </c>
      <c r="U721">
        <v>1</v>
      </c>
      <c r="V721">
        <v>1</v>
      </c>
      <c r="W721">
        <v>1</v>
      </c>
      <c r="AA721">
        <v>-9637.5864000000001</v>
      </c>
      <c r="AB721">
        <v>-9637.5864000000001</v>
      </c>
      <c r="AC721">
        <v>-9637.5864000000001</v>
      </c>
      <c r="AD721">
        <v>-9637.5864000000001</v>
      </c>
      <c r="AE721">
        <v>-9637.5864000000001</v>
      </c>
    </row>
    <row r="722" spans="2:31" x14ac:dyDescent="0.25">
      <c r="B722">
        <f t="shared" si="30"/>
        <v>51</v>
      </c>
      <c r="C722">
        <v>1</v>
      </c>
      <c r="D722">
        <v>1</v>
      </c>
      <c r="E722">
        <v>1</v>
      </c>
      <c r="F722">
        <v>1</v>
      </c>
      <c r="G722">
        <v>1</v>
      </c>
      <c r="J722">
        <f t="shared" si="31"/>
        <v>51</v>
      </c>
      <c r="K722">
        <v>1</v>
      </c>
      <c r="L722">
        <v>1</v>
      </c>
      <c r="M722">
        <v>1</v>
      </c>
      <c r="N722">
        <v>1</v>
      </c>
      <c r="O722">
        <v>1</v>
      </c>
      <c r="R722">
        <f t="shared" si="32"/>
        <v>51</v>
      </c>
      <c r="S722">
        <v>1</v>
      </c>
      <c r="T722">
        <v>1</v>
      </c>
      <c r="U722">
        <v>1</v>
      </c>
      <c r="V722">
        <v>1</v>
      </c>
      <c r="W722">
        <v>1</v>
      </c>
      <c r="AA722">
        <v>-9506.3734000000004</v>
      </c>
      <c r="AB722">
        <v>-9506.3734000000004</v>
      </c>
      <c r="AC722">
        <v>-9506.3734000000004</v>
      </c>
      <c r="AD722">
        <v>-9506.3734000000004</v>
      </c>
      <c r="AE722">
        <v>-9506.3734000000004</v>
      </c>
    </row>
    <row r="723" spans="2:31" x14ac:dyDescent="0.25">
      <c r="B723">
        <f t="shared" si="30"/>
        <v>52</v>
      </c>
      <c r="C723">
        <v>1</v>
      </c>
      <c r="D723">
        <v>1</v>
      </c>
      <c r="E723">
        <v>1</v>
      </c>
      <c r="F723">
        <v>1</v>
      </c>
      <c r="G723">
        <v>1</v>
      </c>
      <c r="J723">
        <f t="shared" si="31"/>
        <v>52</v>
      </c>
      <c r="K723">
        <v>1</v>
      </c>
      <c r="L723">
        <v>1</v>
      </c>
      <c r="M723">
        <v>1</v>
      </c>
      <c r="N723">
        <v>1</v>
      </c>
      <c r="O723">
        <v>1</v>
      </c>
      <c r="R723">
        <f t="shared" si="32"/>
        <v>52</v>
      </c>
      <c r="S723">
        <v>1</v>
      </c>
      <c r="T723">
        <v>1</v>
      </c>
      <c r="U723">
        <v>1</v>
      </c>
      <c r="V723">
        <v>1</v>
      </c>
      <c r="W723">
        <v>1</v>
      </c>
      <c r="AA723">
        <v>-9372.7019</v>
      </c>
      <c r="AB723">
        <v>-9372.7019</v>
      </c>
      <c r="AC723">
        <v>-9372.7019</v>
      </c>
      <c r="AD723">
        <v>-9372.7019</v>
      </c>
      <c r="AE723">
        <v>-9372.7019</v>
      </c>
    </row>
    <row r="724" spans="2:31" x14ac:dyDescent="0.25">
      <c r="B724">
        <f t="shared" si="30"/>
        <v>53</v>
      </c>
      <c r="C724">
        <v>1</v>
      </c>
      <c r="D724">
        <v>1</v>
      </c>
      <c r="E724">
        <v>1</v>
      </c>
      <c r="F724">
        <v>1</v>
      </c>
      <c r="G724">
        <v>1</v>
      </c>
      <c r="J724">
        <f t="shared" si="31"/>
        <v>53</v>
      </c>
      <c r="K724">
        <v>1</v>
      </c>
      <c r="L724">
        <v>1</v>
      </c>
      <c r="M724">
        <v>1</v>
      </c>
      <c r="N724">
        <v>1</v>
      </c>
      <c r="O724">
        <v>1</v>
      </c>
      <c r="R724">
        <f t="shared" si="32"/>
        <v>53</v>
      </c>
      <c r="S724">
        <v>1</v>
      </c>
      <c r="T724">
        <v>1</v>
      </c>
      <c r="U724">
        <v>1</v>
      </c>
      <c r="V724">
        <v>1</v>
      </c>
      <c r="W724">
        <v>1</v>
      </c>
      <c r="AA724">
        <v>-9236.6705000000002</v>
      </c>
      <c r="AB724">
        <v>-9236.6705000000002</v>
      </c>
      <c r="AC724">
        <v>-9236.6705000000002</v>
      </c>
      <c r="AD724">
        <v>-9236.6705000000002</v>
      </c>
      <c r="AE724">
        <v>-9236.6705000000002</v>
      </c>
    </row>
    <row r="725" spans="2:31" x14ac:dyDescent="0.25">
      <c r="B725">
        <f t="shared" si="30"/>
        <v>54</v>
      </c>
      <c r="C725">
        <v>1</v>
      </c>
      <c r="D725">
        <v>1</v>
      </c>
      <c r="E725">
        <v>1</v>
      </c>
      <c r="F725">
        <v>1</v>
      </c>
      <c r="G725">
        <v>1</v>
      </c>
      <c r="J725">
        <f t="shared" si="31"/>
        <v>54</v>
      </c>
      <c r="K725">
        <v>1</v>
      </c>
      <c r="L725">
        <v>1</v>
      </c>
      <c r="M725">
        <v>1</v>
      </c>
      <c r="N725">
        <v>1</v>
      </c>
      <c r="O725">
        <v>1</v>
      </c>
      <c r="R725">
        <f t="shared" si="32"/>
        <v>54</v>
      </c>
      <c r="S725">
        <v>1</v>
      </c>
      <c r="T725">
        <v>1</v>
      </c>
      <c r="U725">
        <v>1</v>
      </c>
      <c r="V725">
        <v>1</v>
      </c>
      <c r="W725">
        <v>1</v>
      </c>
      <c r="AA725">
        <v>-9098.4312000000009</v>
      </c>
      <c r="AB725">
        <v>-9098.4312000000009</v>
      </c>
      <c r="AC725">
        <v>-9098.4312000000009</v>
      </c>
      <c r="AD725">
        <v>-9098.4312000000009</v>
      </c>
      <c r="AE725">
        <v>-9098.4312000000009</v>
      </c>
    </row>
    <row r="726" spans="2:31" x14ac:dyDescent="0.25">
      <c r="B726">
        <f t="shared" si="30"/>
        <v>55</v>
      </c>
      <c r="C726">
        <v>1</v>
      </c>
      <c r="D726">
        <v>1</v>
      </c>
      <c r="E726">
        <v>1</v>
      </c>
      <c r="F726">
        <v>1</v>
      </c>
      <c r="G726">
        <v>1</v>
      </c>
      <c r="J726">
        <f t="shared" si="31"/>
        <v>55</v>
      </c>
      <c r="K726">
        <v>1</v>
      </c>
      <c r="L726">
        <v>1</v>
      </c>
      <c r="M726">
        <v>1</v>
      </c>
      <c r="N726">
        <v>1</v>
      </c>
      <c r="O726">
        <v>1</v>
      </c>
      <c r="R726">
        <f t="shared" si="32"/>
        <v>55</v>
      </c>
      <c r="S726">
        <v>1</v>
      </c>
      <c r="T726">
        <v>1</v>
      </c>
      <c r="U726">
        <v>1</v>
      </c>
      <c r="V726">
        <v>1</v>
      </c>
      <c r="W726">
        <v>1</v>
      </c>
      <c r="AA726">
        <v>-8958.0210999999999</v>
      </c>
      <c r="AB726">
        <v>-8958.0210999999999</v>
      </c>
      <c r="AC726">
        <v>-8958.0210999999999</v>
      </c>
      <c r="AD726">
        <v>-8958.0210999999999</v>
      </c>
      <c r="AE726">
        <v>-8958.0210999999999</v>
      </c>
    </row>
    <row r="727" spans="2:31" x14ac:dyDescent="0.25">
      <c r="B727">
        <f t="shared" si="30"/>
        <v>56</v>
      </c>
      <c r="C727">
        <v>1</v>
      </c>
      <c r="D727">
        <v>1</v>
      </c>
      <c r="E727">
        <v>1</v>
      </c>
      <c r="F727">
        <v>1</v>
      </c>
      <c r="G727">
        <v>1</v>
      </c>
      <c r="J727">
        <f t="shared" si="31"/>
        <v>56</v>
      </c>
      <c r="K727">
        <v>1</v>
      </c>
      <c r="L727">
        <v>1</v>
      </c>
      <c r="M727">
        <v>1</v>
      </c>
      <c r="N727">
        <v>1</v>
      </c>
      <c r="O727">
        <v>1</v>
      </c>
      <c r="R727">
        <f t="shared" si="32"/>
        <v>56</v>
      </c>
      <c r="S727">
        <v>1</v>
      </c>
      <c r="T727">
        <v>1</v>
      </c>
      <c r="U727">
        <v>1</v>
      </c>
      <c r="V727">
        <v>1</v>
      </c>
      <c r="W727">
        <v>1</v>
      </c>
      <c r="AA727">
        <v>-8815.6316999999999</v>
      </c>
      <c r="AB727">
        <v>-8815.6316999999999</v>
      </c>
      <c r="AC727">
        <v>-8815.6316999999999</v>
      </c>
      <c r="AD727">
        <v>-8815.6316999999999</v>
      </c>
      <c r="AE727">
        <v>-8815.6316999999999</v>
      </c>
    </row>
    <row r="728" spans="2:31" x14ac:dyDescent="0.25">
      <c r="B728">
        <f t="shared" si="30"/>
        <v>57</v>
      </c>
      <c r="C728">
        <v>1</v>
      </c>
      <c r="D728">
        <v>1</v>
      </c>
      <c r="E728">
        <v>1</v>
      </c>
      <c r="F728">
        <v>1</v>
      </c>
      <c r="G728">
        <v>1</v>
      </c>
      <c r="J728">
        <f t="shared" si="31"/>
        <v>57</v>
      </c>
      <c r="K728">
        <v>1</v>
      </c>
      <c r="L728">
        <v>1</v>
      </c>
      <c r="M728">
        <v>1</v>
      </c>
      <c r="N728">
        <v>1</v>
      </c>
      <c r="O728">
        <v>1</v>
      </c>
      <c r="R728">
        <f t="shared" si="32"/>
        <v>57</v>
      </c>
      <c r="S728">
        <v>1</v>
      </c>
      <c r="T728">
        <v>1</v>
      </c>
      <c r="U728">
        <v>1</v>
      </c>
      <c r="V728">
        <v>1</v>
      </c>
      <c r="W728">
        <v>1</v>
      </c>
      <c r="AA728">
        <v>-8671.3991999999998</v>
      </c>
      <c r="AB728">
        <v>-8671.3991999999998</v>
      </c>
      <c r="AC728">
        <v>-8671.3991999999998</v>
      </c>
      <c r="AD728">
        <v>-8671.3991999999998</v>
      </c>
      <c r="AE728">
        <v>-8671.3991999999998</v>
      </c>
    </row>
    <row r="729" spans="2:31" x14ac:dyDescent="0.25">
      <c r="B729">
        <f t="shared" si="30"/>
        <v>58</v>
      </c>
      <c r="C729">
        <v>1</v>
      </c>
      <c r="D729">
        <v>1</v>
      </c>
      <c r="E729">
        <v>1</v>
      </c>
      <c r="F729">
        <v>1</v>
      </c>
      <c r="G729">
        <v>1</v>
      </c>
      <c r="J729">
        <f t="shared" si="31"/>
        <v>58</v>
      </c>
      <c r="K729">
        <v>1</v>
      </c>
      <c r="L729">
        <v>1</v>
      </c>
      <c r="M729">
        <v>1</v>
      </c>
      <c r="N729">
        <v>1</v>
      </c>
      <c r="O729">
        <v>1</v>
      </c>
      <c r="R729">
        <f t="shared" si="32"/>
        <v>58</v>
      </c>
      <c r="S729">
        <v>1</v>
      </c>
      <c r="T729">
        <v>1</v>
      </c>
      <c r="U729">
        <v>1</v>
      </c>
      <c r="V729">
        <v>1</v>
      </c>
      <c r="W729">
        <v>1</v>
      </c>
      <c r="AA729">
        <v>-8525.2759999999998</v>
      </c>
      <c r="AB729">
        <v>-8525.2759999999998</v>
      </c>
      <c r="AC729">
        <v>-8525.2759999999998</v>
      </c>
      <c r="AD729">
        <v>-8525.2759999999998</v>
      </c>
      <c r="AE729">
        <v>-8525.2759999999998</v>
      </c>
    </row>
    <row r="730" spans="2:31" x14ac:dyDescent="0.25">
      <c r="B730">
        <f t="shared" si="30"/>
        <v>59</v>
      </c>
      <c r="C730">
        <v>1</v>
      </c>
      <c r="D730">
        <v>1</v>
      </c>
      <c r="E730">
        <v>1</v>
      </c>
      <c r="F730">
        <v>1</v>
      </c>
      <c r="G730">
        <v>1</v>
      </c>
      <c r="J730">
        <f t="shared" si="31"/>
        <v>59</v>
      </c>
      <c r="K730">
        <v>1</v>
      </c>
      <c r="L730">
        <v>1</v>
      </c>
      <c r="M730">
        <v>1</v>
      </c>
      <c r="N730">
        <v>1</v>
      </c>
      <c r="O730">
        <v>1</v>
      </c>
      <c r="R730">
        <f t="shared" si="32"/>
        <v>59</v>
      </c>
      <c r="S730">
        <v>1</v>
      </c>
      <c r="T730">
        <v>1</v>
      </c>
      <c r="U730">
        <v>1</v>
      </c>
      <c r="V730">
        <v>1</v>
      </c>
      <c r="W730">
        <v>1</v>
      </c>
      <c r="AA730">
        <v>-8377.2351999999992</v>
      </c>
      <c r="AB730">
        <v>-8377.2351999999992</v>
      </c>
      <c r="AC730">
        <v>-8377.2351999999992</v>
      </c>
      <c r="AD730">
        <v>-8377.2351999999992</v>
      </c>
      <c r="AE730">
        <v>-8377.2351999999992</v>
      </c>
    </row>
    <row r="731" spans="2:31" x14ac:dyDescent="0.25">
      <c r="B731">
        <f t="shared" si="30"/>
        <v>60</v>
      </c>
      <c r="C731">
        <v>1</v>
      </c>
      <c r="D731">
        <v>1</v>
      </c>
      <c r="E731">
        <v>1</v>
      </c>
      <c r="F731">
        <v>1</v>
      </c>
      <c r="G731">
        <v>1</v>
      </c>
      <c r="J731">
        <f t="shared" si="31"/>
        <v>60</v>
      </c>
      <c r="K731">
        <v>1</v>
      </c>
      <c r="L731">
        <v>1</v>
      </c>
      <c r="M731">
        <v>1</v>
      </c>
      <c r="N731">
        <v>1</v>
      </c>
      <c r="O731">
        <v>1</v>
      </c>
      <c r="R731">
        <f t="shared" si="32"/>
        <v>60</v>
      </c>
      <c r="S731">
        <v>1</v>
      </c>
      <c r="T731">
        <v>1</v>
      </c>
      <c r="U731">
        <v>1</v>
      </c>
      <c r="V731">
        <v>1</v>
      </c>
      <c r="W731">
        <v>1</v>
      </c>
      <c r="AA731">
        <v>-8227.3953999999994</v>
      </c>
      <c r="AB731">
        <v>-8227.3953999999994</v>
      </c>
      <c r="AC731">
        <v>-8227.3953999999994</v>
      </c>
      <c r="AD731">
        <v>-8227.3953999999994</v>
      </c>
      <c r="AE731">
        <v>-8227.3953999999994</v>
      </c>
    </row>
    <row r="732" spans="2:31" x14ac:dyDescent="0.25">
      <c r="B732">
        <f t="shared" si="30"/>
        <v>61</v>
      </c>
      <c r="C732">
        <v>1</v>
      </c>
      <c r="D732">
        <v>1</v>
      </c>
      <c r="E732">
        <v>1</v>
      </c>
      <c r="F732">
        <v>1</v>
      </c>
      <c r="G732">
        <v>1</v>
      </c>
      <c r="J732">
        <f t="shared" si="31"/>
        <v>61</v>
      </c>
      <c r="K732">
        <v>1</v>
      </c>
      <c r="L732">
        <v>1</v>
      </c>
      <c r="M732">
        <v>1</v>
      </c>
      <c r="N732">
        <v>1</v>
      </c>
      <c r="O732">
        <v>1</v>
      </c>
      <c r="R732">
        <f t="shared" si="32"/>
        <v>61</v>
      </c>
      <c r="S732">
        <v>1</v>
      </c>
      <c r="T732">
        <v>1</v>
      </c>
      <c r="U732">
        <v>1</v>
      </c>
      <c r="V732">
        <v>1</v>
      </c>
      <c r="W732">
        <v>1</v>
      </c>
      <c r="AA732">
        <v>-8076.1778999999997</v>
      </c>
      <c r="AB732">
        <v>-8076.1778999999997</v>
      </c>
      <c r="AC732">
        <v>-8076.1778999999997</v>
      </c>
      <c r="AD732">
        <v>-8076.1778999999997</v>
      </c>
      <c r="AE732">
        <v>-8076.1778999999997</v>
      </c>
    </row>
    <row r="733" spans="2:31" x14ac:dyDescent="0.25">
      <c r="B733">
        <f t="shared" si="30"/>
        <v>62</v>
      </c>
      <c r="C733">
        <v>1</v>
      </c>
      <c r="D733">
        <v>1</v>
      </c>
      <c r="E733">
        <v>1</v>
      </c>
      <c r="F733">
        <v>1</v>
      </c>
      <c r="G733">
        <v>1</v>
      </c>
      <c r="J733">
        <f t="shared" si="31"/>
        <v>62</v>
      </c>
      <c r="K733">
        <v>1</v>
      </c>
      <c r="L733">
        <v>1</v>
      </c>
      <c r="M733">
        <v>1</v>
      </c>
      <c r="N733">
        <v>1</v>
      </c>
      <c r="O733">
        <v>1</v>
      </c>
      <c r="R733">
        <f t="shared" si="32"/>
        <v>62</v>
      </c>
      <c r="S733">
        <v>1</v>
      </c>
      <c r="T733">
        <v>1</v>
      </c>
      <c r="U733">
        <v>1</v>
      </c>
      <c r="V733">
        <v>1</v>
      </c>
      <c r="W733">
        <v>1</v>
      </c>
      <c r="AA733">
        <v>-7923.5816000000004</v>
      </c>
      <c r="AB733">
        <v>-7923.5816000000004</v>
      </c>
      <c r="AC733">
        <v>-7923.5816000000004</v>
      </c>
      <c r="AD733">
        <v>-7923.5816000000004</v>
      </c>
      <c r="AE733">
        <v>-7923.5816000000004</v>
      </c>
    </row>
    <row r="734" spans="2:31" x14ac:dyDescent="0.25">
      <c r="B734">
        <f t="shared" si="30"/>
        <v>63</v>
      </c>
      <c r="C734">
        <v>1</v>
      </c>
      <c r="D734">
        <v>1</v>
      </c>
      <c r="E734">
        <v>1</v>
      </c>
      <c r="F734">
        <v>1</v>
      </c>
      <c r="G734">
        <v>1</v>
      </c>
      <c r="J734">
        <f t="shared" si="31"/>
        <v>63</v>
      </c>
      <c r="K734">
        <v>1</v>
      </c>
      <c r="L734">
        <v>1</v>
      </c>
      <c r="M734">
        <v>1</v>
      </c>
      <c r="N734">
        <v>1</v>
      </c>
      <c r="O734">
        <v>1</v>
      </c>
      <c r="R734">
        <f t="shared" si="32"/>
        <v>63</v>
      </c>
      <c r="S734">
        <v>1</v>
      </c>
      <c r="T734">
        <v>1</v>
      </c>
      <c r="U734">
        <v>1</v>
      </c>
      <c r="V734">
        <v>1</v>
      </c>
      <c r="W734">
        <v>1</v>
      </c>
      <c r="AA734">
        <v>-7769.2775000000001</v>
      </c>
      <c r="AB734">
        <v>-7769.2775000000001</v>
      </c>
      <c r="AC734">
        <v>-7769.2775000000001</v>
      </c>
      <c r="AD734">
        <v>-7769.2775000000001</v>
      </c>
      <c r="AE734">
        <v>-7769.2775000000001</v>
      </c>
    </row>
    <row r="735" spans="2:31" x14ac:dyDescent="0.25">
      <c r="B735">
        <f t="shared" si="30"/>
        <v>64</v>
      </c>
      <c r="C735">
        <v>1</v>
      </c>
      <c r="D735">
        <v>1</v>
      </c>
      <c r="E735">
        <v>1</v>
      </c>
      <c r="F735">
        <v>1</v>
      </c>
      <c r="G735">
        <v>1</v>
      </c>
      <c r="J735">
        <f t="shared" si="31"/>
        <v>64</v>
      </c>
      <c r="K735">
        <v>1</v>
      </c>
      <c r="L735">
        <v>1</v>
      </c>
      <c r="M735">
        <v>1</v>
      </c>
      <c r="N735">
        <v>1</v>
      </c>
      <c r="O735">
        <v>1</v>
      </c>
      <c r="R735">
        <f t="shared" si="32"/>
        <v>64</v>
      </c>
      <c r="S735">
        <v>1</v>
      </c>
      <c r="T735">
        <v>1</v>
      </c>
      <c r="U735">
        <v>1</v>
      </c>
      <c r="V735">
        <v>1</v>
      </c>
      <c r="W735">
        <v>1</v>
      </c>
      <c r="AA735">
        <v>-7613.3999000000003</v>
      </c>
      <c r="AB735">
        <v>-7613.3999000000003</v>
      </c>
      <c r="AC735">
        <v>-7613.3999000000003</v>
      </c>
      <c r="AD735">
        <v>-7613.3999000000003</v>
      </c>
      <c r="AE735">
        <v>-7613.3999000000003</v>
      </c>
    </row>
    <row r="736" spans="2:31" x14ac:dyDescent="0.25">
      <c r="B736">
        <f t="shared" si="30"/>
        <v>65</v>
      </c>
      <c r="C736">
        <v>1</v>
      </c>
      <c r="D736">
        <v>1</v>
      </c>
      <c r="E736">
        <v>1</v>
      </c>
      <c r="F736">
        <v>1</v>
      </c>
      <c r="G736">
        <v>1</v>
      </c>
      <c r="J736">
        <f t="shared" si="31"/>
        <v>65</v>
      </c>
      <c r="K736">
        <v>1</v>
      </c>
      <c r="L736">
        <v>1</v>
      </c>
      <c r="M736">
        <v>1</v>
      </c>
      <c r="N736">
        <v>1</v>
      </c>
      <c r="O736">
        <v>1</v>
      </c>
      <c r="R736">
        <f t="shared" si="32"/>
        <v>65</v>
      </c>
      <c r="S736">
        <v>1</v>
      </c>
      <c r="T736">
        <v>1</v>
      </c>
      <c r="U736">
        <v>1</v>
      </c>
      <c r="V736">
        <v>1</v>
      </c>
      <c r="W736">
        <v>1</v>
      </c>
      <c r="AA736">
        <v>-7455.8590000000004</v>
      </c>
      <c r="AB736">
        <v>-7455.8590000000004</v>
      </c>
      <c r="AC736">
        <v>-7455.8590000000004</v>
      </c>
      <c r="AD736">
        <v>-7455.8590000000004</v>
      </c>
      <c r="AE736">
        <v>-7455.8590000000004</v>
      </c>
    </row>
    <row r="739" spans="2:32" x14ac:dyDescent="0.25">
      <c r="B739" t="s">
        <v>46</v>
      </c>
      <c r="C739">
        <v>50000</v>
      </c>
      <c r="D739">
        <v>100000</v>
      </c>
      <c r="E739">
        <v>250000</v>
      </c>
      <c r="F739">
        <v>500000</v>
      </c>
      <c r="G739">
        <v>1000000</v>
      </c>
      <c r="H739">
        <v>2000000</v>
      </c>
      <c r="J739" t="s">
        <v>47</v>
      </c>
      <c r="K739">
        <v>50000</v>
      </c>
      <c r="L739">
        <v>100000</v>
      </c>
      <c r="M739">
        <v>250000</v>
      </c>
      <c r="N739">
        <v>500000</v>
      </c>
      <c r="O739">
        <v>1000000</v>
      </c>
      <c r="P739">
        <v>2000000</v>
      </c>
      <c r="R739" t="s">
        <v>48</v>
      </c>
      <c r="S739">
        <v>50000</v>
      </c>
      <c r="T739">
        <v>100000</v>
      </c>
      <c r="U739">
        <v>250000</v>
      </c>
      <c r="V739">
        <v>500000</v>
      </c>
      <c r="W739">
        <v>1000000</v>
      </c>
      <c r="X739">
        <v>2000000</v>
      </c>
    </row>
    <row r="740" spans="2:32" x14ac:dyDescent="0.25">
      <c r="B740">
        <v>26</v>
      </c>
      <c r="C740">
        <v>1</v>
      </c>
      <c r="D740">
        <v>1</v>
      </c>
      <c r="E740">
        <v>1</v>
      </c>
      <c r="F740">
        <v>1</v>
      </c>
      <c r="G740">
        <v>1</v>
      </c>
      <c r="H740">
        <v>1</v>
      </c>
      <c r="J740">
        <v>26</v>
      </c>
      <c r="K740">
        <v>1</v>
      </c>
      <c r="L740">
        <v>1</v>
      </c>
      <c r="M740">
        <v>1</v>
      </c>
      <c r="N740">
        <v>1</v>
      </c>
      <c r="O740">
        <v>1</v>
      </c>
      <c r="P740">
        <v>1</v>
      </c>
      <c r="R740">
        <v>26</v>
      </c>
      <c r="S740">
        <v>1</v>
      </c>
      <c r="T740">
        <v>1</v>
      </c>
      <c r="U740">
        <v>1</v>
      </c>
      <c r="V740">
        <v>1</v>
      </c>
      <c r="W740">
        <v>1</v>
      </c>
      <c r="X740">
        <v>1</v>
      </c>
      <c r="AA740">
        <v>-7435.5060999999996</v>
      </c>
      <c r="AB740">
        <v>-7435.5060999999996</v>
      </c>
      <c r="AC740">
        <v>-7435.5060999999996</v>
      </c>
      <c r="AD740">
        <v>-7435.5060999999996</v>
      </c>
      <c r="AE740">
        <v>-7435.5060999999996</v>
      </c>
      <c r="AF740">
        <v>-7435.5060999999996</v>
      </c>
    </row>
    <row r="741" spans="2:32" x14ac:dyDescent="0.25">
      <c r="B741">
        <v>27</v>
      </c>
      <c r="C741">
        <v>1</v>
      </c>
      <c r="D741">
        <v>1</v>
      </c>
      <c r="E741">
        <v>1</v>
      </c>
      <c r="F741">
        <v>1</v>
      </c>
      <c r="G741">
        <v>1</v>
      </c>
      <c r="H741">
        <v>1</v>
      </c>
      <c r="J741">
        <v>27</v>
      </c>
      <c r="K741">
        <v>1</v>
      </c>
      <c r="L741">
        <v>1</v>
      </c>
      <c r="M741">
        <v>1</v>
      </c>
      <c r="N741">
        <v>1</v>
      </c>
      <c r="O741">
        <v>1</v>
      </c>
      <c r="P741">
        <v>1</v>
      </c>
      <c r="R741">
        <v>27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AA741">
        <v>-7434.2619000000004</v>
      </c>
      <c r="AB741">
        <v>-7434.2619000000004</v>
      </c>
      <c r="AC741">
        <v>-7434.2619000000004</v>
      </c>
      <c r="AD741">
        <v>-7434.2619000000004</v>
      </c>
      <c r="AE741">
        <v>-7434.2619000000004</v>
      </c>
      <c r="AF741">
        <v>-7434.2619000000004</v>
      </c>
    </row>
    <row r="742" spans="2:32" x14ac:dyDescent="0.25">
      <c r="B742">
        <v>28</v>
      </c>
      <c r="C742">
        <v>1</v>
      </c>
      <c r="D742">
        <v>1</v>
      </c>
      <c r="E742">
        <v>1</v>
      </c>
      <c r="F742">
        <v>1</v>
      </c>
      <c r="G742">
        <v>1</v>
      </c>
      <c r="H742">
        <v>1</v>
      </c>
      <c r="J742">
        <v>28</v>
      </c>
      <c r="K742">
        <v>1</v>
      </c>
      <c r="L742">
        <v>1</v>
      </c>
      <c r="M742">
        <v>1</v>
      </c>
      <c r="N742">
        <v>1</v>
      </c>
      <c r="O742">
        <v>1</v>
      </c>
      <c r="P742">
        <v>1</v>
      </c>
      <c r="R742">
        <v>28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AA742">
        <v>-7432.8334999999997</v>
      </c>
      <c r="AB742">
        <v>-7432.8334999999997</v>
      </c>
      <c r="AC742">
        <v>-7432.8334999999997</v>
      </c>
      <c r="AD742">
        <v>-7432.8334999999997</v>
      </c>
      <c r="AE742">
        <v>-7432.8334999999997</v>
      </c>
      <c r="AF742">
        <v>-7432.8334999999997</v>
      </c>
    </row>
    <row r="743" spans="2:32" x14ac:dyDescent="0.25">
      <c r="B743">
        <v>29</v>
      </c>
      <c r="C743">
        <v>1</v>
      </c>
      <c r="D743">
        <v>1</v>
      </c>
      <c r="E743">
        <v>1</v>
      </c>
      <c r="F743">
        <v>1</v>
      </c>
      <c r="G743">
        <v>1</v>
      </c>
      <c r="H743">
        <v>1</v>
      </c>
      <c r="J743">
        <v>29</v>
      </c>
      <c r="K743">
        <v>1</v>
      </c>
      <c r="L743">
        <v>1</v>
      </c>
      <c r="M743">
        <v>1</v>
      </c>
      <c r="N743">
        <v>1</v>
      </c>
      <c r="O743">
        <v>1</v>
      </c>
      <c r="P743">
        <v>1</v>
      </c>
      <c r="R743">
        <v>29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1</v>
      </c>
      <c r="AA743">
        <v>-7431.2058999999999</v>
      </c>
      <c r="AB743">
        <v>-7431.2058999999999</v>
      </c>
      <c r="AC743">
        <v>-7431.2058999999999</v>
      </c>
      <c r="AD743">
        <v>-7431.2058999999999</v>
      </c>
      <c r="AE743">
        <v>-7431.2058999999999</v>
      </c>
      <c r="AF743">
        <v>-7431.2058999999999</v>
      </c>
    </row>
    <row r="744" spans="2:32" x14ac:dyDescent="0.25">
      <c r="B744">
        <v>30</v>
      </c>
      <c r="C744">
        <v>1</v>
      </c>
      <c r="D744">
        <v>1</v>
      </c>
      <c r="E744">
        <v>1</v>
      </c>
      <c r="F744">
        <v>1</v>
      </c>
      <c r="G744">
        <v>1</v>
      </c>
      <c r="H744">
        <v>1</v>
      </c>
      <c r="J744">
        <v>30</v>
      </c>
      <c r="K744">
        <v>1</v>
      </c>
      <c r="L744">
        <v>1</v>
      </c>
      <c r="M744">
        <v>1</v>
      </c>
      <c r="N744">
        <v>1</v>
      </c>
      <c r="O744">
        <v>1</v>
      </c>
      <c r="P744">
        <v>1</v>
      </c>
      <c r="R744">
        <v>30</v>
      </c>
      <c r="S744">
        <v>1</v>
      </c>
      <c r="T744">
        <v>1</v>
      </c>
      <c r="U744">
        <v>1</v>
      </c>
      <c r="V744">
        <v>1</v>
      </c>
      <c r="W744">
        <v>1</v>
      </c>
      <c r="X744">
        <v>1</v>
      </c>
      <c r="AA744">
        <v>-7429.3476000000001</v>
      </c>
      <c r="AB744">
        <v>-7429.3476000000001</v>
      </c>
      <c r="AC744">
        <v>-7429.3476000000001</v>
      </c>
      <c r="AD744">
        <v>-7429.3476000000001</v>
      </c>
      <c r="AE744">
        <v>-7429.3476000000001</v>
      </c>
      <c r="AF744">
        <v>-7429.3476000000001</v>
      </c>
    </row>
    <row r="745" spans="2:32" x14ac:dyDescent="0.25">
      <c r="B745">
        <v>31</v>
      </c>
      <c r="C745">
        <v>1</v>
      </c>
      <c r="D745">
        <v>1</v>
      </c>
      <c r="E745">
        <v>1</v>
      </c>
      <c r="F745">
        <v>1</v>
      </c>
      <c r="G745">
        <v>1</v>
      </c>
      <c r="H745">
        <v>1</v>
      </c>
      <c r="J745">
        <v>31</v>
      </c>
      <c r="K745">
        <v>1</v>
      </c>
      <c r="L745">
        <v>1</v>
      </c>
      <c r="M745">
        <v>1</v>
      </c>
      <c r="N745">
        <v>1</v>
      </c>
      <c r="O745">
        <v>1</v>
      </c>
      <c r="P745">
        <v>1</v>
      </c>
      <c r="R745">
        <v>31</v>
      </c>
      <c r="S745">
        <v>1</v>
      </c>
      <c r="T745">
        <v>1</v>
      </c>
      <c r="U745">
        <v>1</v>
      </c>
      <c r="V745">
        <v>1</v>
      </c>
      <c r="W745">
        <v>1</v>
      </c>
      <c r="X745">
        <v>1</v>
      </c>
      <c r="AA745">
        <v>-7427.2446</v>
      </c>
      <c r="AB745">
        <v>-7427.2446</v>
      </c>
      <c r="AC745">
        <v>-7427.2446</v>
      </c>
      <c r="AD745">
        <v>-7427.2446</v>
      </c>
      <c r="AE745">
        <v>-7427.2446</v>
      </c>
      <c r="AF745">
        <v>-7427.2446</v>
      </c>
    </row>
    <row r="746" spans="2:32" x14ac:dyDescent="0.25">
      <c r="B746">
        <v>32</v>
      </c>
      <c r="C746">
        <v>1</v>
      </c>
      <c r="D746">
        <v>1</v>
      </c>
      <c r="E746">
        <v>1</v>
      </c>
      <c r="F746">
        <v>1</v>
      </c>
      <c r="G746">
        <v>1</v>
      </c>
      <c r="H746">
        <v>1</v>
      </c>
      <c r="J746">
        <v>32</v>
      </c>
      <c r="K746">
        <v>1</v>
      </c>
      <c r="L746">
        <v>1</v>
      </c>
      <c r="M746">
        <v>1</v>
      </c>
      <c r="N746">
        <v>1</v>
      </c>
      <c r="O746">
        <v>1</v>
      </c>
      <c r="P746">
        <v>1</v>
      </c>
      <c r="R746">
        <v>32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AA746">
        <v>-7424.8944000000001</v>
      </c>
      <c r="AB746">
        <v>-7424.8944000000001</v>
      </c>
      <c r="AC746">
        <v>-7424.8944000000001</v>
      </c>
      <c r="AD746">
        <v>-7424.8944000000001</v>
      </c>
      <c r="AE746">
        <v>-7424.8944000000001</v>
      </c>
      <c r="AF746">
        <v>-7424.8944000000001</v>
      </c>
    </row>
    <row r="747" spans="2:32" x14ac:dyDescent="0.25">
      <c r="B747">
        <v>33</v>
      </c>
      <c r="C747">
        <v>1</v>
      </c>
      <c r="D747">
        <v>1</v>
      </c>
      <c r="E747">
        <v>1</v>
      </c>
      <c r="F747">
        <v>1</v>
      </c>
      <c r="G747">
        <v>1</v>
      </c>
      <c r="H747">
        <v>1</v>
      </c>
      <c r="J747">
        <v>33</v>
      </c>
      <c r="K747">
        <v>1</v>
      </c>
      <c r="L747">
        <v>1</v>
      </c>
      <c r="M747">
        <v>1</v>
      </c>
      <c r="N747">
        <v>1</v>
      </c>
      <c r="O747">
        <v>1</v>
      </c>
      <c r="P747">
        <v>1</v>
      </c>
      <c r="R747">
        <v>33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AA747">
        <v>-7422.2834000000003</v>
      </c>
      <c r="AB747">
        <v>-7422.2834000000003</v>
      </c>
      <c r="AC747">
        <v>-7422.2834000000003</v>
      </c>
      <c r="AD747">
        <v>-7422.2834000000003</v>
      </c>
      <c r="AE747">
        <v>-7422.2834000000003</v>
      </c>
      <c r="AF747">
        <v>-7422.2834000000003</v>
      </c>
    </row>
    <row r="748" spans="2:32" x14ac:dyDescent="0.25">
      <c r="B748">
        <v>34</v>
      </c>
      <c r="C748">
        <v>1</v>
      </c>
      <c r="D748">
        <v>1</v>
      </c>
      <c r="E748">
        <v>1</v>
      </c>
      <c r="F748">
        <v>1</v>
      </c>
      <c r="G748">
        <v>1</v>
      </c>
      <c r="H748">
        <v>1</v>
      </c>
      <c r="J748">
        <v>34</v>
      </c>
      <c r="K748">
        <v>1</v>
      </c>
      <c r="L748">
        <v>1</v>
      </c>
      <c r="M748">
        <v>1</v>
      </c>
      <c r="N748">
        <v>1</v>
      </c>
      <c r="O748">
        <v>1</v>
      </c>
      <c r="P748">
        <v>1</v>
      </c>
      <c r="R748">
        <v>34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AA748">
        <v>-7419.3683000000001</v>
      </c>
      <c r="AB748">
        <v>-7419.3683000000001</v>
      </c>
      <c r="AC748">
        <v>-7419.3683000000001</v>
      </c>
      <c r="AD748">
        <v>-7419.3683000000001</v>
      </c>
      <c r="AE748">
        <v>-7419.3683000000001</v>
      </c>
      <c r="AF748">
        <v>-7419.3683000000001</v>
      </c>
    </row>
    <row r="749" spans="2:32" x14ac:dyDescent="0.25">
      <c r="B749">
        <v>35</v>
      </c>
      <c r="C749">
        <v>1</v>
      </c>
      <c r="D749">
        <v>1</v>
      </c>
      <c r="E749">
        <v>1</v>
      </c>
      <c r="F749">
        <v>1</v>
      </c>
      <c r="G749">
        <v>1</v>
      </c>
      <c r="H749">
        <v>1</v>
      </c>
      <c r="J749">
        <v>35</v>
      </c>
      <c r="K749">
        <v>1</v>
      </c>
      <c r="L749">
        <v>1</v>
      </c>
      <c r="M749">
        <v>1</v>
      </c>
      <c r="N749">
        <v>1</v>
      </c>
      <c r="O749">
        <v>1</v>
      </c>
      <c r="P749">
        <v>1</v>
      </c>
      <c r="R749">
        <v>35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AA749">
        <v>-7416.1363000000001</v>
      </c>
      <c r="AB749">
        <v>-7416.1363000000001</v>
      </c>
      <c r="AC749">
        <v>-7416.1363000000001</v>
      </c>
      <c r="AD749">
        <v>-7416.1363000000001</v>
      </c>
      <c r="AE749">
        <v>-7416.1363000000001</v>
      </c>
      <c r="AF749">
        <v>-7416.1363000000001</v>
      </c>
    </row>
    <row r="750" spans="2:32" x14ac:dyDescent="0.25">
      <c r="B750">
        <v>36</v>
      </c>
      <c r="C750">
        <v>1</v>
      </c>
      <c r="D750">
        <v>1</v>
      </c>
      <c r="E750">
        <v>1</v>
      </c>
      <c r="F750">
        <v>1</v>
      </c>
      <c r="G750">
        <v>1</v>
      </c>
      <c r="H750">
        <v>1</v>
      </c>
      <c r="J750">
        <v>36</v>
      </c>
      <c r="K750">
        <v>1</v>
      </c>
      <c r="L750">
        <v>1</v>
      </c>
      <c r="M750">
        <v>1</v>
      </c>
      <c r="N750">
        <v>1</v>
      </c>
      <c r="O750">
        <v>1</v>
      </c>
      <c r="P750">
        <v>1</v>
      </c>
      <c r="R750">
        <v>36</v>
      </c>
      <c r="S750">
        <v>1</v>
      </c>
      <c r="T750">
        <v>1</v>
      </c>
      <c r="U750">
        <v>1</v>
      </c>
      <c r="V750">
        <v>1</v>
      </c>
      <c r="W750">
        <v>1</v>
      </c>
      <c r="X750">
        <v>1</v>
      </c>
      <c r="AA750">
        <v>-7412.5378000000001</v>
      </c>
      <c r="AB750">
        <v>-7412.5378000000001</v>
      </c>
      <c r="AC750">
        <v>-7412.5378000000001</v>
      </c>
      <c r="AD750">
        <v>-7412.5378000000001</v>
      </c>
      <c r="AE750">
        <v>-7412.5378000000001</v>
      </c>
      <c r="AF750">
        <v>-7412.5378000000001</v>
      </c>
    </row>
    <row r="751" spans="2:32" x14ac:dyDescent="0.25">
      <c r="B751">
        <v>37</v>
      </c>
      <c r="C751">
        <v>1</v>
      </c>
      <c r="D751">
        <v>1</v>
      </c>
      <c r="E751">
        <v>1</v>
      </c>
      <c r="F751">
        <v>1</v>
      </c>
      <c r="G751">
        <v>1</v>
      </c>
      <c r="H751">
        <v>1</v>
      </c>
      <c r="J751">
        <v>37</v>
      </c>
      <c r="K751">
        <v>1</v>
      </c>
      <c r="L751">
        <v>1</v>
      </c>
      <c r="M751">
        <v>1</v>
      </c>
      <c r="N751">
        <v>1</v>
      </c>
      <c r="O751">
        <v>1</v>
      </c>
      <c r="P751">
        <v>1</v>
      </c>
      <c r="R751">
        <v>37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AA751">
        <v>-7408.55</v>
      </c>
      <c r="AB751">
        <v>-7408.55</v>
      </c>
      <c r="AC751">
        <v>-7408.55</v>
      </c>
      <c r="AD751">
        <v>-7408.55</v>
      </c>
      <c r="AE751">
        <v>-7408.55</v>
      </c>
      <c r="AF751">
        <v>-7408.55</v>
      </c>
    </row>
    <row r="752" spans="2:32" x14ac:dyDescent="0.25">
      <c r="B752">
        <v>38</v>
      </c>
      <c r="C752">
        <v>1</v>
      </c>
      <c r="D752">
        <v>1</v>
      </c>
      <c r="E752">
        <v>1</v>
      </c>
      <c r="F752">
        <v>1</v>
      </c>
      <c r="G752">
        <v>1</v>
      </c>
      <c r="H752">
        <v>1</v>
      </c>
      <c r="J752">
        <v>38</v>
      </c>
      <c r="K752">
        <v>1</v>
      </c>
      <c r="L752">
        <v>1</v>
      </c>
      <c r="M752">
        <v>1</v>
      </c>
      <c r="N752">
        <v>1</v>
      </c>
      <c r="O752">
        <v>1</v>
      </c>
      <c r="P752">
        <v>1</v>
      </c>
      <c r="R752">
        <v>38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AA752">
        <v>-7404.1752999999999</v>
      </c>
      <c r="AB752">
        <v>-7404.1752999999999</v>
      </c>
      <c r="AC752">
        <v>-7404.1752999999999</v>
      </c>
      <c r="AD752">
        <v>-7404.1752999999999</v>
      </c>
      <c r="AE752">
        <v>-7404.1752999999999</v>
      </c>
      <c r="AF752">
        <v>-7404.1752999999999</v>
      </c>
    </row>
    <row r="753" spans="2:32" x14ac:dyDescent="0.25">
      <c r="B753">
        <v>39</v>
      </c>
      <c r="C753">
        <v>1</v>
      </c>
      <c r="D753">
        <v>1</v>
      </c>
      <c r="E753">
        <v>1</v>
      </c>
      <c r="F753">
        <v>1</v>
      </c>
      <c r="G753">
        <v>1</v>
      </c>
      <c r="H753">
        <v>1</v>
      </c>
      <c r="J753">
        <v>39</v>
      </c>
      <c r="K753">
        <v>1</v>
      </c>
      <c r="L753">
        <v>1</v>
      </c>
      <c r="M753">
        <v>1</v>
      </c>
      <c r="N753">
        <v>1</v>
      </c>
      <c r="O753">
        <v>1</v>
      </c>
      <c r="P753">
        <v>1</v>
      </c>
      <c r="R753">
        <v>39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AA753">
        <v>-7399.3923999999997</v>
      </c>
      <c r="AB753">
        <v>-7399.3923999999997</v>
      </c>
      <c r="AC753">
        <v>-7399.3923999999997</v>
      </c>
      <c r="AD753">
        <v>-7399.3923999999997</v>
      </c>
      <c r="AE753">
        <v>-7399.3923999999997</v>
      </c>
      <c r="AF753">
        <v>-7399.3923999999997</v>
      </c>
    </row>
    <row r="754" spans="2:32" x14ac:dyDescent="0.25">
      <c r="B754">
        <v>40</v>
      </c>
      <c r="C754">
        <v>1</v>
      </c>
      <c r="D754">
        <v>1</v>
      </c>
      <c r="E754">
        <v>1</v>
      </c>
      <c r="F754">
        <v>1</v>
      </c>
      <c r="G754">
        <v>1</v>
      </c>
      <c r="H754">
        <v>1</v>
      </c>
      <c r="J754">
        <v>40</v>
      </c>
      <c r="K754">
        <v>1</v>
      </c>
      <c r="L754">
        <v>1</v>
      </c>
      <c r="M754">
        <v>1</v>
      </c>
      <c r="N754">
        <v>1</v>
      </c>
      <c r="O754">
        <v>1</v>
      </c>
      <c r="P754">
        <v>1</v>
      </c>
      <c r="R754">
        <v>40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AA754">
        <v>-7394.1365999999998</v>
      </c>
      <c r="AB754">
        <v>-7394.1365999999998</v>
      </c>
      <c r="AC754">
        <v>-7394.1365999999998</v>
      </c>
      <c r="AD754">
        <v>-7394.1365999999998</v>
      </c>
      <c r="AE754">
        <v>-7394.1365999999998</v>
      </c>
      <c r="AF754">
        <v>-7394.1365999999998</v>
      </c>
    </row>
    <row r="755" spans="2:32" x14ac:dyDescent="0.25">
      <c r="B755">
        <v>41</v>
      </c>
      <c r="C755">
        <v>1</v>
      </c>
      <c r="D755">
        <v>1</v>
      </c>
      <c r="E755">
        <v>1</v>
      </c>
      <c r="F755">
        <v>1</v>
      </c>
      <c r="G755">
        <v>1</v>
      </c>
      <c r="H755">
        <v>1</v>
      </c>
      <c r="J755">
        <v>41</v>
      </c>
      <c r="K755">
        <v>1</v>
      </c>
      <c r="L755">
        <v>1</v>
      </c>
      <c r="M755">
        <v>1</v>
      </c>
      <c r="N755">
        <v>1</v>
      </c>
      <c r="O755">
        <v>1</v>
      </c>
      <c r="P755">
        <v>1</v>
      </c>
      <c r="R755">
        <v>41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AA755">
        <v>-7388.3469999999998</v>
      </c>
      <c r="AB755">
        <v>-7388.3469999999998</v>
      </c>
      <c r="AC755">
        <v>-7388.3469999999998</v>
      </c>
      <c r="AD755">
        <v>-7388.3469999999998</v>
      </c>
      <c r="AE755">
        <v>-7388.3469999999998</v>
      </c>
      <c r="AF755">
        <v>-7388.3469999999998</v>
      </c>
    </row>
    <row r="756" spans="2:32" x14ac:dyDescent="0.25">
      <c r="B756">
        <v>42</v>
      </c>
      <c r="C756">
        <v>1</v>
      </c>
      <c r="D756">
        <v>1</v>
      </c>
      <c r="E756">
        <v>1</v>
      </c>
      <c r="F756">
        <v>1</v>
      </c>
      <c r="G756">
        <v>1</v>
      </c>
      <c r="H756">
        <v>1</v>
      </c>
      <c r="J756">
        <v>42</v>
      </c>
      <c r="K756">
        <v>1</v>
      </c>
      <c r="L756">
        <v>1</v>
      </c>
      <c r="M756">
        <v>1</v>
      </c>
      <c r="N756">
        <v>1</v>
      </c>
      <c r="O756">
        <v>1</v>
      </c>
      <c r="P756">
        <v>1</v>
      </c>
      <c r="R756">
        <v>42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AA756">
        <v>-7381.9919</v>
      </c>
      <c r="AB756">
        <v>-7381.9919</v>
      </c>
      <c r="AC756">
        <v>-7381.9919</v>
      </c>
      <c r="AD756">
        <v>-7381.9919</v>
      </c>
      <c r="AE756">
        <v>-7381.9919</v>
      </c>
      <c r="AF756">
        <v>-7381.9919</v>
      </c>
    </row>
    <row r="757" spans="2:32" x14ac:dyDescent="0.25">
      <c r="B757">
        <v>43</v>
      </c>
      <c r="C757">
        <v>1</v>
      </c>
      <c r="D757">
        <v>1</v>
      </c>
      <c r="E757">
        <v>1</v>
      </c>
      <c r="F757">
        <v>1</v>
      </c>
      <c r="G757">
        <v>1</v>
      </c>
      <c r="H757">
        <v>1</v>
      </c>
      <c r="J757">
        <v>43</v>
      </c>
      <c r="K757">
        <v>1</v>
      </c>
      <c r="L757">
        <v>1</v>
      </c>
      <c r="M757">
        <v>1</v>
      </c>
      <c r="N757">
        <v>1</v>
      </c>
      <c r="O757">
        <v>1</v>
      </c>
      <c r="P757">
        <v>1</v>
      </c>
      <c r="R757">
        <v>43</v>
      </c>
      <c r="S757">
        <v>1</v>
      </c>
      <c r="T757">
        <v>1</v>
      </c>
      <c r="U757">
        <v>1</v>
      </c>
      <c r="V757">
        <v>1</v>
      </c>
      <c r="W757">
        <v>1</v>
      </c>
      <c r="X757">
        <v>1</v>
      </c>
      <c r="AA757">
        <v>-7374.9579999999996</v>
      </c>
      <c r="AB757">
        <v>-7374.9579999999996</v>
      </c>
      <c r="AC757">
        <v>-7374.9579999999996</v>
      </c>
      <c r="AD757">
        <v>-7374.9579999999996</v>
      </c>
      <c r="AE757">
        <v>-7374.9579999999996</v>
      </c>
      <c r="AF757">
        <v>-7374.9579999999996</v>
      </c>
    </row>
    <row r="758" spans="2:32" x14ac:dyDescent="0.25">
      <c r="B758">
        <v>44</v>
      </c>
      <c r="C758">
        <v>1</v>
      </c>
      <c r="D758">
        <v>1</v>
      </c>
      <c r="E758">
        <v>1</v>
      </c>
      <c r="F758">
        <v>1</v>
      </c>
      <c r="G758">
        <v>1</v>
      </c>
      <c r="H758">
        <v>1</v>
      </c>
      <c r="J758">
        <v>44</v>
      </c>
      <c r="K758">
        <v>1</v>
      </c>
      <c r="L758">
        <v>1</v>
      </c>
      <c r="M758">
        <v>1</v>
      </c>
      <c r="N758">
        <v>1</v>
      </c>
      <c r="O758">
        <v>1</v>
      </c>
      <c r="P758">
        <v>1</v>
      </c>
      <c r="R758">
        <v>44</v>
      </c>
      <c r="S758">
        <v>1</v>
      </c>
      <c r="T758">
        <v>1</v>
      </c>
      <c r="U758">
        <v>1</v>
      </c>
      <c r="V758">
        <v>1</v>
      </c>
      <c r="W758">
        <v>1</v>
      </c>
      <c r="X758">
        <v>1</v>
      </c>
      <c r="AA758">
        <v>-7367.2034999999996</v>
      </c>
      <c r="AB758">
        <v>-7367.2034999999996</v>
      </c>
      <c r="AC758">
        <v>-7367.2034999999996</v>
      </c>
      <c r="AD758">
        <v>-7367.2034999999996</v>
      </c>
      <c r="AE758">
        <v>-7367.2034999999996</v>
      </c>
      <c r="AF758">
        <v>-7367.2034999999996</v>
      </c>
    </row>
    <row r="759" spans="2:32" x14ac:dyDescent="0.25">
      <c r="B759">
        <v>45</v>
      </c>
      <c r="C759">
        <v>1</v>
      </c>
      <c r="D759">
        <v>1</v>
      </c>
      <c r="E759">
        <v>1</v>
      </c>
      <c r="F759">
        <v>1</v>
      </c>
      <c r="G759">
        <v>1</v>
      </c>
      <c r="H759">
        <v>1</v>
      </c>
      <c r="J759">
        <v>45</v>
      </c>
      <c r="K759">
        <v>1</v>
      </c>
      <c r="L759">
        <v>1</v>
      </c>
      <c r="M759">
        <v>1</v>
      </c>
      <c r="N759">
        <v>1</v>
      </c>
      <c r="O759">
        <v>1</v>
      </c>
      <c r="P759">
        <v>1</v>
      </c>
      <c r="R759">
        <v>45</v>
      </c>
      <c r="S759">
        <v>1</v>
      </c>
      <c r="T759">
        <v>1</v>
      </c>
      <c r="U759">
        <v>1</v>
      </c>
      <c r="V759">
        <v>1</v>
      </c>
      <c r="W759">
        <v>1</v>
      </c>
      <c r="X759">
        <v>1</v>
      </c>
      <c r="AA759">
        <v>-7358.6491999999998</v>
      </c>
      <c r="AB759">
        <v>-7358.6491999999998</v>
      </c>
      <c r="AC759">
        <v>-7358.6491999999998</v>
      </c>
      <c r="AD759">
        <v>-7358.6491999999998</v>
      </c>
      <c r="AE759">
        <v>-7358.6491999999998</v>
      </c>
      <c r="AF759">
        <v>-7358.6491999999998</v>
      </c>
    </row>
    <row r="760" spans="2:32" x14ac:dyDescent="0.25">
      <c r="B760">
        <v>46</v>
      </c>
      <c r="C760">
        <v>1</v>
      </c>
      <c r="D760">
        <v>1</v>
      </c>
      <c r="E760">
        <v>1</v>
      </c>
      <c r="F760">
        <v>1</v>
      </c>
      <c r="G760">
        <v>1</v>
      </c>
      <c r="H760">
        <v>1</v>
      </c>
      <c r="J760">
        <v>46</v>
      </c>
      <c r="K760">
        <v>1</v>
      </c>
      <c r="L760">
        <v>1</v>
      </c>
      <c r="M760">
        <v>1</v>
      </c>
      <c r="N760">
        <v>1</v>
      </c>
      <c r="O760">
        <v>1</v>
      </c>
      <c r="P760">
        <v>1</v>
      </c>
      <c r="R760">
        <v>46</v>
      </c>
      <c r="S760">
        <v>1</v>
      </c>
      <c r="T760">
        <v>1</v>
      </c>
      <c r="U760">
        <v>1</v>
      </c>
      <c r="V760">
        <v>1</v>
      </c>
      <c r="W760">
        <v>1</v>
      </c>
      <c r="X760">
        <v>1</v>
      </c>
      <c r="AA760">
        <v>-7349.2232000000004</v>
      </c>
      <c r="AB760">
        <v>-7349.2232000000004</v>
      </c>
      <c r="AC760">
        <v>-7349.2232000000004</v>
      </c>
      <c r="AD760">
        <v>-7349.2232000000004</v>
      </c>
      <c r="AE760">
        <v>-7349.2232000000004</v>
      </c>
      <c r="AF760">
        <v>-7349.2232000000004</v>
      </c>
    </row>
    <row r="761" spans="2:32" x14ac:dyDescent="0.25">
      <c r="B761">
        <v>47</v>
      </c>
      <c r="C761">
        <v>1</v>
      </c>
      <c r="D761">
        <v>1</v>
      </c>
      <c r="E761">
        <v>1</v>
      </c>
      <c r="F761">
        <v>1</v>
      </c>
      <c r="G761">
        <v>1</v>
      </c>
      <c r="H761">
        <v>1</v>
      </c>
      <c r="J761">
        <v>47</v>
      </c>
      <c r="K761">
        <v>1</v>
      </c>
      <c r="L761">
        <v>1</v>
      </c>
      <c r="M761">
        <v>1</v>
      </c>
      <c r="N761">
        <v>1</v>
      </c>
      <c r="O761">
        <v>1</v>
      </c>
      <c r="P761">
        <v>1</v>
      </c>
      <c r="R761">
        <v>47</v>
      </c>
      <c r="S761">
        <v>1</v>
      </c>
      <c r="T761">
        <v>1</v>
      </c>
      <c r="U761">
        <v>1</v>
      </c>
      <c r="V761">
        <v>1</v>
      </c>
      <c r="W761">
        <v>1</v>
      </c>
      <c r="X761">
        <v>1</v>
      </c>
      <c r="AA761">
        <v>-7338.8310000000001</v>
      </c>
      <c r="AB761">
        <v>-7338.8310000000001</v>
      </c>
      <c r="AC761">
        <v>-7338.8310000000001</v>
      </c>
      <c r="AD761">
        <v>-7338.8310000000001</v>
      </c>
      <c r="AE761">
        <v>-7338.8310000000001</v>
      </c>
      <c r="AF761">
        <v>-7338.8310000000001</v>
      </c>
    </row>
    <row r="762" spans="2:32" x14ac:dyDescent="0.25">
      <c r="B762">
        <v>48</v>
      </c>
      <c r="C762">
        <v>1</v>
      </c>
      <c r="D762">
        <v>1</v>
      </c>
      <c r="E762">
        <v>1</v>
      </c>
      <c r="F762">
        <v>1</v>
      </c>
      <c r="G762">
        <v>1</v>
      </c>
      <c r="H762">
        <v>1</v>
      </c>
      <c r="J762">
        <v>48</v>
      </c>
      <c r="K762">
        <v>1</v>
      </c>
      <c r="L762">
        <v>1</v>
      </c>
      <c r="M762">
        <v>1</v>
      </c>
      <c r="N762">
        <v>1</v>
      </c>
      <c r="O762">
        <v>1</v>
      </c>
      <c r="P762">
        <v>1</v>
      </c>
      <c r="R762">
        <v>48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1</v>
      </c>
      <c r="AA762">
        <v>-7327.4297999999999</v>
      </c>
      <c r="AB762">
        <v>-7327.4297999999999</v>
      </c>
      <c r="AC762">
        <v>-7327.4297999999999</v>
      </c>
      <c r="AD762">
        <v>-7327.4297999999999</v>
      </c>
      <c r="AE762">
        <v>-7327.4297999999999</v>
      </c>
      <c r="AF762">
        <v>-7327.4297999999999</v>
      </c>
    </row>
    <row r="763" spans="2:32" x14ac:dyDescent="0.25">
      <c r="B763">
        <v>49</v>
      </c>
      <c r="C763">
        <v>1</v>
      </c>
      <c r="D763">
        <v>1</v>
      </c>
      <c r="E763">
        <v>1</v>
      </c>
      <c r="F763">
        <v>1</v>
      </c>
      <c r="G763">
        <v>1</v>
      </c>
      <c r="H763">
        <v>1</v>
      </c>
      <c r="J763">
        <v>49</v>
      </c>
      <c r="K763">
        <v>1</v>
      </c>
      <c r="L763">
        <v>1</v>
      </c>
      <c r="M763">
        <v>1</v>
      </c>
      <c r="N763">
        <v>1</v>
      </c>
      <c r="O763">
        <v>1</v>
      </c>
      <c r="P763">
        <v>1</v>
      </c>
      <c r="R763">
        <v>49</v>
      </c>
      <c r="S763">
        <v>1</v>
      </c>
      <c r="T763">
        <v>1</v>
      </c>
      <c r="U763">
        <v>1</v>
      </c>
      <c r="V763">
        <v>1</v>
      </c>
      <c r="W763">
        <v>1</v>
      </c>
      <c r="X763">
        <v>1</v>
      </c>
      <c r="AA763">
        <v>-7314.951</v>
      </c>
      <c r="AB763">
        <v>-7314.951</v>
      </c>
      <c r="AC763">
        <v>-7314.951</v>
      </c>
      <c r="AD763">
        <v>-7314.951</v>
      </c>
      <c r="AE763">
        <v>-7314.951</v>
      </c>
      <c r="AF763">
        <v>-7314.951</v>
      </c>
    </row>
    <row r="764" spans="2:32" x14ac:dyDescent="0.25">
      <c r="B764">
        <v>50</v>
      </c>
      <c r="C764">
        <v>1</v>
      </c>
      <c r="D764">
        <v>1</v>
      </c>
      <c r="E764">
        <v>1</v>
      </c>
      <c r="F764">
        <v>1</v>
      </c>
      <c r="G764">
        <v>1</v>
      </c>
      <c r="H764">
        <v>1</v>
      </c>
      <c r="J764">
        <v>50</v>
      </c>
      <c r="K764">
        <v>1</v>
      </c>
      <c r="L764">
        <v>1</v>
      </c>
      <c r="M764">
        <v>1</v>
      </c>
      <c r="N764">
        <v>1</v>
      </c>
      <c r="O764">
        <v>1</v>
      </c>
      <c r="P764">
        <v>1</v>
      </c>
      <c r="R764">
        <v>50</v>
      </c>
      <c r="S764">
        <v>1</v>
      </c>
      <c r="T764">
        <v>1</v>
      </c>
      <c r="U764">
        <v>1</v>
      </c>
      <c r="V764">
        <v>1</v>
      </c>
      <c r="W764">
        <v>1</v>
      </c>
      <c r="X764">
        <v>1</v>
      </c>
      <c r="AA764">
        <v>-7301.2851000000001</v>
      </c>
      <c r="AB764">
        <v>-7301.2851000000001</v>
      </c>
      <c r="AC764">
        <v>-7301.2851000000001</v>
      </c>
      <c r="AD764">
        <v>-7301.2851000000001</v>
      </c>
      <c r="AE764">
        <v>-7301.2851000000001</v>
      </c>
      <c r="AF764">
        <v>-7301.2851000000001</v>
      </c>
    </row>
    <row r="765" spans="2:32" x14ac:dyDescent="0.25">
      <c r="B765">
        <v>51</v>
      </c>
      <c r="C765">
        <v>1</v>
      </c>
      <c r="D765">
        <v>1</v>
      </c>
      <c r="E765">
        <v>1</v>
      </c>
      <c r="F765">
        <v>1</v>
      </c>
      <c r="G765">
        <v>1</v>
      </c>
      <c r="H765">
        <v>1</v>
      </c>
      <c r="J765">
        <v>51</v>
      </c>
      <c r="K765">
        <v>1</v>
      </c>
      <c r="L765">
        <v>1</v>
      </c>
      <c r="M765">
        <v>1</v>
      </c>
      <c r="N765">
        <v>1</v>
      </c>
      <c r="O765">
        <v>1</v>
      </c>
      <c r="P765">
        <v>1</v>
      </c>
      <c r="R765">
        <v>51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AA765">
        <v>-7286.3271000000004</v>
      </c>
      <c r="AB765">
        <v>-7286.3271000000004</v>
      </c>
      <c r="AC765">
        <v>-7286.3271000000004</v>
      </c>
      <c r="AD765">
        <v>-7286.3271000000004</v>
      </c>
      <c r="AE765">
        <v>-7286.3271000000004</v>
      </c>
      <c r="AF765">
        <v>-7286.3271000000004</v>
      </c>
    </row>
    <row r="766" spans="2:32" x14ac:dyDescent="0.25">
      <c r="B766">
        <v>52</v>
      </c>
      <c r="C766">
        <v>1</v>
      </c>
      <c r="D766">
        <v>1</v>
      </c>
      <c r="E766">
        <v>1</v>
      </c>
      <c r="F766">
        <v>1</v>
      </c>
      <c r="G766">
        <v>1</v>
      </c>
      <c r="H766">
        <v>1</v>
      </c>
      <c r="J766">
        <v>52</v>
      </c>
      <c r="K766">
        <v>1</v>
      </c>
      <c r="L766">
        <v>1</v>
      </c>
      <c r="M766">
        <v>1</v>
      </c>
      <c r="N766">
        <v>1</v>
      </c>
      <c r="O766">
        <v>1</v>
      </c>
      <c r="P766">
        <v>1</v>
      </c>
      <c r="R766">
        <v>52</v>
      </c>
      <c r="S766">
        <v>1</v>
      </c>
      <c r="T766">
        <v>1</v>
      </c>
      <c r="U766">
        <v>1</v>
      </c>
      <c r="V766">
        <v>1</v>
      </c>
      <c r="W766">
        <v>1</v>
      </c>
      <c r="X766">
        <v>1</v>
      </c>
      <c r="AA766">
        <v>-7269.9448000000002</v>
      </c>
      <c r="AB766">
        <v>-7269.9448000000002</v>
      </c>
      <c r="AC766">
        <v>-7269.9448000000002</v>
      </c>
      <c r="AD766">
        <v>-7269.9448000000002</v>
      </c>
      <c r="AE766">
        <v>-7269.9448000000002</v>
      </c>
      <c r="AF766">
        <v>-7269.9448000000002</v>
      </c>
    </row>
    <row r="767" spans="2:32" x14ac:dyDescent="0.25">
      <c r="B767">
        <v>53</v>
      </c>
      <c r="C767">
        <v>1</v>
      </c>
      <c r="D767">
        <v>1</v>
      </c>
      <c r="E767">
        <v>1</v>
      </c>
      <c r="F767">
        <v>1</v>
      </c>
      <c r="G767">
        <v>1</v>
      </c>
      <c r="H767">
        <v>1</v>
      </c>
      <c r="J767">
        <v>53</v>
      </c>
      <c r="K767">
        <v>1</v>
      </c>
      <c r="L767">
        <v>1</v>
      </c>
      <c r="M767">
        <v>1</v>
      </c>
      <c r="N767">
        <v>1</v>
      </c>
      <c r="O767">
        <v>1</v>
      </c>
      <c r="P767">
        <v>1</v>
      </c>
      <c r="R767">
        <v>53</v>
      </c>
      <c r="S767">
        <v>1</v>
      </c>
      <c r="T767">
        <v>1</v>
      </c>
      <c r="U767">
        <v>1</v>
      </c>
      <c r="V767">
        <v>1</v>
      </c>
      <c r="W767">
        <v>1</v>
      </c>
      <c r="X767">
        <v>1</v>
      </c>
      <c r="AA767">
        <v>-7252.0574999999999</v>
      </c>
      <c r="AB767">
        <v>-7252.0574999999999</v>
      </c>
      <c r="AC767">
        <v>-7252.0574999999999</v>
      </c>
      <c r="AD767">
        <v>-7252.0574999999999</v>
      </c>
      <c r="AE767">
        <v>-7252.0574999999999</v>
      </c>
      <c r="AF767">
        <v>-7252.0574999999999</v>
      </c>
    </row>
    <row r="768" spans="2:32" x14ac:dyDescent="0.25">
      <c r="B768">
        <v>54</v>
      </c>
      <c r="C768">
        <v>1</v>
      </c>
      <c r="D768">
        <v>1</v>
      </c>
      <c r="E768">
        <v>1</v>
      </c>
      <c r="F768">
        <v>1</v>
      </c>
      <c r="G768">
        <v>1</v>
      </c>
      <c r="H768">
        <v>1</v>
      </c>
      <c r="J768">
        <v>54</v>
      </c>
      <c r="K768">
        <v>1</v>
      </c>
      <c r="L768">
        <v>1</v>
      </c>
      <c r="M768">
        <v>1</v>
      </c>
      <c r="N768">
        <v>1</v>
      </c>
      <c r="O768">
        <v>1</v>
      </c>
      <c r="P768">
        <v>1</v>
      </c>
      <c r="R768">
        <v>54</v>
      </c>
      <c r="S768">
        <v>1</v>
      </c>
      <c r="T768">
        <v>1</v>
      </c>
      <c r="U768">
        <v>1</v>
      </c>
      <c r="V768">
        <v>1</v>
      </c>
      <c r="W768">
        <v>1</v>
      </c>
      <c r="X768">
        <v>1</v>
      </c>
      <c r="AA768">
        <v>-7232.5680000000002</v>
      </c>
      <c r="AB768">
        <v>-7232.5680000000002</v>
      </c>
      <c r="AC768">
        <v>-7232.5680000000002</v>
      </c>
      <c r="AD768">
        <v>-7232.5680000000002</v>
      </c>
      <c r="AE768">
        <v>-7232.5680000000002</v>
      </c>
      <c r="AF768">
        <v>-7232.5680000000002</v>
      </c>
    </row>
    <row r="769" spans="2:32" x14ac:dyDescent="0.25">
      <c r="B769">
        <v>55</v>
      </c>
      <c r="C769">
        <v>1</v>
      </c>
      <c r="D769">
        <v>1</v>
      </c>
      <c r="E769">
        <v>1</v>
      </c>
      <c r="F769">
        <v>1</v>
      </c>
      <c r="G769">
        <v>1</v>
      </c>
      <c r="H769">
        <v>1</v>
      </c>
      <c r="J769">
        <v>55</v>
      </c>
      <c r="K769">
        <v>1</v>
      </c>
      <c r="L769">
        <v>1</v>
      </c>
      <c r="M769">
        <v>1</v>
      </c>
      <c r="N769">
        <v>1</v>
      </c>
      <c r="O769">
        <v>1</v>
      </c>
      <c r="P769">
        <v>1</v>
      </c>
      <c r="R769">
        <v>55</v>
      </c>
      <c r="S769">
        <v>1</v>
      </c>
      <c r="T769">
        <v>1</v>
      </c>
      <c r="U769">
        <v>1</v>
      </c>
      <c r="V769">
        <v>1</v>
      </c>
      <c r="W769">
        <v>1</v>
      </c>
      <c r="X769">
        <v>1</v>
      </c>
      <c r="AA769">
        <v>-7211.3207000000002</v>
      </c>
      <c r="AB769">
        <v>-7211.3207000000002</v>
      </c>
      <c r="AC769">
        <v>-7211.3207000000002</v>
      </c>
      <c r="AD769">
        <v>-7211.3207000000002</v>
      </c>
      <c r="AE769">
        <v>-7211.3207000000002</v>
      </c>
      <c r="AF769">
        <v>-7211.3207000000002</v>
      </c>
    </row>
    <row r="772" spans="2:32" x14ac:dyDescent="0.25">
      <c r="B772" t="s">
        <v>46</v>
      </c>
      <c r="C772">
        <v>100000</v>
      </c>
      <c r="D772">
        <v>250000</v>
      </c>
      <c r="E772">
        <v>500000</v>
      </c>
      <c r="F772">
        <v>1000000</v>
      </c>
      <c r="G772">
        <v>2000000</v>
      </c>
      <c r="J772" t="s">
        <v>32</v>
      </c>
      <c r="K772">
        <v>100000</v>
      </c>
      <c r="L772">
        <v>250000</v>
      </c>
      <c r="M772">
        <v>500000</v>
      </c>
      <c r="N772">
        <v>1000000</v>
      </c>
      <c r="O772">
        <v>2000000</v>
      </c>
      <c r="R772" t="s">
        <v>48</v>
      </c>
      <c r="S772">
        <v>100000</v>
      </c>
      <c r="T772">
        <v>250000</v>
      </c>
      <c r="U772">
        <v>500000</v>
      </c>
      <c r="V772">
        <v>1000000</v>
      </c>
      <c r="W772">
        <v>2000000</v>
      </c>
    </row>
    <row r="773" spans="2:32" x14ac:dyDescent="0.25">
      <c r="B773">
        <v>35</v>
      </c>
      <c r="C773">
        <v>1</v>
      </c>
      <c r="D773">
        <v>1</v>
      </c>
      <c r="E773">
        <v>1</v>
      </c>
      <c r="F773">
        <v>1</v>
      </c>
      <c r="G773">
        <v>1</v>
      </c>
      <c r="J773">
        <v>35</v>
      </c>
      <c r="K773">
        <v>1</v>
      </c>
      <c r="L773">
        <v>1</v>
      </c>
      <c r="M773">
        <v>1</v>
      </c>
      <c r="N773">
        <v>1</v>
      </c>
      <c r="O773">
        <v>1</v>
      </c>
      <c r="R773">
        <v>35</v>
      </c>
      <c r="S773">
        <v>1</v>
      </c>
      <c r="T773">
        <v>1</v>
      </c>
      <c r="U773">
        <v>1</v>
      </c>
      <c r="V773">
        <v>1</v>
      </c>
      <c r="W773">
        <v>1</v>
      </c>
      <c r="AA773">
        <v>-11308.6893</v>
      </c>
      <c r="AB773">
        <v>-11308.6893</v>
      </c>
      <c r="AC773">
        <v>-11308.6893</v>
      </c>
      <c r="AD773">
        <v>-11308.6893</v>
      </c>
      <c r="AE773">
        <v>-11308.6893</v>
      </c>
    </row>
    <row r="774" spans="2:32" x14ac:dyDescent="0.25">
      <c r="B774">
        <f t="shared" ref="B774:B803" si="33">B773+1</f>
        <v>36</v>
      </c>
      <c r="C774">
        <v>1</v>
      </c>
      <c r="D774">
        <v>1</v>
      </c>
      <c r="E774">
        <v>1</v>
      </c>
      <c r="F774">
        <v>1</v>
      </c>
      <c r="G774">
        <v>1</v>
      </c>
      <c r="J774">
        <f t="shared" ref="J774:J803" si="34">J773+1</f>
        <v>36</v>
      </c>
      <c r="K774">
        <v>1</v>
      </c>
      <c r="L774">
        <v>1</v>
      </c>
      <c r="M774">
        <v>1</v>
      </c>
      <c r="N774">
        <v>1</v>
      </c>
      <c r="O774">
        <v>1</v>
      </c>
      <c r="R774">
        <f t="shared" ref="R774:R803" si="35">R773+1</f>
        <v>36</v>
      </c>
      <c r="S774">
        <v>1</v>
      </c>
      <c r="T774">
        <v>1</v>
      </c>
      <c r="U774">
        <v>1</v>
      </c>
      <c r="V774">
        <v>1</v>
      </c>
      <c r="W774">
        <v>1</v>
      </c>
      <c r="AA774">
        <v>-11214.2592</v>
      </c>
      <c r="AB774">
        <v>-11214.2592</v>
      </c>
      <c r="AC774">
        <v>-11214.2592</v>
      </c>
      <c r="AD774">
        <v>-11214.2592</v>
      </c>
      <c r="AE774">
        <v>-11214.2592</v>
      </c>
    </row>
    <row r="775" spans="2:32" x14ac:dyDescent="0.25">
      <c r="B775">
        <f t="shared" si="33"/>
        <v>37</v>
      </c>
      <c r="C775">
        <v>1</v>
      </c>
      <c r="D775">
        <v>1</v>
      </c>
      <c r="E775">
        <v>1</v>
      </c>
      <c r="F775">
        <v>1</v>
      </c>
      <c r="G775">
        <v>1</v>
      </c>
      <c r="J775">
        <f t="shared" si="34"/>
        <v>37</v>
      </c>
      <c r="K775">
        <v>1</v>
      </c>
      <c r="L775">
        <v>1</v>
      </c>
      <c r="M775">
        <v>1</v>
      </c>
      <c r="N775">
        <v>1</v>
      </c>
      <c r="O775">
        <v>1</v>
      </c>
      <c r="R775">
        <f t="shared" si="35"/>
        <v>37</v>
      </c>
      <c r="S775">
        <v>1</v>
      </c>
      <c r="T775">
        <v>1</v>
      </c>
      <c r="U775">
        <v>1</v>
      </c>
      <c r="V775">
        <v>1</v>
      </c>
      <c r="W775">
        <v>1</v>
      </c>
      <c r="AA775">
        <v>-11117.406199999999</v>
      </c>
      <c r="AB775">
        <v>-11117.406199999999</v>
      </c>
      <c r="AC775">
        <v>-11117.406199999999</v>
      </c>
      <c r="AD775">
        <v>-11117.406199999999</v>
      </c>
      <c r="AE775">
        <v>-11117.406199999999</v>
      </c>
    </row>
    <row r="776" spans="2:32" x14ac:dyDescent="0.25">
      <c r="B776">
        <f t="shared" si="33"/>
        <v>38</v>
      </c>
      <c r="C776">
        <v>1</v>
      </c>
      <c r="D776">
        <v>1</v>
      </c>
      <c r="E776">
        <v>1</v>
      </c>
      <c r="F776">
        <v>1</v>
      </c>
      <c r="G776">
        <v>1</v>
      </c>
      <c r="J776">
        <f t="shared" si="34"/>
        <v>38</v>
      </c>
      <c r="K776">
        <v>1</v>
      </c>
      <c r="L776">
        <v>1</v>
      </c>
      <c r="M776">
        <v>1</v>
      </c>
      <c r="N776">
        <v>1</v>
      </c>
      <c r="O776">
        <v>1</v>
      </c>
      <c r="R776">
        <f t="shared" si="35"/>
        <v>38</v>
      </c>
      <c r="S776">
        <v>1</v>
      </c>
      <c r="T776">
        <v>1</v>
      </c>
      <c r="U776">
        <v>1</v>
      </c>
      <c r="V776">
        <v>1</v>
      </c>
      <c r="W776">
        <v>1</v>
      </c>
      <c r="AA776">
        <v>-11018.229799999999</v>
      </c>
      <c r="AB776">
        <v>-11018.229799999999</v>
      </c>
      <c r="AC776">
        <v>-11018.229799999999</v>
      </c>
      <c r="AD776">
        <v>-11018.229799999999</v>
      </c>
      <c r="AE776">
        <v>-11018.229799999999</v>
      </c>
    </row>
    <row r="777" spans="2:32" x14ac:dyDescent="0.25">
      <c r="B777">
        <f t="shared" si="33"/>
        <v>39</v>
      </c>
      <c r="C777">
        <v>1</v>
      </c>
      <c r="D777">
        <v>1</v>
      </c>
      <c r="E777">
        <v>1</v>
      </c>
      <c r="F777">
        <v>1</v>
      </c>
      <c r="G777">
        <v>1</v>
      </c>
      <c r="J777">
        <f t="shared" si="34"/>
        <v>39</v>
      </c>
      <c r="K777">
        <v>1</v>
      </c>
      <c r="L777">
        <v>1</v>
      </c>
      <c r="M777">
        <v>1</v>
      </c>
      <c r="N777">
        <v>1</v>
      </c>
      <c r="O777">
        <v>1</v>
      </c>
      <c r="R777">
        <f t="shared" si="35"/>
        <v>39</v>
      </c>
      <c r="S777">
        <v>1</v>
      </c>
      <c r="T777">
        <v>1</v>
      </c>
      <c r="U777">
        <v>1</v>
      </c>
      <c r="V777">
        <v>1</v>
      </c>
      <c r="W777">
        <v>1</v>
      </c>
      <c r="AA777">
        <v>-10916.737999999999</v>
      </c>
      <c r="AB777">
        <v>-10916.737999999999</v>
      </c>
      <c r="AC777">
        <v>-10916.737999999999</v>
      </c>
      <c r="AD777">
        <v>-10916.737999999999</v>
      </c>
      <c r="AE777">
        <v>-10916.737999999999</v>
      </c>
    </row>
    <row r="778" spans="2:32" x14ac:dyDescent="0.25">
      <c r="B778">
        <f t="shared" si="33"/>
        <v>40</v>
      </c>
      <c r="C778">
        <v>1</v>
      </c>
      <c r="D778">
        <v>1</v>
      </c>
      <c r="E778">
        <v>1</v>
      </c>
      <c r="F778">
        <v>1</v>
      </c>
      <c r="G778">
        <v>1</v>
      </c>
      <c r="J778">
        <f t="shared" si="34"/>
        <v>40</v>
      </c>
      <c r="K778">
        <v>1</v>
      </c>
      <c r="L778">
        <v>1</v>
      </c>
      <c r="M778">
        <v>1</v>
      </c>
      <c r="N778">
        <v>1</v>
      </c>
      <c r="O778">
        <v>1</v>
      </c>
      <c r="R778">
        <f t="shared" si="35"/>
        <v>40</v>
      </c>
      <c r="S778">
        <v>1</v>
      </c>
      <c r="T778">
        <v>1</v>
      </c>
      <c r="U778">
        <v>1</v>
      </c>
      <c r="V778">
        <v>1</v>
      </c>
      <c r="W778">
        <v>1</v>
      </c>
      <c r="AA778">
        <v>-10812.8714</v>
      </c>
      <c r="AB778">
        <v>-10812.8714</v>
      </c>
      <c r="AC778">
        <v>-10812.8714</v>
      </c>
      <c r="AD778">
        <v>-10812.8714</v>
      </c>
      <c r="AE778">
        <v>-10812.8714</v>
      </c>
    </row>
    <row r="779" spans="2:32" x14ac:dyDescent="0.25">
      <c r="B779">
        <f t="shared" si="33"/>
        <v>41</v>
      </c>
      <c r="C779">
        <v>1</v>
      </c>
      <c r="D779">
        <v>1</v>
      </c>
      <c r="E779">
        <v>1</v>
      </c>
      <c r="F779">
        <v>1</v>
      </c>
      <c r="G779">
        <v>1</v>
      </c>
      <c r="J779">
        <f t="shared" si="34"/>
        <v>41</v>
      </c>
      <c r="K779">
        <v>1</v>
      </c>
      <c r="L779">
        <v>1</v>
      </c>
      <c r="M779">
        <v>1</v>
      </c>
      <c r="N779">
        <v>1</v>
      </c>
      <c r="O779">
        <v>1</v>
      </c>
      <c r="R779">
        <f t="shared" si="35"/>
        <v>41</v>
      </c>
      <c r="S779">
        <v>1</v>
      </c>
      <c r="T779">
        <v>1</v>
      </c>
      <c r="U779">
        <v>1</v>
      </c>
      <c r="V779">
        <v>1</v>
      </c>
      <c r="W779">
        <v>1</v>
      </c>
      <c r="AA779">
        <v>-10706.559600000001</v>
      </c>
      <c r="AB779">
        <v>-10706.559600000001</v>
      </c>
      <c r="AC779">
        <v>-10706.559600000001</v>
      </c>
      <c r="AD779">
        <v>-10706.559600000001</v>
      </c>
      <c r="AE779">
        <v>-10706.559600000001</v>
      </c>
    </row>
    <row r="780" spans="2:32" x14ac:dyDescent="0.25">
      <c r="B780">
        <f t="shared" si="33"/>
        <v>42</v>
      </c>
      <c r="C780">
        <v>1</v>
      </c>
      <c r="D780">
        <v>1</v>
      </c>
      <c r="E780">
        <v>1</v>
      </c>
      <c r="F780">
        <v>1</v>
      </c>
      <c r="G780">
        <v>1</v>
      </c>
      <c r="J780">
        <f t="shared" si="34"/>
        <v>42</v>
      </c>
      <c r="K780">
        <v>1</v>
      </c>
      <c r="L780">
        <v>1</v>
      </c>
      <c r="M780">
        <v>1</v>
      </c>
      <c r="N780">
        <v>1</v>
      </c>
      <c r="O780">
        <v>1</v>
      </c>
      <c r="R780">
        <f t="shared" si="35"/>
        <v>42</v>
      </c>
      <c r="S780">
        <v>1</v>
      </c>
      <c r="T780">
        <v>1</v>
      </c>
      <c r="U780">
        <v>1</v>
      </c>
      <c r="V780">
        <v>1</v>
      </c>
      <c r="W780">
        <v>1</v>
      </c>
      <c r="AA780">
        <v>-10597.8485</v>
      </c>
      <c r="AB780">
        <v>-10597.8485</v>
      </c>
      <c r="AC780">
        <v>-10597.8485</v>
      </c>
      <c r="AD780">
        <v>-10597.8485</v>
      </c>
      <c r="AE780">
        <v>-10597.8485</v>
      </c>
    </row>
    <row r="781" spans="2:32" x14ac:dyDescent="0.25">
      <c r="B781">
        <f t="shared" si="33"/>
        <v>43</v>
      </c>
      <c r="C781">
        <v>1</v>
      </c>
      <c r="D781">
        <v>1</v>
      </c>
      <c r="E781">
        <v>1</v>
      </c>
      <c r="F781">
        <v>1</v>
      </c>
      <c r="G781">
        <v>1</v>
      </c>
      <c r="J781">
        <f t="shared" si="34"/>
        <v>43</v>
      </c>
      <c r="K781">
        <v>1</v>
      </c>
      <c r="L781">
        <v>1</v>
      </c>
      <c r="M781">
        <v>1</v>
      </c>
      <c r="N781">
        <v>1</v>
      </c>
      <c r="O781">
        <v>1</v>
      </c>
      <c r="R781">
        <f t="shared" si="35"/>
        <v>43</v>
      </c>
      <c r="S781">
        <v>1</v>
      </c>
      <c r="T781">
        <v>1</v>
      </c>
      <c r="U781">
        <v>1</v>
      </c>
      <c r="V781">
        <v>1</v>
      </c>
      <c r="W781">
        <v>1</v>
      </c>
      <c r="AA781">
        <v>-10486.615400000001</v>
      </c>
      <c r="AB781">
        <v>-10486.615400000001</v>
      </c>
      <c r="AC781">
        <v>-10486.615400000001</v>
      </c>
      <c r="AD781">
        <v>-10486.615400000001</v>
      </c>
      <c r="AE781">
        <v>-10486.615400000001</v>
      </c>
    </row>
    <row r="782" spans="2:32" x14ac:dyDescent="0.25">
      <c r="B782">
        <f t="shared" si="33"/>
        <v>44</v>
      </c>
      <c r="C782">
        <v>1</v>
      </c>
      <c r="D782">
        <v>1</v>
      </c>
      <c r="E782">
        <v>1</v>
      </c>
      <c r="F782">
        <v>1</v>
      </c>
      <c r="G782">
        <v>1</v>
      </c>
      <c r="J782">
        <f t="shared" si="34"/>
        <v>44</v>
      </c>
      <c r="K782">
        <v>1</v>
      </c>
      <c r="L782">
        <v>1</v>
      </c>
      <c r="M782">
        <v>1</v>
      </c>
      <c r="N782">
        <v>1</v>
      </c>
      <c r="O782">
        <v>1</v>
      </c>
      <c r="R782">
        <f t="shared" si="35"/>
        <v>44</v>
      </c>
      <c r="S782">
        <v>1</v>
      </c>
      <c r="T782">
        <v>1</v>
      </c>
      <c r="U782">
        <v>1</v>
      </c>
      <c r="V782">
        <v>1</v>
      </c>
      <c r="W782">
        <v>1</v>
      </c>
      <c r="AA782">
        <v>-10372.9005</v>
      </c>
      <c r="AB782">
        <v>-10372.9005</v>
      </c>
      <c r="AC782">
        <v>-10372.9005</v>
      </c>
      <c r="AD782">
        <v>-10372.9005</v>
      </c>
      <c r="AE782">
        <v>-10372.9005</v>
      </c>
    </row>
    <row r="783" spans="2:32" x14ac:dyDescent="0.25">
      <c r="B783">
        <f t="shared" si="33"/>
        <v>45</v>
      </c>
      <c r="C783">
        <v>1</v>
      </c>
      <c r="D783">
        <v>1</v>
      </c>
      <c r="E783">
        <v>1</v>
      </c>
      <c r="F783">
        <v>1</v>
      </c>
      <c r="G783">
        <v>1</v>
      </c>
      <c r="J783">
        <f t="shared" si="34"/>
        <v>45</v>
      </c>
      <c r="K783">
        <v>1</v>
      </c>
      <c r="L783">
        <v>1</v>
      </c>
      <c r="M783">
        <v>1</v>
      </c>
      <c r="N783">
        <v>1</v>
      </c>
      <c r="O783">
        <v>1</v>
      </c>
      <c r="R783">
        <f t="shared" si="35"/>
        <v>45</v>
      </c>
      <c r="S783">
        <v>1</v>
      </c>
      <c r="T783">
        <v>1</v>
      </c>
      <c r="U783">
        <v>1</v>
      </c>
      <c r="V783">
        <v>1</v>
      </c>
      <c r="W783">
        <v>1</v>
      </c>
      <c r="AA783">
        <v>-10256.650600000001</v>
      </c>
      <c r="AB783">
        <v>-10256.650600000001</v>
      </c>
      <c r="AC783">
        <v>-10256.650600000001</v>
      </c>
      <c r="AD783">
        <v>-10256.650600000001</v>
      </c>
      <c r="AE783">
        <v>-10256.650600000001</v>
      </c>
    </row>
    <row r="784" spans="2:32" x14ac:dyDescent="0.25">
      <c r="B784">
        <f t="shared" si="33"/>
        <v>46</v>
      </c>
      <c r="C784">
        <v>1</v>
      </c>
      <c r="D784">
        <v>1</v>
      </c>
      <c r="E784">
        <v>1</v>
      </c>
      <c r="F784">
        <v>1</v>
      </c>
      <c r="G784">
        <v>1</v>
      </c>
      <c r="J784">
        <f t="shared" si="34"/>
        <v>46</v>
      </c>
      <c r="K784">
        <v>1</v>
      </c>
      <c r="L784">
        <v>1</v>
      </c>
      <c r="M784">
        <v>1</v>
      </c>
      <c r="N784">
        <v>1</v>
      </c>
      <c r="O784">
        <v>1</v>
      </c>
      <c r="R784">
        <f t="shared" si="35"/>
        <v>46</v>
      </c>
      <c r="S784">
        <v>1</v>
      </c>
      <c r="T784">
        <v>1</v>
      </c>
      <c r="U784">
        <v>1</v>
      </c>
      <c r="V784">
        <v>1</v>
      </c>
      <c r="W784">
        <v>1</v>
      </c>
      <c r="AA784">
        <v>-10137.871499999999</v>
      </c>
      <c r="AB784">
        <v>-10137.871499999999</v>
      </c>
      <c r="AC784">
        <v>-10137.871499999999</v>
      </c>
      <c r="AD784">
        <v>-10137.871499999999</v>
      </c>
      <c r="AE784">
        <v>-10137.871499999999</v>
      </c>
    </row>
    <row r="785" spans="2:31" x14ac:dyDescent="0.25">
      <c r="B785">
        <f t="shared" si="33"/>
        <v>47</v>
      </c>
      <c r="C785">
        <v>1</v>
      </c>
      <c r="D785">
        <v>1</v>
      </c>
      <c r="E785">
        <v>1</v>
      </c>
      <c r="F785">
        <v>1</v>
      </c>
      <c r="G785">
        <v>1</v>
      </c>
      <c r="J785">
        <f t="shared" si="34"/>
        <v>47</v>
      </c>
      <c r="K785">
        <v>1</v>
      </c>
      <c r="L785">
        <v>1</v>
      </c>
      <c r="M785">
        <v>1</v>
      </c>
      <c r="N785">
        <v>1</v>
      </c>
      <c r="O785">
        <v>1</v>
      </c>
      <c r="R785">
        <f t="shared" si="35"/>
        <v>47</v>
      </c>
      <c r="S785">
        <v>1</v>
      </c>
      <c r="T785">
        <v>1</v>
      </c>
      <c r="U785">
        <v>1</v>
      </c>
      <c r="V785">
        <v>1</v>
      </c>
      <c r="W785">
        <v>1</v>
      </c>
      <c r="AA785">
        <v>-10016.4967</v>
      </c>
      <c r="AB785">
        <v>-10016.4967</v>
      </c>
      <c r="AC785">
        <v>-10016.4967</v>
      </c>
      <c r="AD785">
        <v>-10016.4967</v>
      </c>
      <c r="AE785">
        <v>-10016.4967</v>
      </c>
    </row>
    <row r="786" spans="2:31" x14ac:dyDescent="0.25">
      <c r="B786">
        <f t="shared" si="33"/>
        <v>48</v>
      </c>
      <c r="C786">
        <v>1</v>
      </c>
      <c r="D786">
        <v>1</v>
      </c>
      <c r="E786">
        <v>1</v>
      </c>
      <c r="F786">
        <v>1</v>
      </c>
      <c r="G786">
        <v>1</v>
      </c>
      <c r="J786">
        <f t="shared" si="34"/>
        <v>48</v>
      </c>
      <c r="K786">
        <v>1</v>
      </c>
      <c r="L786">
        <v>1</v>
      </c>
      <c r="M786">
        <v>1</v>
      </c>
      <c r="N786">
        <v>1</v>
      </c>
      <c r="O786">
        <v>1</v>
      </c>
      <c r="R786">
        <f t="shared" si="35"/>
        <v>48</v>
      </c>
      <c r="S786">
        <v>1</v>
      </c>
      <c r="T786">
        <v>1</v>
      </c>
      <c r="U786">
        <v>1</v>
      </c>
      <c r="V786">
        <v>1</v>
      </c>
      <c r="W786">
        <v>1</v>
      </c>
      <c r="AA786">
        <v>-9892.6355000000003</v>
      </c>
      <c r="AB786">
        <v>-9892.6355000000003</v>
      </c>
      <c r="AC786">
        <v>-9892.6355000000003</v>
      </c>
      <c r="AD786">
        <v>-9892.6355000000003</v>
      </c>
      <c r="AE786">
        <v>-9892.6355000000003</v>
      </c>
    </row>
    <row r="787" spans="2:31" x14ac:dyDescent="0.25">
      <c r="B787">
        <f t="shared" si="33"/>
        <v>49</v>
      </c>
      <c r="C787">
        <v>1</v>
      </c>
      <c r="D787">
        <v>1</v>
      </c>
      <c r="E787">
        <v>1</v>
      </c>
      <c r="F787">
        <v>1</v>
      </c>
      <c r="G787">
        <v>1</v>
      </c>
      <c r="J787">
        <f t="shared" si="34"/>
        <v>49</v>
      </c>
      <c r="K787">
        <v>1</v>
      </c>
      <c r="L787">
        <v>1</v>
      </c>
      <c r="M787">
        <v>1</v>
      </c>
      <c r="N787">
        <v>1</v>
      </c>
      <c r="O787">
        <v>1</v>
      </c>
      <c r="R787">
        <f t="shared" si="35"/>
        <v>49</v>
      </c>
      <c r="S787">
        <v>1</v>
      </c>
      <c r="T787">
        <v>1</v>
      </c>
      <c r="U787">
        <v>1</v>
      </c>
      <c r="V787">
        <v>1</v>
      </c>
      <c r="W787">
        <v>1</v>
      </c>
      <c r="AA787">
        <v>-9766.3366999999998</v>
      </c>
      <c r="AB787">
        <v>-9766.3366999999998</v>
      </c>
      <c r="AC787">
        <v>-9766.3366999999998</v>
      </c>
      <c r="AD787">
        <v>-9766.3366999999998</v>
      </c>
      <c r="AE787">
        <v>-9766.3366999999998</v>
      </c>
    </row>
    <row r="788" spans="2:31" x14ac:dyDescent="0.25">
      <c r="B788">
        <f t="shared" si="33"/>
        <v>50</v>
      </c>
      <c r="C788">
        <v>1</v>
      </c>
      <c r="D788">
        <v>1</v>
      </c>
      <c r="E788">
        <v>1</v>
      </c>
      <c r="F788">
        <v>1</v>
      </c>
      <c r="G788">
        <v>1</v>
      </c>
      <c r="J788">
        <f t="shared" si="34"/>
        <v>50</v>
      </c>
      <c r="K788">
        <v>1</v>
      </c>
      <c r="L788">
        <v>1</v>
      </c>
      <c r="M788">
        <v>1</v>
      </c>
      <c r="N788">
        <v>1</v>
      </c>
      <c r="O788">
        <v>1</v>
      </c>
      <c r="R788">
        <f t="shared" si="35"/>
        <v>50</v>
      </c>
      <c r="S788">
        <v>1</v>
      </c>
      <c r="T788">
        <v>1</v>
      </c>
      <c r="U788">
        <v>1</v>
      </c>
      <c r="V788">
        <v>1</v>
      </c>
      <c r="W788">
        <v>1</v>
      </c>
      <c r="AA788">
        <v>-9637.5864000000001</v>
      </c>
      <c r="AB788">
        <v>-9637.5864000000001</v>
      </c>
      <c r="AC788">
        <v>-9637.5864000000001</v>
      </c>
      <c r="AD788">
        <v>-9637.5864000000001</v>
      </c>
      <c r="AE788">
        <v>-9637.5864000000001</v>
      </c>
    </row>
    <row r="789" spans="2:31" x14ac:dyDescent="0.25">
      <c r="B789">
        <f t="shared" si="33"/>
        <v>51</v>
      </c>
      <c r="C789">
        <v>1</v>
      </c>
      <c r="D789">
        <v>1</v>
      </c>
      <c r="E789">
        <v>1</v>
      </c>
      <c r="F789">
        <v>1</v>
      </c>
      <c r="G789">
        <v>1</v>
      </c>
      <c r="J789">
        <f t="shared" si="34"/>
        <v>51</v>
      </c>
      <c r="K789">
        <v>1</v>
      </c>
      <c r="L789">
        <v>1</v>
      </c>
      <c r="M789">
        <v>1</v>
      </c>
      <c r="N789">
        <v>1</v>
      </c>
      <c r="O789">
        <v>1</v>
      </c>
      <c r="R789">
        <f t="shared" si="35"/>
        <v>51</v>
      </c>
      <c r="S789">
        <v>1</v>
      </c>
      <c r="T789">
        <v>1</v>
      </c>
      <c r="U789">
        <v>1</v>
      </c>
      <c r="V789">
        <v>1</v>
      </c>
      <c r="W789">
        <v>1</v>
      </c>
      <c r="AA789">
        <v>-9506.3734000000004</v>
      </c>
      <c r="AB789">
        <v>-9506.3734000000004</v>
      </c>
      <c r="AC789">
        <v>-9506.3734000000004</v>
      </c>
      <c r="AD789">
        <v>-9506.3734000000004</v>
      </c>
      <c r="AE789">
        <v>-9506.3734000000004</v>
      </c>
    </row>
    <row r="790" spans="2:31" x14ac:dyDescent="0.25">
      <c r="B790">
        <f t="shared" si="33"/>
        <v>52</v>
      </c>
      <c r="C790">
        <v>1</v>
      </c>
      <c r="D790">
        <v>1</v>
      </c>
      <c r="E790">
        <v>1</v>
      </c>
      <c r="F790">
        <v>1</v>
      </c>
      <c r="G790">
        <v>1</v>
      </c>
      <c r="J790">
        <f t="shared" si="34"/>
        <v>52</v>
      </c>
      <c r="K790">
        <v>1</v>
      </c>
      <c r="L790">
        <v>1</v>
      </c>
      <c r="M790">
        <v>1</v>
      </c>
      <c r="N790">
        <v>1</v>
      </c>
      <c r="O790">
        <v>1</v>
      </c>
      <c r="R790">
        <f t="shared" si="35"/>
        <v>52</v>
      </c>
      <c r="S790">
        <v>1</v>
      </c>
      <c r="T790">
        <v>1</v>
      </c>
      <c r="U790">
        <v>1</v>
      </c>
      <c r="V790">
        <v>1</v>
      </c>
      <c r="W790">
        <v>1</v>
      </c>
      <c r="AA790">
        <v>-9372.7019</v>
      </c>
      <c r="AB790">
        <v>-9372.7019</v>
      </c>
      <c r="AC790">
        <v>-9372.7019</v>
      </c>
      <c r="AD790">
        <v>-9372.7019</v>
      </c>
      <c r="AE790">
        <v>-9372.7019</v>
      </c>
    </row>
    <row r="791" spans="2:31" x14ac:dyDescent="0.25">
      <c r="B791">
        <f t="shared" si="33"/>
        <v>53</v>
      </c>
      <c r="C791">
        <v>1</v>
      </c>
      <c r="D791">
        <v>1</v>
      </c>
      <c r="E791">
        <v>1</v>
      </c>
      <c r="F791">
        <v>1</v>
      </c>
      <c r="G791">
        <v>1</v>
      </c>
      <c r="J791">
        <f t="shared" si="34"/>
        <v>53</v>
      </c>
      <c r="K791">
        <v>1</v>
      </c>
      <c r="L791">
        <v>1</v>
      </c>
      <c r="M791">
        <v>1</v>
      </c>
      <c r="N791">
        <v>1</v>
      </c>
      <c r="O791">
        <v>1</v>
      </c>
      <c r="R791">
        <f t="shared" si="35"/>
        <v>53</v>
      </c>
      <c r="S791">
        <v>1</v>
      </c>
      <c r="T791">
        <v>1</v>
      </c>
      <c r="U791">
        <v>1</v>
      </c>
      <c r="V791">
        <v>1</v>
      </c>
      <c r="W791">
        <v>1</v>
      </c>
      <c r="AA791">
        <v>-9236.6705000000002</v>
      </c>
      <c r="AB791">
        <v>-9236.6705000000002</v>
      </c>
      <c r="AC791">
        <v>-9236.6705000000002</v>
      </c>
      <c r="AD791">
        <v>-9236.6705000000002</v>
      </c>
      <c r="AE791">
        <v>-9236.6705000000002</v>
      </c>
    </row>
    <row r="792" spans="2:31" x14ac:dyDescent="0.25">
      <c r="B792">
        <f t="shared" si="33"/>
        <v>54</v>
      </c>
      <c r="C792">
        <v>1</v>
      </c>
      <c r="D792">
        <v>1</v>
      </c>
      <c r="E792">
        <v>1</v>
      </c>
      <c r="F792">
        <v>1</v>
      </c>
      <c r="G792">
        <v>1</v>
      </c>
      <c r="J792">
        <f t="shared" si="34"/>
        <v>54</v>
      </c>
      <c r="K792">
        <v>1</v>
      </c>
      <c r="L792">
        <v>1</v>
      </c>
      <c r="M792">
        <v>1</v>
      </c>
      <c r="N792">
        <v>1</v>
      </c>
      <c r="O792">
        <v>1</v>
      </c>
      <c r="R792">
        <f t="shared" si="35"/>
        <v>54</v>
      </c>
      <c r="S792">
        <v>1</v>
      </c>
      <c r="T792">
        <v>1</v>
      </c>
      <c r="U792">
        <v>1</v>
      </c>
      <c r="V792">
        <v>1</v>
      </c>
      <c r="W792">
        <v>1</v>
      </c>
      <c r="AA792">
        <v>-9098.4312000000009</v>
      </c>
      <c r="AB792">
        <v>-9098.4312000000009</v>
      </c>
      <c r="AC792">
        <v>-9098.4312000000009</v>
      </c>
      <c r="AD792">
        <v>-9098.4312000000009</v>
      </c>
      <c r="AE792">
        <v>-9098.4312000000009</v>
      </c>
    </row>
    <row r="793" spans="2:31" x14ac:dyDescent="0.25">
      <c r="B793">
        <f t="shared" si="33"/>
        <v>55</v>
      </c>
      <c r="C793">
        <v>1</v>
      </c>
      <c r="D793">
        <v>1</v>
      </c>
      <c r="E793">
        <v>1</v>
      </c>
      <c r="F793">
        <v>1</v>
      </c>
      <c r="G793">
        <v>1</v>
      </c>
      <c r="J793">
        <f t="shared" si="34"/>
        <v>55</v>
      </c>
      <c r="K793">
        <v>1</v>
      </c>
      <c r="L793">
        <v>1</v>
      </c>
      <c r="M793">
        <v>1</v>
      </c>
      <c r="N793">
        <v>1</v>
      </c>
      <c r="O793">
        <v>1</v>
      </c>
      <c r="R793">
        <f t="shared" si="35"/>
        <v>55</v>
      </c>
      <c r="S793">
        <v>1</v>
      </c>
      <c r="T793">
        <v>1</v>
      </c>
      <c r="U793">
        <v>1</v>
      </c>
      <c r="V793">
        <v>1</v>
      </c>
      <c r="W793">
        <v>1</v>
      </c>
      <c r="AA793">
        <v>-8958.0210999999999</v>
      </c>
      <c r="AB793">
        <v>-8958.0210999999999</v>
      </c>
      <c r="AC793">
        <v>-8958.0210999999999</v>
      </c>
      <c r="AD793">
        <v>-8958.0210999999999</v>
      </c>
      <c r="AE793">
        <v>-8958.0210999999999</v>
      </c>
    </row>
    <row r="794" spans="2:31" x14ac:dyDescent="0.25">
      <c r="B794">
        <f t="shared" si="33"/>
        <v>56</v>
      </c>
      <c r="C794">
        <v>1</v>
      </c>
      <c r="D794">
        <v>1</v>
      </c>
      <c r="E794">
        <v>1</v>
      </c>
      <c r="F794">
        <v>1</v>
      </c>
      <c r="G794">
        <v>1</v>
      </c>
      <c r="J794">
        <f t="shared" si="34"/>
        <v>56</v>
      </c>
      <c r="K794">
        <v>1</v>
      </c>
      <c r="L794">
        <v>1</v>
      </c>
      <c r="M794">
        <v>1</v>
      </c>
      <c r="N794">
        <v>1</v>
      </c>
      <c r="O794">
        <v>1</v>
      </c>
      <c r="R794">
        <f t="shared" si="35"/>
        <v>56</v>
      </c>
      <c r="S794">
        <v>1</v>
      </c>
      <c r="T794">
        <v>1</v>
      </c>
      <c r="U794">
        <v>1</v>
      </c>
      <c r="V794">
        <v>1</v>
      </c>
      <c r="W794">
        <v>1</v>
      </c>
      <c r="AA794">
        <v>-8815.6316999999999</v>
      </c>
      <c r="AB794">
        <v>-8815.6316999999999</v>
      </c>
      <c r="AC794">
        <v>-8815.6316999999999</v>
      </c>
      <c r="AD794">
        <v>-8815.6316999999999</v>
      </c>
      <c r="AE794">
        <v>-8815.6316999999999</v>
      </c>
    </row>
    <row r="795" spans="2:31" x14ac:dyDescent="0.25">
      <c r="B795">
        <f t="shared" si="33"/>
        <v>57</v>
      </c>
      <c r="C795">
        <v>1</v>
      </c>
      <c r="D795">
        <v>1</v>
      </c>
      <c r="E795">
        <v>1</v>
      </c>
      <c r="F795">
        <v>1</v>
      </c>
      <c r="G795">
        <v>1</v>
      </c>
      <c r="J795">
        <f t="shared" si="34"/>
        <v>57</v>
      </c>
      <c r="K795">
        <v>1</v>
      </c>
      <c r="L795">
        <v>1</v>
      </c>
      <c r="M795">
        <v>1</v>
      </c>
      <c r="N795">
        <v>1</v>
      </c>
      <c r="O795">
        <v>1</v>
      </c>
      <c r="R795">
        <f t="shared" si="35"/>
        <v>57</v>
      </c>
      <c r="S795">
        <v>1</v>
      </c>
      <c r="T795">
        <v>1</v>
      </c>
      <c r="U795">
        <v>1</v>
      </c>
      <c r="V795">
        <v>1</v>
      </c>
      <c r="W795">
        <v>1</v>
      </c>
      <c r="AA795">
        <v>-8671.3991999999998</v>
      </c>
      <c r="AB795">
        <v>-8671.3991999999998</v>
      </c>
      <c r="AC795">
        <v>-8671.3991999999998</v>
      </c>
      <c r="AD795">
        <v>-8671.3991999999998</v>
      </c>
      <c r="AE795">
        <v>-8671.3991999999998</v>
      </c>
    </row>
    <row r="796" spans="2:31" x14ac:dyDescent="0.25">
      <c r="B796">
        <f t="shared" si="33"/>
        <v>58</v>
      </c>
      <c r="C796">
        <v>1</v>
      </c>
      <c r="D796">
        <v>1</v>
      </c>
      <c r="E796">
        <v>1</v>
      </c>
      <c r="F796">
        <v>1</v>
      </c>
      <c r="G796">
        <v>1</v>
      </c>
      <c r="J796">
        <f t="shared" si="34"/>
        <v>58</v>
      </c>
      <c r="K796">
        <v>1</v>
      </c>
      <c r="L796">
        <v>1</v>
      </c>
      <c r="M796">
        <v>1</v>
      </c>
      <c r="N796">
        <v>1</v>
      </c>
      <c r="O796">
        <v>1</v>
      </c>
      <c r="R796">
        <f t="shared" si="35"/>
        <v>58</v>
      </c>
      <c r="S796">
        <v>1</v>
      </c>
      <c r="T796">
        <v>1</v>
      </c>
      <c r="U796">
        <v>1</v>
      </c>
      <c r="V796">
        <v>1</v>
      </c>
      <c r="W796">
        <v>1</v>
      </c>
      <c r="AA796">
        <v>-8525.2759999999998</v>
      </c>
      <c r="AB796">
        <v>-8525.2759999999998</v>
      </c>
      <c r="AC796">
        <v>-8525.2759999999998</v>
      </c>
      <c r="AD796">
        <v>-8525.2759999999998</v>
      </c>
      <c r="AE796">
        <v>-8525.2759999999998</v>
      </c>
    </row>
    <row r="797" spans="2:31" x14ac:dyDescent="0.25">
      <c r="B797">
        <f t="shared" si="33"/>
        <v>59</v>
      </c>
      <c r="C797">
        <v>1</v>
      </c>
      <c r="D797">
        <v>1</v>
      </c>
      <c r="E797">
        <v>1</v>
      </c>
      <c r="F797">
        <v>1</v>
      </c>
      <c r="G797">
        <v>1</v>
      </c>
      <c r="J797">
        <f t="shared" si="34"/>
        <v>59</v>
      </c>
      <c r="K797">
        <v>1</v>
      </c>
      <c r="L797">
        <v>1</v>
      </c>
      <c r="M797">
        <v>1</v>
      </c>
      <c r="N797">
        <v>1</v>
      </c>
      <c r="O797">
        <v>1</v>
      </c>
      <c r="R797">
        <f t="shared" si="35"/>
        <v>59</v>
      </c>
      <c r="S797">
        <v>1</v>
      </c>
      <c r="T797">
        <v>1</v>
      </c>
      <c r="U797">
        <v>1</v>
      </c>
      <c r="V797">
        <v>1</v>
      </c>
      <c r="W797">
        <v>1</v>
      </c>
      <c r="AA797">
        <v>-8377.2351999999992</v>
      </c>
      <c r="AB797">
        <v>-8377.2351999999992</v>
      </c>
      <c r="AC797">
        <v>-8377.2351999999992</v>
      </c>
      <c r="AD797">
        <v>-8377.2351999999992</v>
      </c>
      <c r="AE797">
        <v>-8377.2351999999992</v>
      </c>
    </row>
    <row r="798" spans="2:31" x14ac:dyDescent="0.25">
      <c r="B798">
        <f t="shared" si="33"/>
        <v>60</v>
      </c>
      <c r="C798">
        <v>1</v>
      </c>
      <c r="D798">
        <v>1</v>
      </c>
      <c r="E798">
        <v>1</v>
      </c>
      <c r="F798">
        <v>1</v>
      </c>
      <c r="G798">
        <v>1</v>
      </c>
      <c r="J798">
        <f t="shared" si="34"/>
        <v>60</v>
      </c>
      <c r="K798">
        <v>1</v>
      </c>
      <c r="L798">
        <v>1</v>
      </c>
      <c r="M798">
        <v>1</v>
      </c>
      <c r="N798">
        <v>1</v>
      </c>
      <c r="O798">
        <v>1</v>
      </c>
      <c r="R798">
        <f t="shared" si="35"/>
        <v>60</v>
      </c>
      <c r="S798">
        <v>1</v>
      </c>
      <c r="T798">
        <v>1</v>
      </c>
      <c r="U798">
        <v>1</v>
      </c>
      <c r="V798">
        <v>1</v>
      </c>
      <c r="W798">
        <v>1</v>
      </c>
      <c r="AA798">
        <v>-8227.3953999999994</v>
      </c>
      <c r="AB798">
        <v>-8227.3953999999994</v>
      </c>
      <c r="AC798">
        <v>-8227.3953999999994</v>
      </c>
      <c r="AD798">
        <v>-8227.3953999999994</v>
      </c>
      <c r="AE798">
        <v>-8227.3953999999994</v>
      </c>
    </row>
    <row r="799" spans="2:31" x14ac:dyDescent="0.25">
      <c r="B799">
        <f t="shared" si="33"/>
        <v>61</v>
      </c>
      <c r="C799">
        <v>1</v>
      </c>
      <c r="D799">
        <v>1</v>
      </c>
      <c r="E799">
        <v>1</v>
      </c>
      <c r="F799">
        <v>1</v>
      </c>
      <c r="G799">
        <v>1</v>
      </c>
      <c r="J799">
        <f t="shared" si="34"/>
        <v>61</v>
      </c>
      <c r="K799">
        <v>1</v>
      </c>
      <c r="L799">
        <v>1</v>
      </c>
      <c r="M799">
        <v>1</v>
      </c>
      <c r="N799">
        <v>1</v>
      </c>
      <c r="O799">
        <v>1</v>
      </c>
      <c r="R799">
        <f t="shared" si="35"/>
        <v>61</v>
      </c>
      <c r="S799">
        <v>1</v>
      </c>
      <c r="T799">
        <v>1</v>
      </c>
      <c r="U799">
        <v>1</v>
      </c>
      <c r="V799">
        <v>1</v>
      </c>
      <c r="W799">
        <v>1</v>
      </c>
      <c r="AA799">
        <v>-8076.1778999999997</v>
      </c>
      <c r="AB799">
        <v>-8076.1778999999997</v>
      </c>
      <c r="AC799">
        <v>-8076.1778999999997</v>
      </c>
      <c r="AD799">
        <v>-8076.1778999999997</v>
      </c>
      <c r="AE799">
        <v>-8076.1778999999997</v>
      </c>
    </row>
    <row r="800" spans="2:31" x14ac:dyDescent="0.25">
      <c r="B800">
        <f t="shared" si="33"/>
        <v>62</v>
      </c>
      <c r="C800">
        <v>1</v>
      </c>
      <c r="D800">
        <v>1</v>
      </c>
      <c r="E800">
        <v>1</v>
      </c>
      <c r="F800">
        <v>1</v>
      </c>
      <c r="G800">
        <v>1</v>
      </c>
      <c r="J800">
        <f t="shared" si="34"/>
        <v>62</v>
      </c>
      <c r="K800">
        <v>1</v>
      </c>
      <c r="L800">
        <v>1</v>
      </c>
      <c r="M800">
        <v>1</v>
      </c>
      <c r="N800">
        <v>1</v>
      </c>
      <c r="O800">
        <v>1</v>
      </c>
      <c r="R800">
        <f t="shared" si="35"/>
        <v>62</v>
      </c>
      <c r="S800">
        <v>1</v>
      </c>
      <c r="T800">
        <v>1</v>
      </c>
      <c r="U800">
        <v>1</v>
      </c>
      <c r="V800">
        <v>1</v>
      </c>
      <c r="W800">
        <v>1</v>
      </c>
      <c r="AA800">
        <v>-7923.5816000000004</v>
      </c>
      <c r="AB800">
        <v>-7923.5816000000004</v>
      </c>
      <c r="AC800">
        <v>-7923.5816000000004</v>
      </c>
      <c r="AD800">
        <v>-7923.5816000000004</v>
      </c>
      <c r="AE800">
        <v>-7923.5816000000004</v>
      </c>
    </row>
    <row r="801" spans="2:32" x14ac:dyDescent="0.25">
      <c r="B801">
        <f t="shared" si="33"/>
        <v>63</v>
      </c>
      <c r="C801">
        <v>1</v>
      </c>
      <c r="D801">
        <v>1</v>
      </c>
      <c r="E801">
        <v>1</v>
      </c>
      <c r="F801">
        <v>1</v>
      </c>
      <c r="G801">
        <v>1</v>
      </c>
      <c r="J801">
        <f t="shared" si="34"/>
        <v>63</v>
      </c>
      <c r="K801">
        <v>1</v>
      </c>
      <c r="L801">
        <v>1</v>
      </c>
      <c r="M801">
        <v>1</v>
      </c>
      <c r="N801">
        <v>1</v>
      </c>
      <c r="O801">
        <v>1</v>
      </c>
      <c r="R801">
        <f t="shared" si="35"/>
        <v>63</v>
      </c>
      <c r="S801">
        <v>1</v>
      </c>
      <c r="T801">
        <v>1</v>
      </c>
      <c r="U801">
        <v>1</v>
      </c>
      <c r="V801">
        <v>1</v>
      </c>
      <c r="W801">
        <v>1</v>
      </c>
      <c r="AA801">
        <v>-7769.2775000000001</v>
      </c>
      <c r="AB801">
        <v>-7769.2775000000001</v>
      </c>
      <c r="AC801">
        <v>-7769.2775000000001</v>
      </c>
      <c r="AD801">
        <v>-7769.2775000000001</v>
      </c>
      <c r="AE801">
        <v>-7769.2775000000001</v>
      </c>
    </row>
    <row r="802" spans="2:32" x14ac:dyDescent="0.25">
      <c r="B802">
        <f t="shared" si="33"/>
        <v>64</v>
      </c>
      <c r="C802">
        <v>1</v>
      </c>
      <c r="D802">
        <v>1</v>
      </c>
      <c r="E802">
        <v>1</v>
      </c>
      <c r="F802">
        <v>1</v>
      </c>
      <c r="G802">
        <v>1</v>
      </c>
      <c r="J802">
        <f t="shared" si="34"/>
        <v>64</v>
      </c>
      <c r="K802">
        <v>1</v>
      </c>
      <c r="L802">
        <v>1</v>
      </c>
      <c r="M802">
        <v>1</v>
      </c>
      <c r="N802">
        <v>1</v>
      </c>
      <c r="O802">
        <v>1</v>
      </c>
      <c r="R802">
        <f t="shared" si="35"/>
        <v>64</v>
      </c>
      <c r="S802">
        <v>1</v>
      </c>
      <c r="T802">
        <v>1</v>
      </c>
      <c r="U802">
        <v>1</v>
      </c>
      <c r="V802">
        <v>1</v>
      </c>
      <c r="W802">
        <v>1</v>
      </c>
      <c r="AA802">
        <v>-7613.3999000000003</v>
      </c>
      <c r="AB802">
        <v>-7613.3999000000003</v>
      </c>
      <c r="AC802">
        <v>-7613.3999000000003</v>
      </c>
      <c r="AD802">
        <v>-7613.3999000000003</v>
      </c>
      <c r="AE802">
        <v>-7613.3999000000003</v>
      </c>
    </row>
    <row r="803" spans="2:32" x14ac:dyDescent="0.25">
      <c r="B803">
        <f t="shared" si="33"/>
        <v>65</v>
      </c>
      <c r="C803">
        <v>1</v>
      </c>
      <c r="D803">
        <v>1</v>
      </c>
      <c r="E803">
        <v>1</v>
      </c>
      <c r="F803">
        <v>1</v>
      </c>
      <c r="G803">
        <v>1</v>
      </c>
      <c r="J803">
        <f t="shared" si="34"/>
        <v>65</v>
      </c>
      <c r="K803">
        <v>1</v>
      </c>
      <c r="L803">
        <v>1</v>
      </c>
      <c r="M803">
        <v>1</v>
      </c>
      <c r="N803">
        <v>1</v>
      </c>
      <c r="O803">
        <v>1</v>
      </c>
      <c r="R803">
        <f t="shared" si="35"/>
        <v>65</v>
      </c>
      <c r="S803">
        <v>1</v>
      </c>
      <c r="T803">
        <v>1</v>
      </c>
      <c r="U803">
        <v>1</v>
      </c>
      <c r="V803">
        <v>1</v>
      </c>
      <c r="W803">
        <v>1</v>
      </c>
      <c r="AA803">
        <v>-7455.8590000000004</v>
      </c>
      <c r="AB803">
        <v>-7455.8590000000004</v>
      </c>
      <c r="AC803">
        <v>-7455.8590000000004</v>
      </c>
      <c r="AD803">
        <v>-7455.8590000000004</v>
      </c>
      <c r="AE803">
        <v>-7455.8590000000004</v>
      </c>
    </row>
    <row r="806" spans="2:32" x14ac:dyDescent="0.25">
      <c r="B806" t="s">
        <v>46</v>
      </c>
      <c r="C806">
        <v>50000</v>
      </c>
      <c r="D806">
        <v>100000</v>
      </c>
      <c r="E806">
        <v>250000</v>
      </c>
      <c r="F806">
        <v>500000</v>
      </c>
      <c r="G806">
        <v>1000000</v>
      </c>
      <c r="H806">
        <v>2000000</v>
      </c>
      <c r="J806" t="s">
        <v>47</v>
      </c>
      <c r="K806">
        <v>50000</v>
      </c>
      <c r="L806">
        <v>100000</v>
      </c>
      <c r="M806">
        <v>250000</v>
      </c>
      <c r="N806">
        <v>500000</v>
      </c>
      <c r="O806">
        <v>1000000</v>
      </c>
      <c r="P806">
        <v>2000000</v>
      </c>
      <c r="R806" t="s">
        <v>48</v>
      </c>
      <c r="S806">
        <v>50000</v>
      </c>
      <c r="T806">
        <v>100000</v>
      </c>
      <c r="U806">
        <v>250000</v>
      </c>
      <c r="V806">
        <v>500000</v>
      </c>
      <c r="W806">
        <v>1000000</v>
      </c>
      <c r="X806">
        <v>2000000</v>
      </c>
    </row>
    <row r="807" spans="2:32" x14ac:dyDescent="0.25">
      <c r="B807">
        <v>26</v>
      </c>
      <c r="C807">
        <v>1</v>
      </c>
      <c r="D807">
        <v>1</v>
      </c>
      <c r="E807">
        <v>1</v>
      </c>
      <c r="F807">
        <v>1</v>
      </c>
      <c r="G807">
        <v>1</v>
      </c>
      <c r="H807">
        <v>1</v>
      </c>
      <c r="J807">
        <v>26</v>
      </c>
      <c r="K807">
        <v>1</v>
      </c>
      <c r="L807">
        <v>1</v>
      </c>
      <c r="M807">
        <v>1</v>
      </c>
      <c r="N807">
        <v>1</v>
      </c>
      <c r="O807">
        <v>1</v>
      </c>
      <c r="P807">
        <v>1</v>
      </c>
      <c r="R807">
        <v>26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AA807">
        <v>-7435.5060999999996</v>
      </c>
      <c r="AB807">
        <v>-7435.5060999999996</v>
      </c>
      <c r="AC807">
        <v>-7435.5060999999996</v>
      </c>
      <c r="AD807">
        <v>-7435.5060999999996</v>
      </c>
      <c r="AE807">
        <v>-7435.5060999999996</v>
      </c>
      <c r="AF807">
        <v>-7435.5060999999996</v>
      </c>
    </row>
    <row r="808" spans="2:32" x14ac:dyDescent="0.25">
      <c r="B808">
        <v>27</v>
      </c>
      <c r="C808">
        <v>1</v>
      </c>
      <c r="D808">
        <v>1</v>
      </c>
      <c r="E808">
        <v>1</v>
      </c>
      <c r="F808">
        <v>1</v>
      </c>
      <c r="G808">
        <v>1</v>
      </c>
      <c r="H808">
        <v>1</v>
      </c>
      <c r="J808">
        <v>27</v>
      </c>
      <c r="K808">
        <v>1</v>
      </c>
      <c r="L808">
        <v>1</v>
      </c>
      <c r="M808">
        <v>1</v>
      </c>
      <c r="N808">
        <v>1</v>
      </c>
      <c r="O808">
        <v>1</v>
      </c>
      <c r="P808">
        <v>1</v>
      </c>
      <c r="R808">
        <v>27</v>
      </c>
      <c r="S808">
        <v>1</v>
      </c>
      <c r="T808">
        <v>1</v>
      </c>
      <c r="U808">
        <v>1</v>
      </c>
      <c r="V808">
        <v>1</v>
      </c>
      <c r="W808">
        <v>1</v>
      </c>
      <c r="X808">
        <v>1</v>
      </c>
      <c r="AA808">
        <v>-7434.2619000000004</v>
      </c>
      <c r="AB808">
        <v>-7434.2619000000004</v>
      </c>
      <c r="AC808">
        <v>-7434.2619000000004</v>
      </c>
      <c r="AD808">
        <v>-7434.2619000000004</v>
      </c>
      <c r="AE808">
        <v>-7434.2619000000004</v>
      </c>
      <c r="AF808">
        <v>-7434.2619000000004</v>
      </c>
    </row>
    <row r="809" spans="2:32" x14ac:dyDescent="0.25">
      <c r="B809">
        <v>28</v>
      </c>
      <c r="C809">
        <v>1</v>
      </c>
      <c r="D809">
        <v>1</v>
      </c>
      <c r="E809">
        <v>1</v>
      </c>
      <c r="F809">
        <v>1</v>
      </c>
      <c r="G809">
        <v>1</v>
      </c>
      <c r="H809">
        <v>1</v>
      </c>
      <c r="J809">
        <v>28</v>
      </c>
      <c r="K809">
        <v>1</v>
      </c>
      <c r="L809">
        <v>1</v>
      </c>
      <c r="M809">
        <v>1</v>
      </c>
      <c r="N809">
        <v>1</v>
      </c>
      <c r="O809">
        <v>1</v>
      </c>
      <c r="P809">
        <v>1</v>
      </c>
      <c r="R809">
        <v>28</v>
      </c>
      <c r="S809">
        <v>1</v>
      </c>
      <c r="T809">
        <v>1</v>
      </c>
      <c r="U809">
        <v>1</v>
      </c>
      <c r="V809">
        <v>1</v>
      </c>
      <c r="W809">
        <v>1</v>
      </c>
      <c r="X809">
        <v>1</v>
      </c>
      <c r="AA809">
        <v>-7432.8334999999997</v>
      </c>
      <c r="AB809">
        <v>-7432.8334999999997</v>
      </c>
      <c r="AC809">
        <v>-7432.8334999999997</v>
      </c>
      <c r="AD809">
        <v>-7432.8334999999997</v>
      </c>
      <c r="AE809">
        <v>-7432.8334999999997</v>
      </c>
      <c r="AF809">
        <v>-7432.8334999999997</v>
      </c>
    </row>
    <row r="810" spans="2:32" x14ac:dyDescent="0.25">
      <c r="B810">
        <v>29</v>
      </c>
      <c r="C810">
        <v>1</v>
      </c>
      <c r="D810">
        <v>1</v>
      </c>
      <c r="E810">
        <v>1</v>
      </c>
      <c r="F810">
        <v>1</v>
      </c>
      <c r="G810">
        <v>1</v>
      </c>
      <c r="H810">
        <v>1</v>
      </c>
      <c r="J810">
        <v>29</v>
      </c>
      <c r="K810">
        <v>1</v>
      </c>
      <c r="L810">
        <v>1</v>
      </c>
      <c r="M810">
        <v>1</v>
      </c>
      <c r="N810">
        <v>1</v>
      </c>
      <c r="O810">
        <v>1</v>
      </c>
      <c r="P810">
        <v>1</v>
      </c>
      <c r="R810">
        <v>29</v>
      </c>
      <c r="S810">
        <v>1</v>
      </c>
      <c r="T810">
        <v>1</v>
      </c>
      <c r="U810">
        <v>1</v>
      </c>
      <c r="V810">
        <v>1</v>
      </c>
      <c r="W810">
        <v>1</v>
      </c>
      <c r="X810">
        <v>1</v>
      </c>
      <c r="AA810">
        <v>-7431.2058999999999</v>
      </c>
      <c r="AB810">
        <v>-7431.2058999999999</v>
      </c>
      <c r="AC810">
        <v>-7431.2058999999999</v>
      </c>
      <c r="AD810">
        <v>-7431.2058999999999</v>
      </c>
      <c r="AE810">
        <v>-7431.2058999999999</v>
      </c>
      <c r="AF810">
        <v>-7431.2058999999999</v>
      </c>
    </row>
    <row r="811" spans="2:32" x14ac:dyDescent="0.25">
      <c r="B811">
        <v>30</v>
      </c>
      <c r="C811">
        <v>1</v>
      </c>
      <c r="D811">
        <v>1</v>
      </c>
      <c r="E811">
        <v>1</v>
      </c>
      <c r="F811">
        <v>1</v>
      </c>
      <c r="G811">
        <v>1</v>
      </c>
      <c r="H811">
        <v>1</v>
      </c>
      <c r="J811">
        <v>30</v>
      </c>
      <c r="K811">
        <v>1</v>
      </c>
      <c r="L811">
        <v>1</v>
      </c>
      <c r="M811">
        <v>1</v>
      </c>
      <c r="N811">
        <v>1</v>
      </c>
      <c r="O811">
        <v>1</v>
      </c>
      <c r="P811">
        <v>1</v>
      </c>
      <c r="R811">
        <v>30</v>
      </c>
      <c r="S811">
        <v>1</v>
      </c>
      <c r="T811">
        <v>1</v>
      </c>
      <c r="U811">
        <v>1</v>
      </c>
      <c r="V811">
        <v>1</v>
      </c>
      <c r="W811">
        <v>1</v>
      </c>
      <c r="X811">
        <v>1</v>
      </c>
      <c r="AA811">
        <v>-7429.3476000000001</v>
      </c>
      <c r="AB811">
        <v>-7429.3476000000001</v>
      </c>
      <c r="AC811">
        <v>-7429.3476000000001</v>
      </c>
      <c r="AD811">
        <v>-7429.3476000000001</v>
      </c>
      <c r="AE811">
        <v>-7429.3476000000001</v>
      </c>
      <c r="AF811">
        <v>-7429.3476000000001</v>
      </c>
    </row>
    <row r="812" spans="2:32" x14ac:dyDescent="0.25">
      <c r="B812">
        <v>31</v>
      </c>
      <c r="C812">
        <v>1</v>
      </c>
      <c r="D812">
        <v>1</v>
      </c>
      <c r="E812">
        <v>1</v>
      </c>
      <c r="F812">
        <v>1</v>
      </c>
      <c r="G812">
        <v>1</v>
      </c>
      <c r="H812">
        <v>1</v>
      </c>
      <c r="J812">
        <v>31</v>
      </c>
      <c r="K812">
        <v>1</v>
      </c>
      <c r="L812">
        <v>1</v>
      </c>
      <c r="M812">
        <v>1</v>
      </c>
      <c r="N812">
        <v>1</v>
      </c>
      <c r="O812">
        <v>1</v>
      </c>
      <c r="P812">
        <v>1</v>
      </c>
      <c r="R812">
        <v>31</v>
      </c>
      <c r="S812">
        <v>1</v>
      </c>
      <c r="T812">
        <v>1</v>
      </c>
      <c r="U812">
        <v>1</v>
      </c>
      <c r="V812">
        <v>1</v>
      </c>
      <c r="W812">
        <v>1</v>
      </c>
      <c r="X812">
        <v>1</v>
      </c>
      <c r="AA812">
        <v>-7427.2446</v>
      </c>
      <c r="AB812">
        <v>-7427.2446</v>
      </c>
      <c r="AC812">
        <v>-7427.2446</v>
      </c>
      <c r="AD812">
        <v>-7427.2446</v>
      </c>
      <c r="AE812">
        <v>-7427.2446</v>
      </c>
      <c r="AF812">
        <v>-7427.2446</v>
      </c>
    </row>
    <row r="813" spans="2:32" x14ac:dyDescent="0.25">
      <c r="B813">
        <v>32</v>
      </c>
      <c r="C813">
        <v>1</v>
      </c>
      <c r="D813">
        <v>1</v>
      </c>
      <c r="E813">
        <v>1</v>
      </c>
      <c r="F813">
        <v>1</v>
      </c>
      <c r="G813">
        <v>1</v>
      </c>
      <c r="H813">
        <v>1</v>
      </c>
      <c r="J813">
        <v>32</v>
      </c>
      <c r="K813">
        <v>1</v>
      </c>
      <c r="L813">
        <v>1</v>
      </c>
      <c r="M813">
        <v>1</v>
      </c>
      <c r="N813">
        <v>1</v>
      </c>
      <c r="O813">
        <v>1</v>
      </c>
      <c r="P813">
        <v>1</v>
      </c>
      <c r="R813">
        <v>32</v>
      </c>
      <c r="S813">
        <v>1</v>
      </c>
      <c r="T813">
        <v>1</v>
      </c>
      <c r="U813">
        <v>1</v>
      </c>
      <c r="V813">
        <v>1</v>
      </c>
      <c r="W813">
        <v>1</v>
      </c>
      <c r="X813">
        <v>1</v>
      </c>
      <c r="AA813">
        <v>-7424.8944000000001</v>
      </c>
      <c r="AB813">
        <v>-7424.8944000000001</v>
      </c>
      <c r="AC813">
        <v>-7424.8944000000001</v>
      </c>
      <c r="AD813">
        <v>-7424.8944000000001</v>
      </c>
      <c r="AE813">
        <v>-7424.8944000000001</v>
      </c>
      <c r="AF813">
        <v>-7424.8944000000001</v>
      </c>
    </row>
    <row r="814" spans="2:32" x14ac:dyDescent="0.25">
      <c r="B814">
        <v>33</v>
      </c>
      <c r="C814">
        <v>1</v>
      </c>
      <c r="D814">
        <v>1</v>
      </c>
      <c r="E814">
        <v>1</v>
      </c>
      <c r="F814">
        <v>1</v>
      </c>
      <c r="G814">
        <v>1</v>
      </c>
      <c r="H814">
        <v>1</v>
      </c>
      <c r="J814">
        <v>33</v>
      </c>
      <c r="K814">
        <v>1</v>
      </c>
      <c r="L814">
        <v>1</v>
      </c>
      <c r="M814">
        <v>1</v>
      </c>
      <c r="N814">
        <v>1</v>
      </c>
      <c r="O814">
        <v>1</v>
      </c>
      <c r="P814">
        <v>1</v>
      </c>
      <c r="R814">
        <v>33</v>
      </c>
      <c r="S814">
        <v>1</v>
      </c>
      <c r="T814">
        <v>1</v>
      </c>
      <c r="U814">
        <v>1</v>
      </c>
      <c r="V814">
        <v>1</v>
      </c>
      <c r="W814">
        <v>1</v>
      </c>
      <c r="X814">
        <v>1</v>
      </c>
      <c r="AA814">
        <v>-7422.2834000000003</v>
      </c>
      <c r="AB814">
        <v>-7422.2834000000003</v>
      </c>
      <c r="AC814">
        <v>-7422.2834000000003</v>
      </c>
      <c r="AD814">
        <v>-7422.2834000000003</v>
      </c>
      <c r="AE814">
        <v>-7422.2834000000003</v>
      </c>
      <c r="AF814">
        <v>-7422.2834000000003</v>
      </c>
    </row>
    <row r="815" spans="2:32" x14ac:dyDescent="0.25">
      <c r="B815">
        <v>34</v>
      </c>
      <c r="C815">
        <v>1</v>
      </c>
      <c r="D815">
        <v>1</v>
      </c>
      <c r="E815">
        <v>1</v>
      </c>
      <c r="F815">
        <v>1</v>
      </c>
      <c r="G815">
        <v>1</v>
      </c>
      <c r="H815">
        <v>1</v>
      </c>
      <c r="J815">
        <v>34</v>
      </c>
      <c r="K815">
        <v>1</v>
      </c>
      <c r="L815">
        <v>1</v>
      </c>
      <c r="M815">
        <v>1</v>
      </c>
      <c r="N815">
        <v>1</v>
      </c>
      <c r="O815">
        <v>1</v>
      </c>
      <c r="P815">
        <v>1</v>
      </c>
      <c r="R815">
        <v>34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AA815">
        <v>-7419.3683000000001</v>
      </c>
      <c r="AB815">
        <v>-7419.3683000000001</v>
      </c>
      <c r="AC815">
        <v>-7419.3683000000001</v>
      </c>
      <c r="AD815">
        <v>-7419.3683000000001</v>
      </c>
      <c r="AE815">
        <v>-7419.3683000000001</v>
      </c>
      <c r="AF815">
        <v>-7419.3683000000001</v>
      </c>
    </row>
    <row r="816" spans="2:32" x14ac:dyDescent="0.25">
      <c r="B816">
        <v>35</v>
      </c>
      <c r="C816">
        <v>1</v>
      </c>
      <c r="D816">
        <v>1</v>
      </c>
      <c r="E816">
        <v>1</v>
      </c>
      <c r="F816">
        <v>1</v>
      </c>
      <c r="G816">
        <v>1</v>
      </c>
      <c r="H816">
        <v>1</v>
      </c>
      <c r="J816">
        <v>35</v>
      </c>
      <c r="K816">
        <v>1</v>
      </c>
      <c r="L816">
        <v>1</v>
      </c>
      <c r="M816">
        <v>1</v>
      </c>
      <c r="N816">
        <v>1</v>
      </c>
      <c r="O816">
        <v>1</v>
      </c>
      <c r="P816">
        <v>1</v>
      </c>
      <c r="R816">
        <v>35</v>
      </c>
      <c r="S816">
        <v>1</v>
      </c>
      <c r="T816">
        <v>1</v>
      </c>
      <c r="U816">
        <v>1</v>
      </c>
      <c r="V816">
        <v>1</v>
      </c>
      <c r="W816">
        <v>1</v>
      </c>
      <c r="X816">
        <v>1</v>
      </c>
      <c r="AA816">
        <v>-7416.1363000000001</v>
      </c>
      <c r="AB816">
        <v>-7416.1363000000001</v>
      </c>
      <c r="AC816">
        <v>-7416.1363000000001</v>
      </c>
      <c r="AD816">
        <v>-7416.1363000000001</v>
      </c>
      <c r="AE816">
        <v>-7416.1363000000001</v>
      </c>
      <c r="AF816">
        <v>-7416.1363000000001</v>
      </c>
    </row>
    <row r="817" spans="2:32" x14ac:dyDescent="0.25">
      <c r="B817">
        <v>36</v>
      </c>
      <c r="C817">
        <v>1</v>
      </c>
      <c r="D817">
        <v>1</v>
      </c>
      <c r="E817">
        <v>1</v>
      </c>
      <c r="F817">
        <v>1</v>
      </c>
      <c r="G817">
        <v>1</v>
      </c>
      <c r="H817">
        <v>1</v>
      </c>
      <c r="J817">
        <v>36</v>
      </c>
      <c r="K817">
        <v>1</v>
      </c>
      <c r="L817">
        <v>1</v>
      </c>
      <c r="M817">
        <v>1</v>
      </c>
      <c r="N817">
        <v>1</v>
      </c>
      <c r="O817">
        <v>1</v>
      </c>
      <c r="P817">
        <v>1</v>
      </c>
      <c r="R817">
        <v>36</v>
      </c>
      <c r="S817">
        <v>1</v>
      </c>
      <c r="T817">
        <v>1</v>
      </c>
      <c r="U817">
        <v>1</v>
      </c>
      <c r="V817">
        <v>1</v>
      </c>
      <c r="W817">
        <v>1</v>
      </c>
      <c r="X817">
        <v>1</v>
      </c>
      <c r="AA817">
        <v>-7412.5378000000001</v>
      </c>
      <c r="AB817">
        <v>-7412.5378000000001</v>
      </c>
      <c r="AC817">
        <v>-7412.5378000000001</v>
      </c>
      <c r="AD817">
        <v>-7412.5378000000001</v>
      </c>
      <c r="AE817">
        <v>-7412.5378000000001</v>
      </c>
      <c r="AF817">
        <v>-7412.5378000000001</v>
      </c>
    </row>
    <row r="818" spans="2:32" x14ac:dyDescent="0.25">
      <c r="B818">
        <v>37</v>
      </c>
      <c r="C818">
        <v>1</v>
      </c>
      <c r="D818">
        <v>1</v>
      </c>
      <c r="E818">
        <v>1</v>
      </c>
      <c r="F818">
        <v>1</v>
      </c>
      <c r="G818">
        <v>1</v>
      </c>
      <c r="H818">
        <v>1</v>
      </c>
      <c r="J818">
        <v>37</v>
      </c>
      <c r="K818">
        <v>1</v>
      </c>
      <c r="L818">
        <v>1</v>
      </c>
      <c r="M818">
        <v>1</v>
      </c>
      <c r="N818">
        <v>1</v>
      </c>
      <c r="O818">
        <v>1</v>
      </c>
      <c r="P818">
        <v>1</v>
      </c>
      <c r="R818">
        <v>37</v>
      </c>
      <c r="S818">
        <v>1</v>
      </c>
      <c r="T818">
        <v>1</v>
      </c>
      <c r="U818">
        <v>1</v>
      </c>
      <c r="V818">
        <v>1</v>
      </c>
      <c r="W818">
        <v>1</v>
      </c>
      <c r="X818">
        <v>1</v>
      </c>
      <c r="AA818">
        <v>-7408.55</v>
      </c>
      <c r="AB818">
        <v>-7408.55</v>
      </c>
      <c r="AC818">
        <v>-7408.55</v>
      </c>
      <c r="AD818">
        <v>-7408.55</v>
      </c>
      <c r="AE818">
        <v>-7408.55</v>
      </c>
      <c r="AF818">
        <v>-7408.55</v>
      </c>
    </row>
    <row r="819" spans="2:32" x14ac:dyDescent="0.25">
      <c r="B819">
        <v>38</v>
      </c>
      <c r="C819">
        <v>1</v>
      </c>
      <c r="D819">
        <v>1</v>
      </c>
      <c r="E819">
        <v>1</v>
      </c>
      <c r="F819">
        <v>1</v>
      </c>
      <c r="G819">
        <v>1</v>
      </c>
      <c r="H819">
        <v>1</v>
      </c>
      <c r="J819">
        <v>38</v>
      </c>
      <c r="K819">
        <v>1</v>
      </c>
      <c r="L819">
        <v>1</v>
      </c>
      <c r="M819">
        <v>1</v>
      </c>
      <c r="N819">
        <v>1</v>
      </c>
      <c r="O819">
        <v>1</v>
      </c>
      <c r="P819">
        <v>1</v>
      </c>
      <c r="R819">
        <v>38</v>
      </c>
      <c r="S819">
        <v>1</v>
      </c>
      <c r="T819">
        <v>1</v>
      </c>
      <c r="U819">
        <v>1</v>
      </c>
      <c r="V819">
        <v>1</v>
      </c>
      <c r="W819">
        <v>1</v>
      </c>
      <c r="X819">
        <v>1</v>
      </c>
      <c r="AA819">
        <v>-7404.1752999999999</v>
      </c>
      <c r="AB819">
        <v>-7404.1752999999999</v>
      </c>
      <c r="AC819">
        <v>-7404.1752999999999</v>
      </c>
      <c r="AD819">
        <v>-7404.1752999999999</v>
      </c>
      <c r="AE819">
        <v>-7404.1752999999999</v>
      </c>
      <c r="AF819">
        <v>-7404.1752999999999</v>
      </c>
    </row>
    <row r="820" spans="2:32" x14ac:dyDescent="0.25">
      <c r="B820">
        <v>39</v>
      </c>
      <c r="C820">
        <v>1</v>
      </c>
      <c r="D820">
        <v>1</v>
      </c>
      <c r="E820">
        <v>1</v>
      </c>
      <c r="F820">
        <v>1</v>
      </c>
      <c r="G820">
        <v>1</v>
      </c>
      <c r="H820">
        <v>1</v>
      </c>
      <c r="J820">
        <v>39</v>
      </c>
      <c r="K820">
        <v>1</v>
      </c>
      <c r="L820">
        <v>1</v>
      </c>
      <c r="M820">
        <v>1</v>
      </c>
      <c r="N820">
        <v>1</v>
      </c>
      <c r="O820">
        <v>1</v>
      </c>
      <c r="P820">
        <v>1</v>
      </c>
      <c r="R820">
        <v>39</v>
      </c>
      <c r="S820">
        <v>1</v>
      </c>
      <c r="T820">
        <v>1</v>
      </c>
      <c r="U820">
        <v>1</v>
      </c>
      <c r="V820">
        <v>1</v>
      </c>
      <c r="W820">
        <v>1</v>
      </c>
      <c r="X820">
        <v>1</v>
      </c>
      <c r="AA820">
        <v>-7399.3923999999997</v>
      </c>
      <c r="AB820">
        <v>-7399.3923999999997</v>
      </c>
      <c r="AC820">
        <v>-7399.3923999999997</v>
      </c>
      <c r="AD820">
        <v>-7399.3923999999997</v>
      </c>
      <c r="AE820">
        <v>-7399.3923999999997</v>
      </c>
      <c r="AF820">
        <v>-7399.3923999999997</v>
      </c>
    </row>
    <row r="821" spans="2:32" x14ac:dyDescent="0.25">
      <c r="B821">
        <v>40</v>
      </c>
      <c r="C821">
        <v>1</v>
      </c>
      <c r="D821">
        <v>1</v>
      </c>
      <c r="E821">
        <v>1</v>
      </c>
      <c r="F821">
        <v>1</v>
      </c>
      <c r="G821">
        <v>1</v>
      </c>
      <c r="H821">
        <v>1</v>
      </c>
      <c r="J821">
        <v>40</v>
      </c>
      <c r="K821">
        <v>1</v>
      </c>
      <c r="L821">
        <v>1</v>
      </c>
      <c r="M821">
        <v>1</v>
      </c>
      <c r="N821">
        <v>1</v>
      </c>
      <c r="O821">
        <v>1</v>
      </c>
      <c r="P821">
        <v>1</v>
      </c>
      <c r="R821">
        <v>40</v>
      </c>
      <c r="S821">
        <v>1</v>
      </c>
      <c r="T821">
        <v>1</v>
      </c>
      <c r="U821">
        <v>1</v>
      </c>
      <c r="V821">
        <v>1</v>
      </c>
      <c r="W821">
        <v>1</v>
      </c>
      <c r="X821">
        <v>1</v>
      </c>
      <c r="AA821">
        <v>-7394.1365999999998</v>
      </c>
      <c r="AB821">
        <v>-7394.1365999999998</v>
      </c>
      <c r="AC821">
        <v>-7394.1365999999998</v>
      </c>
      <c r="AD821">
        <v>-7394.1365999999998</v>
      </c>
      <c r="AE821">
        <v>-7394.1365999999998</v>
      </c>
      <c r="AF821">
        <v>-7394.1365999999998</v>
      </c>
    </row>
    <row r="822" spans="2:32" x14ac:dyDescent="0.25">
      <c r="B822">
        <v>41</v>
      </c>
      <c r="C822">
        <v>1</v>
      </c>
      <c r="D822">
        <v>1</v>
      </c>
      <c r="E822">
        <v>1</v>
      </c>
      <c r="F822">
        <v>1</v>
      </c>
      <c r="G822">
        <v>1</v>
      </c>
      <c r="H822">
        <v>1</v>
      </c>
      <c r="J822">
        <v>41</v>
      </c>
      <c r="K822">
        <v>1</v>
      </c>
      <c r="L822">
        <v>1</v>
      </c>
      <c r="M822">
        <v>1</v>
      </c>
      <c r="N822">
        <v>1</v>
      </c>
      <c r="O822">
        <v>1</v>
      </c>
      <c r="P822">
        <v>1</v>
      </c>
      <c r="R822">
        <v>41</v>
      </c>
      <c r="S822">
        <v>1</v>
      </c>
      <c r="T822">
        <v>1</v>
      </c>
      <c r="U822">
        <v>1</v>
      </c>
      <c r="V822">
        <v>1</v>
      </c>
      <c r="W822">
        <v>1</v>
      </c>
      <c r="X822">
        <v>1</v>
      </c>
      <c r="AA822">
        <v>-7388.3469999999998</v>
      </c>
      <c r="AB822">
        <v>-7388.3469999999998</v>
      </c>
      <c r="AC822">
        <v>-7388.3469999999998</v>
      </c>
      <c r="AD822">
        <v>-7388.3469999999998</v>
      </c>
      <c r="AE822">
        <v>-7388.3469999999998</v>
      </c>
      <c r="AF822">
        <v>-7388.3469999999998</v>
      </c>
    </row>
    <row r="823" spans="2:32" x14ac:dyDescent="0.25">
      <c r="B823">
        <v>42</v>
      </c>
      <c r="C823">
        <v>1</v>
      </c>
      <c r="D823">
        <v>1</v>
      </c>
      <c r="E823">
        <v>1</v>
      </c>
      <c r="F823">
        <v>1</v>
      </c>
      <c r="G823">
        <v>1</v>
      </c>
      <c r="H823">
        <v>1</v>
      </c>
      <c r="J823">
        <v>42</v>
      </c>
      <c r="K823">
        <v>1</v>
      </c>
      <c r="L823">
        <v>1</v>
      </c>
      <c r="M823">
        <v>1</v>
      </c>
      <c r="N823">
        <v>1</v>
      </c>
      <c r="O823">
        <v>1</v>
      </c>
      <c r="P823">
        <v>1</v>
      </c>
      <c r="R823">
        <v>42</v>
      </c>
      <c r="S823">
        <v>1</v>
      </c>
      <c r="T823">
        <v>1</v>
      </c>
      <c r="U823">
        <v>1</v>
      </c>
      <c r="V823">
        <v>1</v>
      </c>
      <c r="W823">
        <v>1</v>
      </c>
      <c r="X823">
        <v>1</v>
      </c>
      <c r="AA823">
        <v>-7381.9919</v>
      </c>
      <c r="AB823">
        <v>-7381.9919</v>
      </c>
      <c r="AC823">
        <v>-7381.9919</v>
      </c>
      <c r="AD823">
        <v>-7381.9919</v>
      </c>
      <c r="AE823">
        <v>-7381.9919</v>
      </c>
      <c r="AF823">
        <v>-7381.9919</v>
      </c>
    </row>
    <row r="824" spans="2:32" x14ac:dyDescent="0.25">
      <c r="B824">
        <v>43</v>
      </c>
      <c r="C824">
        <v>1</v>
      </c>
      <c r="D824">
        <v>1</v>
      </c>
      <c r="E824">
        <v>1</v>
      </c>
      <c r="F824">
        <v>1</v>
      </c>
      <c r="G824">
        <v>1</v>
      </c>
      <c r="H824">
        <v>1</v>
      </c>
      <c r="J824">
        <v>43</v>
      </c>
      <c r="K824">
        <v>1</v>
      </c>
      <c r="L824">
        <v>1</v>
      </c>
      <c r="M824">
        <v>1</v>
      </c>
      <c r="N824">
        <v>1</v>
      </c>
      <c r="O824">
        <v>1</v>
      </c>
      <c r="P824">
        <v>1</v>
      </c>
      <c r="R824">
        <v>43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AA824">
        <v>-7374.9579999999996</v>
      </c>
      <c r="AB824">
        <v>-7374.9579999999996</v>
      </c>
      <c r="AC824">
        <v>-7374.9579999999996</v>
      </c>
      <c r="AD824">
        <v>-7374.9579999999996</v>
      </c>
      <c r="AE824">
        <v>-7374.9579999999996</v>
      </c>
      <c r="AF824">
        <v>-7374.9579999999996</v>
      </c>
    </row>
    <row r="825" spans="2:32" x14ac:dyDescent="0.25">
      <c r="B825">
        <v>44</v>
      </c>
      <c r="C825">
        <v>1</v>
      </c>
      <c r="D825">
        <v>1</v>
      </c>
      <c r="E825">
        <v>1</v>
      </c>
      <c r="F825">
        <v>1</v>
      </c>
      <c r="G825">
        <v>1</v>
      </c>
      <c r="H825">
        <v>1</v>
      </c>
      <c r="J825">
        <v>44</v>
      </c>
      <c r="K825">
        <v>1</v>
      </c>
      <c r="L825">
        <v>1</v>
      </c>
      <c r="M825">
        <v>1</v>
      </c>
      <c r="N825">
        <v>1</v>
      </c>
      <c r="O825">
        <v>1</v>
      </c>
      <c r="P825">
        <v>1</v>
      </c>
      <c r="R825">
        <v>44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AA825">
        <v>-7367.2034999999996</v>
      </c>
      <c r="AB825">
        <v>-7367.2034999999996</v>
      </c>
      <c r="AC825">
        <v>-7367.2034999999996</v>
      </c>
      <c r="AD825">
        <v>-7367.2034999999996</v>
      </c>
      <c r="AE825">
        <v>-7367.2034999999996</v>
      </c>
      <c r="AF825">
        <v>-7367.2034999999996</v>
      </c>
    </row>
    <row r="826" spans="2:32" x14ac:dyDescent="0.25">
      <c r="B826">
        <v>45</v>
      </c>
      <c r="C826">
        <v>1</v>
      </c>
      <c r="D826">
        <v>1</v>
      </c>
      <c r="E826">
        <v>1</v>
      </c>
      <c r="F826">
        <v>1</v>
      </c>
      <c r="G826">
        <v>1</v>
      </c>
      <c r="H826">
        <v>1</v>
      </c>
      <c r="J826">
        <v>45</v>
      </c>
      <c r="K826">
        <v>1</v>
      </c>
      <c r="L826">
        <v>1</v>
      </c>
      <c r="M826">
        <v>1</v>
      </c>
      <c r="N826">
        <v>1</v>
      </c>
      <c r="O826">
        <v>1</v>
      </c>
      <c r="P826">
        <v>1</v>
      </c>
      <c r="R826">
        <v>45</v>
      </c>
      <c r="S826">
        <v>1</v>
      </c>
      <c r="T826">
        <v>1</v>
      </c>
      <c r="U826">
        <v>1</v>
      </c>
      <c r="V826">
        <v>1</v>
      </c>
      <c r="W826">
        <v>1</v>
      </c>
      <c r="X826">
        <v>1</v>
      </c>
      <c r="AA826">
        <v>-7358.6491999999998</v>
      </c>
      <c r="AB826">
        <v>-7358.6491999999998</v>
      </c>
      <c r="AC826">
        <v>-7358.6491999999998</v>
      </c>
      <c r="AD826">
        <v>-7358.6491999999998</v>
      </c>
      <c r="AE826">
        <v>-7358.6491999999998</v>
      </c>
      <c r="AF826">
        <v>-7358.6491999999998</v>
      </c>
    </row>
    <row r="827" spans="2:32" x14ac:dyDescent="0.25">
      <c r="B827">
        <v>46</v>
      </c>
      <c r="C827">
        <v>1</v>
      </c>
      <c r="D827">
        <v>1</v>
      </c>
      <c r="E827">
        <v>1</v>
      </c>
      <c r="F827">
        <v>1</v>
      </c>
      <c r="G827">
        <v>1</v>
      </c>
      <c r="H827">
        <v>1</v>
      </c>
      <c r="J827">
        <v>46</v>
      </c>
      <c r="K827">
        <v>1</v>
      </c>
      <c r="L827">
        <v>1</v>
      </c>
      <c r="M827">
        <v>1</v>
      </c>
      <c r="N827">
        <v>1</v>
      </c>
      <c r="O827">
        <v>1</v>
      </c>
      <c r="P827">
        <v>1</v>
      </c>
      <c r="R827">
        <v>46</v>
      </c>
      <c r="S827">
        <v>1</v>
      </c>
      <c r="T827">
        <v>1</v>
      </c>
      <c r="U827">
        <v>1</v>
      </c>
      <c r="V827">
        <v>1</v>
      </c>
      <c r="W827">
        <v>1</v>
      </c>
      <c r="X827">
        <v>1</v>
      </c>
      <c r="AA827">
        <v>-7349.2232000000004</v>
      </c>
      <c r="AB827">
        <v>-7349.2232000000004</v>
      </c>
      <c r="AC827">
        <v>-7349.2232000000004</v>
      </c>
      <c r="AD827">
        <v>-7349.2232000000004</v>
      </c>
      <c r="AE827">
        <v>-7349.2232000000004</v>
      </c>
      <c r="AF827">
        <v>-7349.2232000000004</v>
      </c>
    </row>
    <row r="828" spans="2:32" x14ac:dyDescent="0.25">
      <c r="B828">
        <v>47</v>
      </c>
      <c r="C828">
        <v>1</v>
      </c>
      <c r="D828">
        <v>1</v>
      </c>
      <c r="E828">
        <v>1</v>
      </c>
      <c r="F828">
        <v>1</v>
      </c>
      <c r="G828">
        <v>1</v>
      </c>
      <c r="H828">
        <v>1</v>
      </c>
      <c r="J828">
        <v>47</v>
      </c>
      <c r="K828">
        <v>1</v>
      </c>
      <c r="L828">
        <v>1</v>
      </c>
      <c r="M828">
        <v>1</v>
      </c>
      <c r="N828">
        <v>1</v>
      </c>
      <c r="O828">
        <v>1</v>
      </c>
      <c r="P828">
        <v>1</v>
      </c>
      <c r="R828">
        <v>47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AA828">
        <v>-7338.8310000000001</v>
      </c>
      <c r="AB828">
        <v>-7338.8310000000001</v>
      </c>
      <c r="AC828">
        <v>-7338.8310000000001</v>
      </c>
      <c r="AD828">
        <v>-7338.8310000000001</v>
      </c>
      <c r="AE828">
        <v>-7338.8310000000001</v>
      </c>
      <c r="AF828">
        <v>-7338.8310000000001</v>
      </c>
    </row>
    <row r="829" spans="2:32" x14ac:dyDescent="0.25">
      <c r="B829">
        <v>48</v>
      </c>
      <c r="C829">
        <v>1</v>
      </c>
      <c r="D829">
        <v>1</v>
      </c>
      <c r="E829">
        <v>1</v>
      </c>
      <c r="F829">
        <v>1</v>
      </c>
      <c r="G829">
        <v>1</v>
      </c>
      <c r="H829">
        <v>1</v>
      </c>
      <c r="J829">
        <v>48</v>
      </c>
      <c r="K829">
        <v>1</v>
      </c>
      <c r="L829">
        <v>1</v>
      </c>
      <c r="M829">
        <v>1</v>
      </c>
      <c r="N829">
        <v>1</v>
      </c>
      <c r="O829">
        <v>1</v>
      </c>
      <c r="P829">
        <v>1</v>
      </c>
      <c r="R829">
        <v>48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AA829">
        <v>-7327.4297999999999</v>
      </c>
      <c r="AB829">
        <v>-7327.4297999999999</v>
      </c>
      <c r="AC829">
        <v>-7327.4297999999999</v>
      </c>
      <c r="AD829">
        <v>-7327.4297999999999</v>
      </c>
      <c r="AE829">
        <v>-7327.4297999999999</v>
      </c>
      <c r="AF829">
        <v>-7327.4297999999999</v>
      </c>
    </row>
    <row r="830" spans="2:32" x14ac:dyDescent="0.25">
      <c r="B830">
        <v>49</v>
      </c>
      <c r="C830">
        <v>1</v>
      </c>
      <c r="D830">
        <v>1</v>
      </c>
      <c r="E830">
        <v>1</v>
      </c>
      <c r="F830">
        <v>1</v>
      </c>
      <c r="G830">
        <v>1</v>
      </c>
      <c r="H830">
        <v>1</v>
      </c>
      <c r="J830">
        <v>49</v>
      </c>
      <c r="K830">
        <v>1</v>
      </c>
      <c r="L830">
        <v>1</v>
      </c>
      <c r="M830">
        <v>1</v>
      </c>
      <c r="N830">
        <v>1</v>
      </c>
      <c r="O830">
        <v>1</v>
      </c>
      <c r="P830">
        <v>1</v>
      </c>
      <c r="R830">
        <v>49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AA830">
        <v>-7314.951</v>
      </c>
      <c r="AB830">
        <v>-7314.951</v>
      </c>
      <c r="AC830">
        <v>-7314.951</v>
      </c>
      <c r="AD830">
        <v>-7314.951</v>
      </c>
      <c r="AE830">
        <v>-7314.951</v>
      </c>
      <c r="AF830">
        <v>-7314.951</v>
      </c>
    </row>
    <row r="831" spans="2:32" x14ac:dyDescent="0.25">
      <c r="B831">
        <v>50</v>
      </c>
      <c r="C831">
        <v>1</v>
      </c>
      <c r="D831">
        <v>1</v>
      </c>
      <c r="E831">
        <v>1</v>
      </c>
      <c r="F831">
        <v>1</v>
      </c>
      <c r="G831">
        <v>1</v>
      </c>
      <c r="H831">
        <v>1</v>
      </c>
      <c r="J831">
        <v>50</v>
      </c>
      <c r="K831">
        <v>1</v>
      </c>
      <c r="L831">
        <v>1</v>
      </c>
      <c r="M831">
        <v>1</v>
      </c>
      <c r="N831">
        <v>1</v>
      </c>
      <c r="O831">
        <v>1</v>
      </c>
      <c r="P831">
        <v>1</v>
      </c>
      <c r="R831">
        <v>50</v>
      </c>
      <c r="S831">
        <v>1</v>
      </c>
      <c r="T831">
        <v>1</v>
      </c>
      <c r="U831">
        <v>1</v>
      </c>
      <c r="V831">
        <v>1</v>
      </c>
      <c r="W831">
        <v>1</v>
      </c>
      <c r="X831">
        <v>1</v>
      </c>
      <c r="AA831">
        <v>-7301.2851000000001</v>
      </c>
      <c r="AB831">
        <v>-7301.2851000000001</v>
      </c>
      <c r="AC831">
        <v>-7301.2851000000001</v>
      </c>
      <c r="AD831">
        <v>-7301.2851000000001</v>
      </c>
      <c r="AE831">
        <v>-7301.2851000000001</v>
      </c>
      <c r="AF831">
        <v>-7301.2851000000001</v>
      </c>
    </row>
    <row r="832" spans="2:32" x14ac:dyDescent="0.25">
      <c r="B832">
        <v>51</v>
      </c>
      <c r="C832">
        <v>1</v>
      </c>
      <c r="D832">
        <v>1</v>
      </c>
      <c r="E832">
        <v>1</v>
      </c>
      <c r="F832">
        <v>1</v>
      </c>
      <c r="G832">
        <v>1</v>
      </c>
      <c r="H832">
        <v>1</v>
      </c>
      <c r="J832">
        <v>51</v>
      </c>
      <c r="K832">
        <v>1</v>
      </c>
      <c r="L832">
        <v>1</v>
      </c>
      <c r="M832">
        <v>1</v>
      </c>
      <c r="N832">
        <v>1</v>
      </c>
      <c r="O832">
        <v>1</v>
      </c>
      <c r="P832">
        <v>1</v>
      </c>
      <c r="R832">
        <v>51</v>
      </c>
      <c r="S832">
        <v>1</v>
      </c>
      <c r="T832">
        <v>1</v>
      </c>
      <c r="U832">
        <v>1</v>
      </c>
      <c r="V832">
        <v>1</v>
      </c>
      <c r="W832">
        <v>1</v>
      </c>
      <c r="X832">
        <v>1</v>
      </c>
      <c r="AA832">
        <v>-7286.3271000000004</v>
      </c>
      <c r="AB832">
        <v>-7286.3271000000004</v>
      </c>
      <c r="AC832">
        <v>-7286.3271000000004</v>
      </c>
      <c r="AD832">
        <v>-7286.3271000000004</v>
      </c>
      <c r="AE832">
        <v>-7286.3271000000004</v>
      </c>
      <c r="AF832">
        <v>-7286.3271000000004</v>
      </c>
    </row>
    <row r="833" spans="2:32" x14ac:dyDescent="0.25">
      <c r="B833">
        <v>52</v>
      </c>
      <c r="C833">
        <v>1</v>
      </c>
      <c r="D833">
        <v>1</v>
      </c>
      <c r="E833">
        <v>1</v>
      </c>
      <c r="F833">
        <v>1</v>
      </c>
      <c r="G833">
        <v>1</v>
      </c>
      <c r="H833">
        <v>1</v>
      </c>
      <c r="J833">
        <v>52</v>
      </c>
      <c r="K833">
        <v>1</v>
      </c>
      <c r="L833">
        <v>1</v>
      </c>
      <c r="M833">
        <v>1</v>
      </c>
      <c r="N833">
        <v>1</v>
      </c>
      <c r="O833">
        <v>1</v>
      </c>
      <c r="P833">
        <v>1</v>
      </c>
      <c r="R833">
        <v>52</v>
      </c>
      <c r="S833">
        <v>1</v>
      </c>
      <c r="T833">
        <v>1</v>
      </c>
      <c r="U833">
        <v>1</v>
      </c>
      <c r="V833">
        <v>1</v>
      </c>
      <c r="W833">
        <v>1</v>
      </c>
      <c r="X833">
        <v>1</v>
      </c>
      <c r="AA833">
        <v>-7269.9448000000002</v>
      </c>
      <c r="AB833">
        <v>-7269.9448000000002</v>
      </c>
      <c r="AC833">
        <v>-7269.9448000000002</v>
      </c>
      <c r="AD833">
        <v>-7269.9448000000002</v>
      </c>
      <c r="AE833">
        <v>-7269.9448000000002</v>
      </c>
      <c r="AF833">
        <v>-7269.9448000000002</v>
      </c>
    </row>
    <row r="834" spans="2:32" x14ac:dyDescent="0.25">
      <c r="B834">
        <v>53</v>
      </c>
      <c r="C834">
        <v>1</v>
      </c>
      <c r="D834">
        <v>1</v>
      </c>
      <c r="E834">
        <v>1</v>
      </c>
      <c r="F834">
        <v>1</v>
      </c>
      <c r="G834">
        <v>1</v>
      </c>
      <c r="H834">
        <v>1</v>
      </c>
      <c r="J834">
        <v>53</v>
      </c>
      <c r="K834">
        <v>1</v>
      </c>
      <c r="L834">
        <v>1</v>
      </c>
      <c r="M834">
        <v>1</v>
      </c>
      <c r="N834">
        <v>1</v>
      </c>
      <c r="O834">
        <v>1</v>
      </c>
      <c r="P834">
        <v>1</v>
      </c>
      <c r="R834">
        <v>53</v>
      </c>
      <c r="S834">
        <v>1</v>
      </c>
      <c r="T834">
        <v>1</v>
      </c>
      <c r="U834">
        <v>1</v>
      </c>
      <c r="V834">
        <v>1</v>
      </c>
      <c r="W834">
        <v>1</v>
      </c>
      <c r="X834">
        <v>1</v>
      </c>
      <c r="AA834">
        <v>-7252.0574999999999</v>
      </c>
      <c r="AB834">
        <v>-7252.0574999999999</v>
      </c>
      <c r="AC834">
        <v>-7252.0574999999999</v>
      </c>
      <c r="AD834">
        <v>-7252.0574999999999</v>
      </c>
      <c r="AE834">
        <v>-7252.0574999999999</v>
      </c>
      <c r="AF834">
        <v>-7252.0574999999999</v>
      </c>
    </row>
    <row r="835" spans="2:32" x14ac:dyDescent="0.25">
      <c r="B835">
        <v>54</v>
      </c>
      <c r="C835">
        <v>1</v>
      </c>
      <c r="D835">
        <v>1</v>
      </c>
      <c r="E835">
        <v>1</v>
      </c>
      <c r="F835">
        <v>1</v>
      </c>
      <c r="G835">
        <v>1</v>
      </c>
      <c r="H835">
        <v>1</v>
      </c>
      <c r="J835">
        <v>54</v>
      </c>
      <c r="K835">
        <v>1</v>
      </c>
      <c r="L835">
        <v>1</v>
      </c>
      <c r="M835">
        <v>1</v>
      </c>
      <c r="N835">
        <v>1</v>
      </c>
      <c r="O835">
        <v>1</v>
      </c>
      <c r="P835">
        <v>1</v>
      </c>
      <c r="R835">
        <v>54</v>
      </c>
      <c r="S835">
        <v>1</v>
      </c>
      <c r="T835">
        <v>1</v>
      </c>
      <c r="U835">
        <v>1</v>
      </c>
      <c r="V835">
        <v>1</v>
      </c>
      <c r="W835">
        <v>1</v>
      </c>
      <c r="X835">
        <v>1</v>
      </c>
      <c r="AA835">
        <v>-7232.5680000000002</v>
      </c>
      <c r="AB835">
        <v>-7232.5680000000002</v>
      </c>
      <c r="AC835">
        <v>-7232.5680000000002</v>
      </c>
      <c r="AD835">
        <v>-7232.5680000000002</v>
      </c>
      <c r="AE835">
        <v>-7232.5680000000002</v>
      </c>
      <c r="AF835">
        <v>-7232.5680000000002</v>
      </c>
    </row>
    <row r="836" spans="2:32" x14ac:dyDescent="0.25">
      <c r="B836">
        <v>55</v>
      </c>
      <c r="C836">
        <v>1</v>
      </c>
      <c r="D836">
        <v>1</v>
      </c>
      <c r="E836">
        <v>1</v>
      </c>
      <c r="F836">
        <v>1</v>
      </c>
      <c r="G836">
        <v>1</v>
      </c>
      <c r="H836">
        <v>1</v>
      </c>
      <c r="J836">
        <v>55</v>
      </c>
      <c r="K836">
        <v>1</v>
      </c>
      <c r="L836">
        <v>1</v>
      </c>
      <c r="M836">
        <v>1</v>
      </c>
      <c r="N836">
        <v>1</v>
      </c>
      <c r="O836">
        <v>1</v>
      </c>
      <c r="P836">
        <v>1</v>
      </c>
      <c r="R836">
        <v>55</v>
      </c>
      <c r="S836">
        <v>1</v>
      </c>
      <c r="T836">
        <v>1</v>
      </c>
      <c r="U836">
        <v>1</v>
      </c>
      <c r="V836">
        <v>1</v>
      </c>
      <c r="W836">
        <v>1</v>
      </c>
      <c r="X836">
        <v>1</v>
      </c>
      <c r="AA836">
        <v>-7211.3207000000002</v>
      </c>
      <c r="AB836">
        <v>-7211.3207000000002</v>
      </c>
      <c r="AC836">
        <v>-7211.3207000000002</v>
      </c>
      <c r="AD836">
        <v>-7211.3207000000002</v>
      </c>
      <c r="AE836">
        <v>-7211.3207000000002</v>
      </c>
      <c r="AF836">
        <v>-7211.3207000000002</v>
      </c>
    </row>
    <row r="839" spans="2:32" x14ac:dyDescent="0.25">
      <c r="B839" t="s">
        <v>46</v>
      </c>
      <c r="C839">
        <v>100000</v>
      </c>
      <c r="D839">
        <v>250000</v>
      </c>
      <c r="E839">
        <v>500000</v>
      </c>
      <c r="F839">
        <v>1000000</v>
      </c>
      <c r="G839">
        <v>2000000</v>
      </c>
      <c r="J839" t="s">
        <v>32</v>
      </c>
      <c r="K839">
        <v>100000</v>
      </c>
      <c r="L839">
        <v>250000</v>
      </c>
      <c r="M839">
        <v>500000</v>
      </c>
      <c r="N839">
        <v>1000000</v>
      </c>
      <c r="O839">
        <v>2000000</v>
      </c>
      <c r="R839" t="s">
        <v>48</v>
      </c>
      <c r="S839">
        <v>100000</v>
      </c>
      <c r="T839">
        <v>250000</v>
      </c>
      <c r="U839">
        <v>500000</v>
      </c>
      <c r="V839">
        <v>1000000</v>
      </c>
      <c r="W839">
        <v>2000000</v>
      </c>
    </row>
    <row r="840" spans="2:32" x14ac:dyDescent="0.25">
      <c r="B840">
        <v>35</v>
      </c>
      <c r="C840">
        <v>1</v>
      </c>
      <c r="D840">
        <v>1</v>
      </c>
      <c r="E840">
        <v>1</v>
      </c>
      <c r="F840">
        <v>1</v>
      </c>
      <c r="G840">
        <v>1</v>
      </c>
      <c r="J840">
        <v>35</v>
      </c>
      <c r="K840">
        <v>1</v>
      </c>
      <c r="L840">
        <v>1</v>
      </c>
      <c r="M840">
        <v>1</v>
      </c>
      <c r="N840">
        <v>1</v>
      </c>
      <c r="O840">
        <v>1</v>
      </c>
      <c r="R840">
        <v>35</v>
      </c>
      <c r="S840">
        <v>1</v>
      </c>
      <c r="T840">
        <v>1</v>
      </c>
      <c r="U840">
        <v>1</v>
      </c>
      <c r="V840">
        <v>1</v>
      </c>
      <c r="W840">
        <v>1</v>
      </c>
      <c r="AA840">
        <v>-11308.6893</v>
      </c>
      <c r="AB840">
        <v>-11308.6893</v>
      </c>
      <c r="AC840">
        <v>-11308.6893</v>
      </c>
      <c r="AD840">
        <v>-11308.6893</v>
      </c>
      <c r="AE840">
        <v>-11308.6893</v>
      </c>
    </row>
    <row r="841" spans="2:32" x14ac:dyDescent="0.25">
      <c r="B841">
        <f t="shared" ref="B841:B870" si="36">B840+1</f>
        <v>36</v>
      </c>
      <c r="C841">
        <v>1</v>
      </c>
      <c r="D841">
        <v>1</v>
      </c>
      <c r="E841">
        <v>1</v>
      </c>
      <c r="F841">
        <v>1</v>
      </c>
      <c r="G841">
        <v>1</v>
      </c>
      <c r="J841">
        <f t="shared" ref="J841:J870" si="37">J840+1</f>
        <v>36</v>
      </c>
      <c r="K841">
        <v>1</v>
      </c>
      <c r="L841">
        <v>1</v>
      </c>
      <c r="M841">
        <v>1</v>
      </c>
      <c r="N841">
        <v>1</v>
      </c>
      <c r="O841">
        <v>1</v>
      </c>
      <c r="R841">
        <f t="shared" ref="R841:R870" si="38">R840+1</f>
        <v>36</v>
      </c>
      <c r="S841">
        <v>1</v>
      </c>
      <c r="T841">
        <v>1</v>
      </c>
      <c r="U841">
        <v>1</v>
      </c>
      <c r="V841">
        <v>1</v>
      </c>
      <c r="W841">
        <v>1</v>
      </c>
      <c r="AA841">
        <v>-11214.2592</v>
      </c>
      <c r="AB841">
        <v>-11214.2592</v>
      </c>
      <c r="AC841">
        <v>-11214.2592</v>
      </c>
      <c r="AD841">
        <v>-11214.2592</v>
      </c>
      <c r="AE841">
        <v>-11214.2592</v>
      </c>
    </row>
    <row r="842" spans="2:32" x14ac:dyDescent="0.25">
      <c r="B842">
        <f t="shared" si="36"/>
        <v>37</v>
      </c>
      <c r="C842">
        <v>1</v>
      </c>
      <c r="D842">
        <v>1</v>
      </c>
      <c r="E842">
        <v>1</v>
      </c>
      <c r="F842">
        <v>1</v>
      </c>
      <c r="G842">
        <v>1</v>
      </c>
      <c r="J842">
        <f t="shared" si="37"/>
        <v>37</v>
      </c>
      <c r="K842">
        <v>1</v>
      </c>
      <c r="L842">
        <v>1</v>
      </c>
      <c r="M842">
        <v>1</v>
      </c>
      <c r="N842">
        <v>1</v>
      </c>
      <c r="O842">
        <v>1</v>
      </c>
      <c r="R842">
        <f t="shared" si="38"/>
        <v>37</v>
      </c>
      <c r="S842">
        <v>1</v>
      </c>
      <c r="T842">
        <v>1</v>
      </c>
      <c r="U842">
        <v>1</v>
      </c>
      <c r="V842">
        <v>1</v>
      </c>
      <c r="W842">
        <v>1</v>
      </c>
      <c r="AA842">
        <v>-11117.406199999999</v>
      </c>
      <c r="AB842">
        <v>-11117.406199999999</v>
      </c>
      <c r="AC842">
        <v>-11117.406199999999</v>
      </c>
      <c r="AD842">
        <v>-11117.406199999999</v>
      </c>
      <c r="AE842">
        <v>-11117.406199999999</v>
      </c>
    </row>
    <row r="843" spans="2:32" x14ac:dyDescent="0.25">
      <c r="B843">
        <f t="shared" si="36"/>
        <v>38</v>
      </c>
      <c r="C843">
        <v>1</v>
      </c>
      <c r="D843">
        <v>1</v>
      </c>
      <c r="E843">
        <v>1</v>
      </c>
      <c r="F843">
        <v>1</v>
      </c>
      <c r="G843">
        <v>1</v>
      </c>
      <c r="J843">
        <f t="shared" si="37"/>
        <v>38</v>
      </c>
      <c r="K843">
        <v>1</v>
      </c>
      <c r="L843">
        <v>1</v>
      </c>
      <c r="M843">
        <v>1</v>
      </c>
      <c r="N843">
        <v>1</v>
      </c>
      <c r="O843">
        <v>1</v>
      </c>
      <c r="R843">
        <f t="shared" si="38"/>
        <v>38</v>
      </c>
      <c r="S843">
        <v>1</v>
      </c>
      <c r="T843">
        <v>1</v>
      </c>
      <c r="U843">
        <v>1</v>
      </c>
      <c r="V843">
        <v>1</v>
      </c>
      <c r="W843">
        <v>1</v>
      </c>
      <c r="AA843">
        <v>-11018.229799999999</v>
      </c>
      <c r="AB843">
        <v>-11018.229799999999</v>
      </c>
      <c r="AC843">
        <v>-11018.229799999999</v>
      </c>
      <c r="AD843">
        <v>-11018.229799999999</v>
      </c>
      <c r="AE843">
        <v>-11018.229799999999</v>
      </c>
    </row>
    <row r="844" spans="2:32" x14ac:dyDescent="0.25">
      <c r="B844">
        <f t="shared" si="36"/>
        <v>39</v>
      </c>
      <c r="C844">
        <v>1</v>
      </c>
      <c r="D844">
        <v>1</v>
      </c>
      <c r="E844">
        <v>1</v>
      </c>
      <c r="F844">
        <v>1</v>
      </c>
      <c r="G844">
        <v>1</v>
      </c>
      <c r="J844">
        <f t="shared" si="37"/>
        <v>39</v>
      </c>
      <c r="K844">
        <v>1</v>
      </c>
      <c r="L844">
        <v>1</v>
      </c>
      <c r="M844">
        <v>1</v>
      </c>
      <c r="N844">
        <v>1</v>
      </c>
      <c r="O844">
        <v>1</v>
      </c>
      <c r="R844">
        <f t="shared" si="38"/>
        <v>39</v>
      </c>
      <c r="S844">
        <v>1</v>
      </c>
      <c r="T844">
        <v>1</v>
      </c>
      <c r="U844">
        <v>1</v>
      </c>
      <c r="V844">
        <v>1</v>
      </c>
      <c r="W844">
        <v>1</v>
      </c>
      <c r="AA844">
        <v>-10916.737999999999</v>
      </c>
      <c r="AB844">
        <v>-10916.737999999999</v>
      </c>
      <c r="AC844">
        <v>-10916.737999999999</v>
      </c>
      <c r="AD844">
        <v>-10916.737999999999</v>
      </c>
      <c r="AE844">
        <v>-10916.737999999999</v>
      </c>
    </row>
    <row r="845" spans="2:32" x14ac:dyDescent="0.25">
      <c r="B845">
        <f t="shared" si="36"/>
        <v>40</v>
      </c>
      <c r="C845">
        <v>1</v>
      </c>
      <c r="D845">
        <v>1</v>
      </c>
      <c r="E845">
        <v>1</v>
      </c>
      <c r="F845">
        <v>1</v>
      </c>
      <c r="G845">
        <v>1</v>
      </c>
      <c r="J845">
        <f t="shared" si="37"/>
        <v>40</v>
      </c>
      <c r="K845">
        <v>1</v>
      </c>
      <c r="L845">
        <v>1</v>
      </c>
      <c r="M845">
        <v>1</v>
      </c>
      <c r="N845">
        <v>1</v>
      </c>
      <c r="O845">
        <v>1</v>
      </c>
      <c r="R845">
        <f t="shared" si="38"/>
        <v>40</v>
      </c>
      <c r="S845">
        <v>1</v>
      </c>
      <c r="T845">
        <v>1</v>
      </c>
      <c r="U845">
        <v>1</v>
      </c>
      <c r="V845">
        <v>1</v>
      </c>
      <c r="W845">
        <v>1</v>
      </c>
      <c r="AA845">
        <v>-10812.8714</v>
      </c>
      <c r="AB845">
        <v>-10812.8714</v>
      </c>
      <c r="AC845">
        <v>-10812.8714</v>
      </c>
      <c r="AD845">
        <v>-10812.8714</v>
      </c>
      <c r="AE845">
        <v>-10812.8714</v>
      </c>
    </row>
    <row r="846" spans="2:32" x14ac:dyDescent="0.25">
      <c r="B846">
        <f t="shared" si="36"/>
        <v>41</v>
      </c>
      <c r="C846">
        <v>1</v>
      </c>
      <c r="D846">
        <v>1</v>
      </c>
      <c r="E846">
        <v>1</v>
      </c>
      <c r="F846">
        <v>1</v>
      </c>
      <c r="G846">
        <v>1</v>
      </c>
      <c r="J846">
        <f t="shared" si="37"/>
        <v>41</v>
      </c>
      <c r="K846">
        <v>1</v>
      </c>
      <c r="L846">
        <v>1</v>
      </c>
      <c r="M846">
        <v>1</v>
      </c>
      <c r="N846">
        <v>1</v>
      </c>
      <c r="O846">
        <v>1</v>
      </c>
      <c r="R846">
        <f t="shared" si="38"/>
        <v>41</v>
      </c>
      <c r="S846">
        <v>1</v>
      </c>
      <c r="T846">
        <v>1</v>
      </c>
      <c r="U846">
        <v>1</v>
      </c>
      <c r="V846">
        <v>1</v>
      </c>
      <c r="W846">
        <v>1</v>
      </c>
      <c r="AA846">
        <v>-10706.559600000001</v>
      </c>
      <c r="AB846">
        <v>-10706.559600000001</v>
      </c>
      <c r="AC846">
        <v>-10706.559600000001</v>
      </c>
      <c r="AD846">
        <v>-10706.559600000001</v>
      </c>
      <c r="AE846">
        <v>-10706.559600000001</v>
      </c>
    </row>
    <row r="847" spans="2:32" x14ac:dyDescent="0.25">
      <c r="B847">
        <f t="shared" si="36"/>
        <v>42</v>
      </c>
      <c r="C847">
        <v>1</v>
      </c>
      <c r="D847">
        <v>1</v>
      </c>
      <c r="E847">
        <v>1</v>
      </c>
      <c r="F847">
        <v>1</v>
      </c>
      <c r="G847">
        <v>1</v>
      </c>
      <c r="J847">
        <f t="shared" si="37"/>
        <v>42</v>
      </c>
      <c r="K847">
        <v>1</v>
      </c>
      <c r="L847">
        <v>1</v>
      </c>
      <c r="M847">
        <v>1</v>
      </c>
      <c r="N847">
        <v>1</v>
      </c>
      <c r="O847">
        <v>1</v>
      </c>
      <c r="R847">
        <f t="shared" si="38"/>
        <v>42</v>
      </c>
      <c r="S847">
        <v>1</v>
      </c>
      <c r="T847">
        <v>1</v>
      </c>
      <c r="U847">
        <v>1</v>
      </c>
      <c r="V847">
        <v>1</v>
      </c>
      <c r="W847">
        <v>1</v>
      </c>
      <c r="AA847">
        <v>-10597.8485</v>
      </c>
      <c r="AB847">
        <v>-10597.8485</v>
      </c>
      <c r="AC847">
        <v>-10597.8485</v>
      </c>
      <c r="AD847">
        <v>-10597.8485</v>
      </c>
      <c r="AE847">
        <v>-10597.8485</v>
      </c>
    </row>
    <row r="848" spans="2:32" x14ac:dyDescent="0.25">
      <c r="B848">
        <f t="shared" si="36"/>
        <v>43</v>
      </c>
      <c r="C848">
        <v>1</v>
      </c>
      <c r="D848">
        <v>1</v>
      </c>
      <c r="E848">
        <v>1</v>
      </c>
      <c r="F848">
        <v>1</v>
      </c>
      <c r="G848">
        <v>1</v>
      </c>
      <c r="J848">
        <f t="shared" si="37"/>
        <v>43</v>
      </c>
      <c r="K848">
        <v>1</v>
      </c>
      <c r="L848">
        <v>1</v>
      </c>
      <c r="M848">
        <v>1</v>
      </c>
      <c r="N848">
        <v>1</v>
      </c>
      <c r="O848">
        <v>1</v>
      </c>
      <c r="R848">
        <f t="shared" si="38"/>
        <v>43</v>
      </c>
      <c r="S848">
        <v>1</v>
      </c>
      <c r="T848">
        <v>1</v>
      </c>
      <c r="U848">
        <v>1</v>
      </c>
      <c r="V848">
        <v>1</v>
      </c>
      <c r="W848">
        <v>1</v>
      </c>
      <c r="AA848">
        <v>-10486.615400000001</v>
      </c>
      <c r="AB848">
        <v>-10486.615400000001</v>
      </c>
      <c r="AC848">
        <v>-10486.615400000001</v>
      </c>
      <c r="AD848">
        <v>-10486.615400000001</v>
      </c>
      <c r="AE848">
        <v>-10486.615400000001</v>
      </c>
    </row>
    <row r="849" spans="2:31" x14ac:dyDescent="0.25">
      <c r="B849">
        <f t="shared" si="36"/>
        <v>44</v>
      </c>
      <c r="C849">
        <v>1</v>
      </c>
      <c r="D849">
        <v>1</v>
      </c>
      <c r="E849">
        <v>1</v>
      </c>
      <c r="F849">
        <v>1</v>
      </c>
      <c r="G849">
        <v>1</v>
      </c>
      <c r="J849">
        <f t="shared" si="37"/>
        <v>44</v>
      </c>
      <c r="K849">
        <v>1</v>
      </c>
      <c r="L849">
        <v>1</v>
      </c>
      <c r="M849">
        <v>1</v>
      </c>
      <c r="N849">
        <v>1</v>
      </c>
      <c r="O849">
        <v>1</v>
      </c>
      <c r="R849">
        <f t="shared" si="38"/>
        <v>44</v>
      </c>
      <c r="S849">
        <v>1</v>
      </c>
      <c r="T849">
        <v>1</v>
      </c>
      <c r="U849">
        <v>1</v>
      </c>
      <c r="V849">
        <v>1</v>
      </c>
      <c r="W849">
        <v>1</v>
      </c>
      <c r="AA849">
        <v>-10372.9005</v>
      </c>
      <c r="AB849">
        <v>-10372.9005</v>
      </c>
      <c r="AC849">
        <v>-10372.9005</v>
      </c>
      <c r="AD849">
        <v>-10372.9005</v>
      </c>
      <c r="AE849">
        <v>-10372.9005</v>
      </c>
    </row>
    <row r="850" spans="2:31" x14ac:dyDescent="0.25">
      <c r="B850">
        <f t="shared" si="36"/>
        <v>45</v>
      </c>
      <c r="C850">
        <v>1</v>
      </c>
      <c r="D850">
        <v>1</v>
      </c>
      <c r="E850">
        <v>1</v>
      </c>
      <c r="F850">
        <v>1</v>
      </c>
      <c r="G850">
        <v>1</v>
      </c>
      <c r="J850">
        <f t="shared" si="37"/>
        <v>45</v>
      </c>
      <c r="K850">
        <v>1</v>
      </c>
      <c r="L850">
        <v>1</v>
      </c>
      <c r="M850">
        <v>1</v>
      </c>
      <c r="N850">
        <v>1</v>
      </c>
      <c r="O850">
        <v>1</v>
      </c>
      <c r="R850">
        <f t="shared" si="38"/>
        <v>45</v>
      </c>
      <c r="S850">
        <v>1</v>
      </c>
      <c r="T850">
        <v>1</v>
      </c>
      <c r="U850">
        <v>1</v>
      </c>
      <c r="V850">
        <v>1</v>
      </c>
      <c r="W850">
        <v>1</v>
      </c>
      <c r="AA850">
        <v>-10256.650600000001</v>
      </c>
      <c r="AB850">
        <v>-10256.650600000001</v>
      </c>
      <c r="AC850">
        <v>-10256.650600000001</v>
      </c>
      <c r="AD850">
        <v>-10256.650600000001</v>
      </c>
      <c r="AE850">
        <v>-10256.650600000001</v>
      </c>
    </row>
    <row r="851" spans="2:31" x14ac:dyDescent="0.25">
      <c r="B851">
        <f t="shared" si="36"/>
        <v>46</v>
      </c>
      <c r="C851">
        <v>1</v>
      </c>
      <c r="D851">
        <v>1</v>
      </c>
      <c r="E851">
        <v>1</v>
      </c>
      <c r="F851">
        <v>1</v>
      </c>
      <c r="G851">
        <v>1</v>
      </c>
      <c r="J851">
        <f t="shared" si="37"/>
        <v>46</v>
      </c>
      <c r="K851">
        <v>1</v>
      </c>
      <c r="L851">
        <v>1</v>
      </c>
      <c r="M851">
        <v>1</v>
      </c>
      <c r="N851">
        <v>1</v>
      </c>
      <c r="O851">
        <v>1</v>
      </c>
      <c r="R851">
        <f t="shared" si="38"/>
        <v>46</v>
      </c>
      <c r="S851">
        <v>1</v>
      </c>
      <c r="T851">
        <v>1</v>
      </c>
      <c r="U851">
        <v>1</v>
      </c>
      <c r="V851">
        <v>1</v>
      </c>
      <c r="W851">
        <v>1</v>
      </c>
      <c r="AA851">
        <v>-10137.871499999999</v>
      </c>
      <c r="AB851">
        <v>-10137.871499999999</v>
      </c>
      <c r="AC851">
        <v>-10137.871499999999</v>
      </c>
      <c r="AD851">
        <v>-10137.871499999999</v>
      </c>
      <c r="AE851">
        <v>-10137.871499999999</v>
      </c>
    </row>
    <row r="852" spans="2:31" x14ac:dyDescent="0.25">
      <c r="B852">
        <f t="shared" si="36"/>
        <v>47</v>
      </c>
      <c r="C852">
        <v>1</v>
      </c>
      <c r="D852">
        <v>1</v>
      </c>
      <c r="E852">
        <v>1</v>
      </c>
      <c r="F852">
        <v>1</v>
      </c>
      <c r="G852">
        <v>1</v>
      </c>
      <c r="J852">
        <f t="shared" si="37"/>
        <v>47</v>
      </c>
      <c r="K852">
        <v>1</v>
      </c>
      <c r="L852">
        <v>1</v>
      </c>
      <c r="M852">
        <v>1</v>
      </c>
      <c r="N852">
        <v>1</v>
      </c>
      <c r="O852">
        <v>1</v>
      </c>
      <c r="R852">
        <f t="shared" si="38"/>
        <v>47</v>
      </c>
      <c r="S852">
        <v>1</v>
      </c>
      <c r="T852">
        <v>1</v>
      </c>
      <c r="U852">
        <v>1</v>
      </c>
      <c r="V852">
        <v>1</v>
      </c>
      <c r="W852">
        <v>1</v>
      </c>
      <c r="AA852">
        <v>-10016.4967</v>
      </c>
      <c r="AB852">
        <v>-10016.4967</v>
      </c>
      <c r="AC852">
        <v>-10016.4967</v>
      </c>
      <c r="AD852">
        <v>-10016.4967</v>
      </c>
      <c r="AE852">
        <v>-10016.4967</v>
      </c>
    </row>
    <row r="853" spans="2:31" x14ac:dyDescent="0.25">
      <c r="B853">
        <f t="shared" si="36"/>
        <v>48</v>
      </c>
      <c r="C853">
        <v>1</v>
      </c>
      <c r="D853">
        <v>1</v>
      </c>
      <c r="E853">
        <v>1</v>
      </c>
      <c r="F853">
        <v>1</v>
      </c>
      <c r="G853">
        <v>1</v>
      </c>
      <c r="J853">
        <f t="shared" si="37"/>
        <v>48</v>
      </c>
      <c r="K853">
        <v>1</v>
      </c>
      <c r="L853">
        <v>1</v>
      </c>
      <c r="M853">
        <v>1</v>
      </c>
      <c r="N853">
        <v>1</v>
      </c>
      <c r="O853">
        <v>1</v>
      </c>
      <c r="R853">
        <f t="shared" si="38"/>
        <v>48</v>
      </c>
      <c r="S853">
        <v>1</v>
      </c>
      <c r="T853">
        <v>1</v>
      </c>
      <c r="U853">
        <v>1</v>
      </c>
      <c r="V853">
        <v>1</v>
      </c>
      <c r="W853">
        <v>1</v>
      </c>
      <c r="AA853">
        <v>-9892.6355000000003</v>
      </c>
      <c r="AB853">
        <v>-9892.6355000000003</v>
      </c>
      <c r="AC853">
        <v>-9892.6355000000003</v>
      </c>
      <c r="AD853">
        <v>-9892.6355000000003</v>
      </c>
      <c r="AE853">
        <v>-9892.6355000000003</v>
      </c>
    </row>
    <row r="854" spans="2:31" x14ac:dyDescent="0.25">
      <c r="B854">
        <f t="shared" si="36"/>
        <v>49</v>
      </c>
      <c r="C854">
        <v>1</v>
      </c>
      <c r="D854">
        <v>1</v>
      </c>
      <c r="E854">
        <v>1</v>
      </c>
      <c r="F854">
        <v>1</v>
      </c>
      <c r="G854">
        <v>1</v>
      </c>
      <c r="J854">
        <f t="shared" si="37"/>
        <v>49</v>
      </c>
      <c r="K854">
        <v>1</v>
      </c>
      <c r="L854">
        <v>1</v>
      </c>
      <c r="M854">
        <v>1</v>
      </c>
      <c r="N854">
        <v>1</v>
      </c>
      <c r="O854">
        <v>1</v>
      </c>
      <c r="R854">
        <f t="shared" si="38"/>
        <v>49</v>
      </c>
      <c r="S854">
        <v>1</v>
      </c>
      <c r="T854">
        <v>1</v>
      </c>
      <c r="U854">
        <v>1</v>
      </c>
      <c r="V854">
        <v>1</v>
      </c>
      <c r="W854">
        <v>1</v>
      </c>
      <c r="AA854">
        <v>-9766.3366999999998</v>
      </c>
      <c r="AB854">
        <v>-9766.3366999999998</v>
      </c>
      <c r="AC854">
        <v>-9766.3366999999998</v>
      </c>
      <c r="AD854">
        <v>-9766.3366999999998</v>
      </c>
      <c r="AE854">
        <v>-9766.3366999999998</v>
      </c>
    </row>
    <row r="855" spans="2:31" x14ac:dyDescent="0.25">
      <c r="B855">
        <f t="shared" si="36"/>
        <v>50</v>
      </c>
      <c r="C855">
        <v>1</v>
      </c>
      <c r="D855">
        <v>1</v>
      </c>
      <c r="E855">
        <v>1</v>
      </c>
      <c r="F855">
        <v>1</v>
      </c>
      <c r="G855">
        <v>1</v>
      </c>
      <c r="J855">
        <f t="shared" si="37"/>
        <v>50</v>
      </c>
      <c r="K855">
        <v>1</v>
      </c>
      <c r="L855">
        <v>1</v>
      </c>
      <c r="M855">
        <v>1</v>
      </c>
      <c r="N855">
        <v>1</v>
      </c>
      <c r="O855">
        <v>1</v>
      </c>
      <c r="R855">
        <f t="shared" si="38"/>
        <v>50</v>
      </c>
      <c r="S855">
        <v>1</v>
      </c>
      <c r="T855">
        <v>1</v>
      </c>
      <c r="U855">
        <v>1</v>
      </c>
      <c r="V855">
        <v>1</v>
      </c>
      <c r="W855">
        <v>1</v>
      </c>
      <c r="AA855">
        <v>-9637.5864000000001</v>
      </c>
      <c r="AB855">
        <v>-9637.5864000000001</v>
      </c>
      <c r="AC855">
        <v>-9637.5864000000001</v>
      </c>
      <c r="AD855">
        <v>-9637.5864000000001</v>
      </c>
      <c r="AE855">
        <v>-9637.5864000000001</v>
      </c>
    </row>
    <row r="856" spans="2:31" x14ac:dyDescent="0.25">
      <c r="B856">
        <f t="shared" si="36"/>
        <v>51</v>
      </c>
      <c r="C856">
        <v>1</v>
      </c>
      <c r="D856">
        <v>1</v>
      </c>
      <c r="E856">
        <v>1</v>
      </c>
      <c r="F856">
        <v>1</v>
      </c>
      <c r="G856">
        <v>1</v>
      </c>
      <c r="J856">
        <f t="shared" si="37"/>
        <v>51</v>
      </c>
      <c r="K856">
        <v>1</v>
      </c>
      <c r="L856">
        <v>1</v>
      </c>
      <c r="M856">
        <v>1</v>
      </c>
      <c r="N856">
        <v>1</v>
      </c>
      <c r="O856">
        <v>1</v>
      </c>
      <c r="R856">
        <f t="shared" si="38"/>
        <v>51</v>
      </c>
      <c r="S856">
        <v>1</v>
      </c>
      <c r="T856">
        <v>1</v>
      </c>
      <c r="U856">
        <v>1</v>
      </c>
      <c r="V856">
        <v>1</v>
      </c>
      <c r="W856">
        <v>1</v>
      </c>
      <c r="AA856">
        <v>-9506.3734000000004</v>
      </c>
      <c r="AB856">
        <v>-9506.3734000000004</v>
      </c>
      <c r="AC856">
        <v>-9506.3734000000004</v>
      </c>
      <c r="AD856">
        <v>-9506.3734000000004</v>
      </c>
      <c r="AE856">
        <v>-9506.3734000000004</v>
      </c>
    </row>
    <row r="857" spans="2:31" x14ac:dyDescent="0.25">
      <c r="B857">
        <f t="shared" si="36"/>
        <v>52</v>
      </c>
      <c r="C857">
        <v>1</v>
      </c>
      <c r="D857">
        <v>1</v>
      </c>
      <c r="E857">
        <v>1</v>
      </c>
      <c r="F857">
        <v>1</v>
      </c>
      <c r="G857">
        <v>1</v>
      </c>
      <c r="J857">
        <f t="shared" si="37"/>
        <v>52</v>
      </c>
      <c r="K857">
        <v>1</v>
      </c>
      <c r="L857">
        <v>1</v>
      </c>
      <c r="M857">
        <v>1</v>
      </c>
      <c r="N857">
        <v>1</v>
      </c>
      <c r="O857">
        <v>1</v>
      </c>
      <c r="R857">
        <f t="shared" si="38"/>
        <v>52</v>
      </c>
      <c r="S857">
        <v>1</v>
      </c>
      <c r="T857">
        <v>1</v>
      </c>
      <c r="U857">
        <v>1</v>
      </c>
      <c r="V857">
        <v>1</v>
      </c>
      <c r="W857">
        <v>1</v>
      </c>
      <c r="AA857">
        <v>-9372.7019</v>
      </c>
      <c r="AB857">
        <v>-9372.7019</v>
      </c>
      <c r="AC857">
        <v>-9372.7019</v>
      </c>
      <c r="AD857">
        <v>-9372.7019</v>
      </c>
      <c r="AE857">
        <v>-9372.7019</v>
      </c>
    </row>
    <row r="858" spans="2:31" x14ac:dyDescent="0.25">
      <c r="B858">
        <f t="shared" si="36"/>
        <v>53</v>
      </c>
      <c r="C858">
        <v>1</v>
      </c>
      <c r="D858">
        <v>1</v>
      </c>
      <c r="E858">
        <v>1</v>
      </c>
      <c r="F858">
        <v>1</v>
      </c>
      <c r="G858">
        <v>1</v>
      </c>
      <c r="J858">
        <f t="shared" si="37"/>
        <v>53</v>
      </c>
      <c r="K858">
        <v>1</v>
      </c>
      <c r="L858">
        <v>1</v>
      </c>
      <c r="M858">
        <v>1</v>
      </c>
      <c r="N858">
        <v>1</v>
      </c>
      <c r="O858">
        <v>1</v>
      </c>
      <c r="R858">
        <f t="shared" si="38"/>
        <v>53</v>
      </c>
      <c r="S858">
        <v>1</v>
      </c>
      <c r="T858">
        <v>1</v>
      </c>
      <c r="U858">
        <v>1</v>
      </c>
      <c r="V858">
        <v>1</v>
      </c>
      <c r="W858">
        <v>1</v>
      </c>
      <c r="AA858">
        <v>-9236.6705000000002</v>
      </c>
      <c r="AB858">
        <v>-9236.6705000000002</v>
      </c>
      <c r="AC858">
        <v>-9236.6705000000002</v>
      </c>
      <c r="AD858">
        <v>-9236.6705000000002</v>
      </c>
      <c r="AE858">
        <v>-9236.6705000000002</v>
      </c>
    </row>
    <row r="859" spans="2:31" x14ac:dyDescent="0.25">
      <c r="B859">
        <f t="shared" si="36"/>
        <v>54</v>
      </c>
      <c r="C859">
        <v>1</v>
      </c>
      <c r="D859">
        <v>1</v>
      </c>
      <c r="E859">
        <v>1</v>
      </c>
      <c r="F859">
        <v>1</v>
      </c>
      <c r="G859">
        <v>1</v>
      </c>
      <c r="J859">
        <f t="shared" si="37"/>
        <v>54</v>
      </c>
      <c r="K859">
        <v>1</v>
      </c>
      <c r="L859">
        <v>1</v>
      </c>
      <c r="M859">
        <v>1</v>
      </c>
      <c r="N859">
        <v>1</v>
      </c>
      <c r="O859">
        <v>1</v>
      </c>
      <c r="R859">
        <f t="shared" si="38"/>
        <v>54</v>
      </c>
      <c r="S859">
        <v>1</v>
      </c>
      <c r="T859">
        <v>1</v>
      </c>
      <c r="U859">
        <v>1</v>
      </c>
      <c r="V859">
        <v>1</v>
      </c>
      <c r="W859">
        <v>1</v>
      </c>
      <c r="AA859">
        <v>-9098.4312000000009</v>
      </c>
      <c r="AB859">
        <v>-9098.4312000000009</v>
      </c>
      <c r="AC859">
        <v>-9098.4312000000009</v>
      </c>
      <c r="AD859">
        <v>-9098.4312000000009</v>
      </c>
      <c r="AE859">
        <v>-9098.4312000000009</v>
      </c>
    </row>
    <row r="860" spans="2:31" x14ac:dyDescent="0.25">
      <c r="B860">
        <f t="shared" si="36"/>
        <v>55</v>
      </c>
      <c r="C860">
        <v>1</v>
      </c>
      <c r="D860">
        <v>1</v>
      </c>
      <c r="E860">
        <v>1</v>
      </c>
      <c r="F860">
        <v>1</v>
      </c>
      <c r="G860">
        <v>1</v>
      </c>
      <c r="J860">
        <f t="shared" si="37"/>
        <v>55</v>
      </c>
      <c r="K860">
        <v>1</v>
      </c>
      <c r="L860">
        <v>1</v>
      </c>
      <c r="M860">
        <v>1</v>
      </c>
      <c r="N860">
        <v>1</v>
      </c>
      <c r="O860">
        <v>1</v>
      </c>
      <c r="R860">
        <f t="shared" si="38"/>
        <v>55</v>
      </c>
      <c r="S860">
        <v>1</v>
      </c>
      <c r="T860">
        <v>1</v>
      </c>
      <c r="U860">
        <v>1</v>
      </c>
      <c r="V860">
        <v>1</v>
      </c>
      <c r="W860">
        <v>1</v>
      </c>
      <c r="AA860">
        <v>-8958.0210999999999</v>
      </c>
      <c r="AB860">
        <v>-8958.0210999999999</v>
      </c>
      <c r="AC860">
        <v>-8958.0210999999999</v>
      </c>
      <c r="AD860">
        <v>-8958.0210999999999</v>
      </c>
      <c r="AE860">
        <v>-8958.0210999999999</v>
      </c>
    </row>
    <row r="861" spans="2:31" x14ac:dyDescent="0.25">
      <c r="B861">
        <f t="shared" si="36"/>
        <v>56</v>
      </c>
      <c r="C861">
        <v>1</v>
      </c>
      <c r="D861">
        <v>1</v>
      </c>
      <c r="E861">
        <v>1</v>
      </c>
      <c r="F861">
        <v>1</v>
      </c>
      <c r="G861">
        <v>1</v>
      </c>
      <c r="J861">
        <f t="shared" si="37"/>
        <v>56</v>
      </c>
      <c r="K861">
        <v>1</v>
      </c>
      <c r="L861">
        <v>1</v>
      </c>
      <c r="M861">
        <v>1</v>
      </c>
      <c r="N861">
        <v>1</v>
      </c>
      <c r="O861">
        <v>1</v>
      </c>
      <c r="R861">
        <f t="shared" si="38"/>
        <v>56</v>
      </c>
      <c r="S861">
        <v>1</v>
      </c>
      <c r="T861">
        <v>1</v>
      </c>
      <c r="U861">
        <v>1</v>
      </c>
      <c r="V861">
        <v>1</v>
      </c>
      <c r="W861">
        <v>1</v>
      </c>
      <c r="AA861">
        <v>-8815.6316999999999</v>
      </c>
      <c r="AB861">
        <v>-8815.6316999999999</v>
      </c>
      <c r="AC861">
        <v>-8815.6316999999999</v>
      </c>
      <c r="AD861">
        <v>-8815.6316999999999</v>
      </c>
      <c r="AE861">
        <v>-8815.6316999999999</v>
      </c>
    </row>
    <row r="862" spans="2:31" x14ac:dyDescent="0.25">
      <c r="B862">
        <f t="shared" si="36"/>
        <v>57</v>
      </c>
      <c r="C862">
        <v>1</v>
      </c>
      <c r="D862">
        <v>1</v>
      </c>
      <c r="E862">
        <v>1</v>
      </c>
      <c r="F862">
        <v>1</v>
      </c>
      <c r="G862">
        <v>1</v>
      </c>
      <c r="J862">
        <f t="shared" si="37"/>
        <v>57</v>
      </c>
      <c r="K862">
        <v>1</v>
      </c>
      <c r="L862">
        <v>1</v>
      </c>
      <c r="M862">
        <v>1</v>
      </c>
      <c r="N862">
        <v>1</v>
      </c>
      <c r="O862">
        <v>1</v>
      </c>
      <c r="R862">
        <f t="shared" si="38"/>
        <v>57</v>
      </c>
      <c r="S862">
        <v>1</v>
      </c>
      <c r="T862">
        <v>1</v>
      </c>
      <c r="U862">
        <v>1</v>
      </c>
      <c r="V862">
        <v>1</v>
      </c>
      <c r="W862">
        <v>1</v>
      </c>
      <c r="AA862">
        <v>-8671.3991999999998</v>
      </c>
      <c r="AB862">
        <v>-8671.3991999999998</v>
      </c>
      <c r="AC862">
        <v>-8671.3991999999998</v>
      </c>
      <c r="AD862">
        <v>-8671.3991999999998</v>
      </c>
      <c r="AE862">
        <v>-8671.3991999999998</v>
      </c>
    </row>
    <row r="863" spans="2:31" x14ac:dyDescent="0.25">
      <c r="B863">
        <f t="shared" si="36"/>
        <v>58</v>
      </c>
      <c r="C863">
        <v>1</v>
      </c>
      <c r="D863">
        <v>1</v>
      </c>
      <c r="E863">
        <v>1</v>
      </c>
      <c r="F863">
        <v>1</v>
      </c>
      <c r="G863">
        <v>1</v>
      </c>
      <c r="J863">
        <f t="shared" si="37"/>
        <v>58</v>
      </c>
      <c r="K863">
        <v>1</v>
      </c>
      <c r="L863">
        <v>1</v>
      </c>
      <c r="M863">
        <v>1</v>
      </c>
      <c r="N863">
        <v>1</v>
      </c>
      <c r="O863">
        <v>1</v>
      </c>
      <c r="R863">
        <f t="shared" si="38"/>
        <v>58</v>
      </c>
      <c r="S863">
        <v>1</v>
      </c>
      <c r="T863">
        <v>1</v>
      </c>
      <c r="U863">
        <v>1</v>
      </c>
      <c r="V863">
        <v>1</v>
      </c>
      <c r="W863">
        <v>1</v>
      </c>
      <c r="AA863">
        <v>-8525.2759999999998</v>
      </c>
      <c r="AB863">
        <v>-8525.2759999999998</v>
      </c>
      <c r="AC863">
        <v>-8525.2759999999998</v>
      </c>
      <c r="AD863">
        <v>-8525.2759999999998</v>
      </c>
      <c r="AE863">
        <v>-8525.2759999999998</v>
      </c>
    </row>
    <row r="864" spans="2:31" x14ac:dyDescent="0.25">
      <c r="B864">
        <f t="shared" si="36"/>
        <v>59</v>
      </c>
      <c r="C864">
        <v>1</v>
      </c>
      <c r="D864">
        <v>1</v>
      </c>
      <c r="E864">
        <v>1</v>
      </c>
      <c r="F864">
        <v>1</v>
      </c>
      <c r="G864">
        <v>1</v>
      </c>
      <c r="J864">
        <f t="shared" si="37"/>
        <v>59</v>
      </c>
      <c r="K864">
        <v>1</v>
      </c>
      <c r="L864">
        <v>1</v>
      </c>
      <c r="M864">
        <v>1</v>
      </c>
      <c r="N864">
        <v>1</v>
      </c>
      <c r="O864">
        <v>1</v>
      </c>
      <c r="R864">
        <f t="shared" si="38"/>
        <v>59</v>
      </c>
      <c r="S864">
        <v>1</v>
      </c>
      <c r="T864">
        <v>1</v>
      </c>
      <c r="U864">
        <v>1</v>
      </c>
      <c r="V864">
        <v>1</v>
      </c>
      <c r="W864">
        <v>1</v>
      </c>
      <c r="AA864">
        <v>-8377.2351999999992</v>
      </c>
      <c r="AB864">
        <v>-8377.2351999999992</v>
      </c>
      <c r="AC864">
        <v>-8377.2351999999992</v>
      </c>
      <c r="AD864">
        <v>-8377.2351999999992</v>
      </c>
      <c r="AE864">
        <v>-8377.2351999999992</v>
      </c>
    </row>
    <row r="865" spans="2:32" x14ac:dyDescent="0.25">
      <c r="B865">
        <f t="shared" si="36"/>
        <v>60</v>
      </c>
      <c r="C865">
        <v>1</v>
      </c>
      <c r="D865">
        <v>1</v>
      </c>
      <c r="E865">
        <v>1</v>
      </c>
      <c r="F865">
        <v>1</v>
      </c>
      <c r="G865">
        <v>1</v>
      </c>
      <c r="J865">
        <f t="shared" si="37"/>
        <v>60</v>
      </c>
      <c r="K865">
        <v>1</v>
      </c>
      <c r="L865">
        <v>1</v>
      </c>
      <c r="M865">
        <v>1</v>
      </c>
      <c r="N865">
        <v>1</v>
      </c>
      <c r="O865">
        <v>1</v>
      </c>
      <c r="R865">
        <f t="shared" si="38"/>
        <v>60</v>
      </c>
      <c r="S865">
        <v>1</v>
      </c>
      <c r="T865">
        <v>1</v>
      </c>
      <c r="U865">
        <v>1</v>
      </c>
      <c r="V865">
        <v>1</v>
      </c>
      <c r="W865">
        <v>1</v>
      </c>
      <c r="AA865">
        <v>-8227.3953999999994</v>
      </c>
      <c r="AB865">
        <v>-8227.3953999999994</v>
      </c>
      <c r="AC865">
        <v>-8227.3953999999994</v>
      </c>
      <c r="AD865">
        <v>-8227.3953999999994</v>
      </c>
      <c r="AE865">
        <v>-8227.3953999999994</v>
      </c>
    </row>
    <row r="866" spans="2:32" x14ac:dyDescent="0.25">
      <c r="B866">
        <f t="shared" si="36"/>
        <v>61</v>
      </c>
      <c r="C866">
        <v>1</v>
      </c>
      <c r="D866">
        <v>1</v>
      </c>
      <c r="E866">
        <v>1</v>
      </c>
      <c r="F866">
        <v>1</v>
      </c>
      <c r="G866">
        <v>1</v>
      </c>
      <c r="J866">
        <f t="shared" si="37"/>
        <v>61</v>
      </c>
      <c r="K866">
        <v>1</v>
      </c>
      <c r="L866">
        <v>1</v>
      </c>
      <c r="M866">
        <v>1</v>
      </c>
      <c r="N866">
        <v>1</v>
      </c>
      <c r="O866">
        <v>1</v>
      </c>
      <c r="R866">
        <f t="shared" si="38"/>
        <v>61</v>
      </c>
      <c r="S866">
        <v>1</v>
      </c>
      <c r="T866">
        <v>1</v>
      </c>
      <c r="U866">
        <v>1</v>
      </c>
      <c r="V866">
        <v>1</v>
      </c>
      <c r="W866">
        <v>1</v>
      </c>
      <c r="AA866">
        <v>-8076.1778999999997</v>
      </c>
      <c r="AB866">
        <v>-8076.1778999999997</v>
      </c>
      <c r="AC866">
        <v>-8076.1778999999997</v>
      </c>
      <c r="AD866">
        <v>-8076.1778999999997</v>
      </c>
      <c r="AE866">
        <v>-8076.1778999999997</v>
      </c>
    </row>
    <row r="867" spans="2:32" x14ac:dyDescent="0.25">
      <c r="B867">
        <f t="shared" si="36"/>
        <v>62</v>
      </c>
      <c r="C867">
        <v>1</v>
      </c>
      <c r="D867">
        <v>1</v>
      </c>
      <c r="E867">
        <v>1</v>
      </c>
      <c r="F867">
        <v>1</v>
      </c>
      <c r="G867">
        <v>1</v>
      </c>
      <c r="J867">
        <f t="shared" si="37"/>
        <v>62</v>
      </c>
      <c r="K867">
        <v>1</v>
      </c>
      <c r="L867">
        <v>1</v>
      </c>
      <c r="M867">
        <v>1</v>
      </c>
      <c r="N867">
        <v>1</v>
      </c>
      <c r="O867">
        <v>1</v>
      </c>
      <c r="R867">
        <f t="shared" si="38"/>
        <v>62</v>
      </c>
      <c r="S867">
        <v>1</v>
      </c>
      <c r="T867">
        <v>1</v>
      </c>
      <c r="U867">
        <v>1</v>
      </c>
      <c r="V867">
        <v>1</v>
      </c>
      <c r="W867">
        <v>1</v>
      </c>
      <c r="AA867">
        <v>-7923.5816000000004</v>
      </c>
      <c r="AB867">
        <v>-7923.5816000000004</v>
      </c>
      <c r="AC867">
        <v>-7923.5816000000004</v>
      </c>
      <c r="AD867">
        <v>-7923.5816000000004</v>
      </c>
      <c r="AE867">
        <v>-7923.5816000000004</v>
      </c>
    </row>
    <row r="868" spans="2:32" x14ac:dyDescent="0.25">
      <c r="B868">
        <f t="shared" si="36"/>
        <v>63</v>
      </c>
      <c r="C868">
        <v>1</v>
      </c>
      <c r="D868">
        <v>1</v>
      </c>
      <c r="E868">
        <v>1</v>
      </c>
      <c r="F868">
        <v>1</v>
      </c>
      <c r="G868">
        <v>1</v>
      </c>
      <c r="J868">
        <f t="shared" si="37"/>
        <v>63</v>
      </c>
      <c r="K868">
        <v>1</v>
      </c>
      <c r="L868">
        <v>1</v>
      </c>
      <c r="M868">
        <v>1</v>
      </c>
      <c r="N868">
        <v>1</v>
      </c>
      <c r="O868">
        <v>1</v>
      </c>
      <c r="R868">
        <f t="shared" si="38"/>
        <v>63</v>
      </c>
      <c r="S868">
        <v>1</v>
      </c>
      <c r="T868">
        <v>1</v>
      </c>
      <c r="U868">
        <v>1</v>
      </c>
      <c r="V868">
        <v>1</v>
      </c>
      <c r="W868">
        <v>1</v>
      </c>
      <c r="AA868">
        <v>-7769.2775000000001</v>
      </c>
      <c r="AB868">
        <v>-7769.2775000000001</v>
      </c>
      <c r="AC868">
        <v>-7769.2775000000001</v>
      </c>
      <c r="AD868">
        <v>-7769.2775000000001</v>
      </c>
      <c r="AE868">
        <v>-7769.2775000000001</v>
      </c>
    </row>
    <row r="869" spans="2:32" x14ac:dyDescent="0.25">
      <c r="B869">
        <f t="shared" si="36"/>
        <v>64</v>
      </c>
      <c r="C869">
        <v>1</v>
      </c>
      <c r="D869">
        <v>1</v>
      </c>
      <c r="E869">
        <v>1</v>
      </c>
      <c r="F869">
        <v>1</v>
      </c>
      <c r="G869">
        <v>1</v>
      </c>
      <c r="J869">
        <f t="shared" si="37"/>
        <v>64</v>
      </c>
      <c r="K869">
        <v>1</v>
      </c>
      <c r="L869">
        <v>1</v>
      </c>
      <c r="M869">
        <v>1</v>
      </c>
      <c r="N869">
        <v>1</v>
      </c>
      <c r="O869">
        <v>1</v>
      </c>
      <c r="R869">
        <f t="shared" si="38"/>
        <v>64</v>
      </c>
      <c r="S869">
        <v>1</v>
      </c>
      <c r="T869">
        <v>1</v>
      </c>
      <c r="U869">
        <v>1</v>
      </c>
      <c r="V869">
        <v>1</v>
      </c>
      <c r="W869">
        <v>1</v>
      </c>
      <c r="AA869">
        <v>-7613.3999000000003</v>
      </c>
      <c r="AB869">
        <v>-7613.3999000000003</v>
      </c>
      <c r="AC869">
        <v>-7613.3999000000003</v>
      </c>
      <c r="AD869">
        <v>-7613.3999000000003</v>
      </c>
      <c r="AE869">
        <v>-7613.3999000000003</v>
      </c>
    </row>
    <row r="870" spans="2:32" x14ac:dyDescent="0.25">
      <c r="B870">
        <f t="shared" si="36"/>
        <v>65</v>
      </c>
      <c r="C870">
        <v>1</v>
      </c>
      <c r="D870">
        <v>1</v>
      </c>
      <c r="E870">
        <v>1</v>
      </c>
      <c r="F870">
        <v>1</v>
      </c>
      <c r="G870">
        <v>1</v>
      </c>
      <c r="J870">
        <f t="shared" si="37"/>
        <v>65</v>
      </c>
      <c r="K870">
        <v>1</v>
      </c>
      <c r="L870">
        <v>1</v>
      </c>
      <c r="M870">
        <v>1</v>
      </c>
      <c r="N870">
        <v>1</v>
      </c>
      <c r="O870">
        <v>1</v>
      </c>
      <c r="R870">
        <f t="shared" si="38"/>
        <v>65</v>
      </c>
      <c r="S870">
        <v>1</v>
      </c>
      <c r="T870">
        <v>1</v>
      </c>
      <c r="U870">
        <v>1</v>
      </c>
      <c r="V870">
        <v>1</v>
      </c>
      <c r="W870">
        <v>1</v>
      </c>
      <c r="AA870">
        <v>-7455.8590000000004</v>
      </c>
      <c r="AB870">
        <v>-7455.8590000000004</v>
      </c>
      <c r="AC870">
        <v>-7455.8590000000004</v>
      </c>
      <c r="AD870">
        <v>-7455.8590000000004</v>
      </c>
      <c r="AE870">
        <v>-7455.8590000000004</v>
      </c>
    </row>
    <row r="873" spans="2:32" x14ac:dyDescent="0.25">
      <c r="B873" t="s">
        <v>46</v>
      </c>
      <c r="C873">
        <v>50000</v>
      </c>
      <c r="D873">
        <v>100000</v>
      </c>
      <c r="E873">
        <v>250000</v>
      </c>
      <c r="F873">
        <v>500000</v>
      </c>
      <c r="G873">
        <v>1000000</v>
      </c>
      <c r="H873">
        <v>2000000</v>
      </c>
      <c r="J873" t="s">
        <v>47</v>
      </c>
      <c r="K873">
        <v>50000</v>
      </c>
      <c r="L873">
        <v>100000</v>
      </c>
      <c r="M873">
        <v>250000</v>
      </c>
      <c r="N873">
        <v>500000</v>
      </c>
      <c r="O873">
        <v>1000000</v>
      </c>
      <c r="P873">
        <v>2000000</v>
      </c>
      <c r="R873" t="s">
        <v>48</v>
      </c>
      <c r="S873">
        <v>50000</v>
      </c>
      <c r="T873">
        <v>100000</v>
      </c>
      <c r="U873">
        <v>250000</v>
      </c>
      <c r="V873">
        <v>500000</v>
      </c>
      <c r="W873">
        <v>1000000</v>
      </c>
      <c r="X873">
        <v>2000000</v>
      </c>
    </row>
    <row r="874" spans="2:32" x14ac:dyDescent="0.25">
      <c r="B874">
        <v>26</v>
      </c>
      <c r="C874">
        <v>1</v>
      </c>
      <c r="D874">
        <v>1</v>
      </c>
      <c r="E874">
        <v>1</v>
      </c>
      <c r="F874">
        <v>1</v>
      </c>
      <c r="G874">
        <v>1</v>
      </c>
      <c r="H874">
        <v>1</v>
      </c>
      <c r="J874">
        <v>26</v>
      </c>
      <c r="K874">
        <v>1</v>
      </c>
      <c r="L874">
        <v>1</v>
      </c>
      <c r="M874">
        <v>1</v>
      </c>
      <c r="N874">
        <v>1</v>
      </c>
      <c r="O874">
        <v>1</v>
      </c>
      <c r="P874">
        <v>1</v>
      </c>
      <c r="R874">
        <v>26</v>
      </c>
      <c r="S874">
        <v>1</v>
      </c>
      <c r="T874">
        <v>1</v>
      </c>
      <c r="U874">
        <v>1</v>
      </c>
      <c r="V874">
        <v>1</v>
      </c>
      <c r="W874">
        <v>1</v>
      </c>
      <c r="X874">
        <v>1</v>
      </c>
      <c r="AA874">
        <v>-7435.5060999999996</v>
      </c>
      <c r="AB874">
        <v>-7435.5060999999996</v>
      </c>
      <c r="AC874">
        <v>-7435.5060999999996</v>
      </c>
      <c r="AD874">
        <v>-7435.5060999999996</v>
      </c>
      <c r="AE874">
        <v>-7435.5060999999996</v>
      </c>
      <c r="AF874">
        <v>-7435.5060999999996</v>
      </c>
    </row>
    <row r="875" spans="2:32" x14ac:dyDescent="0.25">
      <c r="B875">
        <v>27</v>
      </c>
      <c r="C875">
        <v>1</v>
      </c>
      <c r="D875">
        <v>1</v>
      </c>
      <c r="E875">
        <v>1</v>
      </c>
      <c r="F875">
        <v>1</v>
      </c>
      <c r="G875">
        <v>1</v>
      </c>
      <c r="H875">
        <v>1</v>
      </c>
      <c r="J875">
        <v>27</v>
      </c>
      <c r="K875">
        <v>1</v>
      </c>
      <c r="L875">
        <v>1</v>
      </c>
      <c r="M875">
        <v>1</v>
      </c>
      <c r="N875">
        <v>1</v>
      </c>
      <c r="O875">
        <v>1</v>
      </c>
      <c r="P875">
        <v>1</v>
      </c>
      <c r="R875">
        <v>27</v>
      </c>
      <c r="S875">
        <v>1</v>
      </c>
      <c r="T875">
        <v>1</v>
      </c>
      <c r="U875">
        <v>1</v>
      </c>
      <c r="V875">
        <v>1</v>
      </c>
      <c r="W875">
        <v>1</v>
      </c>
      <c r="X875">
        <v>1</v>
      </c>
      <c r="AA875">
        <v>-7434.2619000000004</v>
      </c>
      <c r="AB875">
        <v>-7434.2619000000004</v>
      </c>
      <c r="AC875">
        <v>-7434.2619000000004</v>
      </c>
      <c r="AD875">
        <v>-7434.2619000000004</v>
      </c>
      <c r="AE875">
        <v>-7434.2619000000004</v>
      </c>
      <c r="AF875">
        <v>-7434.2619000000004</v>
      </c>
    </row>
    <row r="876" spans="2:32" x14ac:dyDescent="0.25">
      <c r="B876">
        <v>28</v>
      </c>
      <c r="C876">
        <v>1</v>
      </c>
      <c r="D876">
        <v>1</v>
      </c>
      <c r="E876">
        <v>1</v>
      </c>
      <c r="F876">
        <v>1</v>
      </c>
      <c r="G876">
        <v>1</v>
      </c>
      <c r="H876">
        <v>1</v>
      </c>
      <c r="J876">
        <v>28</v>
      </c>
      <c r="K876">
        <v>1</v>
      </c>
      <c r="L876">
        <v>1</v>
      </c>
      <c r="M876">
        <v>1</v>
      </c>
      <c r="N876">
        <v>1</v>
      </c>
      <c r="O876">
        <v>1</v>
      </c>
      <c r="P876">
        <v>1</v>
      </c>
      <c r="R876">
        <v>28</v>
      </c>
      <c r="S876">
        <v>1</v>
      </c>
      <c r="T876">
        <v>1</v>
      </c>
      <c r="U876">
        <v>1</v>
      </c>
      <c r="V876">
        <v>1</v>
      </c>
      <c r="W876">
        <v>1</v>
      </c>
      <c r="X876">
        <v>1</v>
      </c>
      <c r="AA876">
        <v>-7432.8334999999997</v>
      </c>
      <c r="AB876">
        <v>-7432.8334999999997</v>
      </c>
      <c r="AC876">
        <v>-7432.8334999999997</v>
      </c>
      <c r="AD876">
        <v>-7432.8334999999997</v>
      </c>
      <c r="AE876">
        <v>-7432.8334999999997</v>
      </c>
      <c r="AF876">
        <v>-7432.8334999999997</v>
      </c>
    </row>
    <row r="877" spans="2:32" x14ac:dyDescent="0.25">
      <c r="B877">
        <v>29</v>
      </c>
      <c r="C877">
        <v>1</v>
      </c>
      <c r="D877">
        <v>1</v>
      </c>
      <c r="E877">
        <v>1</v>
      </c>
      <c r="F877">
        <v>1</v>
      </c>
      <c r="G877">
        <v>1</v>
      </c>
      <c r="H877">
        <v>1</v>
      </c>
      <c r="J877">
        <v>29</v>
      </c>
      <c r="K877">
        <v>1</v>
      </c>
      <c r="L877">
        <v>1</v>
      </c>
      <c r="M877">
        <v>1</v>
      </c>
      <c r="N877">
        <v>1</v>
      </c>
      <c r="O877">
        <v>1</v>
      </c>
      <c r="P877">
        <v>1</v>
      </c>
      <c r="R877">
        <v>29</v>
      </c>
      <c r="S877">
        <v>1</v>
      </c>
      <c r="T877">
        <v>1</v>
      </c>
      <c r="U877">
        <v>1</v>
      </c>
      <c r="V877">
        <v>1</v>
      </c>
      <c r="W877">
        <v>1</v>
      </c>
      <c r="X877">
        <v>1</v>
      </c>
      <c r="AA877">
        <v>-7431.2058999999999</v>
      </c>
      <c r="AB877">
        <v>-7431.2058999999999</v>
      </c>
      <c r="AC877">
        <v>-7431.2058999999999</v>
      </c>
      <c r="AD877">
        <v>-7431.2058999999999</v>
      </c>
      <c r="AE877">
        <v>-7431.2058999999999</v>
      </c>
      <c r="AF877">
        <v>-7431.2058999999999</v>
      </c>
    </row>
    <row r="878" spans="2:32" x14ac:dyDescent="0.25">
      <c r="B878">
        <v>30</v>
      </c>
      <c r="C878">
        <v>1</v>
      </c>
      <c r="D878">
        <v>1</v>
      </c>
      <c r="E878">
        <v>1</v>
      </c>
      <c r="F878">
        <v>1</v>
      </c>
      <c r="G878">
        <v>1</v>
      </c>
      <c r="H878">
        <v>1</v>
      </c>
      <c r="J878">
        <v>30</v>
      </c>
      <c r="K878">
        <v>1</v>
      </c>
      <c r="L878">
        <v>1</v>
      </c>
      <c r="M878">
        <v>1</v>
      </c>
      <c r="N878">
        <v>1</v>
      </c>
      <c r="O878">
        <v>1</v>
      </c>
      <c r="P878">
        <v>1</v>
      </c>
      <c r="R878">
        <v>30</v>
      </c>
      <c r="S878">
        <v>1</v>
      </c>
      <c r="T878">
        <v>1</v>
      </c>
      <c r="U878">
        <v>1</v>
      </c>
      <c r="V878">
        <v>1</v>
      </c>
      <c r="W878">
        <v>1</v>
      </c>
      <c r="X878">
        <v>1</v>
      </c>
      <c r="AA878">
        <v>-7429.3476000000001</v>
      </c>
      <c r="AB878">
        <v>-7429.3476000000001</v>
      </c>
      <c r="AC878">
        <v>-7429.3476000000001</v>
      </c>
      <c r="AD878">
        <v>-7429.3476000000001</v>
      </c>
      <c r="AE878">
        <v>-7429.3476000000001</v>
      </c>
      <c r="AF878">
        <v>-7429.3476000000001</v>
      </c>
    </row>
    <row r="879" spans="2:32" x14ac:dyDescent="0.25">
      <c r="B879">
        <v>31</v>
      </c>
      <c r="C879">
        <v>1</v>
      </c>
      <c r="D879">
        <v>1</v>
      </c>
      <c r="E879">
        <v>1</v>
      </c>
      <c r="F879">
        <v>1</v>
      </c>
      <c r="G879">
        <v>1</v>
      </c>
      <c r="H879">
        <v>1</v>
      </c>
      <c r="J879">
        <v>31</v>
      </c>
      <c r="K879">
        <v>1</v>
      </c>
      <c r="L879">
        <v>1</v>
      </c>
      <c r="M879">
        <v>1</v>
      </c>
      <c r="N879">
        <v>1</v>
      </c>
      <c r="O879">
        <v>1</v>
      </c>
      <c r="P879">
        <v>1</v>
      </c>
      <c r="R879">
        <v>31</v>
      </c>
      <c r="S879">
        <v>1</v>
      </c>
      <c r="T879">
        <v>1</v>
      </c>
      <c r="U879">
        <v>1</v>
      </c>
      <c r="V879">
        <v>1</v>
      </c>
      <c r="W879">
        <v>1</v>
      </c>
      <c r="X879">
        <v>1</v>
      </c>
      <c r="AA879">
        <v>-7427.2446</v>
      </c>
      <c r="AB879">
        <v>-7427.2446</v>
      </c>
      <c r="AC879">
        <v>-7427.2446</v>
      </c>
      <c r="AD879">
        <v>-7427.2446</v>
      </c>
      <c r="AE879">
        <v>-7427.2446</v>
      </c>
      <c r="AF879">
        <v>-7427.2446</v>
      </c>
    </row>
    <row r="880" spans="2:32" x14ac:dyDescent="0.25">
      <c r="B880">
        <v>32</v>
      </c>
      <c r="C880">
        <v>1</v>
      </c>
      <c r="D880">
        <v>1</v>
      </c>
      <c r="E880">
        <v>1</v>
      </c>
      <c r="F880">
        <v>1</v>
      </c>
      <c r="G880">
        <v>1</v>
      </c>
      <c r="H880">
        <v>1</v>
      </c>
      <c r="J880">
        <v>32</v>
      </c>
      <c r="K880">
        <v>1</v>
      </c>
      <c r="L880">
        <v>1</v>
      </c>
      <c r="M880">
        <v>1</v>
      </c>
      <c r="N880">
        <v>1</v>
      </c>
      <c r="O880">
        <v>1</v>
      </c>
      <c r="P880">
        <v>1</v>
      </c>
      <c r="R880">
        <v>32</v>
      </c>
      <c r="S880">
        <v>1</v>
      </c>
      <c r="T880">
        <v>1</v>
      </c>
      <c r="U880">
        <v>1</v>
      </c>
      <c r="V880">
        <v>1</v>
      </c>
      <c r="W880">
        <v>1</v>
      </c>
      <c r="X880">
        <v>1</v>
      </c>
      <c r="AA880">
        <v>-7424.8944000000001</v>
      </c>
      <c r="AB880">
        <v>-7424.8944000000001</v>
      </c>
      <c r="AC880">
        <v>-7424.8944000000001</v>
      </c>
      <c r="AD880">
        <v>-7424.8944000000001</v>
      </c>
      <c r="AE880">
        <v>-7424.8944000000001</v>
      </c>
      <c r="AF880">
        <v>-7424.8944000000001</v>
      </c>
    </row>
    <row r="881" spans="2:32" x14ac:dyDescent="0.25">
      <c r="B881">
        <v>33</v>
      </c>
      <c r="C881">
        <v>1</v>
      </c>
      <c r="D881">
        <v>1</v>
      </c>
      <c r="E881">
        <v>1</v>
      </c>
      <c r="F881">
        <v>1</v>
      </c>
      <c r="G881">
        <v>1</v>
      </c>
      <c r="H881">
        <v>1</v>
      </c>
      <c r="J881">
        <v>33</v>
      </c>
      <c r="K881">
        <v>1</v>
      </c>
      <c r="L881">
        <v>1</v>
      </c>
      <c r="M881">
        <v>1</v>
      </c>
      <c r="N881">
        <v>1</v>
      </c>
      <c r="O881">
        <v>1</v>
      </c>
      <c r="P881">
        <v>1</v>
      </c>
      <c r="R881">
        <v>33</v>
      </c>
      <c r="S881">
        <v>1</v>
      </c>
      <c r="T881">
        <v>1</v>
      </c>
      <c r="U881">
        <v>1</v>
      </c>
      <c r="V881">
        <v>1</v>
      </c>
      <c r="W881">
        <v>1</v>
      </c>
      <c r="X881">
        <v>1</v>
      </c>
      <c r="AA881">
        <v>-7422.2834000000003</v>
      </c>
      <c r="AB881">
        <v>-7422.2834000000003</v>
      </c>
      <c r="AC881">
        <v>-7422.2834000000003</v>
      </c>
      <c r="AD881">
        <v>-7422.2834000000003</v>
      </c>
      <c r="AE881">
        <v>-7422.2834000000003</v>
      </c>
      <c r="AF881">
        <v>-7422.2834000000003</v>
      </c>
    </row>
    <row r="882" spans="2:32" x14ac:dyDescent="0.25">
      <c r="B882">
        <v>34</v>
      </c>
      <c r="C882">
        <v>1</v>
      </c>
      <c r="D882">
        <v>1</v>
      </c>
      <c r="E882">
        <v>1</v>
      </c>
      <c r="F882">
        <v>1</v>
      </c>
      <c r="G882">
        <v>1</v>
      </c>
      <c r="H882">
        <v>1</v>
      </c>
      <c r="J882">
        <v>34</v>
      </c>
      <c r="K882">
        <v>1</v>
      </c>
      <c r="L882">
        <v>1</v>
      </c>
      <c r="M882">
        <v>1</v>
      </c>
      <c r="N882">
        <v>1</v>
      </c>
      <c r="O882">
        <v>1</v>
      </c>
      <c r="P882">
        <v>1</v>
      </c>
      <c r="R882">
        <v>34</v>
      </c>
      <c r="S882">
        <v>1</v>
      </c>
      <c r="T882">
        <v>1</v>
      </c>
      <c r="U882">
        <v>1</v>
      </c>
      <c r="V882">
        <v>1</v>
      </c>
      <c r="W882">
        <v>1</v>
      </c>
      <c r="X882">
        <v>1</v>
      </c>
      <c r="AA882">
        <v>-7419.3683000000001</v>
      </c>
      <c r="AB882">
        <v>-7419.3683000000001</v>
      </c>
      <c r="AC882">
        <v>-7419.3683000000001</v>
      </c>
      <c r="AD882">
        <v>-7419.3683000000001</v>
      </c>
      <c r="AE882">
        <v>-7419.3683000000001</v>
      </c>
      <c r="AF882">
        <v>-7419.3683000000001</v>
      </c>
    </row>
    <row r="883" spans="2:32" x14ac:dyDescent="0.25">
      <c r="B883">
        <v>35</v>
      </c>
      <c r="C883">
        <v>1</v>
      </c>
      <c r="D883">
        <v>1</v>
      </c>
      <c r="E883">
        <v>1</v>
      </c>
      <c r="F883">
        <v>1</v>
      </c>
      <c r="G883">
        <v>1</v>
      </c>
      <c r="H883">
        <v>1</v>
      </c>
      <c r="J883">
        <v>35</v>
      </c>
      <c r="K883">
        <v>1</v>
      </c>
      <c r="L883">
        <v>1</v>
      </c>
      <c r="M883">
        <v>1</v>
      </c>
      <c r="N883">
        <v>1</v>
      </c>
      <c r="O883">
        <v>1</v>
      </c>
      <c r="P883">
        <v>1</v>
      </c>
      <c r="R883">
        <v>35</v>
      </c>
      <c r="S883">
        <v>1</v>
      </c>
      <c r="T883">
        <v>1</v>
      </c>
      <c r="U883">
        <v>1</v>
      </c>
      <c r="V883">
        <v>1</v>
      </c>
      <c r="W883">
        <v>1</v>
      </c>
      <c r="X883">
        <v>1</v>
      </c>
      <c r="AA883">
        <v>-7416.1363000000001</v>
      </c>
      <c r="AB883">
        <v>-7416.1363000000001</v>
      </c>
      <c r="AC883">
        <v>-7416.1363000000001</v>
      </c>
      <c r="AD883">
        <v>-7416.1363000000001</v>
      </c>
      <c r="AE883">
        <v>-7416.1363000000001</v>
      </c>
      <c r="AF883">
        <v>-7416.1363000000001</v>
      </c>
    </row>
    <row r="884" spans="2:32" x14ac:dyDescent="0.25">
      <c r="B884">
        <v>36</v>
      </c>
      <c r="C884">
        <v>1</v>
      </c>
      <c r="D884">
        <v>1</v>
      </c>
      <c r="E884">
        <v>1</v>
      </c>
      <c r="F884">
        <v>1</v>
      </c>
      <c r="G884">
        <v>1</v>
      </c>
      <c r="H884">
        <v>1</v>
      </c>
      <c r="J884">
        <v>36</v>
      </c>
      <c r="K884">
        <v>1</v>
      </c>
      <c r="L884">
        <v>1</v>
      </c>
      <c r="M884">
        <v>1</v>
      </c>
      <c r="N884">
        <v>1</v>
      </c>
      <c r="O884">
        <v>1</v>
      </c>
      <c r="P884">
        <v>1</v>
      </c>
      <c r="R884">
        <v>36</v>
      </c>
      <c r="S884">
        <v>1</v>
      </c>
      <c r="T884">
        <v>1</v>
      </c>
      <c r="U884">
        <v>1</v>
      </c>
      <c r="V884">
        <v>1</v>
      </c>
      <c r="W884">
        <v>1</v>
      </c>
      <c r="X884">
        <v>1</v>
      </c>
      <c r="AA884">
        <v>-7412.5378000000001</v>
      </c>
      <c r="AB884">
        <v>-7412.5378000000001</v>
      </c>
      <c r="AC884">
        <v>-7412.5378000000001</v>
      </c>
      <c r="AD884">
        <v>-7412.5378000000001</v>
      </c>
      <c r="AE884">
        <v>-7412.5378000000001</v>
      </c>
      <c r="AF884">
        <v>-7412.5378000000001</v>
      </c>
    </row>
    <row r="885" spans="2:32" x14ac:dyDescent="0.25">
      <c r="B885">
        <v>37</v>
      </c>
      <c r="C885">
        <v>1</v>
      </c>
      <c r="D885">
        <v>1</v>
      </c>
      <c r="E885">
        <v>1</v>
      </c>
      <c r="F885">
        <v>1</v>
      </c>
      <c r="G885">
        <v>1</v>
      </c>
      <c r="H885">
        <v>1</v>
      </c>
      <c r="J885">
        <v>37</v>
      </c>
      <c r="K885">
        <v>1</v>
      </c>
      <c r="L885">
        <v>1</v>
      </c>
      <c r="M885">
        <v>1</v>
      </c>
      <c r="N885">
        <v>1</v>
      </c>
      <c r="O885">
        <v>1</v>
      </c>
      <c r="P885">
        <v>1</v>
      </c>
      <c r="R885">
        <v>37</v>
      </c>
      <c r="S885">
        <v>1</v>
      </c>
      <c r="T885">
        <v>1</v>
      </c>
      <c r="U885">
        <v>1</v>
      </c>
      <c r="V885">
        <v>1</v>
      </c>
      <c r="W885">
        <v>1</v>
      </c>
      <c r="X885">
        <v>1</v>
      </c>
      <c r="AA885">
        <v>-7408.55</v>
      </c>
      <c r="AB885">
        <v>-7408.55</v>
      </c>
      <c r="AC885">
        <v>-7408.55</v>
      </c>
      <c r="AD885">
        <v>-7408.55</v>
      </c>
      <c r="AE885">
        <v>-7408.55</v>
      </c>
      <c r="AF885">
        <v>-7408.55</v>
      </c>
    </row>
    <row r="886" spans="2:32" x14ac:dyDescent="0.25">
      <c r="B886">
        <v>38</v>
      </c>
      <c r="C886">
        <v>1</v>
      </c>
      <c r="D886">
        <v>1</v>
      </c>
      <c r="E886">
        <v>1</v>
      </c>
      <c r="F886">
        <v>1</v>
      </c>
      <c r="G886">
        <v>1</v>
      </c>
      <c r="H886">
        <v>1</v>
      </c>
      <c r="J886">
        <v>38</v>
      </c>
      <c r="K886">
        <v>1</v>
      </c>
      <c r="L886">
        <v>1</v>
      </c>
      <c r="M886">
        <v>1</v>
      </c>
      <c r="N886">
        <v>1</v>
      </c>
      <c r="O886">
        <v>1</v>
      </c>
      <c r="P886">
        <v>1</v>
      </c>
      <c r="R886">
        <v>38</v>
      </c>
      <c r="S886">
        <v>1</v>
      </c>
      <c r="T886">
        <v>1</v>
      </c>
      <c r="U886">
        <v>1</v>
      </c>
      <c r="V886">
        <v>1</v>
      </c>
      <c r="W886">
        <v>1</v>
      </c>
      <c r="X886">
        <v>1</v>
      </c>
      <c r="AA886">
        <v>-7404.1752999999999</v>
      </c>
      <c r="AB886">
        <v>-7404.1752999999999</v>
      </c>
      <c r="AC886">
        <v>-7404.1752999999999</v>
      </c>
      <c r="AD886">
        <v>-7404.1752999999999</v>
      </c>
      <c r="AE886">
        <v>-7404.1752999999999</v>
      </c>
      <c r="AF886">
        <v>-7404.1752999999999</v>
      </c>
    </row>
    <row r="887" spans="2:32" x14ac:dyDescent="0.25">
      <c r="B887">
        <v>39</v>
      </c>
      <c r="C887">
        <v>1</v>
      </c>
      <c r="D887">
        <v>1</v>
      </c>
      <c r="E887">
        <v>1</v>
      </c>
      <c r="F887">
        <v>1</v>
      </c>
      <c r="G887">
        <v>1</v>
      </c>
      <c r="H887">
        <v>1</v>
      </c>
      <c r="J887">
        <v>39</v>
      </c>
      <c r="K887">
        <v>1</v>
      </c>
      <c r="L887">
        <v>1</v>
      </c>
      <c r="M887">
        <v>1</v>
      </c>
      <c r="N887">
        <v>1</v>
      </c>
      <c r="O887">
        <v>1</v>
      </c>
      <c r="P887">
        <v>1</v>
      </c>
      <c r="R887">
        <v>39</v>
      </c>
      <c r="S887">
        <v>1</v>
      </c>
      <c r="T887">
        <v>1</v>
      </c>
      <c r="U887">
        <v>1</v>
      </c>
      <c r="V887">
        <v>1</v>
      </c>
      <c r="W887">
        <v>1</v>
      </c>
      <c r="X887">
        <v>1</v>
      </c>
      <c r="AA887">
        <v>-7399.3923999999997</v>
      </c>
      <c r="AB887">
        <v>-7399.3923999999997</v>
      </c>
      <c r="AC887">
        <v>-7399.3923999999997</v>
      </c>
      <c r="AD887">
        <v>-7399.3923999999997</v>
      </c>
      <c r="AE887">
        <v>-7399.3923999999997</v>
      </c>
      <c r="AF887">
        <v>-7399.3923999999997</v>
      </c>
    </row>
    <row r="888" spans="2:32" x14ac:dyDescent="0.25">
      <c r="B888">
        <v>40</v>
      </c>
      <c r="C888">
        <v>1</v>
      </c>
      <c r="D888">
        <v>1</v>
      </c>
      <c r="E888">
        <v>1</v>
      </c>
      <c r="F888">
        <v>1</v>
      </c>
      <c r="G888">
        <v>1</v>
      </c>
      <c r="H888">
        <v>1</v>
      </c>
      <c r="J888">
        <v>40</v>
      </c>
      <c r="K888">
        <v>1</v>
      </c>
      <c r="L888">
        <v>1</v>
      </c>
      <c r="M888">
        <v>1</v>
      </c>
      <c r="N888">
        <v>1</v>
      </c>
      <c r="O888">
        <v>1</v>
      </c>
      <c r="P888">
        <v>1</v>
      </c>
      <c r="R888">
        <v>40</v>
      </c>
      <c r="S888">
        <v>1</v>
      </c>
      <c r="T888">
        <v>1</v>
      </c>
      <c r="U888">
        <v>1</v>
      </c>
      <c r="V888">
        <v>1</v>
      </c>
      <c r="W888">
        <v>1</v>
      </c>
      <c r="X888">
        <v>1</v>
      </c>
      <c r="AA888">
        <v>-7394.1365999999998</v>
      </c>
      <c r="AB888">
        <v>-7394.1365999999998</v>
      </c>
      <c r="AC888">
        <v>-7394.1365999999998</v>
      </c>
      <c r="AD888">
        <v>-7394.1365999999998</v>
      </c>
      <c r="AE888">
        <v>-7394.1365999999998</v>
      </c>
      <c r="AF888">
        <v>-7394.1365999999998</v>
      </c>
    </row>
    <row r="889" spans="2:32" x14ac:dyDescent="0.25">
      <c r="B889">
        <v>41</v>
      </c>
      <c r="C889">
        <v>1</v>
      </c>
      <c r="D889">
        <v>1</v>
      </c>
      <c r="E889">
        <v>1</v>
      </c>
      <c r="F889">
        <v>1</v>
      </c>
      <c r="G889">
        <v>1</v>
      </c>
      <c r="H889">
        <v>1</v>
      </c>
      <c r="J889">
        <v>41</v>
      </c>
      <c r="K889">
        <v>1</v>
      </c>
      <c r="L889">
        <v>1</v>
      </c>
      <c r="M889">
        <v>1</v>
      </c>
      <c r="N889">
        <v>1</v>
      </c>
      <c r="O889">
        <v>1</v>
      </c>
      <c r="P889">
        <v>1</v>
      </c>
      <c r="R889">
        <v>41</v>
      </c>
      <c r="S889">
        <v>1</v>
      </c>
      <c r="T889">
        <v>1</v>
      </c>
      <c r="U889">
        <v>1</v>
      </c>
      <c r="V889">
        <v>1</v>
      </c>
      <c r="W889">
        <v>1</v>
      </c>
      <c r="X889">
        <v>1</v>
      </c>
      <c r="AA889">
        <v>-7388.3469999999998</v>
      </c>
      <c r="AB889">
        <v>-7388.3469999999998</v>
      </c>
      <c r="AC889">
        <v>-7388.3469999999998</v>
      </c>
      <c r="AD889">
        <v>-7388.3469999999998</v>
      </c>
      <c r="AE889">
        <v>-7388.3469999999998</v>
      </c>
      <c r="AF889">
        <v>-7388.3469999999998</v>
      </c>
    </row>
    <row r="890" spans="2:32" x14ac:dyDescent="0.25">
      <c r="B890">
        <v>42</v>
      </c>
      <c r="C890">
        <v>1</v>
      </c>
      <c r="D890">
        <v>1</v>
      </c>
      <c r="E890">
        <v>1</v>
      </c>
      <c r="F890">
        <v>1</v>
      </c>
      <c r="G890">
        <v>1</v>
      </c>
      <c r="H890">
        <v>1</v>
      </c>
      <c r="J890">
        <v>42</v>
      </c>
      <c r="K890">
        <v>1</v>
      </c>
      <c r="L890">
        <v>1</v>
      </c>
      <c r="M890">
        <v>1</v>
      </c>
      <c r="N890">
        <v>1</v>
      </c>
      <c r="O890">
        <v>1</v>
      </c>
      <c r="P890">
        <v>1</v>
      </c>
      <c r="R890">
        <v>42</v>
      </c>
      <c r="S890">
        <v>1</v>
      </c>
      <c r="T890">
        <v>1</v>
      </c>
      <c r="U890">
        <v>1</v>
      </c>
      <c r="V890">
        <v>1</v>
      </c>
      <c r="W890">
        <v>1</v>
      </c>
      <c r="X890">
        <v>1</v>
      </c>
      <c r="AA890">
        <v>-7381.9919</v>
      </c>
      <c r="AB890">
        <v>-7381.9919</v>
      </c>
      <c r="AC890">
        <v>-7381.9919</v>
      </c>
      <c r="AD890">
        <v>-7381.9919</v>
      </c>
      <c r="AE890">
        <v>-7381.9919</v>
      </c>
      <c r="AF890">
        <v>-7381.9919</v>
      </c>
    </row>
    <row r="891" spans="2:32" x14ac:dyDescent="0.25">
      <c r="B891">
        <v>43</v>
      </c>
      <c r="C891">
        <v>1</v>
      </c>
      <c r="D891">
        <v>1</v>
      </c>
      <c r="E891">
        <v>1</v>
      </c>
      <c r="F891">
        <v>1</v>
      </c>
      <c r="G891">
        <v>1</v>
      </c>
      <c r="H891">
        <v>1</v>
      </c>
      <c r="J891">
        <v>43</v>
      </c>
      <c r="K891">
        <v>1</v>
      </c>
      <c r="L891">
        <v>1</v>
      </c>
      <c r="M891">
        <v>1</v>
      </c>
      <c r="N891">
        <v>1</v>
      </c>
      <c r="O891">
        <v>1</v>
      </c>
      <c r="P891">
        <v>1</v>
      </c>
      <c r="R891">
        <v>43</v>
      </c>
      <c r="S891">
        <v>1</v>
      </c>
      <c r="T891">
        <v>1</v>
      </c>
      <c r="U891">
        <v>1</v>
      </c>
      <c r="V891">
        <v>1</v>
      </c>
      <c r="W891">
        <v>1</v>
      </c>
      <c r="X891">
        <v>1</v>
      </c>
      <c r="AA891">
        <v>-7374.9579999999996</v>
      </c>
      <c r="AB891">
        <v>-7374.9579999999996</v>
      </c>
      <c r="AC891">
        <v>-7374.9579999999996</v>
      </c>
      <c r="AD891">
        <v>-7374.9579999999996</v>
      </c>
      <c r="AE891">
        <v>-7374.9579999999996</v>
      </c>
      <c r="AF891">
        <v>-7374.9579999999996</v>
      </c>
    </row>
    <row r="892" spans="2:32" x14ac:dyDescent="0.25">
      <c r="B892">
        <v>44</v>
      </c>
      <c r="C892">
        <v>1</v>
      </c>
      <c r="D892">
        <v>1</v>
      </c>
      <c r="E892">
        <v>1</v>
      </c>
      <c r="F892">
        <v>1</v>
      </c>
      <c r="G892">
        <v>1</v>
      </c>
      <c r="H892">
        <v>1</v>
      </c>
      <c r="J892">
        <v>44</v>
      </c>
      <c r="K892">
        <v>1</v>
      </c>
      <c r="L892">
        <v>1</v>
      </c>
      <c r="M892">
        <v>1</v>
      </c>
      <c r="N892">
        <v>1</v>
      </c>
      <c r="O892">
        <v>1</v>
      </c>
      <c r="P892">
        <v>1</v>
      </c>
      <c r="R892">
        <v>44</v>
      </c>
      <c r="S892">
        <v>1</v>
      </c>
      <c r="T892">
        <v>1</v>
      </c>
      <c r="U892">
        <v>1</v>
      </c>
      <c r="V892">
        <v>1</v>
      </c>
      <c r="W892">
        <v>1</v>
      </c>
      <c r="X892">
        <v>1</v>
      </c>
      <c r="AA892">
        <v>-7367.2034999999996</v>
      </c>
      <c r="AB892">
        <v>-7367.2034999999996</v>
      </c>
      <c r="AC892">
        <v>-7367.2034999999996</v>
      </c>
      <c r="AD892">
        <v>-7367.2034999999996</v>
      </c>
      <c r="AE892">
        <v>-7367.2034999999996</v>
      </c>
      <c r="AF892">
        <v>-7367.2034999999996</v>
      </c>
    </row>
    <row r="893" spans="2:32" x14ac:dyDescent="0.25">
      <c r="B893">
        <v>45</v>
      </c>
      <c r="C893">
        <v>1</v>
      </c>
      <c r="D893">
        <v>1</v>
      </c>
      <c r="E893">
        <v>1</v>
      </c>
      <c r="F893">
        <v>1</v>
      </c>
      <c r="G893">
        <v>1</v>
      </c>
      <c r="H893">
        <v>1</v>
      </c>
      <c r="J893">
        <v>45</v>
      </c>
      <c r="K893">
        <v>1</v>
      </c>
      <c r="L893">
        <v>1</v>
      </c>
      <c r="M893">
        <v>1</v>
      </c>
      <c r="N893">
        <v>1</v>
      </c>
      <c r="O893">
        <v>1</v>
      </c>
      <c r="P893">
        <v>1</v>
      </c>
      <c r="R893">
        <v>45</v>
      </c>
      <c r="S893">
        <v>1</v>
      </c>
      <c r="T893">
        <v>1</v>
      </c>
      <c r="U893">
        <v>1</v>
      </c>
      <c r="V893">
        <v>1</v>
      </c>
      <c r="W893">
        <v>1</v>
      </c>
      <c r="X893">
        <v>1</v>
      </c>
      <c r="AA893">
        <v>-7358.6491999999998</v>
      </c>
      <c r="AB893">
        <v>-7358.6491999999998</v>
      </c>
      <c r="AC893">
        <v>-7358.6491999999998</v>
      </c>
      <c r="AD893">
        <v>-7358.6491999999998</v>
      </c>
      <c r="AE893">
        <v>-7358.6491999999998</v>
      </c>
      <c r="AF893">
        <v>-7358.6491999999998</v>
      </c>
    </row>
    <row r="894" spans="2:32" x14ac:dyDescent="0.25">
      <c r="B894">
        <v>46</v>
      </c>
      <c r="C894">
        <v>1</v>
      </c>
      <c r="D894">
        <v>1</v>
      </c>
      <c r="E894">
        <v>1</v>
      </c>
      <c r="F894">
        <v>1</v>
      </c>
      <c r="G894">
        <v>1</v>
      </c>
      <c r="H894">
        <v>1</v>
      </c>
      <c r="J894">
        <v>46</v>
      </c>
      <c r="K894">
        <v>1</v>
      </c>
      <c r="L894">
        <v>1</v>
      </c>
      <c r="M894">
        <v>1</v>
      </c>
      <c r="N894">
        <v>1</v>
      </c>
      <c r="O894">
        <v>1</v>
      </c>
      <c r="P894">
        <v>1</v>
      </c>
      <c r="R894">
        <v>46</v>
      </c>
      <c r="S894">
        <v>1</v>
      </c>
      <c r="T894">
        <v>1</v>
      </c>
      <c r="U894">
        <v>1</v>
      </c>
      <c r="V894">
        <v>1</v>
      </c>
      <c r="W894">
        <v>1</v>
      </c>
      <c r="X894">
        <v>1</v>
      </c>
      <c r="AA894">
        <v>-7349.2232000000004</v>
      </c>
      <c r="AB894">
        <v>-7349.2232000000004</v>
      </c>
      <c r="AC894">
        <v>-7349.2232000000004</v>
      </c>
      <c r="AD894">
        <v>-7349.2232000000004</v>
      </c>
      <c r="AE894">
        <v>-7349.2232000000004</v>
      </c>
      <c r="AF894">
        <v>-7349.2232000000004</v>
      </c>
    </row>
    <row r="895" spans="2:32" x14ac:dyDescent="0.25">
      <c r="B895">
        <v>47</v>
      </c>
      <c r="C895">
        <v>1</v>
      </c>
      <c r="D895">
        <v>1</v>
      </c>
      <c r="E895">
        <v>1</v>
      </c>
      <c r="F895">
        <v>1</v>
      </c>
      <c r="G895">
        <v>1</v>
      </c>
      <c r="H895">
        <v>1</v>
      </c>
      <c r="J895">
        <v>47</v>
      </c>
      <c r="K895">
        <v>1</v>
      </c>
      <c r="L895">
        <v>1</v>
      </c>
      <c r="M895">
        <v>1</v>
      </c>
      <c r="N895">
        <v>1</v>
      </c>
      <c r="O895">
        <v>1</v>
      </c>
      <c r="P895">
        <v>1</v>
      </c>
      <c r="R895">
        <v>47</v>
      </c>
      <c r="S895">
        <v>1</v>
      </c>
      <c r="T895">
        <v>1</v>
      </c>
      <c r="U895">
        <v>1</v>
      </c>
      <c r="V895">
        <v>1</v>
      </c>
      <c r="W895">
        <v>1</v>
      </c>
      <c r="X895">
        <v>1</v>
      </c>
      <c r="AA895">
        <v>-7338.8310000000001</v>
      </c>
      <c r="AB895">
        <v>-7338.8310000000001</v>
      </c>
      <c r="AC895">
        <v>-7338.8310000000001</v>
      </c>
      <c r="AD895">
        <v>-7338.8310000000001</v>
      </c>
      <c r="AE895">
        <v>-7338.8310000000001</v>
      </c>
      <c r="AF895">
        <v>-7338.8310000000001</v>
      </c>
    </row>
    <row r="896" spans="2:32" x14ac:dyDescent="0.25">
      <c r="B896">
        <v>48</v>
      </c>
      <c r="C896">
        <v>1</v>
      </c>
      <c r="D896">
        <v>1</v>
      </c>
      <c r="E896">
        <v>1</v>
      </c>
      <c r="F896">
        <v>1</v>
      </c>
      <c r="G896">
        <v>1</v>
      </c>
      <c r="H896">
        <v>1</v>
      </c>
      <c r="J896">
        <v>48</v>
      </c>
      <c r="K896">
        <v>1</v>
      </c>
      <c r="L896">
        <v>1</v>
      </c>
      <c r="M896">
        <v>1</v>
      </c>
      <c r="N896">
        <v>1</v>
      </c>
      <c r="O896">
        <v>1</v>
      </c>
      <c r="P896">
        <v>1</v>
      </c>
      <c r="R896">
        <v>48</v>
      </c>
      <c r="S896">
        <v>1</v>
      </c>
      <c r="T896">
        <v>1</v>
      </c>
      <c r="U896">
        <v>1</v>
      </c>
      <c r="V896">
        <v>1</v>
      </c>
      <c r="W896">
        <v>1</v>
      </c>
      <c r="X896">
        <v>1</v>
      </c>
      <c r="AA896">
        <v>-7327.4297999999999</v>
      </c>
      <c r="AB896">
        <v>-7327.4297999999999</v>
      </c>
      <c r="AC896">
        <v>-7327.4297999999999</v>
      </c>
      <c r="AD896">
        <v>-7327.4297999999999</v>
      </c>
      <c r="AE896">
        <v>-7327.4297999999999</v>
      </c>
      <c r="AF896">
        <v>-7327.4297999999999</v>
      </c>
    </row>
    <row r="897" spans="2:32" x14ac:dyDescent="0.25">
      <c r="B897">
        <v>49</v>
      </c>
      <c r="C897">
        <v>1</v>
      </c>
      <c r="D897">
        <v>1</v>
      </c>
      <c r="E897">
        <v>1</v>
      </c>
      <c r="F897">
        <v>1</v>
      </c>
      <c r="G897">
        <v>1</v>
      </c>
      <c r="H897">
        <v>1</v>
      </c>
      <c r="J897">
        <v>49</v>
      </c>
      <c r="K897">
        <v>1</v>
      </c>
      <c r="L897">
        <v>1</v>
      </c>
      <c r="M897">
        <v>1</v>
      </c>
      <c r="N897">
        <v>1</v>
      </c>
      <c r="O897">
        <v>1</v>
      </c>
      <c r="P897">
        <v>1</v>
      </c>
      <c r="R897">
        <v>49</v>
      </c>
      <c r="S897">
        <v>1</v>
      </c>
      <c r="T897">
        <v>1</v>
      </c>
      <c r="U897">
        <v>1</v>
      </c>
      <c r="V897">
        <v>1</v>
      </c>
      <c r="W897">
        <v>1</v>
      </c>
      <c r="X897">
        <v>1</v>
      </c>
      <c r="AA897">
        <v>-7314.951</v>
      </c>
      <c r="AB897">
        <v>-7314.951</v>
      </c>
      <c r="AC897">
        <v>-7314.951</v>
      </c>
      <c r="AD897">
        <v>-7314.951</v>
      </c>
      <c r="AE897">
        <v>-7314.951</v>
      </c>
      <c r="AF897">
        <v>-7314.951</v>
      </c>
    </row>
    <row r="898" spans="2:32" x14ac:dyDescent="0.25">
      <c r="B898">
        <v>50</v>
      </c>
      <c r="C898">
        <v>1</v>
      </c>
      <c r="D898">
        <v>1</v>
      </c>
      <c r="E898">
        <v>1</v>
      </c>
      <c r="F898">
        <v>1</v>
      </c>
      <c r="G898">
        <v>1</v>
      </c>
      <c r="H898">
        <v>1</v>
      </c>
      <c r="J898">
        <v>50</v>
      </c>
      <c r="K898">
        <v>1</v>
      </c>
      <c r="L898">
        <v>1</v>
      </c>
      <c r="M898">
        <v>1</v>
      </c>
      <c r="N898">
        <v>1</v>
      </c>
      <c r="O898">
        <v>1</v>
      </c>
      <c r="P898">
        <v>1</v>
      </c>
      <c r="R898">
        <v>50</v>
      </c>
      <c r="S898">
        <v>1</v>
      </c>
      <c r="T898">
        <v>1</v>
      </c>
      <c r="U898">
        <v>1</v>
      </c>
      <c r="V898">
        <v>1</v>
      </c>
      <c r="W898">
        <v>1</v>
      </c>
      <c r="X898">
        <v>1</v>
      </c>
      <c r="AA898">
        <v>-7301.2851000000001</v>
      </c>
      <c r="AB898">
        <v>-7301.2851000000001</v>
      </c>
      <c r="AC898">
        <v>-7301.2851000000001</v>
      </c>
      <c r="AD898">
        <v>-7301.2851000000001</v>
      </c>
      <c r="AE898">
        <v>-7301.2851000000001</v>
      </c>
      <c r="AF898">
        <v>-7301.2851000000001</v>
      </c>
    </row>
    <row r="899" spans="2:32" x14ac:dyDescent="0.25">
      <c r="B899">
        <v>51</v>
      </c>
      <c r="C899">
        <v>1</v>
      </c>
      <c r="D899">
        <v>1</v>
      </c>
      <c r="E899">
        <v>1</v>
      </c>
      <c r="F899">
        <v>1</v>
      </c>
      <c r="G899">
        <v>1</v>
      </c>
      <c r="H899">
        <v>1</v>
      </c>
      <c r="J899">
        <v>51</v>
      </c>
      <c r="K899">
        <v>1</v>
      </c>
      <c r="L899">
        <v>1</v>
      </c>
      <c r="M899">
        <v>1</v>
      </c>
      <c r="N899">
        <v>1</v>
      </c>
      <c r="O899">
        <v>1</v>
      </c>
      <c r="P899">
        <v>1</v>
      </c>
      <c r="R899">
        <v>51</v>
      </c>
      <c r="S899">
        <v>1</v>
      </c>
      <c r="T899">
        <v>1</v>
      </c>
      <c r="U899">
        <v>1</v>
      </c>
      <c r="V899">
        <v>1</v>
      </c>
      <c r="W899">
        <v>1</v>
      </c>
      <c r="X899">
        <v>1</v>
      </c>
      <c r="AA899">
        <v>-7286.3271000000004</v>
      </c>
      <c r="AB899">
        <v>-7286.3271000000004</v>
      </c>
      <c r="AC899">
        <v>-7286.3271000000004</v>
      </c>
      <c r="AD899">
        <v>-7286.3271000000004</v>
      </c>
      <c r="AE899">
        <v>-7286.3271000000004</v>
      </c>
      <c r="AF899">
        <v>-7286.3271000000004</v>
      </c>
    </row>
    <row r="900" spans="2:32" x14ac:dyDescent="0.25">
      <c r="B900">
        <v>52</v>
      </c>
      <c r="C900">
        <v>1</v>
      </c>
      <c r="D900">
        <v>1</v>
      </c>
      <c r="E900">
        <v>1</v>
      </c>
      <c r="F900">
        <v>1</v>
      </c>
      <c r="G900">
        <v>1</v>
      </c>
      <c r="H900">
        <v>1</v>
      </c>
      <c r="J900">
        <v>52</v>
      </c>
      <c r="K900">
        <v>1</v>
      </c>
      <c r="L900">
        <v>1</v>
      </c>
      <c r="M900">
        <v>1</v>
      </c>
      <c r="N900">
        <v>1</v>
      </c>
      <c r="O900">
        <v>1</v>
      </c>
      <c r="P900">
        <v>1</v>
      </c>
      <c r="R900">
        <v>52</v>
      </c>
      <c r="S900">
        <v>1</v>
      </c>
      <c r="T900">
        <v>1</v>
      </c>
      <c r="U900">
        <v>1</v>
      </c>
      <c r="V900">
        <v>1</v>
      </c>
      <c r="W900">
        <v>1</v>
      </c>
      <c r="X900">
        <v>1</v>
      </c>
      <c r="AA900">
        <v>-7269.9448000000002</v>
      </c>
      <c r="AB900">
        <v>-7269.9448000000002</v>
      </c>
      <c r="AC900">
        <v>-7269.9448000000002</v>
      </c>
      <c r="AD900">
        <v>-7269.9448000000002</v>
      </c>
      <c r="AE900">
        <v>-7269.9448000000002</v>
      </c>
      <c r="AF900">
        <v>-7269.9448000000002</v>
      </c>
    </row>
    <row r="901" spans="2:32" x14ac:dyDescent="0.25">
      <c r="B901">
        <v>53</v>
      </c>
      <c r="C901">
        <v>1</v>
      </c>
      <c r="D901">
        <v>1</v>
      </c>
      <c r="E901">
        <v>1</v>
      </c>
      <c r="F901">
        <v>1</v>
      </c>
      <c r="G901">
        <v>1</v>
      </c>
      <c r="H901">
        <v>1</v>
      </c>
      <c r="J901">
        <v>53</v>
      </c>
      <c r="K901">
        <v>1</v>
      </c>
      <c r="L901">
        <v>1</v>
      </c>
      <c r="M901">
        <v>1</v>
      </c>
      <c r="N901">
        <v>1</v>
      </c>
      <c r="O901">
        <v>1</v>
      </c>
      <c r="P901">
        <v>1</v>
      </c>
      <c r="R901">
        <v>53</v>
      </c>
      <c r="S901">
        <v>1</v>
      </c>
      <c r="T901">
        <v>1</v>
      </c>
      <c r="U901">
        <v>1</v>
      </c>
      <c r="V901">
        <v>1</v>
      </c>
      <c r="W901">
        <v>1</v>
      </c>
      <c r="X901">
        <v>1</v>
      </c>
      <c r="AA901">
        <v>-7252.0574999999999</v>
      </c>
      <c r="AB901">
        <v>-7252.0574999999999</v>
      </c>
      <c r="AC901">
        <v>-7252.0574999999999</v>
      </c>
      <c r="AD901">
        <v>-7252.0574999999999</v>
      </c>
      <c r="AE901">
        <v>-7252.0574999999999</v>
      </c>
      <c r="AF901">
        <v>-7252.0574999999999</v>
      </c>
    </row>
    <row r="902" spans="2:32" x14ac:dyDescent="0.25">
      <c r="B902">
        <v>54</v>
      </c>
      <c r="C902">
        <v>1</v>
      </c>
      <c r="D902">
        <v>1</v>
      </c>
      <c r="E902">
        <v>1</v>
      </c>
      <c r="F902">
        <v>1</v>
      </c>
      <c r="G902">
        <v>1</v>
      </c>
      <c r="H902">
        <v>1</v>
      </c>
      <c r="J902">
        <v>54</v>
      </c>
      <c r="K902">
        <v>1</v>
      </c>
      <c r="L902">
        <v>1</v>
      </c>
      <c r="M902">
        <v>1</v>
      </c>
      <c r="N902">
        <v>1</v>
      </c>
      <c r="O902">
        <v>1</v>
      </c>
      <c r="P902">
        <v>1</v>
      </c>
      <c r="R902">
        <v>54</v>
      </c>
      <c r="S902">
        <v>1</v>
      </c>
      <c r="T902">
        <v>1</v>
      </c>
      <c r="U902">
        <v>1</v>
      </c>
      <c r="V902">
        <v>1</v>
      </c>
      <c r="W902">
        <v>1</v>
      </c>
      <c r="X902">
        <v>1</v>
      </c>
      <c r="AA902">
        <v>-7232.5680000000002</v>
      </c>
      <c r="AB902">
        <v>-7232.5680000000002</v>
      </c>
      <c r="AC902">
        <v>-7232.5680000000002</v>
      </c>
      <c r="AD902">
        <v>-7232.5680000000002</v>
      </c>
      <c r="AE902">
        <v>-7232.5680000000002</v>
      </c>
      <c r="AF902">
        <v>-7232.5680000000002</v>
      </c>
    </row>
    <row r="903" spans="2:32" x14ac:dyDescent="0.25">
      <c r="B903">
        <v>55</v>
      </c>
      <c r="C903">
        <v>1</v>
      </c>
      <c r="D903">
        <v>1</v>
      </c>
      <c r="E903">
        <v>1</v>
      </c>
      <c r="F903">
        <v>1</v>
      </c>
      <c r="G903">
        <v>1</v>
      </c>
      <c r="H903">
        <v>1</v>
      </c>
      <c r="J903">
        <v>55</v>
      </c>
      <c r="K903">
        <v>1</v>
      </c>
      <c r="L903">
        <v>1</v>
      </c>
      <c r="M903">
        <v>1</v>
      </c>
      <c r="N903">
        <v>1</v>
      </c>
      <c r="O903">
        <v>1</v>
      </c>
      <c r="P903">
        <v>1</v>
      </c>
      <c r="R903">
        <v>55</v>
      </c>
      <c r="S903">
        <v>1</v>
      </c>
      <c r="T903">
        <v>1</v>
      </c>
      <c r="U903">
        <v>1</v>
      </c>
      <c r="V903">
        <v>1</v>
      </c>
      <c r="W903">
        <v>1</v>
      </c>
      <c r="X903">
        <v>1</v>
      </c>
      <c r="AA903">
        <v>-7211.3207000000002</v>
      </c>
      <c r="AB903">
        <v>-7211.3207000000002</v>
      </c>
      <c r="AC903">
        <v>-7211.3207000000002</v>
      </c>
      <c r="AD903">
        <v>-7211.3207000000002</v>
      </c>
      <c r="AE903">
        <v>-7211.3207000000002</v>
      </c>
      <c r="AF903">
        <v>-7211.3207000000002</v>
      </c>
    </row>
    <row r="906" spans="2:32" x14ac:dyDescent="0.25">
      <c r="B906" t="s">
        <v>46</v>
      </c>
      <c r="C906">
        <v>100000</v>
      </c>
      <c r="D906">
        <v>250000</v>
      </c>
      <c r="E906">
        <v>500000</v>
      </c>
      <c r="F906">
        <v>1000000</v>
      </c>
      <c r="G906">
        <v>2000000</v>
      </c>
      <c r="J906" t="s">
        <v>32</v>
      </c>
      <c r="K906">
        <v>100000</v>
      </c>
      <c r="L906">
        <v>250000</v>
      </c>
      <c r="M906">
        <v>500000</v>
      </c>
      <c r="N906">
        <v>1000000</v>
      </c>
      <c r="O906">
        <v>2000000</v>
      </c>
      <c r="R906" t="s">
        <v>48</v>
      </c>
      <c r="S906">
        <v>100000</v>
      </c>
      <c r="T906">
        <v>250000</v>
      </c>
      <c r="U906">
        <v>500000</v>
      </c>
      <c r="V906">
        <v>1000000</v>
      </c>
      <c r="W906">
        <v>2000000</v>
      </c>
    </row>
    <row r="907" spans="2:32" x14ac:dyDescent="0.25">
      <c r="B907">
        <v>35</v>
      </c>
      <c r="C907">
        <v>1</v>
      </c>
      <c r="D907">
        <v>1</v>
      </c>
      <c r="E907">
        <v>1</v>
      </c>
      <c r="F907">
        <v>1</v>
      </c>
      <c r="G907">
        <v>1</v>
      </c>
      <c r="J907">
        <v>35</v>
      </c>
      <c r="K907">
        <v>1</v>
      </c>
      <c r="L907">
        <v>1</v>
      </c>
      <c r="M907">
        <v>1</v>
      </c>
      <c r="N907">
        <v>1</v>
      </c>
      <c r="O907">
        <v>1</v>
      </c>
      <c r="R907">
        <v>35</v>
      </c>
      <c r="S907">
        <v>1</v>
      </c>
      <c r="T907">
        <v>1</v>
      </c>
      <c r="U907">
        <v>1</v>
      </c>
      <c r="V907">
        <v>1</v>
      </c>
      <c r="W907">
        <v>1</v>
      </c>
      <c r="AA907">
        <v>-11308.6893</v>
      </c>
      <c r="AB907">
        <v>-11308.6893</v>
      </c>
      <c r="AC907">
        <v>-11308.6893</v>
      </c>
      <c r="AD907">
        <v>-11308.6893</v>
      </c>
      <c r="AE907">
        <v>-11308.6893</v>
      </c>
    </row>
    <row r="908" spans="2:32" x14ac:dyDescent="0.25">
      <c r="B908">
        <f t="shared" ref="B908:B937" si="39">B907+1</f>
        <v>36</v>
      </c>
      <c r="C908">
        <v>1</v>
      </c>
      <c r="D908">
        <v>1</v>
      </c>
      <c r="E908">
        <v>1</v>
      </c>
      <c r="F908">
        <v>1</v>
      </c>
      <c r="G908">
        <v>1</v>
      </c>
      <c r="J908">
        <f t="shared" ref="J908:J937" si="40">J907+1</f>
        <v>36</v>
      </c>
      <c r="K908">
        <v>1</v>
      </c>
      <c r="L908">
        <v>1</v>
      </c>
      <c r="M908">
        <v>1</v>
      </c>
      <c r="N908">
        <v>1</v>
      </c>
      <c r="O908">
        <v>1</v>
      </c>
      <c r="R908">
        <f t="shared" ref="R908:R937" si="41">R907+1</f>
        <v>36</v>
      </c>
      <c r="S908">
        <v>1</v>
      </c>
      <c r="T908">
        <v>1</v>
      </c>
      <c r="U908">
        <v>1</v>
      </c>
      <c r="V908">
        <v>1</v>
      </c>
      <c r="W908">
        <v>1</v>
      </c>
      <c r="AA908">
        <v>-11214.2592</v>
      </c>
      <c r="AB908">
        <v>-11214.2592</v>
      </c>
      <c r="AC908">
        <v>-11214.2592</v>
      </c>
      <c r="AD908">
        <v>-11214.2592</v>
      </c>
      <c r="AE908">
        <v>-11214.2592</v>
      </c>
    </row>
    <row r="909" spans="2:32" x14ac:dyDescent="0.25">
      <c r="B909">
        <f t="shared" si="39"/>
        <v>37</v>
      </c>
      <c r="C909">
        <v>1</v>
      </c>
      <c r="D909">
        <v>1</v>
      </c>
      <c r="E909">
        <v>1</v>
      </c>
      <c r="F909">
        <v>1</v>
      </c>
      <c r="G909">
        <v>1</v>
      </c>
      <c r="J909">
        <f t="shared" si="40"/>
        <v>37</v>
      </c>
      <c r="K909">
        <v>1</v>
      </c>
      <c r="L909">
        <v>1</v>
      </c>
      <c r="M909">
        <v>1</v>
      </c>
      <c r="N909">
        <v>1</v>
      </c>
      <c r="O909">
        <v>1</v>
      </c>
      <c r="R909">
        <f t="shared" si="41"/>
        <v>37</v>
      </c>
      <c r="S909">
        <v>1</v>
      </c>
      <c r="T909">
        <v>1</v>
      </c>
      <c r="U909">
        <v>1</v>
      </c>
      <c r="V909">
        <v>1</v>
      </c>
      <c r="W909">
        <v>1</v>
      </c>
      <c r="AA909">
        <v>-11117.406199999999</v>
      </c>
      <c r="AB909">
        <v>-11117.406199999999</v>
      </c>
      <c r="AC909">
        <v>-11117.406199999999</v>
      </c>
      <c r="AD909">
        <v>-11117.406199999999</v>
      </c>
      <c r="AE909">
        <v>-11117.406199999999</v>
      </c>
    </row>
    <row r="910" spans="2:32" x14ac:dyDescent="0.25">
      <c r="B910">
        <f t="shared" si="39"/>
        <v>38</v>
      </c>
      <c r="C910">
        <v>1</v>
      </c>
      <c r="D910">
        <v>1</v>
      </c>
      <c r="E910">
        <v>1</v>
      </c>
      <c r="F910">
        <v>1</v>
      </c>
      <c r="G910">
        <v>1</v>
      </c>
      <c r="J910">
        <f t="shared" si="40"/>
        <v>38</v>
      </c>
      <c r="K910">
        <v>1</v>
      </c>
      <c r="L910">
        <v>1</v>
      </c>
      <c r="M910">
        <v>1</v>
      </c>
      <c r="N910">
        <v>1</v>
      </c>
      <c r="O910">
        <v>1</v>
      </c>
      <c r="R910">
        <f t="shared" si="41"/>
        <v>38</v>
      </c>
      <c r="S910">
        <v>1</v>
      </c>
      <c r="T910">
        <v>1</v>
      </c>
      <c r="U910">
        <v>1</v>
      </c>
      <c r="V910">
        <v>1</v>
      </c>
      <c r="W910">
        <v>1</v>
      </c>
      <c r="AA910">
        <v>-11018.229799999999</v>
      </c>
      <c r="AB910">
        <v>-11018.229799999999</v>
      </c>
      <c r="AC910">
        <v>-11018.229799999999</v>
      </c>
      <c r="AD910">
        <v>-11018.229799999999</v>
      </c>
      <c r="AE910">
        <v>-11018.229799999999</v>
      </c>
    </row>
    <row r="911" spans="2:32" x14ac:dyDescent="0.25">
      <c r="B911">
        <f t="shared" si="39"/>
        <v>39</v>
      </c>
      <c r="C911">
        <v>1</v>
      </c>
      <c r="D911">
        <v>1</v>
      </c>
      <c r="E911">
        <v>1</v>
      </c>
      <c r="F911">
        <v>1</v>
      </c>
      <c r="G911">
        <v>1</v>
      </c>
      <c r="J911">
        <f t="shared" si="40"/>
        <v>39</v>
      </c>
      <c r="K911">
        <v>1</v>
      </c>
      <c r="L911">
        <v>1</v>
      </c>
      <c r="M911">
        <v>1</v>
      </c>
      <c r="N911">
        <v>1</v>
      </c>
      <c r="O911">
        <v>1</v>
      </c>
      <c r="R911">
        <f t="shared" si="41"/>
        <v>39</v>
      </c>
      <c r="S911">
        <v>1</v>
      </c>
      <c r="T911">
        <v>1</v>
      </c>
      <c r="U911">
        <v>1</v>
      </c>
      <c r="V911">
        <v>1</v>
      </c>
      <c r="W911">
        <v>1</v>
      </c>
      <c r="AA911">
        <v>-10916.737999999999</v>
      </c>
      <c r="AB911">
        <v>-10916.737999999999</v>
      </c>
      <c r="AC911">
        <v>-10916.737999999999</v>
      </c>
      <c r="AD911">
        <v>-10916.737999999999</v>
      </c>
      <c r="AE911">
        <v>-10916.737999999999</v>
      </c>
    </row>
    <row r="912" spans="2:32" x14ac:dyDescent="0.25">
      <c r="B912">
        <f t="shared" si="39"/>
        <v>40</v>
      </c>
      <c r="C912">
        <v>1</v>
      </c>
      <c r="D912">
        <v>1</v>
      </c>
      <c r="E912">
        <v>1</v>
      </c>
      <c r="F912">
        <v>1</v>
      </c>
      <c r="G912">
        <v>1</v>
      </c>
      <c r="J912">
        <f t="shared" si="40"/>
        <v>40</v>
      </c>
      <c r="K912">
        <v>1</v>
      </c>
      <c r="L912">
        <v>1</v>
      </c>
      <c r="M912">
        <v>1</v>
      </c>
      <c r="N912">
        <v>1</v>
      </c>
      <c r="O912">
        <v>1</v>
      </c>
      <c r="R912">
        <f t="shared" si="41"/>
        <v>40</v>
      </c>
      <c r="S912">
        <v>1</v>
      </c>
      <c r="T912">
        <v>1</v>
      </c>
      <c r="U912">
        <v>1</v>
      </c>
      <c r="V912">
        <v>1</v>
      </c>
      <c r="W912">
        <v>1</v>
      </c>
      <c r="AA912">
        <v>-10812.8714</v>
      </c>
      <c r="AB912">
        <v>-10812.8714</v>
      </c>
      <c r="AC912">
        <v>-10812.8714</v>
      </c>
      <c r="AD912">
        <v>-10812.8714</v>
      </c>
      <c r="AE912">
        <v>-10812.8714</v>
      </c>
    </row>
    <row r="913" spans="2:31" x14ac:dyDescent="0.25">
      <c r="B913">
        <f t="shared" si="39"/>
        <v>41</v>
      </c>
      <c r="C913">
        <v>1</v>
      </c>
      <c r="D913">
        <v>1</v>
      </c>
      <c r="E913">
        <v>1</v>
      </c>
      <c r="F913">
        <v>1</v>
      </c>
      <c r="G913">
        <v>1</v>
      </c>
      <c r="J913">
        <f t="shared" si="40"/>
        <v>41</v>
      </c>
      <c r="K913">
        <v>1</v>
      </c>
      <c r="L913">
        <v>1</v>
      </c>
      <c r="M913">
        <v>1</v>
      </c>
      <c r="N913">
        <v>1</v>
      </c>
      <c r="O913">
        <v>1</v>
      </c>
      <c r="R913">
        <f t="shared" si="41"/>
        <v>41</v>
      </c>
      <c r="S913">
        <v>1</v>
      </c>
      <c r="T913">
        <v>1</v>
      </c>
      <c r="U913">
        <v>1</v>
      </c>
      <c r="V913">
        <v>1</v>
      </c>
      <c r="W913">
        <v>1</v>
      </c>
      <c r="AA913">
        <v>-10706.559600000001</v>
      </c>
      <c r="AB913">
        <v>-10706.559600000001</v>
      </c>
      <c r="AC913">
        <v>-10706.559600000001</v>
      </c>
      <c r="AD913">
        <v>-10706.559600000001</v>
      </c>
      <c r="AE913">
        <v>-10706.559600000001</v>
      </c>
    </row>
    <row r="914" spans="2:31" x14ac:dyDescent="0.25">
      <c r="B914">
        <f t="shared" si="39"/>
        <v>42</v>
      </c>
      <c r="C914">
        <v>1</v>
      </c>
      <c r="D914">
        <v>1</v>
      </c>
      <c r="E914">
        <v>1</v>
      </c>
      <c r="F914">
        <v>1</v>
      </c>
      <c r="G914">
        <v>1</v>
      </c>
      <c r="J914">
        <f t="shared" si="40"/>
        <v>42</v>
      </c>
      <c r="K914">
        <v>1</v>
      </c>
      <c r="L914">
        <v>1</v>
      </c>
      <c r="M914">
        <v>1</v>
      </c>
      <c r="N914">
        <v>1</v>
      </c>
      <c r="O914">
        <v>1</v>
      </c>
      <c r="R914">
        <f t="shared" si="41"/>
        <v>42</v>
      </c>
      <c r="S914">
        <v>1</v>
      </c>
      <c r="T914">
        <v>1</v>
      </c>
      <c r="U914">
        <v>1</v>
      </c>
      <c r="V914">
        <v>1</v>
      </c>
      <c r="W914">
        <v>1</v>
      </c>
      <c r="AA914">
        <v>-10597.8485</v>
      </c>
      <c r="AB914">
        <v>-10597.8485</v>
      </c>
      <c r="AC914">
        <v>-10597.8485</v>
      </c>
      <c r="AD914">
        <v>-10597.8485</v>
      </c>
      <c r="AE914">
        <v>-10597.8485</v>
      </c>
    </row>
    <row r="915" spans="2:31" x14ac:dyDescent="0.25">
      <c r="B915">
        <f t="shared" si="39"/>
        <v>43</v>
      </c>
      <c r="C915">
        <v>1</v>
      </c>
      <c r="D915">
        <v>1</v>
      </c>
      <c r="E915">
        <v>1</v>
      </c>
      <c r="F915">
        <v>1</v>
      </c>
      <c r="G915">
        <v>1</v>
      </c>
      <c r="J915">
        <f t="shared" si="40"/>
        <v>43</v>
      </c>
      <c r="K915">
        <v>1</v>
      </c>
      <c r="L915">
        <v>1</v>
      </c>
      <c r="M915">
        <v>1</v>
      </c>
      <c r="N915">
        <v>1</v>
      </c>
      <c r="O915">
        <v>1</v>
      </c>
      <c r="R915">
        <f t="shared" si="41"/>
        <v>43</v>
      </c>
      <c r="S915">
        <v>1</v>
      </c>
      <c r="T915">
        <v>1</v>
      </c>
      <c r="U915">
        <v>1</v>
      </c>
      <c r="V915">
        <v>1</v>
      </c>
      <c r="W915">
        <v>1</v>
      </c>
      <c r="AA915">
        <v>-10486.615400000001</v>
      </c>
      <c r="AB915">
        <v>-10486.615400000001</v>
      </c>
      <c r="AC915">
        <v>-10486.615400000001</v>
      </c>
      <c r="AD915">
        <v>-10486.615400000001</v>
      </c>
      <c r="AE915">
        <v>-10486.615400000001</v>
      </c>
    </row>
    <row r="916" spans="2:31" x14ac:dyDescent="0.25">
      <c r="B916">
        <f t="shared" si="39"/>
        <v>44</v>
      </c>
      <c r="C916">
        <v>1</v>
      </c>
      <c r="D916">
        <v>1</v>
      </c>
      <c r="E916">
        <v>1</v>
      </c>
      <c r="F916">
        <v>1</v>
      </c>
      <c r="G916">
        <v>1</v>
      </c>
      <c r="J916">
        <f t="shared" si="40"/>
        <v>44</v>
      </c>
      <c r="K916">
        <v>1</v>
      </c>
      <c r="L916">
        <v>1</v>
      </c>
      <c r="M916">
        <v>1</v>
      </c>
      <c r="N916">
        <v>1</v>
      </c>
      <c r="O916">
        <v>1</v>
      </c>
      <c r="R916">
        <f t="shared" si="41"/>
        <v>44</v>
      </c>
      <c r="S916">
        <v>1</v>
      </c>
      <c r="T916">
        <v>1</v>
      </c>
      <c r="U916">
        <v>1</v>
      </c>
      <c r="V916">
        <v>1</v>
      </c>
      <c r="W916">
        <v>1</v>
      </c>
      <c r="AA916">
        <v>-10372.9005</v>
      </c>
      <c r="AB916">
        <v>-10372.9005</v>
      </c>
      <c r="AC916">
        <v>-10372.9005</v>
      </c>
      <c r="AD916">
        <v>-10372.9005</v>
      </c>
      <c r="AE916">
        <v>-10372.9005</v>
      </c>
    </row>
    <row r="917" spans="2:31" x14ac:dyDescent="0.25">
      <c r="B917">
        <f t="shared" si="39"/>
        <v>45</v>
      </c>
      <c r="C917">
        <v>1</v>
      </c>
      <c r="D917">
        <v>1</v>
      </c>
      <c r="E917">
        <v>1</v>
      </c>
      <c r="F917">
        <v>1</v>
      </c>
      <c r="G917">
        <v>1</v>
      </c>
      <c r="J917">
        <f t="shared" si="40"/>
        <v>45</v>
      </c>
      <c r="K917">
        <v>1</v>
      </c>
      <c r="L917">
        <v>1</v>
      </c>
      <c r="M917">
        <v>1</v>
      </c>
      <c r="N917">
        <v>1</v>
      </c>
      <c r="O917">
        <v>1</v>
      </c>
      <c r="R917">
        <f t="shared" si="41"/>
        <v>45</v>
      </c>
      <c r="S917">
        <v>1</v>
      </c>
      <c r="T917">
        <v>1</v>
      </c>
      <c r="U917">
        <v>1</v>
      </c>
      <c r="V917">
        <v>1</v>
      </c>
      <c r="W917">
        <v>1</v>
      </c>
      <c r="AA917">
        <v>-10256.650600000001</v>
      </c>
      <c r="AB917">
        <v>-10256.650600000001</v>
      </c>
      <c r="AC917">
        <v>-10256.650600000001</v>
      </c>
      <c r="AD917">
        <v>-10256.650600000001</v>
      </c>
      <c r="AE917">
        <v>-10256.650600000001</v>
      </c>
    </row>
    <row r="918" spans="2:31" x14ac:dyDescent="0.25">
      <c r="B918">
        <f t="shared" si="39"/>
        <v>46</v>
      </c>
      <c r="C918">
        <v>1</v>
      </c>
      <c r="D918">
        <v>1</v>
      </c>
      <c r="E918">
        <v>1</v>
      </c>
      <c r="F918">
        <v>1</v>
      </c>
      <c r="G918">
        <v>1</v>
      </c>
      <c r="J918">
        <f t="shared" si="40"/>
        <v>46</v>
      </c>
      <c r="K918">
        <v>1</v>
      </c>
      <c r="L918">
        <v>1</v>
      </c>
      <c r="M918">
        <v>1</v>
      </c>
      <c r="N918">
        <v>1</v>
      </c>
      <c r="O918">
        <v>1</v>
      </c>
      <c r="R918">
        <f t="shared" si="41"/>
        <v>46</v>
      </c>
      <c r="S918">
        <v>1</v>
      </c>
      <c r="T918">
        <v>1</v>
      </c>
      <c r="U918">
        <v>1</v>
      </c>
      <c r="V918">
        <v>1</v>
      </c>
      <c r="W918">
        <v>1</v>
      </c>
      <c r="AA918">
        <v>-10137.871499999999</v>
      </c>
      <c r="AB918">
        <v>-10137.871499999999</v>
      </c>
      <c r="AC918">
        <v>-10137.871499999999</v>
      </c>
      <c r="AD918">
        <v>-10137.871499999999</v>
      </c>
      <c r="AE918">
        <v>-10137.871499999999</v>
      </c>
    </row>
    <row r="919" spans="2:31" x14ac:dyDescent="0.25">
      <c r="B919">
        <f t="shared" si="39"/>
        <v>47</v>
      </c>
      <c r="C919">
        <v>1</v>
      </c>
      <c r="D919">
        <v>1</v>
      </c>
      <c r="E919">
        <v>1</v>
      </c>
      <c r="F919">
        <v>1</v>
      </c>
      <c r="G919">
        <v>1</v>
      </c>
      <c r="J919">
        <f t="shared" si="40"/>
        <v>47</v>
      </c>
      <c r="K919">
        <v>1</v>
      </c>
      <c r="L919">
        <v>1</v>
      </c>
      <c r="M919">
        <v>1</v>
      </c>
      <c r="N919">
        <v>1</v>
      </c>
      <c r="O919">
        <v>1</v>
      </c>
      <c r="R919">
        <f t="shared" si="41"/>
        <v>47</v>
      </c>
      <c r="S919">
        <v>1</v>
      </c>
      <c r="T919">
        <v>1</v>
      </c>
      <c r="U919">
        <v>1</v>
      </c>
      <c r="V919">
        <v>1</v>
      </c>
      <c r="W919">
        <v>1</v>
      </c>
      <c r="AA919">
        <v>-10016.4967</v>
      </c>
      <c r="AB919">
        <v>-10016.4967</v>
      </c>
      <c r="AC919">
        <v>-10016.4967</v>
      </c>
      <c r="AD919">
        <v>-10016.4967</v>
      </c>
      <c r="AE919">
        <v>-10016.4967</v>
      </c>
    </row>
    <row r="920" spans="2:31" x14ac:dyDescent="0.25">
      <c r="B920">
        <f t="shared" si="39"/>
        <v>48</v>
      </c>
      <c r="C920">
        <v>1</v>
      </c>
      <c r="D920">
        <v>1</v>
      </c>
      <c r="E920">
        <v>1</v>
      </c>
      <c r="F920">
        <v>1</v>
      </c>
      <c r="G920">
        <v>1</v>
      </c>
      <c r="J920">
        <f t="shared" si="40"/>
        <v>48</v>
      </c>
      <c r="K920">
        <v>1</v>
      </c>
      <c r="L920">
        <v>1</v>
      </c>
      <c r="M920">
        <v>1</v>
      </c>
      <c r="N920">
        <v>1</v>
      </c>
      <c r="O920">
        <v>1</v>
      </c>
      <c r="R920">
        <f t="shared" si="41"/>
        <v>48</v>
      </c>
      <c r="S920">
        <v>1</v>
      </c>
      <c r="T920">
        <v>1</v>
      </c>
      <c r="U920">
        <v>1</v>
      </c>
      <c r="V920">
        <v>1</v>
      </c>
      <c r="W920">
        <v>1</v>
      </c>
      <c r="AA920">
        <v>-9892.6355000000003</v>
      </c>
      <c r="AB920">
        <v>-9892.6355000000003</v>
      </c>
      <c r="AC920">
        <v>-9892.6355000000003</v>
      </c>
      <c r="AD920">
        <v>-9892.6355000000003</v>
      </c>
      <c r="AE920">
        <v>-9892.6355000000003</v>
      </c>
    </row>
    <row r="921" spans="2:31" x14ac:dyDescent="0.25">
      <c r="B921">
        <f t="shared" si="39"/>
        <v>49</v>
      </c>
      <c r="C921">
        <v>1</v>
      </c>
      <c r="D921">
        <v>1</v>
      </c>
      <c r="E921">
        <v>1</v>
      </c>
      <c r="F921">
        <v>1</v>
      </c>
      <c r="G921">
        <v>1</v>
      </c>
      <c r="J921">
        <f t="shared" si="40"/>
        <v>49</v>
      </c>
      <c r="K921">
        <v>1</v>
      </c>
      <c r="L921">
        <v>1</v>
      </c>
      <c r="M921">
        <v>1</v>
      </c>
      <c r="N921">
        <v>1</v>
      </c>
      <c r="O921">
        <v>1</v>
      </c>
      <c r="R921">
        <f t="shared" si="41"/>
        <v>49</v>
      </c>
      <c r="S921">
        <v>1</v>
      </c>
      <c r="T921">
        <v>1</v>
      </c>
      <c r="U921">
        <v>1</v>
      </c>
      <c r="V921">
        <v>1</v>
      </c>
      <c r="W921">
        <v>1</v>
      </c>
      <c r="AA921">
        <v>-9766.3366999999998</v>
      </c>
      <c r="AB921">
        <v>-9766.3366999999998</v>
      </c>
      <c r="AC921">
        <v>-9766.3366999999998</v>
      </c>
      <c r="AD921">
        <v>-9766.3366999999998</v>
      </c>
      <c r="AE921">
        <v>-9766.3366999999998</v>
      </c>
    </row>
    <row r="922" spans="2:31" x14ac:dyDescent="0.25">
      <c r="B922">
        <f t="shared" si="39"/>
        <v>50</v>
      </c>
      <c r="C922">
        <v>1</v>
      </c>
      <c r="D922">
        <v>1</v>
      </c>
      <c r="E922">
        <v>1</v>
      </c>
      <c r="F922">
        <v>1</v>
      </c>
      <c r="G922">
        <v>1</v>
      </c>
      <c r="J922">
        <f t="shared" si="40"/>
        <v>50</v>
      </c>
      <c r="K922">
        <v>1</v>
      </c>
      <c r="L922">
        <v>1</v>
      </c>
      <c r="M922">
        <v>1</v>
      </c>
      <c r="N922">
        <v>1</v>
      </c>
      <c r="O922">
        <v>1</v>
      </c>
      <c r="R922">
        <f t="shared" si="41"/>
        <v>50</v>
      </c>
      <c r="S922">
        <v>1</v>
      </c>
      <c r="T922">
        <v>1</v>
      </c>
      <c r="U922">
        <v>1</v>
      </c>
      <c r="V922">
        <v>1</v>
      </c>
      <c r="W922">
        <v>1</v>
      </c>
      <c r="AA922">
        <v>-9637.5864000000001</v>
      </c>
      <c r="AB922">
        <v>-9637.5864000000001</v>
      </c>
      <c r="AC922">
        <v>-9637.5864000000001</v>
      </c>
      <c r="AD922">
        <v>-9637.5864000000001</v>
      </c>
      <c r="AE922">
        <v>-9637.5864000000001</v>
      </c>
    </row>
    <row r="923" spans="2:31" x14ac:dyDescent="0.25">
      <c r="B923">
        <f t="shared" si="39"/>
        <v>51</v>
      </c>
      <c r="C923">
        <v>1</v>
      </c>
      <c r="D923">
        <v>1</v>
      </c>
      <c r="E923">
        <v>1</v>
      </c>
      <c r="F923">
        <v>1</v>
      </c>
      <c r="G923">
        <v>1</v>
      </c>
      <c r="J923">
        <f t="shared" si="40"/>
        <v>51</v>
      </c>
      <c r="K923">
        <v>1</v>
      </c>
      <c r="L923">
        <v>1</v>
      </c>
      <c r="M923">
        <v>1</v>
      </c>
      <c r="N923">
        <v>1</v>
      </c>
      <c r="O923">
        <v>1</v>
      </c>
      <c r="R923">
        <f t="shared" si="41"/>
        <v>51</v>
      </c>
      <c r="S923">
        <v>1</v>
      </c>
      <c r="T923">
        <v>1</v>
      </c>
      <c r="U923">
        <v>1</v>
      </c>
      <c r="V923">
        <v>1</v>
      </c>
      <c r="W923">
        <v>1</v>
      </c>
      <c r="AA923">
        <v>-9506.3734000000004</v>
      </c>
      <c r="AB923">
        <v>-9506.3734000000004</v>
      </c>
      <c r="AC923">
        <v>-9506.3734000000004</v>
      </c>
      <c r="AD923">
        <v>-9506.3734000000004</v>
      </c>
      <c r="AE923">
        <v>-9506.3734000000004</v>
      </c>
    </row>
    <row r="924" spans="2:31" x14ac:dyDescent="0.25">
      <c r="B924">
        <f t="shared" si="39"/>
        <v>52</v>
      </c>
      <c r="C924">
        <v>1</v>
      </c>
      <c r="D924">
        <v>1</v>
      </c>
      <c r="E924">
        <v>1</v>
      </c>
      <c r="F924">
        <v>1</v>
      </c>
      <c r="G924">
        <v>1</v>
      </c>
      <c r="J924">
        <f t="shared" si="40"/>
        <v>52</v>
      </c>
      <c r="K924">
        <v>1</v>
      </c>
      <c r="L924">
        <v>1</v>
      </c>
      <c r="M924">
        <v>1</v>
      </c>
      <c r="N924">
        <v>1</v>
      </c>
      <c r="O924">
        <v>1</v>
      </c>
      <c r="R924">
        <f t="shared" si="41"/>
        <v>52</v>
      </c>
      <c r="S924">
        <v>1</v>
      </c>
      <c r="T924">
        <v>1</v>
      </c>
      <c r="U924">
        <v>1</v>
      </c>
      <c r="V924">
        <v>1</v>
      </c>
      <c r="W924">
        <v>1</v>
      </c>
      <c r="AA924">
        <v>-9372.7019</v>
      </c>
      <c r="AB924">
        <v>-9372.7019</v>
      </c>
      <c r="AC924">
        <v>-9372.7019</v>
      </c>
      <c r="AD924">
        <v>-9372.7019</v>
      </c>
      <c r="AE924">
        <v>-9372.7019</v>
      </c>
    </row>
    <row r="925" spans="2:31" x14ac:dyDescent="0.25">
      <c r="B925">
        <f t="shared" si="39"/>
        <v>53</v>
      </c>
      <c r="C925">
        <v>1</v>
      </c>
      <c r="D925">
        <v>1</v>
      </c>
      <c r="E925">
        <v>1</v>
      </c>
      <c r="F925">
        <v>1</v>
      </c>
      <c r="G925">
        <v>1</v>
      </c>
      <c r="J925">
        <f t="shared" si="40"/>
        <v>53</v>
      </c>
      <c r="K925">
        <v>1</v>
      </c>
      <c r="L925">
        <v>1</v>
      </c>
      <c r="M925">
        <v>1</v>
      </c>
      <c r="N925">
        <v>1</v>
      </c>
      <c r="O925">
        <v>1</v>
      </c>
      <c r="R925">
        <f t="shared" si="41"/>
        <v>53</v>
      </c>
      <c r="S925">
        <v>1</v>
      </c>
      <c r="T925">
        <v>1</v>
      </c>
      <c r="U925">
        <v>1</v>
      </c>
      <c r="V925">
        <v>1</v>
      </c>
      <c r="W925">
        <v>1</v>
      </c>
      <c r="AA925">
        <v>-9236.6705000000002</v>
      </c>
      <c r="AB925">
        <v>-9236.6705000000002</v>
      </c>
      <c r="AC925">
        <v>-9236.6705000000002</v>
      </c>
      <c r="AD925">
        <v>-9236.6705000000002</v>
      </c>
      <c r="AE925">
        <v>-9236.6705000000002</v>
      </c>
    </row>
    <row r="926" spans="2:31" x14ac:dyDescent="0.25">
      <c r="B926">
        <f t="shared" si="39"/>
        <v>54</v>
      </c>
      <c r="C926">
        <v>1</v>
      </c>
      <c r="D926">
        <v>1</v>
      </c>
      <c r="E926">
        <v>1</v>
      </c>
      <c r="F926">
        <v>1</v>
      </c>
      <c r="G926">
        <v>1</v>
      </c>
      <c r="J926">
        <f t="shared" si="40"/>
        <v>54</v>
      </c>
      <c r="K926">
        <v>1</v>
      </c>
      <c r="L926">
        <v>1</v>
      </c>
      <c r="M926">
        <v>1</v>
      </c>
      <c r="N926">
        <v>1</v>
      </c>
      <c r="O926">
        <v>1</v>
      </c>
      <c r="R926">
        <f t="shared" si="41"/>
        <v>54</v>
      </c>
      <c r="S926">
        <v>1</v>
      </c>
      <c r="T926">
        <v>1</v>
      </c>
      <c r="U926">
        <v>1</v>
      </c>
      <c r="V926">
        <v>1</v>
      </c>
      <c r="W926">
        <v>1</v>
      </c>
      <c r="AA926">
        <v>-9098.4312000000009</v>
      </c>
      <c r="AB926">
        <v>-9098.4312000000009</v>
      </c>
      <c r="AC926">
        <v>-9098.4312000000009</v>
      </c>
      <c r="AD926">
        <v>-9098.4312000000009</v>
      </c>
      <c r="AE926">
        <v>-9098.4312000000009</v>
      </c>
    </row>
    <row r="927" spans="2:31" x14ac:dyDescent="0.25">
      <c r="B927">
        <f t="shared" si="39"/>
        <v>55</v>
      </c>
      <c r="C927">
        <v>1</v>
      </c>
      <c r="D927">
        <v>1</v>
      </c>
      <c r="E927">
        <v>1</v>
      </c>
      <c r="F927">
        <v>1</v>
      </c>
      <c r="G927">
        <v>1</v>
      </c>
      <c r="J927">
        <f t="shared" si="40"/>
        <v>55</v>
      </c>
      <c r="K927">
        <v>1</v>
      </c>
      <c r="L927">
        <v>1</v>
      </c>
      <c r="M927">
        <v>1</v>
      </c>
      <c r="N927">
        <v>1</v>
      </c>
      <c r="O927">
        <v>1</v>
      </c>
      <c r="R927">
        <f t="shared" si="41"/>
        <v>55</v>
      </c>
      <c r="S927">
        <v>1</v>
      </c>
      <c r="T927">
        <v>1</v>
      </c>
      <c r="U927">
        <v>1</v>
      </c>
      <c r="V927">
        <v>1</v>
      </c>
      <c r="W927">
        <v>1</v>
      </c>
      <c r="AA927">
        <v>-8958.0210999999999</v>
      </c>
      <c r="AB927">
        <v>-8958.0210999999999</v>
      </c>
      <c r="AC927">
        <v>-8958.0210999999999</v>
      </c>
      <c r="AD927">
        <v>-8958.0210999999999</v>
      </c>
      <c r="AE927">
        <v>-8958.0210999999999</v>
      </c>
    </row>
    <row r="928" spans="2:31" x14ac:dyDescent="0.25">
      <c r="B928">
        <f t="shared" si="39"/>
        <v>56</v>
      </c>
      <c r="C928">
        <v>1</v>
      </c>
      <c r="D928">
        <v>1</v>
      </c>
      <c r="E928">
        <v>1</v>
      </c>
      <c r="F928">
        <v>1</v>
      </c>
      <c r="G928">
        <v>1</v>
      </c>
      <c r="J928">
        <f t="shared" si="40"/>
        <v>56</v>
      </c>
      <c r="K928">
        <v>1</v>
      </c>
      <c r="L928">
        <v>1</v>
      </c>
      <c r="M928">
        <v>1</v>
      </c>
      <c r="N928">
        <v>1</v>
      </c>
      <c r="O928">
        <v>1</v>
      </c>
      <c r="R928">
        <f t="shared" si="41"/>
        <v>56</v>
      </c>
      <c r="S928">
        <v>1</v>
      </c>
      <c r="T928">
        <v>1</v>
      </c>
      <c r="U928">
        <v>1</v>
      </c>
      <c r="V928">
        <v>1</v>
      </c>
      <c r="W928">
        <v>1</v>
      </c>
      <c r="AA928">
        <v>-8815.6316999999999</v>
      </c>
      <c r="AB928">
        <v>-8815.6316999999999</v>
      </c>
      <c r="AC928">
        <v>-8815.6316999999999</v>
      </c>
      <c r="AD928">
        <v>-8815.6316999999999</v>
      </c>
      <c r="AE928">
        <v>-8815.6316999999999</v>
      </c>
    </row>
    <row r="929" spans="2:32" x14ac:dyDescent="0.25">
      <c r="B929">
        <f t="shared" si="39"/>
        <v>57</v>
      </c>
      <c r="C929">
        <v>1</v>
      </c>
      <c r="D929">
        <v>1</v>
      </c>
      <c r="E929">
        <v>1</v>
      </c>
      <c r="F929">
        <v>1</v>
      </c>
      <c r="G929">
        <v>1</v>
      </c>
      <c r="J929">
        <f t="shared" si="40"/>
        <v>57</v>
      </c>
      <c r="K929">
        <v>1</v>
      </c>
      <c r="L929">
        <v>1</v>
      </c>
      <c r="M929">
        <v>1</v>
      </c>
      <c r="N929">
        <v>1</v>
      </c>
      <c r="O929">
        <v>1</v>
      </c>
      <c r="R929">
        <f t="shared" si="41"/>
        <v>57</v>
      </c>
      <c r="S929">
        <v>1</v>
      </c>
      <c r="T929">
        <v>1</v>
      </c>
      <c r="U929">
        <v>1</v>
      </c>
      <c r="V929">
        <v>1</v>
      </c>
      <c r="W929">
        <v>1</v>
      </c>
      <c r="AA929">
        <v>-8671.3991999999998</v>
      </c>
      <c r="AB929">
        <v>-8671.3991999999998</v>
      </c>
      <c r="AC929">
        <v>-8671.3991999999998</v>
      </c>
      <c r="AD929">
        <v>-8671.3991999999998</v>
      </c>
      <c r="AE929">
        <v>-8671.3991999999998</v>
      </c>
    </row>
    <row r="930" spans="2:32" x14ac:dyDescent="0.25">
      <c r="B930">
        <f t="shared" si="39"/>
        <v>58</v>
      </c>
      <c r="C930">
        <v>1</v>
      </c>
      <c r="D930">
        <v>1</v>
      </c>
      <c r="E930">
        <v>1</v>
      </c>
      <c r="F930">
        <v>1</v>
      </c>
      <c r="G930">
        <v>1</v>
      </c>
      <c r="J930">
        <f t="shared" si="40"/>
        <v>58</v>
      </c>
      <c r="K930">
        <v>1</v>
      </c>
      <c r="L930">
        <v>1</v>
      </c>
      <c r="M930">
        <v>1</v>
      </c>
      <c r="N930">
        <v>1</v>
      </c>
      <c r="O930">
        <v>1</v>
      </c>
      <c r="R930">
        <f t="shared" si="41"/>
        <v>58</v>
      </c>
      <c r="S930">
        <v>1</v>
      </c>
      <c r="T930">
        <v>1</v>
      </c>
      <c r="U930">
        <v>1</v>
      </c>
      <c r="V930">
        <v>1</v>
      </c>
      <c r="W930">
        <v>1</v>
      </c>
      <c r="AA930">
        <v>-8525.2759999999998</v>
      </c>
      <c r="AB930">
        <v>-8525.2759999999998</v>
      </c>
      <c r="AC930">
        <v>-8525.2759999999998</v>
      </c>
      <c r="AD930">
        <v>-8525.2759999999998</v>
      </c>
      <c r="AE930">
        <v>-8525.2759999999998</v>
      </c>
    </row>
    <row r="931" spans="2:32" x14ac:dyDescent="0.25">
      <c r="B931">
        <f t="shared" si="39"/>
        <v>59</v>
      </c>
      <c r="C931">
        <v>1</v>
      </c>
      <c r="D931">
        <v>1</v>
      </c>
      <c r="E931">
        <v>1</v>
      </c>
      <c r="F931">
        <v>1</v>
      </c>
      <c r="G931">
        <v>1</v>
      </c>
      <c r="J931">
        <f t="shared" si="40"/>
        <v>59</v>
      </c>
      <c r="K931">
        <v>1</v>
      </c>
      <c r="L931">
        <v>1</v>
      </c>
      <c r="M931">
        <v>1</v>
      </c>
      <c r="N931">
        <v>1</v>
      </c>
      <c r="O931">
        <v>1</v>
      </c>
      <c r="R931">
        <f t="shared" si="41"/>
        <v>59</v>
      </c>
      <c r="S931">
        <v>1</v>
      </c>
      <c r="T931">
        <v>1</v>
      </c>
      <c r="U931">
        <v>1</v>
      </c>
      <c r="V931">
        <v>1</v>
      </c>
      <c r="W931">
        <v>1</v>
      </c>
      <c r="AA931">
        <v>-8377.2351999999992</v>
      </c>
      <c r="AB931">
        <v>-8377.2351999999992</v>
      </c>
      <c r="AC931">
        <v>-8377.2351999999992</v>
      </c>
      <c r="AD931">
        <v>-8377.2351999999992</v>
      </c>
      <c r="AE931">
        <v>-8377.2351999999992</v>
      </c>
    </row>
    <row r="932" spans="2:32" x14ac:dyDescent="0.25">
      <c r="B932">
        <f t="shared" si="39"/>
        <v>60</v>
      </c>
      <c r="C932">
        <v>1</v>
      </c>
      <c r="D932">
        <v>1</v>
      </c>
      <c r="E932">
        <v>1</v>
      </c>
      <c r="F932">
        <v>1</v>
      </c>
      <c r="G932">
        <v>1</v>
      </c>
      <c r="J932">
        <f t="shared" si="40"/>
        <v>60</v>
      </c>
      <c r="K932">
        <v>1</v>
      </c>
      <c r="L932">
        <v>1</v>
      </c>
      <c r="M932">
        <v>1</v>
      </c>
      <c r="N932">
        <v>1</v>
      </c>
      <c r="O932">
        <v>1</v>
      </c>
      <c r="R932">
        <f t="shared" si="41"/>
        <v>60</v>
      </c>
      <c r="S932">
        <v>1</v>
      </c>
      <c r="T932">
        <v>1</v>
      </c>
      <c r="U932">
        <v>1</v>
      </c>
      <c r="V932">
        <v>1</v>
      </c>
      <c r="W932">
        <v>1</v>
      </c>
      <c r="AA932">
        <v>-8227.3953999999994</v>
      </c>
      <c r="AB932">
        <v>-8227.3953999999994</v>
      </c>
      <c r="AC932">
        <v>-8227.3953999999994</v>
      </c>
      <c r="AD932">
        <v>-8227.3953999999994</v>
      </c>
      <c r="AE932">
        <v>-8227.3953999999994</v>
      </c>
    </row>
    <row r="933" spans="2:32" x14ac:dyDescent="0.25">
      <c r="B933">
        <f t="shared" si="39"/>
        <v>61</v>
      </c>
      <c r="C933">
        <v>1</v>
      </c>
      <c r="D933">
        <v>1</v>
      </c>
      <c r="E933">
        <v>1</v>
      </c>
      <c r="F933">
        <v>1</v>
      </c>
      <c r="G933">
        <v>1</v>
      </c>
      <c r="J933">
        <f t="shared" si="40"/>
        <v>61</v>
      </c>
      <c r="K933">
        <v>1</v>
      </c>
      <c r="L933">
        <v>1</v>
      </c>
      <c r="M933">
        <v>1</v>
      </c>
      <c r="N933">
        <v>1</v>
      </c>
      <c r="O933">
        <v>1</v>
      </c>
      <c r="R933">
        <f t="shared" si="41"/>
        <v>61</v>
      </c>
      <c r="S933">
        <v>1</v>
      </c>
      <c r="T933">
        <v>1</v>
      </c>
      <c r="U933">
        <v>1</v>
      </c>
      <c r="V933">
        <v>1</v>
      </c>
      <c r="W933">
        <v>1</v>
      </c>
      <c r="AA933">
        <v>-8076.1778999999997</v>
      </c>
      <c r="AB933">
        <v>-8076.1778999999997</v>
      </c>
      <c r="AC933">
        <v>-8076.1778999999997</v>
      </c>
      <c r="AD933">
        <v>-8076.1778999999997</v>
      </c>
      <c r="AE933">
        <v>-8076.1778999999997</v>
      </c>
    </row>
    <row r="934" spans="2:32" x14ac:dyDescent="0.25">
      <c r="B934">
        <f t="shared" si="39"/>
        <v>62</v>
      </c>
      <c r="C934">
        <v>1</v>
      </c>
      <c r="D934">
        <v>1</v>
      </c>
      <c r="E934">
        <v>1</v>
      </c>
      <c r="F934">
        <v>1</v>
      </c>
      <c r="G934">
        <v>1</v>
      </c>
      <c r="J934">
        <f t="shared" si="40"/>
        <v>62</v>
      </c>
      <c r="K934">
        <v>1</v>
      </c>
      <c r="L934">
        <v>1</v>
      </c>
      <c r="M934">
        <v>1</v>
      </c>
      <c r="N934">
        <v>1</v>
      </c>
      <c r="O934">
        <v>1</v>
      </c>
      <c r="R934">
        <f t="shared" si="41"/>
        <v>62</v>
      </c>
      <c r="S934">
        <v>1</v>
      </c>
      <c r="T934">
        <v>1</v>
      </c>
      <c r="U934">
        <v>1</v>
      </c>
      <c r="V934">
        <v>1</v>
      </c>
      <c r="W934">
        <v>1</v>
      </c>
      <c r="AA934">
        <v>-7923.5816000000004</v>
      </c>
      <c r="AB934">
        <v>-7923.5816000000004</v>
      </c>
      <c r="AC934">
        <v>-7923.5816000000004</v>
      </c>
      <c r="AD934">
        <v>-7923.5816000000004</v>
      </c>
      <c r="AE934">
        <v>-7923.5816000000004</v>
      </c>
    </row>
    <row r="935" spans="2:32" x14ac:dyDescent="0.25">
      <c r="B935">
        <f t="shared" si="39"/>
        <v>63</v>
      </c>
      <c r="C935">
        <v>1</v>
      </c>
      <c r="D935">
        <v>1</v>
      </c>
      <c r="E935">
        <v>1</v>
      </c>
      <c r="F935">
        <v>1</v>
      </c>
      <c r="G935">
        <v>1</v>
      </c>
      <c r="J935">
        <f t="shared" si="40"/>
        <v>63</v>
      </c>
      <c r="K935">
        <v>1</v>
      </c>
      <c r="L935">
        <v>1</v>
      </c>
      <c r="M935">
        <v>1</v>
      </c>
      <c r="N935">
        <v>1</v>
      </c>
      <c r="O935">
        <v>1</v>
      </c>
      <c r="R935">
        <f t="shared" si="41"/>
        <v>63</v>
      </c>
      <c r="S935">
        <v>1</v>
      </c>
      <c r="T935">
        <v>1</v>
      </c>
      <c r="U935">
        <v>1</v>
      </c>
      <c r="V935">
        <v>1</v>
      </c>
      <c r="W935">
        <v>1</v>
      </c>
      <c r="AA935">
        <v>-7769.2775000000001</v>
      </c>
      <c r="AB935">
        <v>-7769.2775000000001</v>
      </c>
      <c r="AC935">
        <v>-7769.2775000000001</v>
      </c>
      <c r="AD935">
        <v>-7769.2775000000001</v>
      </c>
      <c r="AE935">
        <v>-7769.2775000000001</v>
      </c>
    </row>
    <row r="936" spans="2:32" x14ac:dyDescent="0.25">
      <c r="B936">
        <f t="shared" si="39"/>
        <v>64</v>
      </c>
      <c r="C936">
        <v>1</v>
      </c>
      <c r="D936">
        <v>1</v>
      </c>
      <c r="E936">
        <v>1</v>
      </c>
      <c r="F936">
        <v>1</v>
      </c>
      <c r="G936">
        <v>1</v>
      </c>
      <c r="J936">
        <f t="shared" si="40"/>
        <v>64</v>
      </c>
      <c r="K936">
        <v>1</v>
      </c>
      <c r="L936">
        <v>1</v>
      </c>
      <c r="M936">
        <v>1</v>
      </c>
      <c r="N936">
        <v>1</v>
      </c>
      <c r="O936">
        <v>1</v>
      </c>
      <c r="R936">
        <f t="shared" si="41"/>
        <v>64</v>
      </c>
      <c r="S936">
        <v>1</v>
      </c>
      <c r="T936">
        <v>1</v>
      </c>
      <c r="U936">
        <v>1</v>
      </c>
      <c r="V936">
        <v>1</v>
      </c>
      <c r="W936">
        <v>1</v>
      </c>
      <c r="AA936">
        <v>-7613.3999000000003</v>
      </c>
      <c r="AB936">
        <v>-7613.3999000000003</v>
      </c>
      <c r="AC936">
        <v>-7613.3999000000003</v>
      </c>
      <c r="AD936">
        <v>-7613.3999000000003</v>
      </c>
      <c r="AE936">
        <v>-7613.3999000000003</v>
      </c>
    </row>
    <row r="937" spans="2:32" x14ac:dyDescent="0.25">
      <c r="B937">
        <f t="shared" si="39"/>
        <v>65</v>
      </c>
      <c r="C937">
        <v>1</v>
      </c>
      <c r="D937">
        <v>1</v>
      </c>
      <c r="E937">
        <v>1</v>
      </c>
      <c r="F937">
        <v>1</v>
      </c>
      <c r="G937">
        <v>1</v>
      </c>
      <c r="J937">
        <f t="shared" si="40"/>
        <v>65</v>
      </c>
      <c r="K937">
        <v>1</v>
      </c>
      <c r="L937">
        <v>1</v>
      </c>
      <c r="M937">
        <v>1</v>
      </c>
      <c r="N937">
        <v>1</v>
      </c>
      <c r="O937">
        <v>1</v>
      </c>
      <c r="R937">
        <f t="shared" si="41"/>
        <v>65</v>
      </c>
      <c r="S937">
        <v>1</v>
      </c>
      <c r="T937">
        <v>1</v>
      </c>
      <c r="U937">
        <v>1</v>
      </c>
      <c r="V937">
        <v>1</v>
      </c>
      <c r="W937">
        <v>1</v>
      </c>
      <c r="AA937">
        <v>-7455.8590000000004</v>
      </c>
      <c r="AB937">
        <v>-7455.8590000000004</v>
      </c>
      <c r="AC937">
        <v>-7455.8590000000004</v>
      </c>
      <c r="AD937">
        <v>-7455.8590000000004</v>
      </c>
      <c r="AE937">
        <v>-7455.8590000000004</v>
      </c>
    </row>
    <row r="940" spans="2:32" x14ac:dyDescent="0.25">
      <c r="B940" t="s">
        <v>46</v>
      </c>
      <c r="C940">
        <v>50000</v>
      </c>
      <c r="D940">
        <v>100000</v>
      </c>
      <c r="E940">
        <v>250000</v>
      </c>
      <c r="F940">
        <v>500000</v>
      </c>
      <c r="G940">
        <v>1000000</v>
      </c>
      <c r="H940">
        <v>2000000</v>
      </c>
      <c r="J940" t="s">
        <v>47</v>
      </c>
      <c r="K940">
        <v>50000</v>
      </c>
      <c r="L940">
        <v>100000</v>
      </c>
      <c r="M940">
        <v>250000</v>
      </c>
      <c r="N940">
        <v>500000</v>
      </c>
      <c r="O940">
        <v>1000000</v>
      </c>
      <c r="P940">
        <v>2000000</v>
      </c>
      <c r="R940" t="s">
        <v>48</v>
      </c>
      <c r="S940">
        <v>50000</v>
      </c>
      <c r="T940">
        <v>100000</v>
      </c>
      <c r="U940">
        <v>250000</v>
      </c>
      <c r="V940">
        <v>500000</v>
      </c>
      <c r="W940">
        <v>1000000</v>
      </c>
      <c r="X940">
        <v>2000000</v>
      </c>
    </row>
    <row r="941" spans="2:32" x14ac:dyDescent="0.25">
      <c r="B941">
        <v>26</v>
      </c>
      <c r="C941">
        <v>1</v>
      </c>
      <c r="D941">
        <v>1</v>
      </c>
      <c r="E941">
        <v>1</v>
      </c>
      <c r="F941">
        <v>1</v>
      </c>
      <c r="G941">
        <v>1</v>
      </c>
      <c r="H941">
        <v>1</v>
      </c>
      <c r="J941">
        <v>26</v>
      </c>
      <c r="K941">
        <v>1</v>
      </c>
      <c r="L941">
        <v>1</v>
      </c>
      <c r="M941">
        <v>1</v>
      </c>
      <c r="N941">
        <v>1</v>
      </c>
      <c r="O941">
        <v>1</v>
      </c>
      <c r="P941">
        <v>1</v>
      </c>
      <c r="R941">
        <v>26</v>
      </c>
      <c r="S941">
        <v>1</v>
      </c>
      <c r="T941">
        <v>1</v>
      </c>
      <c r="U941">
        <v>1</v>
      </c>
      <c r="V941">
        <v>1</v>
      </c>
      <c r="W941">
        <v>1</v>
      </c>
      <c r="X941">
        <v>1</v>
      </c>
      <c r="AA941">
        <v>-7435.5060999999996</v>
      </c>
      <c r="AB941">
        <v>-7435.5060999999996</v>
      </c>
      <c r="AC941">
        <v>-7435.5060999999996</v>
      </c>
      <c r="AD941">
        <v>-7435.5060999999996</v>
      </c>
      <c r="AE941">
        <v>-7435.5060999999996</v>
      </c>
      <c r="AF941">
        <v>-7435.5060999999996</v>
      </c>
    </row>
    <row r="942" spans="2:32" x14ac:dyDescent="0.25">
      <c r="B942">
        <v>27</v>
      </c>
      <c r="C942">
        <v>1</v>
      </c>
      <c r="D942">
        <v>1</v>
      </c>
      <c r="E942">
        <v>1</v>
      </c>
      <c r="F942">
        <v>1</v>
      </c>
      <c r="G942">
        <v>1</v>
      </c>
      <c r="H942">
        <v>1</v>
      </c>
      <c r="J942">
        <v>27</v>
      </c>
      <c r="K942">
        <v>1</v>
      </c>
      <c r="L942">
        <v>1</v>
      </c>
      <c r="M942">
        <v>1</v>
      </c>
      <c r="N942">
        <v>1</v>
      </c>
      <c r="O942">
        <v>1</v>
      </c>
      <c r="P942">
        <v>1</v>
      </c>
      <c r="R942">
        <v>27</v>
      </c>
      <c r="S942">
        <v>1</v>
      </c>
      <c r="T942">
        <v>1</v>
      </c>
      <c r="U942">
        <v>1</v>
      </c>
      <c r="V942">
        <v>1</v>
      </c>
      <c r="W942">
        <v>1</v>
      </c>
      <c r="X942">
        <v>1</v>
      </c>
      <c r="AA942">
        <v>-7434.2619000000004</v>
      </c>
      <c r="AB942">
        <v>-7434.2619000000004</v>
      </c>
      <c r="AC942">
        <v>-7434.2619000000004</v>
      </c>
      <c r="AD942">
        <v>-7434.2619000000004</v>
      </c>
      <c r="AE942">
        <v>-7434.2619000000004</v>
      </c>
      <c r="AF942">
        <v>-7434.2619000000004</v>
      </c>
    </row>
    <row r="943" spans="2:32" x14ac:dyDescent="0.25">
      <c r="B943">
        <v>28</v>
      </c>
      <c r="C943">
        <v>1</v>
      </c>
      <c r="D943">
        <v>1</v>
      </c>
      <c r="E943">
        <v>1</v>
      </c>
      <c r="F943">
        <v>1</v>
      </c>
      <c r="G943">
        <v>1</v>
      </c>
      <c r="H943">
        <v>1</v>
      </c>
      <c r="J943">
        <v>28</v>
      </c>
      <c r="K943">
        <v>1</v>
      </c>
      <c r="L943">
        <v>1</v>
      </c>
      <c r="M943">
        <v>1</v>
      </c>
      <c r="N943">
        <v>1</v>
      </c>
      <c r="O943">
        <v>1</v>
      </c>
      <c r="P943">
        <v>1</v>
      </c>
      <c r="R943">
        <v>28</v>
      </c>
      <c r="S943">
        <v>1</v>
      </c>
      <c r="T943">
        <v>1</v>
      </c>
      <c r="U943">
        <v>1</v>
      </c>
      <c r="V943">
        <v>1</v>
      </c>
      <c r="W943">
        <v>1</v>
      </c>
      <c r="X943">
        <v>1</v>
      </c>
      <c r="AA943">
        <v>-7432.8334999999997</v>
      </c>
      <c r="AB943">
        <v>-7432.8334999999997</v>
      </c>
      <c r="AC943">
        <v>-7432.8334999999997</v>
      </c>
      <c r="AD943">
        <v>-7432.8334999999997</v>
      </c>
      <c r="AE943">
        <v>-7432.8334999999997</v>
      </c>
      <c r="AF943">
        <v>-7432.8334999999997</v>
      </c>
    </row>
    <row r="944" spans="2:32" x14ac:dyDescent="0.25">
      <c r="B944">
        <v>29</v>
      </c>
      <c r="C944">
        <v>1</v>
      </c>
      <c r="D944">
        <v>1</v>
      </c>
      <c r="E944">
        <v>1</v>
      </c>
      <c r="F944">
        <v>1</v>
      </c>
      <c r="G944">
        <v>1</v>
      </c>
      <c r="H944">
        <v>1</v>
      </c>
      <c r="J944">
        <v>29</v>
      </c>
      <c r="K944">
        <v>1</v>
      </c>
      <c r="L944">
        <v>1</v>
      </c>
      <c r="M944">
        <v>1</v>
      </c>
      <c r="N944">
        <v>1</v>
      </c>
      <c r="O944">
        <v>1</v>
      </c>
      <c r="P944">
        <v>1</v>
      </c>
      <c r="R944">
        <v>29</v>
      </c>
      <c r="S944">
        <v>1</v>
      </c>
      <c r="T944">
        <v>1</v>
      </c>
      <c r="U944">
        <v>1</v>
      </c>
      <c r="V944">
        <v>1</v>
      </c>
      <c r="W944">
        <v>1</v>
      </c>
      <c r="X944">
        <v>1</v>
      </c>
      <c r="AA944">
        <v>-7431.2058999999999</v>
      </c>
      <c r="AB944">
        <v>-7431.2058999999999</v>
      </c>
      <c r="AC944">
        <v>-7431.2058999999999</v>
      </c>
      <c r="AD944">
        <v>-7431.2058999999999</v>
      </c>
      <c r="AE944">
        <v>-7431.2058999999999</v>
      </c>
      <c r="AF944">
        <v>-7431.2058999999999</v>
      </c>
    </row>
    <row r="945" spans="2:32" x14ac:dyDescent="0.25">
      <c r="B945">
        <v>30</v>
      </c>
      <c r="C945">
        <v>1</v>
      </c>
      <c r="D945">
        <v>1</v>
      </c>
      <c r="E945">
        <v>1</v>
      </c>
      <c r="F945">
        <v>1</v>
      </c>
      <c r="G945">
        <v>1</v>
      </c>
      <c r="H945">
        <v>1</v>
      </c>
      <c r="J945">
        <v>30</v>
      </c>
      <c r="K945">
        <v>1</v>
      </c>
      <c r="L945">
        <v>1</v>
      </c>
      <c r="M945">
        <v>1</v>
      </c>
      <c r="N945">
        <v>1</v>
      </c>
      <c r="O945">
        <v>1</v>
      </c>
      <c r="P945">
        <v>1</v>
      </c>
      <c r="R945">
        <v>30</v>
      </c>
      <c r="S945">
        <v>1</v>
      </c>
      <c r="T945">
        <v>1</v>
      </c>
      <c r="U945">
        <v>1</v>
      </c>
      <c r="V945">
        <v>1</v>
      </c>
      <c r="W945">
        <v>1</v>
      </c>
      <c r="X945">
        <v>1</v>
      </c>
      <c r="AA945">
        <v>-7429.3476000000001</v>
      </c>
      <c r="AB945">
        <v>-7429.3476000000001</v>
      </c>
      <c r="AC945">
        <v>-7429.3476000000001</v>
      </c>
      <c r="AD945">
        <v>-7429.3476000000001</v>
      </c>
      <c r="AE945">
        <v>-7429.3476000000001</v>
      </c>
      <c r="AF945">
        <v>-7429.3476000000001</v>
      </c>
    </row>
    <row r="946" spans="2:32" x14ac:dyDescent="0.25">
      <c r="B946">
        <v>31</v>
      </c>
      <c r="C946">
        <v>1</v>
      </c>
      <c r="D946">
        <v>1</v>
      </c>
      <c r="E946">
        <v>1</v>
      </c>
      <c r="F946">
        <v>1</v>
      </c>
      <c r="G946">
        <v>1</v>
      </c>
      <c r="H946">
        <v>1</v>
      </c>
      <c r="J946">
        <v>31</v>
      </c>
      <c r="K946">
        <v>1</v>
      </c>
      <c r="L946">
        <v>1</v>
      </c>
      <c r="M946">
        <v>1</v>
      </c>
      <c r="N946">
        <v>1</v>
      </c>
      <c r="O946">
        <v>1</v>
      </c>
      <c r="P946">
        <v>1</v>
      </c>
      <c r="R946">
        <v>31</v>
      </c>
      <c r="S946">
        <v>1</v>
      </c>
      <c r="T946">
        <v>1</v>
      </c>
      <c r="U946">
        <v>1</v>
      </c>
      <c r="V946">
        <v>1</v>
      </c>
      <c r="W946">
        <v>1</v>
      </c>
      <c r="X946">
        <v>1</v>
      </c>
      <c r="AA946">
        <v>-7427.2446</v>
      </c>
      <c r="AB946">
        <v>-7427.2446</v>
      </c>
      <c r="AC946">
        <v>-7427.2446</v>
      </c>
      <c r="AD946">
        <v>-7427.2446</v>
      </c>
      <c r="AE946">
        <v>-7427.2446</v>
      </c>
      <c r="AF946">
        <v>-7427.2446</v>
      </c>
    </row>
    <row r="947" spans="2:32" x14ac:dyDescent="0.25">
      <c r="B947">
        <v>32</v>
      </c>
      <c r="C947">
        <v>1</v>
      </c>
      <c r="D947">
        <v>1</v>
      </c>
      <c r="E947">
        <v>1</v>
      </c>
      <c r="F947">
        <v>1</v>
      </c>
      <c r="G947">
        <v>1</v>
      </c>
      <c r="H947">
        <v>1</v>
      </c>
      <c r="J947">
        <v>32</v>
      </c>
      <c r="K947">
        <v>1</v>
      </c>
      <c r="L947">
        <v>1</v>
      </c>
      <c r="M947">
        <v>1</v>
      </c>
      <c r="N947">
        <v>1</v>
      </c>
      <c r="O947">
        <v>1</v>
      </c>
      <c r="P947">
        <v>1</v>
      </c>
      <c r="R947">
        <v>32</v>
      </c>
      <c r="S947">
        <v>1</v>
      </c>
      <c r="T947">
        <v>1</v>
      </c>
      <c r="U947">
        <v>1</v>
      </c>
      <c r="V947">
        <v>1</v>
      </c>
      <c r="W947">
        <v>1</v>
      </c>
      <c r="X947">
        <v>1</v>
      </c>
      <c r="AA947">
        <v>-7424.8944000000001</v>
      </c>
      <c r="AB947">
        <v>-7424.8944000000001</v>
      </c>
      <c r="AC947">
        <v>-7424.8944000000001</v>
      </c>
      <c r="AD947">
        <v>-7424.8944000000001</v>
      </c>
      <c r="AE947">
        <v>-7424.8944000000001</v>
      </c>
      <c r="AF947">
        <v>-7424.8944000000001</v>
      </c>
    </row>
    <row r="948" spans="2:32" x14ac:dyDescent="0.25">
      <c r="B948">
        <v>33</v>
      </c>
      <c r="C948">
        <v>1</v>
      </c>
      <c r="D948">
        <v>1</v>
      </c>
      <c r="E948">
        <v>1</v>
      </c>
      <c r="F948">
        <v>1</v>
      </c>
      <c r="G948">
        <v>1</v>
      </c>
      <c r="H948">
        <v>1</v>
      </c>
      <c r="J948">
        <v>33</v>
      </c>
      <c r="K948">
        <v>1</v>
      </c>
      <c r="L948">
        <v>1</v>
      </c>
      <c r="M948">
        <v>1</v>
      </c>
      <c r="N948">
        <v>1</v>
      </c>
      <c r="O948">
        <v>1</v>
      </c>
      <c r="P948">
        <v>1</v>
      </c>
      <c r="R948">
        <v>33</v>
      </c>
      <c r="S948">
        <v>1</v>
      </c>
      <c r="T948">
        <v>1</v>
      </c>
      <c r="U948">
        <v>1</v>
      </c>
      <c r="V948">
        <v>1</v>
      </c>
      <c r="W948">
        <v>1</v>
      </c>
      <c r="X948">
        <v>1</v>
      </c>
      <c r="AA948">
        <v>-7422.2834000000003</v>
      </c>
      <c r="AB948">
        <v>-7422.2834000000003</v>
      </c>
      <c r="AC948">
        <v>-7422.2834000000003</v>
      </c>
      <c r="AD948">
        <v>-7422.2834000000003</v>
      </c>
      <c r="AE948">
        <v>-7422.2834000000003</v>
      </c>
      <c r="AF948">
        <v>-7422.2834000000003</v>
      </c>
    </row>
    <row r="949" spans="2:32" x14ac:dyDescent="0.25">
      <c r="B949">
        <v>34</v>
      </c>
      <c r="C949">
        <v>1</v>
      </c>
      <c r="D949">
        <v>1</v>
      </c>
      <c r="E949">
        <v>1</v>
      </c>
      <c r="F949">
        <v>1</v>
      </c>
      <c r="G949">
        <v>1</v>
      </c>
      <c r="H949">
        <v>1</v>
      </c>
      <c r="J949">
        <v>34</v>
      </c>
      <c r="K949">
        <v>1</v>
      </c>
      <c r="L949">
        <v>1</v>
      </c>
      <c r="M949">
        <v>1</v>
      </c>
      <c r="N949">
        <v>1</v>
      </c>
      <c r="O949">
        <v>1</v>
      </c>
      <c r="P949">
        <v>1</v>
      </c>
      <c r="R949">
        <v>34</v>
      </c>
      <c r="S949">
        <v>1</v>
      </c>
      <c r="T949">
        <v>1</v>
      </c>
      <c r="U949">
        <v>1</v>
      </c>
      <c r="V949">
        <v>1</v>
      </c>
      <c r="W949">
        <v>1</v>
      </c>
      <c r="X949">
        <v>1</v>
      </c>
      <c r="AA949">
        <v>-7419.3683000000001</v>
      </c>
      <c r="AB949">
        <v>-7419.3683000000001</v>
      </c>
      <c r="AC949">
        <v>-7419.3683000000001</v>
      </c>
      <c r="AD949">
        <v>-7419.3683000000001</v>
      </c>
      <c r="AE949">
        <v>-7419.3683000000001</v>
      </c>
      <c r="AF949">
        <v>-7419.3683000000001</v>
      </c>
    </row>
    <row r="950" spans="2:32" x14ac:dyDescent="0.25">
      <c r="B950">
        <v>35</v>
      </c>
      <c r="C950">
        <v>1</v>
      </c>
      <c r="D950">
        <v>1</v>
      </c>
      <c r="E950">
        <v>1</v>
      </c>
      <c r="F950">
        <v>1</v>
      </c>
      <c r="G950">
        <v>1</v>
      </c>
      <c r="H950">
        <v>1</v>
      </c>
      <c r="J950">
        <v>35</v>
      </c>
      <c r="K950">
        <v>1</v>
      </c>
      <c r="L950">
        <v>1</v>
      </c>
      <c r="M950">
        <v>1</v>
      </c>
      <c r="N950">
        <v>1</v>
      </c>
      <c r="O950">
        <v>1</v>
      </c>
      <c r="P950">
        <v>1</v>
      </c>
      <c r="R950">
        <v>35</v>
      </c>
      <c r="S950">
        <v>1</v>
      </c>
      <c r="T950">
        <v>1</v>
      </c>
      <c r="U950">
        <v>1</v>
      </c>
      <c r="V950">
        <v>1</v>
      </c>
      <c r="W950">
        <v>1</v>
      </c>
      <c r="X950">
        <v>1</v>
      </c>
      <c r="AA950">
        <v>-7416.1363000000001</v>
      </c>
      <c r="AB950">
        <v>-7416.1363000000001</v>
      </c>
      <c r="AC950">
        <v>-7416.1363000000001</v>
      </c>
      <c r="AD950">
        <v>-7416.1363000000001</v>
      </c>
      <c r="AE950">
        <v>-7416.1363000000001</v>
      </c>
      <c r="AF950">
        <v>-7416.1363000000001</v>
      </c>
    </row>
    <row r="951" spans="2:32" x14ac:dyDescent="0.25">
      <c r="B951">
        <v>36</v>
      </c>
      <c r="C951">
        <v>1</v>
      </c>
      <c r="D951">
        <v>1</v>
      </c>
      <c r="E951">
        <v>1</v>
      </c>
      <c r="F951">
        <v>1</v>
      </c>
      <c r="G951">
        <v>1</v>
      </c>
      <c r="H951">
        <v>1</v>
      </c>
      <c r="J951">
        <v>36</v>
      </c>
      <c r="K951">
        <v>1</v>
      </c>
      <c r="L951">
        <v>1</v>
      </c>
      <c r="M951">
        <v>1</v>
      </c>
      <c r="N951">
        <v>1</v>
      </c>
      <c r="O951">
        <v>1</v>
      </c>
      <c r="P951">
        <v>1</v>
      </c>
      <c r="R951">
        <v>36</v>
      </c>
      <c r="S951">
        <v>1</v>
      </c>
      <c r="T951">
        <v>1</v>
      </c>
      <c r="U951">
        <v>1</v>
      </c>
      <c r="V951">
        <v>1</v>
      </c>
      <c r="W951">
        <v>1</v>
      </c>
      <c r="X951">
        <v>1</v>
      </c>
      <c r="AA951">
        <v>-7412.5378000000001</v>
      </c>
      <c r="AB951">
        <v>-7412.5378000000001</v>
      </c>
      <c r="AC951">
        <v>-7412.5378000000001</v>
      </c>
      <c r="AD951">
        <v>-7412.5378000000001</v>
      </c>
      <c r="AE951">
        <v>-7412.5378000000001</v>
      </c>
      <c r="AF951">
        <v>-7412.5378000000001</v>
      </c>
    </row>
    <row r="952" spans="2:32" x14ac:dyDescent="0.25">
      <c r="B952">
        <v>37</v>
      </c>
      <c r="C952">
        <v>1</v>
      </c>
      <c r="D952">
        <v>1</v>
      </c>
      <c r="E952">
        <v>1</v>
      </c>
      <c r="F952">
        <v>1</v>
      </c>
      <c r="G952">
        <v>1</v>
      </c>
      <c r="H952">
        <v>1</v>
      </c>
      <c r="J952">
        <v>37</v>
      </c>
      <c r="K952">
        <v>1</v>
      </c>
      <c r="L952">
        <v>1</v>
      </c>
      <c r="M952">
        <v>1</v>
      </c>
      <c r="N952">
        <v>1</v>
      </c>
      <c r="O952">
        <v>1</v>
      </c>
      <c r="P952">
        <v>1</v>
      </c>
      <c r="R952">
        <v>37</v>
      </c>
      <c r="S952">
        <v>1</v>
      </c>
      <c r="T952">
        <v>1</v>
      </c>
      <c r="U952">
        <v>1</v>
      </c>
      <c r="V952">
        <v>1</v>
      </c>
      <c r="W952">
        <v>1</v>
      </c>
      <c r="X952">
        <v>1</v>
      </c>
      <c r="AA952">
        <v>-7408.55</v>
      </c>
      <c r="AB952">
        <v>-7408.55</v>
      </c>
      <c r="AC952">
        <v>-7408.55</v>
      </c>
      <c r="AD952">
        <v>-7408.55</v>
      </c>
      <c r="AE952">
        <v>-7408.55</v>
      </c>
      <c r="AF952">
        <v>-7408.55</v>
      </c>
    </row>
    <row r="953" spans="2:32" x14ac:dyDescent="0.25">
      <c r="B953">
        <v>38</v>
      </c>
      <c r="C953">
        <v>1</v>
      </c>
      <c r="D953">
        <v>1</v>
      </c>
      <c r="E953">
        <v>1</v>
      </c>
      <c r="F953">
        <v>1</v>
      </c>
      <c r="G953">
        <v>1</v>
      </c>
      <c r="H953">
        <v>1</v>
      </c>
      <c r="J953">
        <v>38</v>
      </c>
      <c r="K953">
        <v>1</v>
      </c>
      <c r="L953">
        <v>1</v>
      </c>
      <c r="M953">
        <v>1</v>
      </c>
      <c r="N953">
        <v>1</v>
      </c>
      <c r="O953">
        <v>1</v>
      </c>
      <c r="P953">
        <v>1</v>
      </c>
      <c r="R953">
        <v>38</v>
      </c>
      <c r="S953">
        <v>1</v>
      </c>
      <c r="T953">
        <v>1</v>
      </c>
      <c r="U953">
        <v>1</v>
      </c>
      <c r="V953">
        <v>1</v>
      </c>
      <c r="W953">
        <v>1</v>
      </c>
      <c r="X953">
        <v>1</v>
      </c>
      <c r="AA953">
        <v>-7404.1752999999999</v>
      </c>
      <c r="AB953">
        <v>-7404.1752999999999</v>
      </c>
      <c r="AC953">
        <v>-7404.1752999999999</v>
      </c>
      <c r="AD953">
        <v>-7404.1752999999999</v>
      </c>
      <c r="AE953">
        <v>-7404.1752999999999</v>
      </c>
      <c r="AF953">
        <v>-7404.1752999999999</v>
      </c>
    </row>
    <row r="954" spans="2:32" x14ac:dyDescent="0.25">
      <c r="B954">
        <v>39</v>
      </c>
      <c r="C954">
        <v>1</v>
      </c>
      <c r="D954">
        <v>1</v>
      </c>
      <c r="E954">
        <v>1</v>
      </c>
      <c r="F954">
        <v>1</v>
      </c>
      <c r="G954">
        <v>1</v>
      </c>
      <c r="H954">
        <v>1</v>
      </c>
      <c r="J954">
        <v>39</v>
      </c>
      <c r="K954">
        <v>1</v>
      </c>
      <c r="L954">
        <v>1</v>
      </c>
      <c r="M954">
        <v>1</v>
      </c>
      <c r="N954">
        <v>1</v>
      </c>
      <c r="O954">
        <v>1</v>
      </c>
      <c r="P954">
        <v>1</v>
      </c>
      <c r="R954">
        <v>39</v>
      </c>
      <c r="S954">
        <v>1</v>
      </c>
      <c r="T954">
        <v>1</v>
      </c>
      <c r="U954">
        <v>1</v>
      </c>
      <c r="V954">
        <v>1</v>
      </c>
      <c r="W954">
        <v>1</v>
      </c>
      <c r="X954">
        <v>1</v>
      </c>
      <c r="AA954">
        <v>-7399.3923999999997</v>
      </c>
      <c r="AB954">
        <v>-7399.3923999999997</v>
      </c>
      <c r="AC954">
        <v>-7399.3923999999997</v>
      </c>
      <c r="AD954">
        <v>-7399.3923999999997</v>
      </c>
      <c r="AE954">
        <v>-7399.3923999999997</v>
      </c>
      <c r="AF954">
        <v>-7399.3923999999997</v>
      </c>
    </row>
    <row r="955" spans="2:32" x14ac:dyDescent="0.25">
      <c r="B955">
        <v>40</v>
      </c>
      <c r="C955">
        <v>1</v>
      </c>
      <c r="D955">
        <v>1</v>
      </c>
      <c r="E955">
        <v>1</v>
      </c>
      <c r="F955">
        <v>1</v>
      </c>
      <c r="G955">
        <v>1</v>
      </c>
      <c r="H955">
        <v>1</v>
      </c>
      <c r="J955">
        <v>40</v>
      </c>
      <c r="K955">
        <v>1</v>
      </c>
      <c r="L955">
        <v>1</v>
      </c>
      <c r="M955">
        <v>1</v>
      </c>
      <c r="N955">
        <v>1</v>
      </c>
      <c r="O955">
        <v>1</v>
      </c>
      <c r="P955">
        <v>1</v>
      </c>
      <c r="R955">
        <v>40</v>
      </c>
      <c r="S955">
        <v>1</v>
      </c>
      <c r="T955">
        <v>1</v>
      </c>
      <c r="U955">
        <v>1</v>
      </c>
      <c r="V955">
        <v>1</v>
      </c>
      <c r="W955">
        <v>1</v>
      </c>
      <c r="X955">
        <v>1</v>
      </c>
      <c r="AA955">
        <v>-7394.1365999999998</v>
      </c>
      <c r="AB955">
        <v>-7394.1365999999998</v>
      </c>
      <c r="AC955">
        <v>-7394.1365999999998</v>
      </c>
      <c r="AD955">
        <v>-7394.1365999999998</v>
      </c>
      <c r="AE955">
        <v>-7394.1365999999998</v>
      </c>
      <c r="AF955">
        <v>-7394.1365999999998</v>
      </c>
    </row>
    <row r="956" spans="2:32" x14ac:dyDescent="0.25">
      <c r="B956">
        <v>41</v>
      </c>
      <c r="C956">
        <v>1</v>
      </c>
      <c r="D956">
        <v>1</v>
      </c>
      <c r="E956">
        <v>1</v>
      </c>
      <c r="F956">
        <v>1</v>
      </c>
      <c r="G956">
        <v>1</v>
      </c>
      <c r="H956">
        <v>1</v>
      </c>
      <c r="J956">
        <v>41</v>
      </c>
      <c r="K956">
        <v>1</v>
      </c>
      <c r="L956">
        <v>1</v>
      </c>
      <c r="M956">
        <v>1</v>
      </c>
      <c r="N956">
        <v>1</v>
      </c>
      <c r="O956">
        <v>1</v>
      </c>
      <c r="P956">
        <v>1</v>
      </c>
      <c r="R956">
        <v>41</v>
      </c>
      <c r="S956">
        <v>1</v>
      </c>
      <c r="T956">
        <v>1</v>
      </c>
      <c r="U956">
        <v>1</v>
      </c>
      <c r="V956">
        <v>1</v>
      </c>
      <c r="W956">
        <v>1</v>
      </c>
      <c r="X956">
        <v>1</v>
      </c>
      <c r="AA956">
        <v>-7388.3469999999998</v>
      </c>
      <c r="AB956">
        <v>-7388.3469999999998</v>
      </c>
      <c r="AC956">
        <v>-7388.3469999999998</v>
      </c>
      <c r="AD956">
        <v>-7388.3469999999998</v>
      </c>
      <c r="AE956">
        <v>-7388.3469999999998</v>
      </c>
      <c r="AF956">
        <v>-7388.3469999999998</v>
      </c>
    </row>
    <row r="957" spans="2:32" x14ac:dyDescent="0.25">
      <c r="B957">
        <v>42</v>
      </c>
      <c r="C957">
        <v>1</v>
      </c>
      <c r="D957">
        <v>1</v>
      </c>
      <c r="E957">
        <v>1</v>
      </c>
      <c r="F957">
        <v>1</v>
      </c>
      <c r="G957">
        <v>1</v>
      </c>
      <c r="H957">
        <v>1</v>
      </c>
      <c r="J957">
        <v>42</v>
      </c>
      <c r="K957">
        <v>1</v>
      </c>
      <c r="L957">
        <v>1</v>
      </c>
      <c r="M957">
        <v>1</v>
      </c>
      <c r="N957">
        <v>1</v>
      </c>
      <c r="O957">
        <v>1</v>
      </c>
      <c r="P957">
        <v>1</v>
      </c>
      <c r="R957">
        <v>42</v>
      </c>
      <c r="S957">
        <v>1</v>
      </c>
      <c r="T957">
        <v>1</v>
      </c>
      <c r="U957">
        <v>1</v>
      </c>
      <c r="V957">
        <v>1</v>
      </c>
      <c r="W957">
        <v>1</v>
      </c>
      <c r="X957">
        <v>1</v>
      </c>
      <c r="AA957">
        <v>-7381.9919</v>
      </c>
      <c r="AB957">
        <v>-7381.9919</v>
      </c>
      <c r="AC957">
        <v>-7381.9919</v>
      </c>
      <c r="AD957">
        <v>-7381.9919</v>
      </c>
      <c r="AE957">
        <v>-7381.9919</v>
      </c>
      <c r="AF957">
        <v>-7381.9919</v>
      </c>
    </row>
    <row r="958" spans="2:32" x14ac:dyDescent="0.25">
      <c r="B958">
        <v>43</v>
      </c>
      <c r="C958">
        <v>1</v>
      </c>
      <c r="D958">
        <v>1</v>
      </c>
      <c r="E958">
        <v>1</v>
      </c>
      <c r="F958">
        <v>1</v>
      </c>
      <c r="G958">
        <v>1</v>
      </c>
      <c r="H958">
        <v>1</v>
      </c>
      <c r="J958">
        <v>43</v>
      </c>
      <c r="K958">
        <v>1</v>
      </c>
      <c r="L958">
        <v>1</v>
      </c>
      <c r="M958">
        <v>1</v>
      </c>
      <c r="N958">
        <v>1</v>
      </c>
      <c r="O958">
        <v>1</v>
      </c>
      <c r="P958">
        <v>1</v>
      </c>
      <c r="R958">
        <v>43</v>
      </c>
      <c r="S958">
        <v>1</v>
      </c>
      <c r="T958">
        <v>1</v>
      </c>
      <c r="U958">
        <v>1</v>
      </c>
      <c r="V958">
        <v>1</v>
      </c>
      <c r="W958">
        <v>1</v>
      </c>
      <c r="X958">
        <v>1</v>
      </c>
      <c r="AA958">
        <v>-7374.9579999999996</v>
      </c>
      <c r="AB958">
        <v>-7374.9579999999996</v>
      </c>
      <c r="AC958">
        <v>-7374.9579999999996</v>
      </c>
      <c r="AD958">
        <v>-7374.9579999999996</v>
      </c>
      <c r="AE958">
        <v>-7374.9579999999996</v>
      </c>
      <c r="AF958">
        <v>-7374.9579999999996</v>
      </c>
    </row>
    <row r="959" spans="2:32" x14ac:dyDescent="0.25">
      <c r="B959">
        <v>44</v>
      </c>
      <c r="C959">
        <v>1</v>
      </c>
      <c r="D959">
        <v>1</v>
      </c>
      <c r="E959">
        <v>1</v>
      </c>
      <c r="F959">
        <v>1</v>
      </c>
      <c r="G959">
        <v>1</v>
      </c>
      <c r="H959">
        <v>1</v>
      </c>
      <c r="J959">
        <v>44</v>
      </c>
      <c r="K959">
        <v>1</v>
      </c>
      <c r="L959">
        <v>1</v>
      </c>
      <c r="M959">
        <v>1</v>
      </c>
      <c r="N959">
        <v>1</v>
      </c>
      <c r="O959">
        <v>1</v>
      </c>
      <c r="P959">
        <v>1</v>
      </c>
      <c r="R959">
        <v>44</v>
      </c>
      <c r="S959">
        <v>1</v>
      </c>
      <c r="T959">
        <v>1</v>
      </c>
      <c r="U959">
        <v>1</v>
      </c>
      <c r="V959">
        <v>1</v>
      </c>
      <c r="W959">
        <v>1</v>
      </c>
      <c r="X959">
        <v>1</v>
      </c>
      <c r="AA959">
        <v>-7367.2034999999996</v>
      </c>
      <c r="AB959">
        <v>-7367.2034999999996</v>
      </c>
      <c r="AC959">
        <v>-7367.2034999999996</v>
      </c>
      <c r="AD959">
        <v>-7367.2034999999996</v>
      </c>
      <c r="AE959">
        <v>-7367.2034999999996</v>
      </c>
      <c r="AF959">
        <v>-7367.2034999999996</v>
      </c>
    </row>
    <row r="960" spans="2:32" x14ac:dyDescent="0.25">
      <c r="B960">
        <v>45</v>
      </c>
      <c r="C960">
        <v>1</v>
      </c>
      <c r="D960">
        <v>1</v>
      </c>
      <c r="E960">
        <v>1</v>
      </c>
      <c r="F960">
        <v>1</v>
      </c>
      <c r="G960">
        <v>1</v>
      </c>
      <c r="H960">
        <v>1</v>
      </c>
      <c r="J960">
        <v>45</v>
      </c>
      <c r="K960">
        <v>1</v>
      </c>
      <c r="L960">
        <v>1</v>
      </c>
      <c r="M960">
        <v>1</v>
      </c>
      <c r="N960">
        <v>1</v>
      </c>
      <c r="O960">
        <v>1</v>
      </c>
      <c r="P960">
        <v>1</v>
      </c>
      <c r="R960">
        <v>45</v>
      </c>
      <c r="S960">
        <v>1</v>
      </c>
      <c r="T960">
        <v>1</v>
      </c>
      <c r="U960">
        <v>1</v>
      </c>
      <c r="V960">
        <v>1</v>
      </c>
      <c r="W960">
        <v>1</v>
      </c>
      <c r="X960">
        <v>1</v>
      </c>
      <c r="AA960">
        <v>-7358.6491999999998</v>
      </c>
      <c r="AB960">
        <v>-7358.6491999999998</v>
      </c>
      <c r="AC960">
        <v>-7358.6491999999998</v>
      </c>
      <c r="AD960">
        <v>-7358.6491999999998</v>
      </c>
      <c r="AE960">
        <v>-7358.6491999999998</v>
      </c>
      <c r="AF960">
        <v>-7358.6491999999998</v>
      </c>
    </row>
    <row r="961" spans="2:32" x14ac:dyDescent="0.25">
      <c r="B961">
        <v>46</v>
      </c>
      <c r="C961">
        <v>1</v>
      </c>
      <c r="D961">
        <v>1</v>
      </c>
      <c r="E961">
        <v>1</v>
      </c>
      <c r="F961">
        <v>1</v>
      </c>
      <c r="G961">
        <v>1</v>
      </c>
      <c r="H961">
        <v>1</v>
      </c>
      <c r="J961">
        <v>46</v>
      </c>
      <c r="K961">
        <v>1</v>
      </c>
      <c r="L961">
        <v>1</v>
      </c>
      <c r="M961">
        <v>1</v>
      </c>
      <c r="N961">
        <v>1</v>
      </c>
      <c r="O961">
        <v>1</v>
      </c>
      <c r="P961">
        <v>1</v>
      </c>
      <c r="R961">
        <v>46</v>
      </c>
      <c r="S961">
        <v>1</v>
      </c>
      <c r="T961">
        <v>1</v>
      </c>
      <c r="U961">
        <v>1</v>
      </c>
      <c r="V961">
        <v>1</v>
      </c>
      <c r="W961">
        <v>1</v>
      </c>
      <c r="X961">
        <v>1</v>
      </c>
      <c r="AA961">
        <v>-7349.2232000000004</v>
      </c>
      <c r="AB961">
        <v>-7349.2232000000004</v>
      </c>
      <c r="AC961">
        <v>-7349.2232000000004</v>
      </c>
      <c r="AD961">
        <v>-7349.2232000000004</v>
      </c>
      <c r="AE961">
        <v>-7349.2232000000004</v>
      </c>
      <c r="AF961">
        <v>-7349.2232000000004</v>
      </c>
    </row>
    <row r="962" spans="2:32" x14ac:dyDescent="0.25">
      <c r="B962">
        <v>47</v>
      </c>
      <c r="C962">
        <v>1</v>
      </c>
      <c r="D962">
        <v>1</v>
      </c>
      <c r="E962">
        <v>1</v>
      </c>
      <c r="F962">
        <v>1</v>
      </c>
      <c r="G962">
        <v>1</v>
      </c>
      <c r="H962">
        <v>1</v>
      </c>
      <c r="J962">
        <v>47</v>
      </c>
      <c r="K962">
        <v>1</v>
      </c>
      <c r="L962">
        <v>1</v>
      </c>
      <c r="M962">
        <v>1</v>
      </c>
      <c r="N962">
        <v>1</v>
      </c>
      <c r="O962">
        <v>1</v>
      </c>
      <c r="P962">
        <v>1</v>
      </c>
      <c r="R962">
        <v>47</v>
      </c>
      <c r="S962">
        <v>1</v>
      </c>
      <c r="T962">
        <v>1</v>
      </c>
      <c r="U962">
        <v>1</v>
      </c>
      <c r="V962">
        <v>1</v>
      </c>
      <c r="W962">
        <v>1</v>
      </c>
      <c r="X962">
        <v>1</v>
      </c>
      <c r="AA962">
        <v>-7338.8310000000001</v>
      </c>
      <c r="AB962">
        <v>-7338.8310000000001</v>
      </c>
      <c r="AC962">
        <v>-7338.8310000000001</v>
      </c>
      <c r="AD962">
        <v>-7338.8310000000001</v>
      </c>
      <c r="AE962">
        <v>-7338.8310000000001</v>
      </c>
      <c r="AF962">
        <v>-7338.8310000000001</v>
      </c>
    </row>
    <row r="963" spans="2:32" x14ac:dyDescent="0.25">
      <c r="B963">
        <v>48</v>
      </c>
      <c r="C963">
        <v>1</v>
      </c>
      <c r="D963">
        <v>1</v>
      </c>
      <c r="E963">
        <v>1</v>
      </c>
      <c r="F963">
        <v>1</v>
      </c>
      <c r="G963">
        <v>1</v>
      </c>
      <c r="H963">
        <v>1</v>
      </c>
      <c r="J963">
        <v>48</v>
      </c>
      <c r="K963">
        <v>1</v>
      </c>
      <c r="L963">
        <v>1</v>
      </c>
      <c r="M963">
        <v>1</v>
      </c>
      <c r="N963">
        <v>1</v>
      </c>
      <c r="O963">
        <v>1</v>
      </c>
      <c r="P963">
        <v>1</v>
      </c>
      <c r="R963">
        <v>48</v>
      </c>
      <c r="S963">
        <v>1</v>
      </c>
      <c r="T963">
        <v>1</v>
      </c>
      <c r="U963">
        <v>1</v>
      </c>
      <c r="V963">
        <v>1</v>
      </c>
      <c r="W963">
        <v>1</v>
      </c>
      <c r="X963">
        <v>1</v>
      </c>
      <c r="AA963">
        <v>-7327.4297999999999</v>
      </c>
      <c r="AB963">
        <v>-7327.4297999999999</v>
      </c>
      <c r="AC963">
        <v>-7327.4297999999999</v>
      </c>
      <c r="AD963">
        <v>-7327.4297999999999</v>
      </c>
      <c r="AE963">
        <v>-7327.4297999999999</v>
      </c>
      <c r="AF963">
        <v>-7327.4297999999999</v>
      </c>
    </row>
    <row r="964" spans="2:32" x14ac:dyDescent="0.25">
      <c r="B964">
        <v>49</v>
      </c>
      <c r="C964">
        <v>1</v>
      </c>
      <c r="D964">
        <v>1</v>
      </c>
      <c r="E964">
        <v>1</v>
      </c>
      <c r="F964">
        <v>1</v>
      </c>
      <c r="G964">
        <v>1</v>
      </c>
      <c r="H964">
        <v>1</v>
      </c>
      <c r="J964">
        <v>49</v>
      </c>
      <c r="K964">
        <v>1</v>
      </c>
      <c r="L964">
        <v>1</v>
      </c>
      <c r="M964">
        <v>1</v>
      </c>
      <c r="N964">
        <v>1</v>
      </c>
      <c r="O964">
        <v>1</v>
      </c>
      <c r="P964">
        <v>1</v>
      </c>
      <c r="R964">
        <v>49</v>
      </c>
      <c r="S964">
        <v>1</v>
      </c>
      <c r="T964">
        <v>1</v>
      </c>
      <c r="U964">
        <v>1</v>
      </c>
      <c r="V964">
        <v>1</v>
      </c>
      <c r="W964">
        <v>1</v>
      </c>
      <c r="X964">
        <v>1</v>
      </c>
      <c r="AA964">
        <v>-7314.951</v>
      </c>
      <c r="AB964">
        <v>-7314.951</v>
      </c>
      <c r="AC964">
        <v>-7314.951</v>
      </c>
      <c r="AD964">
        <v>-7314.951</v>
      </c>
      <c r="AE964">
        <v>-7314.951</v>
      </c>
      <c r="AF964">
        <v>-7314.951</v>
      </c>
    </row>
    <row r="965" spans="2:32" x14ac:dyDescent="0.25">
      <c r="B965">
        <v>50</v>
      </c>
      <c r="C965">
        <v>1</v>
      </c>
      <c r="D965">
        <v>1</v>
      </c>
      <c r="E965">
        <v>1</v>
      </c>
      <c r="F965">
        <v>1</v>
      </c>
      <c r="G965">
        <v>1</v>
      </c>
      <c r="H965">
        <v>1</v>
      </c>
      <c r="J965">
        <v>50</v>
      </c>
      <c r="K965">
        <v>1</v>
      </c>
      <c r="L965">
        <v>1</v>
      </c>
      <c r="M965">
        <v>1</v>
      </c>
      <c r="N965">
        <v>1</v>
      </c>
      <c r="O965">
        <v>1</v>
      </c>
      <c r="P965">
        <v>1</v>
      </c>
      <c r="R965">
        <v>50</v>
      </c>
      <c r="S965">
        <v>1</v>
      </c>
      <c r="T965">
        <v>1</v>
      </c>
      <c r="U965">
        <v>1</v>
      </c>
      <c r="V965">
        <v>1</v>
      </c>
      <c r="W965">
        <v>1</v>
      </c>
      <c r="X965">
        <v>1</v>
      </c>
      <c r="AA965">
        <v>-7301.2851000000001</v>
      </c>
      <c r="AB965">
        <v>-7301.2851000000001</v>
      </c>
      <c r="AC965">
        <v>-7301.2851000000001</v>
      </c>
      <c r="AD965">
        <v>-7301.2851000000001</v>
      </c>
      <c r="AE965">
        <v>-7301.2851000000001</v>
      </c>
      <c r="AF965">
        <v>-7301.2851000000001</v>
      </c>
    </row>
    <row r="966" spans="2:32" x14ac:dyDescent="0.25">
      <c r="B966">
        <v>51</v>
      </c>
      <c r="C966">
        <v>1</v>
      </c>
      <c r="D966">
        <v>1</v>
      </c>
      <c r="E966">
        <v>1</v>
      </c>
      <c r="F966">
        <v>1</v>
      </c>
      <c r="G966">
        <v>1</v>
      </c>
      <c r="H966">
        <v>1</v>
      </c>
      <c r="J966">
        <v>51</v>
      </c>
      <c r="K966">
        <v>1</v>
      </c>
      <c r="L966">
        <v>1</v>
      </c>
      <c r="M966">
        <v>1</v>
      </c>
      <c r="N966">
        <v>1</v>
      </c>
      <c r="O966">
        <v>1</v>
      </c>
      <c r="P966">
        <v>1</v>
      </c>
      <c r="R966">
        <v>51</v>
      </c>
      <c r="S966">
        <v>1</v>
      </c>
      <c r="T966">
        <v>1</v>
      </c>
      <c r="U966">
        <v>1</v>
      </c>
      <c r="V966">
        <v>1</v>
      </c>
      <c r="W966">
        <v>1</v>
      </c>
      <c r="X966">
        <v>1</v>
      </c>
      <c r="AA966">
        <v>-7286.3271000000004</v>
      </c>
      <c r="AB966">
        <v>-7286.3271000000004</v>
      </c>
      <c r="AC966">
        <v>-7286.3271000000004</v>
      </c>
      <c r="AD966">
        <v>-7286.3271000000004</v>
      </c>
      <c r="AE966">
        <v>-7286.3271000000004</v>
      </c>
      <c r="AF966">
        <v>-7286.3271000000004</v>
      </c>
    </row>
    <row r="967" spans="2:32" x14ac:dyDescent="0.25">
      <c r="B967">
        <v>52</v>
      </c>
      <c r="C967">
        <v>1</v>
      </c>
      <c r="D967">
        <v>1</v>
      </c>
      <c r="E967">
        <v>1</v>
      </c>
      <c r="F967">
        <v>1</v>
      </c>
      <c r="G967">
        <v>1</v>
      </c>
      <c r="H967">
        <v>1</v>
      </c>
      <c r="J967">
        <v>52</v>
      </c>
      <c r="K967">
        <v>1</v>
      </c>
      <c r="L967">
        <v>1</v>
      </c>
      <c r="M967">
        <v>1</v>
      </c>
      <c r="N967">
        <v>1</v>
      </c>
      <c r="O967">
        <v>1</v>
      </c>
      <c r="P967">
        <v>1</v>
      </c>
      <c r="R967">
        <v>52</v>
      </c>
      <c r="S967">
        <v>1</v>
      </c>
      <c r="T967">
        <v>1</v>
      </c>
      <c r="U967">
        <v>1</v>
      </c>
      <c r="V967">
        <v>1</v>
      </c>
      <c r="W967">
        <v>1</v>
      </c>
      <c r="X967">
        <v>1</v>
      </c>
      <c r="AA967">
        <v>-7269.9448000000002</v>
      </c>
      <c r="AB967">
        <v>-7269.9448000000002</v>
      </c>
      <c r="AC967">
        <v>-7269.9448000000002</v>
      </c>
      <c r="AD967">
        <v>-7269.9448000000002</v>
      </c>
      <c r="AE967">
        <v>-7269.9448000000002</v>
      </c>
      <c r="AF967">
        <v>-7269.9448000000002</v>
      </c>
    </row>
    <row r="968" spans="2:32" x14ac:dyDescent="0.25">
      <c r="B968">
        <v>53</v>
      </c>
      <c r="C968">
        <v>1</v>
      </c>
      <c r="D968">
        <v>1</v>
      </c>
      <c r="E968">
        <v>1</v>
      </c>
      <c r="F968">
        <v>1</v>
      </c>
      <c r="G968">
        <v>1</v>
      </c>
      <c r="H968">
        <v>1</v>
      </c>
      <c r="J968">
        <v>53</v>
      </c>
      <c r="K968">
        <v>1</v>
      </c>
      <c r="L968">
        <v>1</v>
      </c>
      <c r="M968">
        <v>1</v>
      </c>
      <c r="N968">
        <v>1</v>
      </c>
      <c r="O968">
        <v>1</v>
      </c>
      <c r="P968">
        <v>1</v>
      </c>
      <c r="R968">
        <v>53</v>
      </c>
      <c r="S968">
        <v>1</v>
      </c>
      <c r="T968">
        <v>1</v>
      </c>
      <c r="U968">
        <v>1</v>
      </c>
      <c r="V968">
        <v>1</v>
      </c>
      <c r="W968">
        <v>1</v>
      </c>
      <c r="X968">
        <v>1</v>
      </c>
      <c r="AA968">
        <v>-7252.0574999999999</v>
      </c>
      <c r="AB968">
        <v>-7252.0574999999999</v>
      </c>
      <c r="AC968">
        <v>-7252.0574999999999</v>
      </c>
      <c r="AD968">
        <v>-7252.0574999999999</v>
      </c>
      <c r="AE968">
        <v>-7252.0574999999999</v>
      </c>
      <c r="AF968">
        <v>-7252.0574999999999</v>
      </c>
    </row>
    <row r="969" spans="2:32" x14ac:dyDescent="0.25">
      <c r="B969">
        <v>54</v>
      </c>
      <c r="C969">
        <v>1</v>
      </c>
      <c r="D969">
        <v>1</v>
      </c>
      <c r="E969">
        <v>1</v>
      </c>
      <c r="F969">
        <v>1</v>
      </c>
      <c r="G969">
        <v>1</v>
      </c>
      <c r="H969">
        <v>1</v>
      </c>
      <c r="J969">
        <v>54</v>
      </c>
      <c r="K969">
        <v>1</v>
      </c>
      <c r="L969">
        <v>1</v>
      </c>
      <c r="M969">
        <v>1</v>
      </c>
      <c r="N969">
        <v>1</v>
      </c>
      <c r="O969">
        <v>1</v>
      </c>
      <c r="P969">
        <v>1</v>
      </c>
      <c r="R969">
        <v>54</v>
      </c>
      <c r="S969">
        <v>1</v>
      </c>
      <c r="T969">
        <v>1</v>
      </c>
      <c r="U969">
        <v>1</v>
      </c>
      <c r="V969">
        <v>1</v>
      </c>
      <c r="W969">
        <v>1</v>
      </c>
      <c r="X969">
        <v>1</v>
      </c>
      <c r="AA969">
        <v>-7232.5680000000002</v>
      </c>
      <c r="AB969">
        <v>-7232.5680000000002</v>
      </c>
      <c r="AC969">
        <v>-7232.5680000000002</v>
      </c>
      <c r="AD969">
        <v>-7232.5680000000002</v>
      </c>
      <c r="AE969">
        <v>-7232.5680000000002</v>
      </c>
      <c r="AF969">
        <v>-7232.5680000000002</v>
      </c>
    </row>
    <row r="970" spans="2:32" x14ac:dyDescent="0.25">
      <c r="B970">
        <v>55</v>
      </c>
      <c r="C970">
        <v>1</v>
      </c>
      <c r="D970">
        <v>1</v>
      </c>
      <c r="E970">
        <v>1</v>
      </c>
      <c r="F970">
        <v>1</v>
      </c>
      <c r="G970">
        <v>1</v>
      </c>
      <c r="H970">
        <v>1</v>
      </c>
      <c r="J970">
        <v>55</v>
      </c>
      <c r="K970">
        <v>1</v>
      </c>
      <c r="L970">
        <v>1</v>
      </c>
      <c r="M970">
        <v>1</v>
      </c>
      <c r="N970">
        <v>1</v>
      </c>
      <c r="O970">
        <v>1</v>
      </c>
      <c r="P970">
        <v>1</v>
      </c>
      <c r="R970">
        <v>55</v>
      </c>
      <c r="S970">
        <v>1</v>
      </c>
      <c r="T970">
        <v>1</v>
      </c>
      <c r="U970">
        <v>1</v>
      </c>
      <c r="V970">
        <v>1</v>
      </c>
      <c r="W970">
        <v>1</v>
      </c>
      <c r="X970">
        <v>1</v>
      </c>
      <c r="AA970">
        <v>-7211.3207000000002</v>
      </c>
      <c r="AB970">
        <v>-7211.3207000000002</v>
      </c>
      <c r="AC970">
        <v>-7211.3207000000002</v>
      </c>
      <c r="AD970">
        <v>-7211.3207000000002</v>
      </c>
      <c r="AE970">
        <v>-7211.3207000000002</v>
      </c>
      <c r="AF970">
        <v>-7211.3207000000002</v>
      </c>
    </row>
    <row r="973" spans="2:32" x14ac:dyDescent="0.25">
      <c r="B973" t="s">
        <v>46</v>
      </c>
      <c r="C973">
        <v>100000</v>
      </c>
      <c r="D973">
        <v>250000</v>
      </c>
      <c r="E973">
        <v>500000</v>
      </c>
      <c r="F973">
        <v>1000000</v>
      </c>
      <c r="G973">
        <v>2000000</v>
      </c>
      <c r="J973" t="s">
        <v>32</v>
      </c>
      <c r="K973">
        <v>100000</v>
      </c>
      <c r="L973">
        <v>250000</v>
      </c>
      <c r="M973">
        <v>500000</v>
      </c>
      <c r="N973">
        <v>1000000</v>
      </c>
      <c r="O973">
        <v>2000000</v>
      </c>
      <c r="R973" t="s">
        <v>48</v>
      </c>
      <c r="S973">
        <v>100000</v>
      </c>
      <c r="T973">
        <v>250000</v>
      </c>
      <c r="U973">
        <v>500000</v>
      </c>
      <c r="V973">
        <v>1000000</v>
      </c>
      <c r="W973">
        <v>2000000</v>
      </c>
    </row>
    <row r="974" spans="2:32" x14ac:dyDescent="0.25">
      <c r="B974">
        <v>35</v>
      </c>
      <c r="C974">
        <v>1</v>
      </c>
      <c r="D974">
        <v>1</v>
      </c>
      <c r="E974">
        <v>1</v>
      </c>
      <c r="F974">
        <v>1</v>
      </c>
      <c r="G974">
        <v>1</v>
      </c>
      <c r="J974">
        <v>35</v>
      </c>
      <c r="K974">
        <v>1</v>
      </c>
      <c r="L974">
        <v>1</v>
      </c>
      <c r="M974">
        <v>1</v>
      </c>
      <c r="N974">
        <v>1</v>
      </c>
      <c r="O974">
        <v>1</v>
      </c>
      <c r="R974">
        <v>35</v>
      </c>
      <c r="S974">
        <v>1</v>
      </c>
      <c r="T974">
        <v>1</v>
      </c>
      <c r="U974">
        <v>1</v>
      </c>
      <c r="V974">
        <v>1</v>
      </c>
      <c r="W974">
        <v>1</v>
      </c>
      <c r="AA974">
        <v>-11308.6893</v>
      </c>
      <c r="AB974">
        <v>-11308.6893</v>
      </c>
      <c r="AC974">
        <v>-11308.6893</v>
      </c>
      <c r="AD974">
        <v>-11308.6893</v>
      </c>
      <c r="AE974">
        <v>-11308.6893</v>
      </c>
    </row>
    <row r="975" spans="2:32" x14ac:dyDescent="0.25">
      <c r="B975">
        <f t="shared" ref="B975:B1004" si="42">B974+1</f>
        <v>36</v>
      </c>
      <c r="C975">
        <v>1</v>
      </c>
      <c r="D975">
        <v>1</v>
      </c>
      <c r="E975">
        <v>1</v>
      </c>
      <c r="F975">
        <v>1</v>
      </c>
      <c r="G975">
        <v>1</v>
      </c>
      <c r="J975">
        <f t="shared" ref="J975:J1004" si="43">J974+1</f>
        <v>36</v>
      </c>
      <c r="K975">
        <v>1</v>
      </c>
      <c r="L975">
        <v>1</v>
      </c>
      <c r="M975">
        <v>1</v>
      </c>
      <c r="N975">
        <v>1</v>
      </c>
      <c r="O975">
        <v>1</v>
      </c>
      <c r="R975">
        <f t="shared" ref="R975:R1004" si="44">R974+1</f>
        <v>36</v>
      </c>
      <c r="S975">
        <v>1</v>
      </c>
      <c r="T975">
        <v>1</v>
      </c>
      <c r="U975">
        <v>1</v>
      </c>
      <c r="V975">
        <v>1</v>
      </c>
      <c r="W975">
        <v>1</v>
      </c>
      <c r="AA975">
        <v>-11214.2592</v>
      </c>
      <c r="AB975">
        <v>-11214.2592</v>
      </c>
      <c r="AC975">
        <v>-11214.2592</v>
      </c>
      <c r="AD975">
        <v>-11214.2592</v>
      </c>
      <c r="AE975">
        <v>-11214.2592</v>
      </c>
    </row>
    <row r="976" spans="2:32" x14ac:dyDescent="0.25">
      <c r="B976">
        <f t="shared" si="42"/>
        <v>37</v>
      </c>
      <c r="C976">
        <v>1</v>
      </c>
      <c r="D976">
        <v>1</v>
      </c>
      <c r="E976">
        <v>1</v>
      </c>
      <c r="F976">
        <v>1</v>
      </c>
      <c r="G976">
        <v>1</v>
      </c>
      <c r="J976">
        <f t="shared" si="43"/>
        <v>37</v>
      </c>
      <c r="K976">
        <v>1</v>
      </c>
      <c r="L976">
        <v>1</v>
      </c>
      <c r="M976">
        <v>1</v>
      </c>
      <c r="N976">
        <v>1</v>
      </c>
      <c r="O976">
        <v>1</v>
      </c>
      <c r="R976">
        <f t="shared" si="44"/>
        <v>37</v>
      </c>
      <c r="S976">
        <v>1</v>
      </c>
      <c r="T976">
        <v>1</v>
      </c>
      <c r="U976">
        <v>1</v>
      </c>
      <c r="V976">
        <v>1</v>
      </c>
      <c r="W976">
        <v>1</v>
      </c>
      <c r="AA976">
        <v>-11117.406199999999</v>
      </c>
      <c r="AB976">
        <v>-11117.406199999999</v>
      </c>
      <c r="AC976">
        <v>-11117.406199999999</v>
      </c>
      <c r="AD976">
        <v>-11117.406199999999</v>
      </c>
      <c r="AE976">
        <v>-11117.406199999999</v>
      </c>
    </row>
    <row r="977" spans="2:31" x14ac:dyDescent="0.25">
      <c r="B977">
        <f t="shared" si="42"/>
        <v>38</v>
      </c>
      <c r="C977">
        <v>1</v>
      </c>
      <c r="D977">
        <v>1</v>
      </c>
      <c r="E977">
        <v>1</v>
      </c>
      <c r="F977">
        <v>1</v>
      </c>
      <c r="G977">
        <v>1</v>
      </c>
      <c r="J977">
        <f t="shared" si="43"/>
        <v>38</v>
      </c>
      <c r="K977">
        <v>1</v>
      </c>
      <c r="L977">
        <v>1</v>
      </c>
      <c r="M977">
        <v>1</v>
      </c>
      <c r="N977">
        <v>1</v>
      </c>
      <c r="O977">
        <v>1</v>
      </c>
      <c r="R977">
        <f t="shared" si="44"/>
        <v>38</v>
      </c>
      <c r="S977">
        <v>1</v>
      </c>
      <c r="T977">
        <v>1</v>
      </c>
      <c r="U977">
        <v>1</v>
      </c>
      <c r="V977">
        <v>1</v>
      </c>
      <c r="W977">
        <v>1</v>
      </c>
      <c r="AA977">
        <v>-11018.229799999999</v>
      </c>
      <c r="AB977">
        <v>-11018.229799999999</v>
      </c>
      <c r="AC977">
        <v>-11018.229799999999</v>
      </c>
      <c r="AD977">
        <v>-11018.229799999999</v>
      </c>
      <c r="AE977">
        <v>-11018.229799999999</v>
      </c>
    </row>
    <row r="978" spans="2:31" x14ac:dyDescent="0.25">
      <c r="B978">
        <f t="shared" si="42"/>
        <v>39</v>
      </c>
      <c r="C978">
        <v>1</v>
      </c>
      <c r="D978">
        <v>1</v>
      </c>
      <c r="E978">
        <v>1</v>
      </c>
      <c r="F978">
        <v>1</v>
      </c>
      <c r="G978">
        <v>1</v>
      </c>
      <c r="J978">
        <f t="shared" si="43"/>
        <v>39</v>
      </c>
      <c r="K978">
        <v>1</v>
      </c>
      <c r="L978">
        <v>1</v>
      </c>
      <c r="M978">
        <v>1</v>
      </c>
      <c r="N978">
        <v>1</v>
      </c>
      <c r="O978">
        <v>1</v>
      </c>
      <c r="R978">
        <f t="shared" si="44"/>
        <v>39</v>
      </c>
      <c r="S978">
        <v>1</v>
      </c>
      <c r="T978">
        <v>1</v>
      </c>
      <c r="U978">
        <v>1</v>
      </c>
      <c r="V978">
        <v>1</v>
      </c>
      <c r="W978">
        <v>1</v>
      </c>
      <c r="AA978">
        <v>-10916.737999999999</v>
      </c>
      <c r="AB978">
        <v>-10916.737999999999</v>
      </c>
      <c r="AC978">
        <v>-10916.737999999999</v>
      </c>
      <c r="AD978">
        <v>-10916.737999999999</v>
      </c>
      <c r="AE978">
        <v>-10916.737999999999</v>
      </c>
    </row>
    <row r="979" spans="2:31" x14ac:dyDescent="0.25">
      <c r="B979">
        <f t="shared" si="42"/>
        <v>40</v>
      </c>
      <c r="C979">
        <v>1</v>
      </c>
      <c r="D979">
        <v>1</v>
      </c>
      <c r="E979">
        <v>1</v>
      </c>
      <c r="F979">
        <v>1</v>
      </c>
      <c r="G979">
        <v>1</v>
      </c>
      <c r="J979">
        <f t="shared" si="43"/>
        <v>40</v>
      </c>
      <c r="K979">
        <v>1</v>
      </c>
      <c r="L979">
        <v>1</v>
      </c>
      <c r="M979">
        <v>1</v>
      </c>
      <c r="N979">
        <v>1</v>
      </c>
      <c r="O979">
        <v>1</v>
      </c>
      <c r="R979">
        <f t="shared" si="44"/>
        <v>40</v>
      </c>
      <c r="S979">
        <v>1</v>
      </c>
      <c r="T979">
        <v>1</v>
      </c>
      <c r="U979">
        <v>1</v>
      </c>
      <c r="V979">
        <v>1</v>
      </c>
      <c r="W979">
        <v>1</v>
      </c>
      <c r="AA979">
        <v>-10812.8714</v>
      </c>
      <c r="AB979">
        <v>-10812.8714</v>
      </c>
      <c r="AC979">
        <v>-10812.8714</v>
      </c>
      <c r="AD979">
        <v>-10812.8714</v>
      </c>
      <c r="AE979">
        <v>-10812.8714</v>
      </c>
    </row>
    <row r="980" spans="2:31" x14ac:dyDescent="0.25">
      <c r="B980">
        <f t="shared" si="42"/>
        <v>41</v>
      </c>
      <c r="C980">
        <v>1</v>
      </c>
      <c r="D980">
        <v>1</v>
      </c>
      <c r="E980">
        <v>1</v>
      </c>
      <c r="F980">
        <v>1</v>
      </c>
      <c r="G980">
        <v>1</v>
      </c>
      <c r="J980">
        <f t="shared" si="43"/>
        <v>41</v>
      </c>
      <c r="K980">
        <v>1</v>
      </c>
      <c r="L980">
        <v>1</v>
      </c>
      <c r="M980">
        <v>1</v>
      </c>
      <c r="N980">
        <v>1</v>
      </c>
      <c r="O980">
        <v>1</v>
      </c>
      <c r="R980">
        <f t="shared" si="44"/>
        <v>41</v>
      </c>
      <c r="S980">
        <v>1</v>
      </c>
      <c r="T980">
        <v>1</v>
      </c>
      <c r="U980">
        <v>1</v>
      </c>
      <c r="V980">
        <v>1</v>
      </c>
      <c r="W980">
        <v>1</v>
      </c>
      <c r="AA980">
        <v>-10706.559600000001</v>
      </c>
      <c r="AB980">
        <v>-10706.559600000001</v>
      </c>
      <c r="AC980">
        <v>-10706.559600000001</v>
      </c>
      <c r="AD980">
        <v>-10706.559600000001</v>
      </c>
      <c r="AE980">
        <v>-10706.559600000001</v>
      </c>
    </row>
    <row r="981" spans="2:31" x14ac:dyDescent="0.25">
      <c r="B981">
        <f t="shared" si="42"/>
        <v>42</v>
      </c>
      <c r="C981">
        <v>1</v>
      </c>
      <c r="D981">
        <v>1</v>
      </c>
      <c r="E981">
        <v>1</v>
      </c>
      <c r="F981">
        <v>1</v>
      </c>
      <c r="G981">
        <v>1</v>
      </c>
      <c r="J981">
        <f t="shared" si="43"/>
        <v>42</v>
      </c>
      <c r="K981">
        <v>1</v>
      </c>
      <c r="L981">
        <v>1</v>
      </c>
      <c r="M981">
        <v>1</v>
      </c>
      <c r="N981">
        <v>1</v>
      </c>
      <c r="O981">
        <v>1</v>
      </c>
      <c r="R981">
        <f t="shared" si="44"/>
        <v>42</v>
      </c>
      <c r="S981">
        <v>1</v>
      </c>
      <c r="T981">
        <v>1</v>
      </c>
      <c r="U981">
        <v>1</v>
      </c>
      <c r="V981">
        <v>1</v>
      </c>
      <c r="W981">
        <v>1</v>
      </c>
      <c r="AA981">
        <v>-10597.8485</v>
      </c>
      <c r="AB981">
        <v>-10597.8485</v>
      </c>
      <c r="AC981">
        <v>-10597.8485</v>
      </c>
      <c r="AD981">
        <v>-10597.8485</v>
      </c>
      <c r="AE981">
        <v>-10597.8485</v>
      </c>
    </row>
    <row r="982" spans="2:31" x14ac:dyDescent="0.25">
      <c r="B982">
        <f t="shared" si="42"/>
        <v>43</v>
      </c>
      <c r="C982">
        <v>1</v>
      </c>
      <c r="D982">
        <v>1</v>
      </c>
      <c r="E982">
        <v>1</v>
      </c>
      <c r="F982">
        <v>1</v>
      </c>
      <c r="G982">
        <v>1</v>
      </c>
      <c r="J982">
        <f t="shared" si="43"/>
        <v>43</v>
      </c>
      <c r="K982">
        <v>1</v>
      </c>
      <c r="L982">
        <v>1</v>
      </c>
      <c r="M982">
        <v>1</v>
      </c>
      <c r="N982">
        <v>1</v>
      </c>
      <c r="O982">
        <v>1</v>
      </c>
      <c r="R982">
        <f t="shared" si="44"/>
        <v>43</v>
      </c>
      <c r="S982">
        <v>1</v>
      </c>
      <c r="T982">
        <v>1</v>
      </c>
      <c r="U982">
        <v>1</v>
      </c>
      <c r="V982">
        <v>1</v>
      </c>
      <c r="W982">
        <v>1</v>
      </c>
      <c r="AA982">
        <v>-10486.615400000001</v>
      </c>
      <c r="AB982">
        <v>-10486.615400000001</v>
      </c>
      <c r="AC982">
        <v>-10486.615400000001</v>
      </c>
      <c r="AD982">
        <v>-10486.615400000001</v>
      </c>
      <c r="AE982">
        <v>-10486.615400000001</v>
      </c>
    </row>
    <row r="983" spans="2:31" x14ac:dyDescent="0.25">
      <c r="B983">
        <f t="shared" si="42"/>
        <v>44</v>
      </c>
      <c r="C983">
        <v>1</v>
      </c>
      <c r="D983">
        <v>1</v>
      </c>
      <c r="E983">
        <v>1</v>
      </c>
      <c r="F983">
        <v>1</v>
      </c>
      <c r="G983">
        <v>1</v>
      </c>
      <c r="J983">
        <f t="shared" si="43"/>
        <v>44</v>
      </c>
      <c r="K983">
        <v>1</v>
      </c>
      <c r="L983">
        <v>1</v>
      </c>
      <c r="M983">
        <v>1</v>
      </c>
      <c r="N983">
        <v>1</v>
      </c>
      <c r="O983">
        <v>1</v>
      </c>
      <c r="R983">
        <f t="shared" si="44"/>
        <v>44</v>
      </c>
      <c r="S983">
        <v>1</v>
      </c>
      <c r="T983">
        <v>1</v>
      </c>
      <c r="U983">
        <v>1</v>
      </c>
      <c r="V983">
        <v>1</v>
      </c>
      <c r="W983">
        <v>1</v>
      </c>
      <c r="AA983">
        <v>-10372.9005</v>
      </c>
      <c r="AB983">
        <v>-10372.9005</v>
      </c>
      <c r="AC983">
        <v>-10372.9005</v>
      </c>
      <c r="AD983">
        <v>-10372.9005</v>
      </c>
      <c r="AE983">
        <v>-10372.9005</v>
      </c>
    </row>
    <row r="984" spans="2:31" x14ac:dyDescent="0.25">
      <c r="B984">
        <f t="shared" si="42"/>
        <v>45</v>
      </c>
      <c r="C984">
        <v>1</v>
      </c>
      <c r="D984">
        <v>1</v>
      </c>
      <c r="E984">
        <v>1</v>
      </c>
      <c r="F984">
        <v>1</v>
      </c>
      <c r="G984">
        <v>1</v>
      </c>
      <c r="J984">
        <f t="shared" si="43"/>
        <v>45</v>
      </c>
      <c r="K984">
        <v>1</v>
      </c>
      <c r="L984">
        <v>1</v>
      </c>
      <c r="M984">
        <v>1</v>
      </c>
      <c r="N984">
        <v>1</v>
      </c>
      <c r="O984">
        <v>1</v>
      </c>
      <c r="R984">
        <f t="shared" si="44"/>
        <v>45</v>
      </c>
      <c r="S984">
        <v>1</v>
      </c>
      <c r="T984">
        <v>1</v>
      </c>
      <c r="U984">
        <v>1</v>
      </c>
      <c r="V984">
        <v>1</v>
      </c>
      <c r="W984">
        <v>1</v>
      </c>
      <c r="AA984">
        <v>-10256.650600000001</v>
      </c>
      <c r="AB984">
        <v>-10256.650600000001</v>
      </c>
      <c r="AC984">
        <v>-10256.650600000001</v>
      </c>
      <c r="AD984">
        <v>-10256.650600000001</v>
      </c>
      <c r="AE984">
        <v>-10256.650600000001</v>
      </c>
    </row>
    <row r="985" spans="2:31" x14ac:dyDescent="0.25">
      <c r="B985">
        <f t="shared" si="42"/>
        <v>46</v>
      </c>
      <c r="C985">
        <v>1</v>
      </c>
      <c r="D985">
        <v>1</v>
      </c>
      <c r="E985">
        <v>1</v>
      </c>
      <c r="F985">
        <v>1</v>
      </c>
      <c r="G985">
        <v>1</v>
      </c>
      <c r="J985">
        <f t="shared" si="43"/>
        <v>46</v>
      </c>
      <c r="K985">
        <v>1</v>
      </c>
      <c r="L985">
        <v>1</v>
      </c>
      <c r="M985">
        <v>1</v>
      </c>
      <c r="N985">
        <v>1</v>
      </c>
      <c r="O985">
        <v>1</v>
      </c>
      <c r="R985">
        <f t="shared" si="44"/>
        <v>46</v>
      </c>
      <c r="S985">
        <v>1</v>
      </c>
      <c r="T985">
        <v>1</v>
      </c>
      <c r="U985">
        <v>1</v>
      </c>
      <c r="V985">
        <v>1</v>
      </c>
      <c r="W985">
        <v>1</v>
      </c>
      <c r="AA985">
        <v>-10137.871499999999</v>
      </c>
      <c r="AB985">
        <v>-10137.871499999999</v>
      </c>
      <c r="AC985">
        <v>-10137.871499999999</v>
      </c>
      <c r="AD985">
        <v>-10137.871499999999</v>
      </c>
      <c r="AE985">
        <v>-10137.871499999999</v>
      </c>
    </row>
    <row r="986" spans="2:31" x14ac:dyDescent="0.25">
      <c r="B986">
        <f t="shared" si="42"/>
        <v>47</v>
      </c>
      <c r="C986">
        <v>1</v>
      </c>
      <c r="D986">
        <v>1</v>
      </c>
      <c r="E986">
        <v>1</v>
      </c>
      <c r="F986">
        <v>1</v>
      </c>
      <c r="G986">
        <v>1</v>
      </c>
      <c r="J986">
        <f t="shared" si="43"/>
        <v>47</v>
      </c>
      <c r="K986">
        <v>1</v>
      </c>
      <c r="L986">
        <v>1</v>
      </c>
      <c r="M986">
        <v>1</v>
      </c>
      <c r="N986">
        <v>1</v>
      </c>
      <c r="O986">
        <v>1</v>
      </c>
      <c r="R986">
        <f t="shared" si="44"/>
        <v>47</v>
      </c>
      <c r="S986">
        <v>1</v>
      </c>
      <c r="T986">
        <v>1</v>
      </c>
      <c r="U986">
        <v>1</v>
      </c>
      <c r="V986">
        <v>1</v>
      </c>
      <c r="W986">
        <v>1</v>
      </c>
      <c r="AA986">
        <v>-10016.4967</v>
      </c>
      <c r="AB986">
        <v>-10016.4967</v>
      </c>
      <c r="AC986">
        <v>-10016.4967</v>
      </c>
      <c r="AD986">
        <v>-10016.4967</v>
      </c>
      <c r="AE986">
        <v>-10016.4967</v>
      </c>
    </row>
    <row r="987" spans="2:31" x14ac:dyDescent="0.25">
      <c r="B987">
        <f t="shared" si="42"/>
        <v>48</v>
      </c>
      <c r="C987">
        <v>1</v>
      </c>
      <c r="D987">
        <v>1</v>
      </c>
      <c r="E987">
        <v>1</v>
      </c>
      <c r="F987">
        <v>1</v>
      </c>
      <c r="G987">
        <v>1</v>
      </c>
      <c r="J987">
        <f t="shared" si="43"/>
        <v>48</v>
      </c>
      <c r="K987">
        <v>1</v>
      </c>
      <c r="L987">
        <v>1</v>
      </c>
      <c r="M987">
        <v>1</v>
      </c>
      <c r="N987">
        <v>1</v>
      </c>
      <c r="O987">
        <v>1</v>
      </c>
      <c r="R987">
        <f t="shared" si="44"/>
        <v>48</v>
      </c>
      <c r="S987">
        <v>1</v>
      </c>
      <c r="T987">
        <v>1</v>
      </c>
      <c r="U987">
        <v>1</v>
      </c>
      <c r="V987">
        <v>1</v>
      </c>
      <c r="W987">
        <v>1</v>
      </c>
      <c r="AA987">
        <v>-9892.6355000000003</v>
      </c>
      <c r="AB987">
        <v>-9892.6355000000003</v>
      </c>
      <c r="AC987">
        <v>-9892.6355000000003</v>
      </c>
      <c r="AD987">
        <v>-9892.6355000000003</v>
      </c>
      <c r="AE987">
        <v>-9892.6355000000003</v>
      </c>
    </row>
    <row r="988" spans="2:31" x14ac:dyDescent="0.25">
      <c r="B988">
        <f t="shared" si="42"/>
        <v>49</v>
      </c>
      <c r="C988">
        <v>1</v>
      </c>
      <c r="D988">
        <v>1</v>
      </c>
      <c r="E988">
        <v>1</v>
      </c>
      <c r="F988">
        <v>1</v>
      </c>
      <c r="G988">
        <v>1</v>
      </c>
      <c r="J988">
        <f t="shared" si="43"/>
        <v>49</v>
      </c>
      <c r="K988">
        <v>1</v>
      </c>
      <c r="L988">
        <v>1</v>
      </c>
      <c r="M988">
        <v>1</v>
      </c>
      <c r="N988">
        <v>1</v>
      </c>
      <c r="O988">
        <v>1</v>
      </c>
      <c r="R988">
        <f t="shared" si="44"/>
        <v>49</v>
      </c>
      <c r="S988">
        <v>1</v>
      </c>
      <c r="T988">
        <v>1</v>
      </c>
      <c r="U988">
        <v>1</v>
      </c>
      <c r="V988">
        <v>1</v>
      </c>
      <c r="W988">
        <v>1</v>
      </c>
      <c r="AA988">
        <v>-9766.3366999999998</v>
      </c>
      <c r="AB988">
        <v>-9766.3366999999998</v>
      </c>
      <c r="AC988">
        <v>-9766.3366999999998</v>
      </c>
      <c r="AD988">
        <v>-9766.3366999999998</v>
      </c>
      <c r="AE988">
        <v>-9766.3366999999998</v>
      </c>
    </row>
    <row r="989" spans="2:31" x14ac:dyDescent="0.25">
      <c r="B989">
        <f t="shared" si="42"/>
        <v>50</v>
      </c>
      <c r="C989">
        <v>1</v>
      </c>
      <c r="D989">
        <v>1</v>
      </c>
      <c r="E989">
        <v>1</v>
      </c>
      <c r="F989">
        <v>1</v>
      </c>
      <c r="G989">
        <v>1</v>
      </c>
      <c r="J989">
        <f t="shared" si="43"/>
        <v>50</v>
      </c>
      <c r="K989">
        <v>1</v>
      </c>
      <c r="L989">
        <v>1</v>
      </c>
      <c r="M989">
        <v>1</v>
      </c>
      <c r="N989">
        <v>1</v>
      </c>
      <c r="O989">
        <v>1</v>
      </c>
      <c r="R989">
        <f t="shared" si="44"/>
        <v>50</v>
      </c>
      <c r="S989">
        <v>1</v>
      </c>
      <c r="T989">
        <v>1</v>
      </c>
      <c r="U989">
        <v>1</v>
      </c>
      <c r="V989">
        <v>1</v>
      </c>
      <c r="W989">
        <v>1</v>
      </c>
      <c r="AA989">
        <v>-9637.5864000000001</v>
      </c>
      <c r="AB989">
        <v>-9637.5864000000001</v>
      </c>
      <c r="AC989">
        <v>-9637.5864000000001</v>
      </c>
      <c r="AD989">
        <v>-9637.5864000000001</v>
      </c>
      <c r="AE989">
        <v>-9637.5864000000001</v>
      </c>
    </row>
    <row r="990" spans="2:31" x14ac:dyDescent="0.25">
      <c r="B990">
        <f t="shared" si="42"/>
        <v>51</v>
      </c>
      <c r="C990">
        <v>1</v>
      </c>
      <c r="D990">
        <v>1</v>
      </c>
      <c r="E990">
        <v>1</v>
      </c>
      <c r="F990">
        <v>1</v>
      </c>
      <c r="G990">
        <v>1</v>
      </c>
      <c r="J990">
        <f t="shared" si="43"/>
        <v>51</v>
      </c>
      <c r="K990">
        <v>1</v>
      </c>
      <c r="L990">
        <v>1</v>
      </c>
      <c r="M990">
        <v>1</v>
      </c>
      <c r="N990">
        <v>1</v>
      </c>
      <c r="O990">
        <v>1</v>
      </c>
      <c r="R990">
        <f t="shared" si="44"/>
        <v>51</v>
      </c>
      <c r="S990">
        <v>1</v>
      </c>
      <c r="T990">
        <v>1</v>
      </c>
      <c r="U990">
        <v>1</v>
      </c>
      <c r="V990">
        <v>1</v>
      </c>
      <c r="W990">
        <v>1</v>
      </c>
      <c r="AA990">
        <v>-9506.3734000000004</v>
      </c>
      <c r="AB990">
        <v>-9506.3734000000004</v>
      </c>
      <c r="AC990">
        <v>-9506.3734000000004</v>
      </c>
      <c r="AD990">
        <v>-9506.3734000000004</v>
      </c>
      <c r="AE990">
        <v>-9506.3734000000004</v>
      </c>
    </row>
    <row r="991" spans="2:31" x14ac:dyDescent="0.25">
      <c r="B991">
        <f t="shared" si="42"/>
        <v>52</v>
      </c>
      <c r="C991">
        <v>1</v>
      </c>
      <c r="D991">
        <v>1</v>
      </c>
      <c r="E991">
        <v>1</v>
      </c>
      <c r="F991">
        <v>1</v>
      </c>
      <c r="G991">
        <v>1</v>
      </c>
      <c r="J991">
        <f t="shared" si="43"/>
        <v>52</v>
      </c>
      <c r="K991">
        <v>1</v>
      </c>
      <c r="L991">
        <v>1</v>
      </c>
      <c r="M991">
        <v>1</v>
      </c>
      <c r="N991">
        <v>1</v>
      </c>
      <c r="O991">
        <v>1</v>
      </c>
      <c r="R991">
        <f t="shared" si="44"/>
        <v>52</v>
      </c>
      <c r="S991">
        <v>1</v>
      </c>
      <c r="T991">
        <v>1</v>
      </c>
      <c r="U991">
        <v>1</v>
      </c>
      <c r="V991">
        <v>1</v>
      </c>
      <c r="W991">
        <v>1</v>
      </c>
      <c r="AA991">
        <v>-9372.7019</v>
      </c>
      <c r="AB991">
        <v>-9372.7019</v>
      </c>
      <c r="AC991">
        <v>-9372.7019</v>
      </c>
      <c r="AD991">
        <v>-9372.7019</v>
      </c>
      <c r="AE991">
        <v>-9372.7019</v>
      </c>
    </row>
    <row r="992" spans="2:31" x14ac:dyDescent="0.25">
      <c r="B992">
        <f t="shared" si="42"/>
        <v>53</v>
      </c>
      <c r="C992">
        <v>1</v>
      </c>
      <c r="D992">
        <v>1</v>
      </c>
      <c r="E992">
        <v>1</v>
      </c>
      <c r="F992">
        <v>1</v>
      </c>
      <c r="G992">
        <v>1</v>
      </c>
      <c r="J992">
        <f t="shared" si="43"/>
        <v>53</v>
      </c>
      <c r="K992">
        <v>1</v>
      </c>
      <c r="L992">
        <v>1</v>
      </c>
      <c r="M992">
        <v>1</v>
      </c>
      <c r="N992">
        <v>1</v>
      </c>
      <c r="O992">
        <v>1</v>
      </c>
      <c r="R992">
        <f t="shared" si="44"/>
        <v>53</v>
      </c>
      <c r="S992">
        <v>1</v>
      </c>
      <c r="T992">
        <v>1</v>
      </c>
      <c r="U992">
        <v>1</v>
      </c>
      <c r="V992">
        <v>1</v>
      </c>
      <c r="W992">
        <v>1</v>
      </c>
      <c r="AA992">
        <v>-9236.6705000000002</v>
      </c>
      <c r="AB992">
        <v>-9236.6705000000002</v>
      </c>
      <c r="AC992">
        <v>-9236.6705000000002</v>
      </c>
      <c r="AD992">
        <v>-9236.6705000000002</v>
      </c>
      <c r="AE992">
        <v>-9236.6705000000002</v>
      </c>
    </row>
    <row r="993" spans="2:32" x14ac:dyDescent="0.25">
      <c r="B993">
        <f t="shared" si="42"/>
        <v>54</v>
      </c>
      <c r="C993">
        <v>1</v>
      </c>
      <c r="D993">
        <v>1</v>
      </c>
      <c r="E993">
        <v>1</v>
      </c>
      <c r="F993">
        <v>1</v>
      </c>
      <c r="G993">
        <v>1</v>
      </c>
      <c r="J993">
        <f t="shared" si="43"/>
        <v>54</v>
      </c>
      <c r="K993">
        <v>1</v>
      </c>
      <c r="L993">
        <v>1</v>
      </c>
      <c r="M993">
        <v>1</v>
      </c>
      <c r="N993">
        <v>1</v>
      </c>
      <c r="O993">
        <v>1</v>
      </c>
      <c r="R993">
        <f t="shared" si="44"/>
        <v>54</v>
      </c>
      <c r="S993">
        <v>1</v>
      </c>
      <c r="T993">
        <v>1</v>
      </c>
      <c r="U993">
        <v>1</v>
      </c>
      <c r="V993">
        <v>1</v>
      </c>
      <c r="W993">
        <v>1</v>
      </c>
      <c r="AA993">
        <v>-9098.4312000000009</v>
      </c>
      <c r="AB993">
        <v>-9098.4312000000009</v>
      </c>
      <c r="AC993">
        <v>-9098.4312000000009</v>
      </c>
      <c r="AD993">
        <v>-9098.4312000000009</v>
      </c>
      <c r="AE993">
        <v>-9098.4312000000009</v>
      </c>
    </row>
    <row r="994" spans="2:32" x14ac:dyDescent="0.25">
      <c r="B994">
        <f t="shared" si="42"/>
        <v>55</v>
      </c>
      <c r="C994">
        <v>1</v>
      </c>
      <c r="D994">
        <v>1</v>
      </c>
      <c r="E994">
        <v>1</v>
      </c>
      <c r="F994">
        <v>1</v>
      </c>
      <c r="G994">
        <v>1</v>
      </c>
      <c r="J994">
        <f t="shared" si="43"/>
        <v>55</v>
      </c>
      <c r="K994">
        <v>1</v>
      </c>
      <c r="L994">
        <v>1</v>
      </c>
      <c r="M994">
        <v>1</v>
      </c>
      <c r="N994">
        <v>1</v>
      </c>
      <c r="O994">
        <v>1</v>
      </c>
      <c r="R994">
        <f t="shared" si="44"/>
        <v>55</v>
      </c>
      <c r="S994">
        <v>1</v>
      </c>
      <c r="T994">
        <v>1</v>
      </c>
      <c r="U994">
        <v>1</v>
      </c>
      <c r="V994">
        <v>1</v>
      </c>
      <c r="W994">
        <v>1</v>
      </c>
      <c r="AA994">
        <v>-8958.0210999999999</v>
      </c>
      <c r="AB994">
        <v>-8958.0210999999999</v>
      </c>
      <c r="AC994">
        <v>-8958.0210999999999</v>
      </c>
      <c r="AD994">
        <v>-8958.0210999999999</v>
      </c>
      <c r="AE994">
        <v>-8958.0210999999999</v>
      </c>
    </row>
    <row r="995" spans="2:32" x14ac:dyDescent="0.25">
      <c r="B995">
        <f t="shared" si="42"/>
        <v>56</v>
      </c>
      <c r="C995">
        <v>1</v>
      </c>
      <c r="D995">
        <v>1</v>
      </c>
      <c r="E995">
        <v>1</v>
      </c>
      <c r="F995">
        <v>1</v>
      </c>
      <c r="G995">
        <v>1</v>
      </c>
      <c r="J995">
        <f t="shared" si="43"/>
        <v>56</v>
      </c>
      <c r="K995">
        <v>1</v>
      </c>
      <c r="L995">
        <v>1</v>
      </c>
      <c r="M995">
        <v>1</v>
      </c>
      <c r="N995">
        <v>1</v>
      </c>
      <c r="O995">
        <v>1</v>
      </c>
      <c r="R995">
        <f t="shared" si="44"/>
        <v>56</v>
      </c>
      <c r="S995">
        <v>1</v>
      </c>
      <c r="T995">
        <v>1</v>
      </c>
      <c r="U995">
        <v>1</v>
      </c>
      <c r="V995">
        <v>1</v>
      </c>
      <c r="W995">
        <v>1</v>
      </c>
      <c r="AA995">
        <v>-8815.6316999999999</v>
      </c>
      <c r="AB995">
        <v>-8815.6316999999999</v>
      </c>
      <c r="AC995">
        <v>-8815.6316999999999</v>
      </c>
      <c r="AD995">
        <v>-8815.6316999999999</v>
      </c>
      <c r="AE995">
        <v>-8815.6316999999999</v>
      </c>
    </row>
    <row r="996" spans="2:32" x14ac:dyDescent="0.25">
      <c r="B996">
        <f t="shared" si="42"/>
        <v>57</v>
      </c>
      <c r="C996">
        <v>1</v>
      </c>
      <c r="D996">
        <v>1</v>
      </c>
      <c r="E996">
        <v>1</v>
      </c>
      <c r="F996">
        <v>1</v>
      </c>
      <c r="G996">
        <v>1</v>
      </c>
      <c r="J996">
        <f t="shared" si="43"/>
        <v>57</v>
      </c>
      <c r="K996">
        <v>1</v>
      </c>
      <c r="L996">
        <v>1</v>
      </c>
      <c r="M996">
        <v>1</v>
      </c>
      <c r="N996">
        <v>1</v>
      </c>
      <c r="O996">
        <v>1</v>
      </c>
      <c r="R996">
        <f t="shared" si="44"/>
        <v>57</v>
      </c>
      <c r="S996">
        <v>1</v>
      </c>
      <c r="T996">
        <v>1</v>
      </c>
      <c r="U996">
        <v>1</v>
      </c>
      <c r="V996">
        <v>1</v>
      </c>
      <c r="W996">
        <v>1</v>
      </c>
      <c r="AA996">
        <v>-8671.3991999999998</v>
      </c>
      <c r="AB996">
        <v>-8671.3991999999998</v>
      </c>
      <c r="AC996">
        <v>-8671.3991999999998</v>
      </c>
      <c r="AD996">
        <v>-8671.3991999999998</v>
      </c>
      <c r="AE996">
        <v>-8671.3991999999998</v>
      </c>
    </row>
    <row r="997" spans="2:32" x14ac:dyDescent="0.25">
      <c r="B997">
        <f t="shared" si="42"/>
        <v>58</v>
      </c>
      <c r="C997">
        <v>1</v>
      </c>
      <c r="D997">
        <v>1</v>
      </c>
      <c r="E997">
        <v>1</v>
      </c>
      <c r="F997">
        <v>1</v>
      </c>
      <c r="G997">
        <v>1</v>
      </c>
      <c r="J997">
        <f t="shared" si="43"/>
        <v>58</v>
      </c>
      <c r="K997">
        <v>1</v>
      </c>
      <c r="L997">
        <v>1</v>
      </c>
      <c r="M997">
        <v>1</v>
      </c>
      <c r="N997">
        <v>1</v>
      </c>
      <c r="O997">
        <v>1</v>
      </c>
      <c r="R997">
        <f t="shared" si="44"/>
        <v>58</v>
      </c>
      <c r="S997">
        <v>1</v>
      </c>
      <c r="T997">
        <v>1</v>
      </c>
      <c r="U997">
        <v>1</v>
      </c>
      <c r="V997">
        <v>1</v>
      </c>
      <c r="W997">
        <v>1</v>
      </c>
      <c r="AA997">
        <v>-8525.2759999999998</v>
      </c>
      <c r="AB997">
        <v>-8525.2759999999998</v>
      </c>
      <c r="AC997">
        <v>-8525.2759999999998</v>
      </c>
      <c r="AD997">
        <v>-8525.2759999999998</v>
      </c>
      <c r="AE997">
        <v>-8525.2759999999998</v>
      </c>
    </row>
    <row r="998" spans="2:32" x14ac:dyDescent="0.25">
      <c r="B998">
        <f t="shared" si="42"/>
        <v>59</v>
      </c>
      <c r="C998">
        <v>1</v>
      </c>
      <c r="D998">
        <v>1</v>
      </c>
      <c r="E998">
        <v>1</v>
      </c>
      <c r="F998">
        <v>1</v>
      </c>
      <c r="G998">
        <v>1</v>
      </c>
      <c r="J998">
        <f t="shared" si="43"/>
        <v>59</v>
      </c>
      <c r="K998">
        <v>1</v>
      </c>
      <c r="L998">
        <v>1</v>
      </c>
      <c r="M998">
        <v>1</v>
      </c>
      <c r="N998">
        <v>1</v>
      </c>
      <c r="O998">
        <v>1</v>
      </c>
      <c r="R998">
        <f t="shared" si="44"/>
        <v>59</v>
      </c>
      <c r="S998">
        <v>1</v>
      </c>
      <c r="T998">
        <v>1</v>
      </c>
      <c r="U998">
        <v>1</v>
      </c>
      <c r="V998">
        <v>1</v>
      </c>
      <c r="W998">
        <v>1</v>
      </c>
      <c r="AA998">
        <v>-8377.2351999999992</v>
      </c>
      <c r="AB998">
        <v>-8377.2351999999992</v>
      </c>
      <c r="AC998">
        <v>-8377.2351999999992</v>
      </c>
      <c r="AD998">
        <v>-8377.2351999999992</v>
      </c>
      <c r="AE998">
        <v>-8377.2351999999992</v>
      </c>
    </row>
    <row r="999" spans="2:32" x14ac:dyDescent="0.25">
      <c r="B999">
        <f t="shared" si="42"/>
        <v>60</v>
      </c>
      <c r="C999">
        <v>1</v>
      </c>
      <c r="D999">
        <v>1</v>
      </c>
      <c r="E999">
        <v>1</v>
      </c>
      <c r="F999">
        <v>1</v>
      </c>
      <c r="G999">
        <v>1</v>
      </c>
      <c r="J999">
        <f t="shared" si="43"/>
        <v>60</v>
      </c>
      <c r="K999">
        <v>1</v>
      </c>
      <c r="L999">
        <v>1</v>
      </c>
      <c r="M999">
        <v>1</v>
      </c>
      <c r="N999">
        <v>1</v>
      </c>
      <c r="O999">
        <v>1</v>
      </c>
      <c r="R999">
        <f t="shared" si="44"/>
        <v>60</v>
      </c>
      <c r="S999">
        <v>1</v>
      </c>
      <c r="T999">
        <v>1</v>
      </c>
      <c r="U999">
        <v>1</v>
      </c>
      <c r="V999">
        <v>1</v>
      </c>
      <c r="W999">
        <v>1</v>
      </c>
      <c r="AA999">
        <v>-8227.3953999999994</v>
      </c>
      <c r="AB999">
        <v>-8227.3953999999994</v>
      </c>
      <c r="AC999">
        <v>-8227.3953999999994</v>
      </c>
      <c r="AD999">
        <v>-8227.3953999999994</v>
      </c>
      <c r="AE999">
        <v>-8227.3953999999994</v>
      </c>
    </row>
    <row r="1000" spans="2:32" x14ac:dyDescent="0.25">
      <c r="B1000">
        <f t="shared" si="42"/>
        <v>61</v>
      </c>
      <c r="C1000">
        <v>1</v>
      </c>
      <c r="D1000">
        <v>1</v>
      </c>
      <c r="E1000">
        <v>1</v>
      </c>
      <c r="F1000">
        <v>1</v>
      </c>
      <c r="G1000">
        <v>1</v>
      </c>
      <c r="J1000">
        <f t="shared" si="43"/>
        <v>61</v>
      </c>
      <c r="K1000">
        <v>1</v>
      </c>
      <c r="L1000">
        <v>1</v>
      </c>
      <c r="M1000">
        <v>1</v>
      </c>
      <c r="N1000">
        <v>1</v>
      </c>
      <c r="O1000">
        <v>1</v>
      </c>
      <c r="R1000">
        <f t="shared" si="44"/>
        <v>61</v>
      </c>
      <c r="S1000">
        <v>1</v>
      </c>
      <c r="T1000">
        <v>1</v>
      </c>
      <c r="U1000">
        <v>1</v>
      </c>
      <c r="V1000">
        <v>1</v>
      </c>
      <c r="W1000">
        <v>1</v>
      </c>
      <c r="AA1000">
        <v>-8076.1778999999997</v>
      </c>
      <c r="AB1000">
        <v>-8076.1778999999997</v>
      </c>
      <c r="AC1000">
        <v>-8076.1778999999997</v>
      </c>
      <c r="AD1000">
        <v>-8076.1778999999997</v>
      </c>
      <c r="AE1000">
        <v>-8076.1778999999997</v>
      </c>
    </row>
    <row r="1001" spans="2:32" x14ac:dyDescent="0.25">
      <c r="B1001">
        <f t="shared" si="42"/>
        <v>62</v>
      </c>
      <c r="C1001">
        <v>1</v>
      </c>
      <c r="D1001">
        <v>1</v>
      </c>
      <c r="E1001">
        <v>1</v>
      </c>
      <c r="F1001">
        <v>1</v>
      </c>
      <c r="G1001">
        <v>1</v>
      </c>
      <c r="J1001">
        <f t="shared" si="43"/>
        <v>62</v>
      </c>
      <c r="K1001">
        <v>1</v>
      </c>
      <c r="L1001">
        <v>1</v>
      </c>
      <c r="M1001">
        <v>1</v>
      </c>
      <c r="N1001">
        <v>1</v>
      </c>
      <c r="O1001">
        <v>1</v>
      </c>
      <c r="R1001">
        <f t="shared" si="44"/>
        <v>62</v>
      </c>
      <c r="S1001">
        <v>1</v>
      </c>
      <c r="T1001">
        <v>1</v>
      </c>
      <c r="U1001">
        <v>1</v>
      </c>
      <c r="V1001">
        <v>1</v>
      </c>
      <c r="W1001">
        <v>1</v>
      </c>
      <c r="AA1001">
        <v>-7923.5816000000004</v>
      </c>
      <c r="AB1001">
        <v>-7923.5816000000004</v>
      </c>
      <c r="AC1001">
        <v>-7923.5816000000004</v>
      </c>
      <c r="AD1001">
        <v>-7923.5816000000004</v>
      </c>
      <c r="AE1001">
        <v>-7923.5816000000004</v>
      </c>
    </row>
    <row r="1002" spans="2:32" x14ac:dyDescent="0.25">
      <c r="B1002">
        <f t="shared" si="42"/>
        <v>63</v>
      </c>
      <c r="C1002">
        <v>1</v>
      </c>
      <c r="D1002">
        <v>1</v>
      </c>
      <c r="E1002">
        <v>1</v>
      </c>
      <c r="F1002">
        <v>1</v>
      </c>
      <c r="G1002">
        <v>1</v>
      </c>
      <c r="J1002">
        <f t="shared" si="43"/>
        <v>63</v>
      </c>
      <c r="K1002">
        <v>1</v>
      </c>
      <c r="L1002">
        <v>1</v>
      </c>
      <c r="M1002">
        <v>1</v>
      </c>
      <c r="N1002">
        <v>1</v>
      </c>
      <c r="O1002">
        <v>1</v>
      </c>
      <c r="R1002">
        <f t="shared" si="44"/>
        <v>63</v>
      </c>
      <c r="S1002">
        <v>1</v>
      </c>
      <c r="T1002">
        <v>1</v>
      </c>
      <c r="U1002">
        <v>1</v>
      </c>
      <c r="V1002">
        <v>1</v>
      </c>
      <c r="W1002">
        <v>1</v>
      </c>
      <c r="AA1002">
        <v>-7769.2775000000001</v>
      </c>
      <c r="AB1002">
        <v>-7769.2775000000001</v>
      </c>
      <c r="AC1002">
        <v>-7769.2775000000001</v>
      </c>
      <c r="AD1002">
        <v>-7769.2775000000001</v>
      </c>
      <c r="AE1002">
        <v>-7769.2775000000001</v>
      </c>
    </row>
    <row r="1003" spans="2:32" x14ac:dyDescent="0.25">
      <c r="B1003">
        <f t="shared" si="42"/>
        <v>64</v>
      </c>
      <c r="C1003">
        <v>1</v>
      </c>
      <c r="D1003">
        <v>1</v>
      </c>
      <c r="E1003">
        <v>1</v>
      </c>
      <c r="F1003">
        <v>1</v>
      </c>
      <c r="G1003">
        <v>1</v>
      </c>
      <c r="J1003">
        <f t="shared" si="43"/>
        <v>64</v>
      </c>
      <c r="K1003">
        <v>1</v>
      </c>
      <c r="L1003">
        <v>1</v>
      </c>
      <c r="M1003">
        <v>1</v>
      </c>
      <c r="N1003">
        <v>1</v>
      </c>
      <c r="O1003">
        <v>1</v>
      </c>
      <c r="R1003">
        <f t="shared" si="44"/>
        <v>64</v>
      </c>
      <c r="S1003">
        <v>1</v>
      </c>
      <c r="T1003">
        <v>1</v>
      </c>
      <c r="U1003">
        <v>1</v>
      </c>
      <c r="V1003">
        <v>1</v>
      </c>
      <c r="W1003">
        <v>1</v>
      </c>
      <c r="AA1003">
        <v>-7613.3999000000003</v>
      </c>
      <c r="AB1003">
        <v>-7613.3999000000003</v>
      </c>
      <c r="AC1003">
        <v>-7613.3999000000003</v>
      </c>
      <c r="AD1003">
        <v>-7613.3999000000003</v>
      </c>
      <c r="AE1003">
        <v>-7613.3999000000003</v>
      </c>
    </row>
    <row r="1004" spans="2:32" x14ac:dyDescent="0.25">
      <c r="B1004">
        <f t="shared" si="42"/>
        <v>65</v>
      </c>
      <c r="C1004">
        <v>1</v>
      </c>
      <c r="D1004">
        <v>1</v>
      </c>
      <c r="E1004">
        <v>1</v>
      </c>
      <c r="F1004">
        <v>1</v>
      </c>
      <c r="G1004">
        <v>1</v>
      </c>
      <c r="J1004">
        <f t="shared" si="43"/>
        <v>65</v>
      </c>
      <c r="K1004">
        <v>1</v>
      </c>
      <c r="L1004">
        <v>1</v>
      </c>
      <c r="M1004">
        <v>1</v>
      </c>
      <c r="N1004">
        <v>1</v>
      </c>
      <c r="O1004">
        <v>1</v>
      </c>
      <c r="R1004">
        <f t="shared" si="44"/>
        <v>65</v>
      </c>
      <c r="S1004">
        <v>1</v>
      </c>
      <c r="T1004">
        <v>1</v>
      </c>
      <c r="U1004">
        <v>1</v>
      </c>
      <c r="V1004">
        <v>1</v>
      </c>
      <c r="W1004">
        <v>1</v>
      </c>
      <c r="AA1004">
        <v>-7455.8590000000004</v>
      </c>
      <c r="AB1004">
        <v>-7455.8590000000004</v>
      </c>
      <c r="AC1004">
        <v>-7455.8590000000004</v>
      </c>
      <c r="AD1004">
        <v>-7455.8590000000004</v>
      </c>
      <c r="AE1004">
        <v>-7455.8590000000004</v>
      </c>
    </row>
    <row r="1007" spans="2:32" x14ac:dyDescent="0.25">
      <c r="B1007" t="s">
        <v>46</v>
      </c>
      <c r="C1007">
        <v>50000</v>
      </c>
      <c r="D1007">
        <v>100000</v>
      </c>
      <c r="E1007">
        <v>250000</v>
      </c>
      <c r="F1007">
        <v>500000</v>
      </c>
      <c r="G1007">
        <v>1000000</v>
      </c>
      <c r="H1007">
        <v>2000000</v>
      </c>
      <c r="J1007" t="s">
        <v>47</v>
      </c>
      <c r="K1007">
        <v>50000</v>
      </c>
      <c r="L1007">
        <v>100000</v>
      </c>
      <c r="M1007">
        <v>250000</v>
      </c>
      <c r="N1007">
        <v>500000</v>
      </c>
      <c r="O1007">
        <v>1000000</v>
      </c>
      <c r="P1007">
        <v>2000000</v>
      </c>
      <c r="R1007" t="s">
        <v>48</v>
      </c>
      <c r="S1007">
        <v>50000</v>
      </c>
      <c r="T1007">
        <v>100000</v>
      </c>
      <c r="U1007">
        <v>250000</v>
      </c>
      <c r="V1007">
        <v>500000</v>
      </c>
      <c r="W1007">
        <v>1000000</v>
      </c>
      <c r="X1007">
        <v>2000000</v>
      </c>
    </row>
    <row r="1008" spans="2:32" x14ac:dyDescent="0.25">
      <c r="B1008">
        <v>26</v>
      </c>
      <c r="C1008">
        <v>1</v>
      </c>
      <c r="D1008">
        <v>1</v>
      </c>
      <c r="E1008">
        <v>1</v>
      </c>
      <c r="F1008">
        <v>1</v>
      </c>
      <c r="G1008">
        <v>1</v>
      </c>
      <c r="H1008">
        <v>1</v>
      </c>
      <c r="J1008">
        <v>26</v>
      </c>
      <c r="K1008">
        <v>1</v>
      </c>
      <c r="L1008">
        <v>1</v>
      </c>
      <c r="M1008">
        <v>1</v>
      </c>
      <c r="N1008">
        <v>1</v>
      </c>
      <c r="O1008">
        <v>1</v>
      </c>
      <c r="P1008">
        <v>1</v>
      </c>
      <c r="R1008">
        <v>26</v>
      </c>
      <c r="S1008">
        <v>1</v>
      </c>
      <c r="T1008">
        <v>1</v>
      </c>
      <c r="U1008">
        <v>1</v>
      </c>
      <c r="V1008">
        <v>1</v>
      </c>
      <c r="W1008">
        <v>1</v>
      </c>
      <c r="X1008">
        <v>1</v>
      </c>
      <c r="AA1008">
        <v>-7435.5060999999996</v>
      </c>
      <c r="AB1008">
        <v>-7435.5060999999996</v>
      </c>
      <c r="AC1008">
        <v>-7435.5060999999996</v>
      </c>
      <c r="AD1008">
        <v>-7435.5060999999996</v>
      </c>
      <c r="AE1008">
        <v>-7435.5060999999996</v>
      </c>
      <c r="AF1008">
        <v>-7435.5060999999996</v>
      </c>
    </row>
    <row r="1009" spans="2:32" x14ac:dyDescent="0.25">
      <c r="B1009">
        <v>27</v>
      </c>
      <c r="C1009">
        <v>1</v>
      </c>
      <c r="D1009">
        <v>1</v>
      </c>
      <c r="E1009">
        <v>1</v>
      </c>
      <c r="F1009">
        <v>1</v>
      </c>
      <c r="G1009">
        <v>1</v>
      </c>
      <c r="H1009">
        <v>1</v>
      </c>
      <c r="J1009">
        <v>27</v>
      </c>
      <c r="K1009">
        <v>1</v>
      </c>
      <c r="L1009">
        <v>1</v>
      </c>
      <c r="M1009">
        <v>1</v>
      </c>
      <c r="N1009">
        <v>1</v>
      </c>
      <c r="O1009">
        <v>1</v>
      </c>
      <c r="P1009">
        <v>1</v>
      </c>
      <c r="R1009">
        <v>27</v>
      </c>
      <c r="S1009">
        <v>1</v>
      </c>
      <c r="T1009">
        <v>1</v>
      </c>
      <c r="U1009">
        <v>1</v>
      </c>
      <c r="V1009">
        <v>1</v>
      </c>
      <c r="W1009">
        <v>1</v>
      </c>
      <c r="X1009">
        <v>1</v>
      </c>
      <c r="AA1009">
        <v>-7434.2619000000004</v>
      </c>
      <c r="AB1009">
        <v>-7434.2619000000004</v>
      </c>
      <c r="AC1009">
        <v>-7434.2619000000004</v>
      </c>
      <c r="AD1009">
        <v>-7434.2619000000004</v>
      </c>
      <c r="AE1009">
        <v>-7434.2619000000004</v>
      </c>
      <c r="AF1009">
        <v>-7434.2619000000004</v>
      </c>
    </row>
    <row r="1010" spans="2:32" x14ac:dyDescent="0.25">
      <c r="B1010">
        <v>28</v>
      </c>
      <c r="C1010">
        <v>1</v>
      </c>
      <c r="D1010">
        <v>1</v>
      </c>
      <c r="E1010">
        <v>1</v>
      </c>
      <c r="F1010">
        <v>1</v>
      </c>
      <c r="G1010">
        <v>1</v>
      </c>
      <c r="H1010">
        <v>1</v>
      </c>
      <c r="J1010">
        <v>28</v>
      </c>
      <c r="K1010">
        <v>1</v>
      </c>
      <c r="L1010">
        <v>1</v>
      </c>
      <c r="M1010">
        <v>1</v>
      </c>
      <c r="N1010">
        <v>1</v>
      </c>
      <c r="O1010">
        <v>1</v>
      </c>
      <c r="P1010">
        <v>1</v>
      </c>
      <c r="R1010">
        <v>28</v>
      </c>
      <c r="S1010">
        <v>1</v>
      </c>
      <c r="T1010">
        <v>1</v>
      </c>
      <c r="U1010">
        <v>1</v>
      </c>
      <c r="V1010">
        <v>1</v>
      </c>
      <c r="W1010">
        <v>1</v>
      </c>
      <c r="X1010">
        <v>1</v>
      </c>
      <c r="AA1010">
        <v>-7432.8334999999997</v>
      </c>
      <c r="AB1010">
        <v>-7432.8334999999997</v>
      </c>
      <c r="AC1010">
        <v>-7432.8334999999997</v>
      </c>
      <c r="AD1010">
        <v>-7432.8334999999997</v>
      </c>
      <c r="AE1010">
        <v>-7432.8334999999997</v>
      </c>
      <c r="AF1010">
        <v>-7432.8334999999997</v>
      </c>
    </row>
    <row r="1011" spans="2:32" x14ac:dyDescent="0.25">
      <c r="B1011">
        <v>29</v>
      </c>
      <c r="C1011">
        <v>1</v>
      </c>
      <c r="D1011">
        <v>1</v>
      </c>
      <c r="E1011">
        <v>1</v>
      </c>
      <c r="F1011">
        <v>1</v>
      </c>
      <c r="G1011">
        <v>1</v>
      </c>
      <c r="H1011">
        <v>1</v>
      </c>
      <c r="J1011">
        <v>29</v>
      </c>
      <c r="K1011">
        <v>1</v>
      </c>
      <c r="L1011">
        <v>1</v>
      </c>
      <c r="M1011">
        <v>1</v>
      </c>
      <c r="N1011">
        <v>1</v>
      </c>
      <c r="O1011">
        <v>1</v>
      </c>
      <c r="P1011">
        <v>1</v>
      </c>
      <c r="R1011">
        <v>29</v>
      </c>
      <c r="S1011">
        <v>1</v>
      </c>
      <c r="T1011">
        <v>1</v>
      </c>
      <c r="U1011">
        <v>1</v>
      </c>
      <c r="V1011">
        <v>1</v>
      </c>
      <c r="W1011">
        <v>1</v>
      </c>
      <c r="X1011">
        <v>1</v>
      </c>
      <c r="AA1011">
        <v>-7431.2058999999999</v>
      </c>
      <c r="AB1011">
        <v>-7431.2058999999999</v>
      </c>
      <c r="AC1011">
        <v>-7431.2058999999999</v>
      </c>
      <c r="AD1011">
        <v>-7431.2058999999999</v>
      </c>
      <c r="AE1011">
        <v>-7431.2058999999999</v>
      </c>
      <c r="AF1011">
        <v>-7431.2058999999999</v>
      </c>
    </row>
    <row r="1012" spans="2:32" x14ac:dyDescent="0.25">
      <c r="B1012">
        <v>30</v>
      </c>
      <c r="C1012">
        <v>1</v>
      </c>
      <c r="D1012">
        <v>1</v>
      </c>
      <c r="E1012">
        <v>1</v>
      </c>
      <c r="F1012">
        <v>1</v>
      </c>
      <c r="G1012">
        <v>1</v>
      </c>
      <c r="H1012">
        <v>1</v>
      </c>
      <c r="J1012">
        <v>30</v>
      </c>
      <c r="K1012">
        <v>1</v>
      </c>
      <c r="L1012">
        <v>1</v>
      </c>
      <c r="M1012">
        <v>1</v>
      </c>
      <c r="N1012">
        <v>1</v>
      </c>
      <c r="O1012">
        <v>1</v>
      </c>
      <c r="P1012">
        <v>1</v>
      </c>
      <c r="R1012">
        <v>30</v>
      </c>
      <c r="S1012">
        <v>1</v>
      </c>
      <c r="T1012">
        <v>1</v>
      </c>
      <c r="U1012">
        <v>1</v>
      </c>
      <c r="V1012">
        <v>1</v>
      </c>
      <c r="W1012">
        <v>1</v>
      </c>
      <c r="X1012">
        <v>1</v>
      </c>
      <c r="AA1012">
        <v>-7429.3476000000001</v>
      </c>
      <c r="AB1012">
        <v>-7429.3476000000001</v>
      </c>
      <c r="AC1012">
        <v>-7429.3476000000001</v>
      </c>
      <c r="AD1012">
        <v>-7429.3476000000001</v>
      </c>
      <c r="AE1012">
        <v>-7429.3476000000001</v>
      </c>
      <c r="AF1012">
        <v>-7429.3476000000001</v>
      </c>
    </row>
    <row r="1013" spans="2:32" x14ac:dyDescent="0.25">
      <c r="B1013">
        <v>31</v>
      </c>
      <c r="C1013">
        <v>1</v>
      </c>
      <c r="D1013">
        <v>1</v>
      </c>
      <c r="E1013">
        <v>1</v>
      </c>
      <c r="F1013">
        <v>1</v>
      </c>
      <c r="G1013">
        <v>1</v>
      </c>
      <c r="H1013">
        <v>1</v>
      </c>
      <c r="J1013">
        <v>31</v>
      </c>
      <c r="K1013">
        <v>1</v>
      </c>
      <c r="L1013">
        <v>1</v>
      </c>
      <c r="M1013">
        <v>1</v>
      </c>
      <c r="N1013">
        <v>1</v>
      </c>
      <c r="O1013">
        <v>1</v>
      </c>
      <c r="P1013">
        <v>1</v>
      </c>
      <c r="R1013">
        <v>31</v>
      </c>
      <c r="S1013">
        <v>1</v>
      </c>
      <c r="T1013">
        <v>1</v>
      </c>
      <c r="U1013">
        <v>1</v>
      </c>
      <c r="V1013">
        <v>1</v>
      </c>
      <c r="W1013">
        <v>1</v>
      </c>
      <c r="X1013">
        <v>1</v>
      </c>
      <c r="AA1013">
        <v>-7427.2446</v>
      </c>
      <c r="AB1013">
        <v>-7427.2446</v>
      </c>
      <c r="AC1013">
        <v>-7427.2446</v>
      </c>
      <c r="AD1013">
        <v>-7427.2446</v>
      </c>
      <c r="AE1013">
        <v>-7427.2446</v>
      </c>
      <c r="AF1013">
        <v>-7427.2446</v>
      </c>
    </row>
    <row r="1014" spans="2:32" x14ac:dyDescent="0.25">
      <c r="B1014">
        <v>32</v>
      </c>
      <c r="C1014">
        <v>1</v>
      </c>
      <c r="D1014">
        <v>1</v>
      </c>
      <c r="E1014">
        <v>1</v>
      </c>
      <c r="F1014">
        <v>1</v>
      </c>
      <c r="G1014">
        <v>1</v>
      </c>
      <c r="H1014">
        <v>1</v>
      </c>
      <c r="J1014">
        <v>32</v>
      </c>
      <c r="K1014">
        <v>1</v>
      </c>
      <c r="L1014">
        <v>1</v>
      </c>
      <c r="M1014">
        <v>1</v>
      </c>
      <c r="N1014">
        <v>1</v>
      </c>
      <c r="O1014">
        <v>1</v>
      </c>
      <c r="P1014">
        <v>1</v>
      </c>
      <c r="R1014">
        <v>32</v>
      </c>
      <c r="S1014">
        <v>1</v>
      </c>
      <c r="T1014">
        <v>1</v>
      </c>
      <c r="U1014">
        <v>1</v>
      </c>
      <c r="V1014">
        <v>1</v>
      </c>
      <c r="W1014">
        <v>1</v>
      </c>
      <c r="X1014">
        <v>1</v>
      </c>
      <c r="AA1014">
        <v>-7424.8944000000001</v>
      </c>
      <c r="AB1014">
        <v>-7424.8944000000001</v>
      </c>
      <c r="AC1014">
        <v>-7424.8944000000001</v>
      </c>
      <c r="AD1014">
        <v>-7424.8944000000001</v>
      </c>
      <c r="AE1014">
        <v>-7424.8944000000001</v>
      </c>
      <c r="AF1014">
        <v>-7424.8944000000001</v>
      </c>
    </row>
    <row r="1015" spans="2:32" x14ac:dyDescent="0.25">
      <c r="B1015">
        <v>33</v>
      </c>
      <c r="C1015">
        <v>1</v>
      </c>
      <c r="D1015">
        <v>1</v>
      </c>
      <c r="E1015">
        <v>1</v>
      </c>
      <c r="F1015">
        <v>1</v>
      </c>
      <c r="G1015">
        <v>1</v>
      </c>
      <c r="H1015">
        <v>1</v>
      </c>
      <c r="J1015">
        <v>33</v>
      </c>
      <c r="K1015">
        <v>1</v>
      </c>
      <c r="L1015">
        <v>1</v>
      </c>
      <c r="M1015">
        <v>1</v>
      </c>
      <c r="N1015">
        <v>1</v>
      </c>
      <c r="O1015">
        <v>1</v>
      </c>
      <c r="P1015">
        <v>1</v>
      </c>
      <c r="R1015">
        <v>33</v>
      </c>
      <c r="S1015">
        <v>1</v>
      </c>
      <c r="T1015">
        <v>1</v>
      </c>
      <c r="U1015">
        <v>1</v>
      </c>
      <c r="V1015">
        <v>1</v>
      </c>
      <c r="W1015">
        <v>1</v>
      </c>
      <c r="X1015">
        <v>1</v>
      </c>
      <c r="AA1015">
        <v>-7422.2834000000003</v>
      </c>
      <c r="AB1015">
        <v>-7422.2834000000003</v>
      </c>
      <c r="AC1015">
        <v>-7422.2834000000003</v>
      </c>
      <c r="AD1015">
        <v>-7422.2834000000003</v>
      </c>
      <c r="AE1015">
        <v>-7422.2834000000003</v>
      </c>
      <c r="AF1015">
        <v>-7422.2834000000003</v>
      </c>
    </row>
    <row r="1016" spans="2:32" x14ac:dyDescent="0.25">
      <c r="B1016">
        <v>34</v>
      </c>
      <c r="C1016">
        <v>1</v>
      </c>
      <c r="D1016">
        <v>1</v>
      </c>
      <c r="E1016">
        <v>1</v>
      </c>
      <c r="F1016">
        <v>1</v>
      </c>
      <c r="G1016">
        <v>1</v>
      </c>
      <c r="H1016">
        <v>1</v>
      </c>
      <c r="J1016">
        <v>34</v>
      </c>
      <c r="K1016">
        <v>1</v>
      </c>
      <c r="L1016">
        <v>1</v>
      </c>
      <c r="M1016">
        <v>1</v>
      </c>
      <c r="N1016">
        <v>1</v>
      </c>
      <c r="O1016">
        <v>1</v>
      </c>
      <c r="P1016">
        <v>1</v>
      </c>
      <c r="R1016">
        <v>34</v>
      </c>
      <c r="S1016">
        <v>1</v>
      </c>
      <c r="T1016">
        <v>1</v>
      </c>
      <c r="U1016">
        <v>1</v>
      </c>
      <c r="V1016">
        <v>1</v>
      </c>
      <c r="W1016">
        <v>1</v>
      </c>
      <c r="X1016">
        <v>1</v>
      </c>
      <c r="AA1016">
        <v>-7419.3683000000001</v>
      </c>
      <c r="AB1016">
        <v>-7419.3683000000001</v>
      </c>
      <c r="AC1016">
        <v>-7419.3683000000001</v>
      </c>
      <c r="AD1016">
        <v>-7419.3683000000001</v>
      </c>
      <c r="AE1016">
        <v>-7419.3683000000001</v>
      </c>
      <c r="AF1016">
        <v>-7419.3683000000001</v>
      </c>
    </row>
    <row r="1017" spans="2:32" x14ac:dyDescent="0.25">
      <c r="B1017">
        <v>35</v>
      </c>
      <c r="C1017">
        <v>1</v>
      </c>
      <c r="D1017">
        <v>1</v>
      </c>
      <c r="E1017">
        <v>1</v>
      </c>
      <c r="F1017">
        <v>1</v>
      </c>
      <c r="G1017">
        <v>1</v>
      </c>
      <c r="H1017">
        <v>1</v>
      </c>
      <c r="J1017">
        <v>35</v>
      </c>
      <c r="K1017">
        <v>1</v>
      </c>
      <c r="L1017">
        <v>1</v>
      </c>
      <c r="M1017">
        <v>1</v>
      </c>
      <c r="N1017">
        <v>1</v>
      </c>
      <c r="O1017">
        <v>1</v>
      </c>
      <c r="P1017">
        <v>1</v>
      </c>
      <c r="R1017">
        <v>35</v>
      </c>
      <c r="S1017">
        <v>1</v>
      </c>
      <c r="T1017">
        <v>1</v>
      </c>
      <c r="U1017">
        <v>1</v>
      </c>
      <c r="V1017">
        <v>1</v>
      </c>
      <c r="W1017">
        <v>1</v>
      </c>
      <c r="X1017">
        <v>1</v>
      </c>
      <c r="AA1017">
        <v>-7416.1363000000001</v>
      </c>
      <c r="AB1017">
        <v>-7416.1363000000001</v>
      </c>
      <c r="AC1017">
        <v>-7416.1363000000001</v>
      </c>
      <c r="AD1017">
        <v>-7416.1363000000001</v>
      </c>
      <c r="AE1017">
        <v>-7416.1363000000001</v>
      </c>
      <c r="AF1017">
        <v>-7416.1363000000001</v>
      </c>
    </row>
    <row r="1018" spans="2:32" x14ac:dyDescent="0.25">
      <c r="B1018">
        <v>36</v>
      </c>
      <c r="C1018">
        <v>1</v>
      </c>
      <c r="D1018">
        <v>1</v>
      </c>
      <c r="E1018">
        <v>1</v>
      </c>
      <c r="F1018">
        <v>1</v>
      </c>
      <c r="G1018">
        <v>1</v>
      </c>
      <c r="H1018">
        <v>1</v>
      </c>
      <c r="J1018">
        <v>36</v>
      </c>
      <c r="K1018">
        <v>1</v>
      </c>
      <c r="L1018">
        <v>1</v>
      </c>
      <c r="M1018">
        <v>1</v>
      </c>
      <c r="N1018">
        <v>1</v>
      </c>
      <c r="O1018">
        <v>1</v>
      </c>
      <c r="P1018">
        <v>1</v>
      </c>
      <c r="R1018">
        <v>36</v>
      </c>
      <c r="S1018">
        <v>1</v>
      </c>
      <c r="T1018">
        <v>1</v>
      </c>
      <c r="U1018">
        <v>1</v>
      </c>
      <c r="V1018">
        <v>1</v>
      </c>
      <c r="W1018">
        <v>1</v>
      </c>
      <c r="X1018">
        <v>1</v>
      </c>
      <c r="AA1018">
        <v>-7412.5378000000001</v>
      </c>
      <c r="AB1018">
        <v>-7412.5378000000001</v>
      </c>
      <c r="AC1018">
        <v>-7412.5378000000001</v>
      </c>
      <c r="AD1018">
        <v>-7412.5378000000001</v>
      </c>
      <c r="AE1018">
        <v>-7412.5378000000001</v>
      </c>
      <c r="AF1018">
        <v>-7412.5378000000001</v>
      </c>
    </row>
    <row r="1019" spans="2:32" x14ac:dyDescent="0.25">
      <c r="B1019">
        <v>37</v>
      </c>
      <c r="C1019">
        <v>1</v>
      </c>
      <c r="D1019">
        <v>1</v>
      </c>
      <c r="E1019">
        <v>1</v>
      </c>
      <c r="F1019">
        <v>1</v>
      </c>
      <c r="G1019">
        <v>1</v>
      </c>
      <c r="H1019">
        <v>1</v>
      </c>
      <c r="J1019">
        <v>37</v>
      </c>
      <c r="K1019">
        <v>1</v>
      </c>
      <c r="L1019">
        <v>1</v>
      </c>
      <c r="M1019">
        <v>1</v>
      </c>
      <c r="N1019">
        <v>1</v>
      </c>
      <c r="O1019">
        <v>1</v>
      </c>
      <c r="P1019">
        <v>1</v>
      </c>
      <c r="R1019">
        <v>37</v>
      </c>
      <c r="S1019">
        <v>1</v>
      </c>
      <c r="T1019">
        <v>1</v>
      </c>
      <c r="U1019">
        <v>1</v>
      </c>
      <c r="V1019">
        <v>1</v>
      </c>
      <c r="W1019">
        <v>1</v>
      </c>
      <c r="X1019">
        <v>1</v>
      </c>
      <c r="AA1019">
        <v>-7408.55</v>
      </c>
      <c r="AB1019">
        <v>-7408.55</v>
      </c>
      <c r="AC1019">
        <v>-7408.55</v>
      </c>
      <c r="AD1019">
        <v>-7408.55</v>
      </c>
      <c r="AE1019">
        <v>-7408.55</v>
      </c>
      <c r="AF1019">
        <v>-7408.55</v>
      </c>
    </row>
    <row r="1020" spans="2:32" x14ac:dyDescent="0.25">
      <c r="B1020">
        <v>38</v>
      </c>
      <c r="C1020">
        <v>1</v>
      </c>
      <c r="D1020">
        <v>1</v>
      </c>
      <c r="E1020">
        <v>1</v>
      </c>
      <c r="F1020">
        <v>1</v>
      </c>
      <c r="G1020">
        <v>1</v>
      </c>
      <c r="H1020">
        <v>1</v>
      </c>
      <c r="J1020">
        <v>38</v>
      </c>
      <c r="K1020">
        <v>1</v>
      </c>
      <c r="L1020">
        <v>1</v>
      </c>
      <c r="M1020">
        <v>1</v>
      </c>
      <c r="N1020">
        <v>1</v>
      </c>
      <c r="O1020">
        <v>1</v>
      </c>
      <c r="P1020">
        <v>1</v>
      </c>
      <c r="R1020">
        <v>38</v>
      </c>
      <c r="S1020">
        <v>1</v>
      </c>
      <c r="T1020">
        <v>1</v>
      </c>
      <c r="U1020">
        <v>1</v>
      </c>
      <c r="V1020">
        <v>1</v>
      </c>
      <c r="W1020">
        <v>1</v>
      </c>
      <c r="X1020">
        <v>1</v>
      </c>
      <c r="AA1020">
        <v>-7404.1752999999999</v>
      </c>
      <c r="AB1020">
        <v>-7404.1752999999999</v>
      </c>
      <c r="AC1020">
        <v>-7404.1752999999999</v>
      </c>
      <c r="AD1020">
        <v>-7404.1752999999999</v>
      </c>
      <c r="AE1020">
        <v>-7404.1752999999999</v>
      </c>
      <c r="AF1020">
        <v>-7404.1752999999999</v>
      </c>
    </row>
    <row r="1021" spans="2:32" x14ac:dyDescent="0.25">
      <c r="B1021">
        <v>39</v>
      </c>
      <c r="C1021">
        <v>1</v>
      </c>
      <c r="D1021">
        <v>1</v>
      </c>
      <c r="E1021">
        <v>1</v>
      </c>
      <c r="F1021">
        <v>1</v>
      </c>
      <c r="G1021">
        <v>1</v>
      </c>
      <c r="H1021">
        <v>1</v>
      </c>
      <c r="J1021">
        <v>39</v>
      </c>
      <c r="K1021">
        <v>1</v>
      </c>
      <c r="L1021">
        <v>1</v>
      </c>
      <c r="M1021">
        <v>1</v>
      </c>
      <c r="N1021">
        <v>1</v>
      </c>
      <c r="O1021">
        <v>1</v>
      </c>
      <c r="P1021">
        <v>1</v>
      </c>
      <c r="R1021">
        <v>39</v>
      </c>
      <c r="S1021">
        <v>1</v>
      </c>
      <c r="T1021">
        <v>1</v>
      </c>
      <c r="U1021">
        <v>1</v>
      </c>
      <c r="V1021">
        <v>1</v>
      </c>
      <c r="W1021">
        <v>1</v>
      </c>
      <c r="X1021">
        <v>1</v>
      </c>
      <c r="AA1021">
        <v>-7399.3923999999997</v>
      </c>
      <c r="AB1021">
        <v>-7399.3923999999997</v>
      </c>
      <c r="AC1021">
        <v>-7399.3923999999997</v>
      </c>
      <c r="AD1021">
        <v>-7399.3923999999997</v>
      </c>
      <c r="AE1021">
        <v>-7399.3923999999997</v>
      </c>
      <c r="AF1021">
        <v>-7399.3923999999997</v>
      </c>
    </row>
    <row r="1022" spans="2:32" x14ac:dyDescent="0.25">
      <c r="B1022">
        <v>40</v>
      </c>
      <c r="C1022">
        <v>1</v>
      </c>
      <c r="D1022">
        <v>1</v>
      </c>
      <c r="E1022">
        <v>1</v>
      </c>
      <c r="F1022">
        <v>1</v>
      </c>
      <c r="G1022">
        <v>1</v>
      </c>
      <c r="H1022">
        <v>1</v>
      </c>
      <c r="J1022">
        <v>40</v>
      </c>
      <c r="K1022">
        <v>1</v>
      </c>
      <c r="L1022">
        <v>1</v>
      </c>
      <c r="M1022">
        <v>1</v>
      </c>
      <c r="N1022">
        <v>1</v>
      </c>
      <c r="O1022">
        <v>1</v>
      </c>
      <c r="P1022">
        <v>1</v>
      </c>
      <c r="R1022">
        <v>40</v>
      </c>
      <c r="S1022">
        <v>1</v>
      </c>
      <c r="T1022">
        <v>1</v>
      </c>
      <c r="U1022">
        <v>1</v>
      </c>
      <c r="V1022">
        <v>1</v>
      </c>
      <c r="W1022">
        <v>1</v>
      </c>
      <c r="X1022">
        <v>1</v>
      </c>
      <c r="AA1022">
        <v>-7394.1365999999998</v>
      </c>
      <c r="AB1022">
        <v>-7394.1365999999998</v>
      </c>
      <c r="AC1022">
        <v>-7394.1365999999998</v>
      </c>
      <c r="AD1022">
        <v>-7394.1365999999998</v>
      </c>
      <c r="AE1022">
        <v>-7394.1365999999998</v>
      </c>
      <c r="AF1022">
        <v>-7394.1365999999998</v>
      </c>
    </row>
    <row r="1023" spans="2:32" x14ac:dyDescent="0.25">
      <c r="B1023">
        <v>41</v>
      </c>
      <c r="C1023">
        <v>1</v>
      </c>
      <c r="D1023">
        <v>1</v>
      </c>
      <c r="E1023">
        <v>1</v>
      </c>
      <c r="F1023">
        <v>1</v>
      </c>
      <c r="G1023">
        <v>1</v>
      </c>
      <c r="H1023">
        <v>1</v>
      </c>
      <c r="J1023">
        <v>41</v>
      </c>
      <c r="K1023">
        <v>1</v>
      </c>
      <c r="L1023">
        <v>1</v>
      </c>
      <c r="M1023">
        <v>1</v>
      </c>
      <c r="N1023">
        <v>1</v>
      </c>
      <c r="O1023">
        <v>1</v>
      </c>
      <c r="P1023">
        <v>1</v>
      </c>
      <c r="R1023">
        <v>41</v>
      </c>
      <c r="S1023">
        <v>1</v>
      </c>
      <c r="T1023">
        <v>1</v>
      </c>
      <c r="U1023">
        <v>1</v>
      </c>
      <c r="V1023">
        <v>1</v>
      </c>
      <c r="W1023">
        <v>1</v>
      </c>
      <c r="X1023">
        <v>1</v>
      </c>
      <c r="AA1023">
        <v>-7388.3469999999998</v>
      </c>
      <c r="AB1023">
        <v>-7388.3469999999998</v>
      </c>
      <c r="AC1023">
        <v>-7388.3469999999998</v>
      </c>
      <c r="AD1023">
        <v>-7388.3469999999998</v>
      </c>
      <c r="AE1023">
        <v>-7388.3469999999998</v>
      </c>
      <c r="AF1023">
        <v>-7388.3469999999998</v>
      </c>
    </row>
    <row r="1024" spans="2:32" x14ac:dyDescent="0.25">
      <c r="B1024">
        <v>42</v>
      </c>
      <c r="C1024">
        <v>1</v>
      </c>
      <c r="D1024">
        <v>1</v>
      </c>
      <c r="E1024">
        <v>1</v>
      </c>
      <c r="F1024">
        <v>1</v>
      </c>
      <c r="G1024">
        <v>1</v>
      </c>
      <c r="H1024">
        <v>1</v>
      </c>
      <c r="J1024">
        <v>42</v>
      </c>
      <c r="K1024">
        <v>1</v>
      </c>
      <c r="L1024">
        <v>1</v>
      </c>
      <c r="M1024">
        <v>1</v>
      </c>
      <c r="N1024">
        <v>1</v>
      </c>
      <c r="O1024">
        <v>1</v>
      </c>
      <c r="P1024">
        <v>1</v>
      </c>
      <c r="R1024">
        <v>42</v>
      </c>
      <c r="S1024">
        <v>1</v>
      </c>
      <c r="T1024">
        <v>1</v>
      </c>
      <c r="U1024">
        <v>1</v>
      </c>
      <c r="V1024">
        <v>1</v>
      </c>
      <c r="W1024">
        <v>1</v>
      </c>
      <c r="X1024">
        <v>1</v>
      </c>
      <c r="AA1024">
        <v>-7381.9919</v>
      </c>
      <c r="AB1024">
        <v>-7381.9919</v>
      </c>
      <c r="AC1024">
        <v>-7381.9919</v>
      </c>
      <c r="AD1024">
        <v>-7381.9919</v>
      </c>
      <c r="AE1024">
        <v>-7381.9919</v>
      </c>
      <c r="AF1024">
        <v>-7381.9919</v>
      </c>
    </row>
    <row r="1025" spans="2:32" x14ac:dyDescent="0.25">
      <c r="B1025">
        <v>43</v>
      </c>
      <c r="C1025">
        <v>1</v>
      </c>
      <c r="D1025">
        <v>1</v>
      </c>
      <c r="E1025">
        <v>1</v>
      </c>
      <c r="F1025">
        <v>1</v>
      </c>
      <c r="G1025">
        <v>1</v>
      </c>
      <c r="H1025">
        <v>1</v>
      </c>
      <c r="J1025">
        <v>43</v>
      </c>
      <c r="K1025">
        <v>1</v>
      </c>
      <c r="L1025">
        <v>1</v>
      </c>
      <c r="M1025">
        <v>1</v>
      </c>
      <c r="N1025">
        <v>1</v>
      </c>
      <c r="O1025">
        <v>1</v>
      </c>
      <c r="P1025">
        <v>1</v>
      </c>
      <c r="R1025">
        <v>43</v>
      </c>
      <c r="S1025">
        <v>1</v>
      </c>
      <c r="T1025">
        <v>1</v>
      </c>
      <c r="U1025">
        <v>1</v>
      </c>
      <c r="V1025">
        <v>1</v>
      </c>
      <c r="W1025">
        <v>1</v>
      </c>
      <c r="X1025">
        <v>1</v>
      </c>
      <c r="AA1025">
        <v>-7374.9579999999996</v>
      </c>
      <c r="AB1025">
        <v>-7374.9579999999996</v>
      </c>
      <c r="AC1025">
        <v>-7374.9579999999996</v>
      </c>
      <c r="AD1025">
        <v>-7374.9579999999996</v>
      </c>
      <c r="AE1025">
        <v>-7374.9579999999996</v>
      </c>
      <c r="AF1025">
        <v>-7374.9579999999996</v>
      </c>
    </row>
    <row r="1026" spans="2:32" x14ac:dyDescent="0.25">
      <c r="B1026">
        <v>44</v>
      </c>
      <c r="C1026">
        <v>1</v>
      </c>
      <c r="D1026">
        <v>1</v>
      </c>
      <c r="E1026">
        <v>1</v>
      </c>
      <c r="F1026">
        <v>1</v>
      </c>
      <c r="G1026">
        <v>1</v>
      </c>
      <c r="H1026">
        <v>1</v>
      </c>
      <c r="J1026">
        <v>44</v>
      </c>
      <c r="K1026">
        <v>1</v>
      </c>
      <c r="L1026">
        <v>1</v>
      </c>
      <c r="M1026">
        <v>1</v>
      </c>
      <c r="N1026">
        <v>1</v>
      </c>
      <c r="O1026">
        <v>1</v>
      </c>
      <c r="P1026">
        <v>1</v>
      </c>
      <c r="R1026">
        <v>44</v>
      </c>
      <c r="S1026">
        <v>1</v>
      </c>
      <c r="T1026">
        <v>1</v>
      </c>
      <c r="U1026">
        <v>1</v>
      </c>
      <c r="V1026">
        <v>1</v>
      </c>
      <c r="W1026">
        <v>1</v>
      </c>
      <c r="X1026">
        <v>1</v>
      </c>
      <c r="AA1026">
        <v>-7367.2034999999996</v>
      </c>
      <c r="AB1026">
        <v>-7367.2034999999996</v>
      </c>
      <c r="AC1026">
        <v>-7367.2034999999996</v>
      </c>
      <c r="AD1026">
        <v>-7367.2034999999996</v>
      </c>
      <c r="AE1026">
        <v>-7367.2034999999996</v>
      </c>
      <c r="AF1026">
        <v>-7367.2034999999996</v>
      </c>
    </row>
    <row r="1027" spans="2:32" x14ac:dyDescent="0.25">
      <c r="B1027">
        <v>45</v>
      </c>
      <c r="C1027">
        <v>1</v>
      </c>
      <c r="D1027">
        <v>1</v>
      </c>
      <c r="E1027">
        <v>1</v>
      </c>
      <c r="F1027">
        <v>1</v>
      </c>
      <c r="G1027">
        <v>1</v>
      </c>
      <c r="H1027">
        <v>1</v>
      </c>
      <c r="J1027">
        <v>45</v>
      </c>
      <c r="K1027">
        <v>1</v>
      </c>
      <c r="L1027">
        <v>1</v>
      </c>
      <c r="M1027">
        <v>1</v>
      </c>
      <c r="N1027">
        <v>1</v>
      </c>
      <c r="O1027">
        <v>1</v>
      </c>
      <c r="P1027">
        <v>1</v>
      </c>
      <c r="R1027">
        <v>45</v>
      </c>
      <c r="S1027">
        <v>1</v>
      </c>
      <c r="T1027">
        <v>1</v>
      </c>
      <c r="U1027">
        <v>1</v>
      </c>
      <c r="V1027">
        <v>1</v>
      </c>
      <c r="W1027">
        <v>1</v>
      </c>
      <c r="X1027">
        <v>1</v>
      </c>
      <c r="AA1027">
        <v>-7358.6491999999998</v>
      </c>
      <c r="AB1027">
        <v>-7358.6491999999998</v>
      </c>
      <c r="AC1027">
        <v>-7358.6491999999998</v>
      </c>
      <c r="AD1027">
        <v>-7358.6491999999998</v>
      </c>
      <c r="AE1027">
        <v>-7358.6491999999998</v>
      </c>
      <c r="AF1027">
        <v>-7358.6491999999998</v>
      </c>
    </row>
    <row r="1028" spans="2:32" x14ac:dyDescent="0.25">
      <c r="B1028">
        <v>46</v>
      </c>
      <c r="C1028">
        <v>1</v>
      </c>
      <c r="D1028">
        <v>1</v>
      </c>
      <c r="E1028">
        <v>1</v>
      </c>
      <c r="F1028">
        <v>1</v>
      </c>
      <c r="G1028">
        <v>1</v>
      </c>
      <c r="H1028">
        <v>1</v>
      </c>
      <c r="J1028">
        <v>46</v>
      </c>
      <c r="K1028">
        <v>1</v>
      </c>
      <c r="L1028">
        <v>1</v>
      </c>
      <c r="M1028">
        <v>1</v>
      </c>
      <c r="N1028">
        <v>1</v>
      </c>
      <c r="O1028">
        <v>1</v>
      </c>
      <c r="P1028">
        <v>1</v>
      </c>
      <c r="R1028">
        <v>46</v>
      </c>
      <c r="S1028">
        <v>1</v>
      </c>
      <c r="T1028">
        <v>1</v>
      </c>
      <c r="U1028">
        <v>1</v>
      </c>
      <c r="V1028">
        <v>1</v>
      </c>
      <c r="W1028">
        <v>1</v>
      </c>
      <c r="X1028">
        <v>1</v>
      </c>
      <c r="AA1028">
        <v>-7349.2232000000004</v>
      </c>
      <c r="AB1028">
        <v>-7349.2232000000004</v>
      </c>
      <c r="AC1028">
        <v>-7349.2232000000004</v>
      </c>
      <c r="AD1028">
        <v>-7349.2232000000004</v>
      </c>
      <c r="AE1028">
        <v>-7349.2232000000004</v>
      </c>
      <c r="AF1028">
        <v>-7349.2232000000004</v>
      </c>
    </row>
    <row r="1029" spans="2:32" x14ac:dyDescent="0.25">
      <c r="B1029">
        <v>47</v>
      </c>
      <c r="C1029">
        <v>1</v>
      </c>
      <c r="D1029">
        <v>1</v>
      </c>
      <c r="E1029">
        <v>1</v>
      </c>
      <c r="F1029">
        <v>1</v>
      </c>
      <c r="G1029">
        <v>1</v>
      </c>
      <c r="H1029">
        <v>1</v>
      </c>
      <c r="J1029">
        <v>47</v>
      </c>
      <c r="K1029">
        <v>1</v>
      </c>
      <c r="L1029">
        <v>1</v>
      </c>
      <c r="M1029">
        <v>1</v>
      </c>
      <c r="N1029">
        <v>1</v>
      </c>
      <c r="O1029">
        <v>1</v>
      </c>
      <c r="P1029">
        <v>1</v>
      </c>
      <c r="R1029">
        <v>47</v>
      </c>
      <c r="S1029">
        <v>1</v>
      </c>
      <c r="T1029">
        <v>1</v>
      </c>
      <c r="U1029">
        <v>1</v>
      </c>
      <c r="V1029">
        <v>1</v>
      </c>
      <c r="W1029">
        <v>1</v>
      </c>
      <c r="X1029">
        <v>1</v>
      </c>
      <c r="AA1029">
        <v>-7338.8310000000001</v>
      </c>
      <c r="AB1029">
        <v>-7338.8310000000001</v>
      </c>
      <c r="AC1029">
        <v>-7338.8310000000001</v>
      </c>
      <c r="AD1029">
        <v>-7338.8310000000001</v>
      </c>
      <c r="AE1029">
        <v>-7338.8310000000001</v>
      </c>
      <c r="AF1029">
        <v>-7338.8310000000001</v>
      </c>
    </row>
    <row r="1030" spans="2:32" x14ac:dyDescent="0.25">
      <c r="B1030">
        <v>48</v>
      </c>
      <c r="C1030">
        <v>1</v>
      </c>
      <c r="D1030">
        <v>1</v>
      </c>
      <c r="E1030">
        <v>1</v>
      </c>
      <c r="F1030">
        <v>1</v>
      </c>
      <c r="G1030">
        <v>1</v>
      </c>
      <c r="H1030">
        <v>1</v>
      </c>
      <c r="J1030">
        <v>48</v>
      </c>
      <c r="K1030">
        <v>1</v>
      </c>
      <c r="L1030">
        <v>1</v>
      </c>
      <c r="M1030">
        <v>1</v>
      </c>
      <c r="N1030">
        <v>1</v>
      </c>
      <c r="O1030">
        <v>1</v>
      </c>
      <c r="P1030">
        <v>1</v>
      </c>
      <c r="R1030">
        <v>48</v>
      </c>
      <c r="S1030">
        <v>1</v>
      </c>
      <c r="T1030">
        <v>1</v>
      </c>
      <c r="U1030">
        <v>1</v>
      </c>
      <c r="V1030">
        <v>1</v>
      </c>
      <c r="W1030">
        <v>1</v>
      </c>
      <c r="X1030">
        <v>1</v>
      </c>
      <c r="AA1030">
        <v>-7327.4297999999999</v>
      </c>
      <c r="AB1030">
        <v>-7327.4297999999999</v>
      </c>
      <c r="AC1030">
        <v>-7327.4297999999999</v>
      </c>
      <c r="AD1030">
        <v>-7327.4297999999999</v>
      </c>
      <c r="AE1030">
        <v>-7327.4297999999999</v>
      </c>
      <c r="AF1030">
        <v>-7327.4297999999999</v>
      </c>
    </row>
    <row r="1031" spans="2:32" x14ac:dyDescent="0.25">
      <c r="B1031">
        <v>49</v>
      </c>
      <c r="C1031">
        <v>1</v>
      </c>
      <c r="D1031">
        <v>1</v>
      </c>
      <c r="E1031">
        <v>1</v>
      </c>
      <c r="F1031">
        <v>1</v>
      </c>
      <c r="G1031">
        <v>1</v>
      </c>
      <c r="H1031">
        <v>1</v>
      </c>
      <c r="J1031">
        <v>49</v>
      </c>
      <c r="K1031">
        <v>1</v>
      </c>
      <c r="L1031">
        <v>1</v>
      </c>
      <c r="M1031">
        <v>1</v>
      </c>
      <c r="N1031">
        <v>1</v>
      </c>
      <c r="O1031">
        <v>1</v>
      </c>
      <c r="P1031">
        <v>1</v>
      </c>
      <c r="R1031">
        <v>49</v>
      </c>
      <c r="S1031">
        <v>1</v>
      </c>
      <c r="T1031">
        <v>1</v>
      </c>
      <c r="U1031">
        <v>1</v>
      </c>
      <c r="V1031">
        <v>1</v>
      </c>
      <c r="W1031">
        <v>1</v>
      </c>
      <c r="X1031">
        <v>1</v>
      </c>
      <c r="AA1031">
        <v>-7314.951</v>
      </c>
      <c r="AB1031">
        <v>-7314.951</v>
      </c>
      <c r="AC1031">
        <v>-7314.951</v>
      </c>
      <c r="AD1031">
        <v>-7314.951</v>
      </c>
      <c r="AE1031">
        <v>-7314.951</v>
      </c>
      <c r="AF1031">
        <v>-7314.951</v>
      </c>
    </row>
    <row r="1032" spans="2:32" x14ac:dyDescent="0.25">
      <c r="B1032">
        <v>50</v>
      </c>
      <c r="C1032">
        <v>1</v>
      </c>
      <c r="D1032">
        <v>1</v>
      </c>
      <c r="E1032">
        <v>1</v>
      </c>
      <c r="F1032">
        <v>1</v>
      </c>
      <c r="G1032">
        <v>1</v>
      </c>
      <c r="H1032">
        <v>1</v>
      </c>
      <c r="J1032">
        <v>50</v>
      </c>
      <c r="K1032">
        <v>1</v>
      </c>
      <c r="L1032">
        <v>1</v>
      </c>
      <c r="M1032">
        <v>1</v>
      </c>
      <c r="N1032">
        <v>1</v>
      </c>
      <c r="O1032">
        <v>1</v>
      </c>
      <c r="P1032">
        <v>1</v>
      </c>
      <c r="R1032">
        <v>50</v>
      </c>
      <c r="S1032">
        <v>1</v>
      </c>
      <c r="T1032">
        <v>1</v>
      </c>
      <c r="U1032">
        <v>1</v>
      </c>
      <c r="V1032">
        <v>1</v>
      </c>
      <c r="W1032">
        <v>1</v>
      </c>
      <c r="X1032">
        <v>1</v>
      </c>
      <c r="AA1032">
        <v>-7301.2851000000001</v>
      </c>
      <c r="AB1032">
        <v>-7301.2851000000001</v>
      </c>
      <c r="AC1032">
        <v>-7301.2851000000001</v>
      </c>
      <c r="AD1032">
        <v>-7301.2851000000001</v>
      </c>
      <c r="AE1032">
        <v>-7301.2851000000001</v>
      </c>
      <c r="AF1032">
        <v>-7301.2851000000001</v>
      </c>
    </row>
    <row r="1033" spans="2:32" x14ac:dyDescent="0.25">
      <c r="B1033">
        <v>51</v>
      </c>
      <c r="C1033">
        <v>1</v>
      </c>
      <c r="D1033">
        <v>1</v>
      </c>
      <c r="E1033">
        <v>1</v>
      </c>
      <c r="F1033">
        <v>1</v>
      </c>
      <c r="G1033">
        <v>1</v>
      </c>
      <c r="H1033">
        <v>1</v>
      </c>
      <c r="J1033">
        <v>51</v>
      </c>
      <c r="K1033">
        <v>1</v>
      </c>
      <c r="L1033">
        <v>1</v>
      </c>
      <c r="M1033">
        <v>1</v>
      </c>
      <c r="N1033">
        <v>1</v>
      </c>
      <c r="O1033">
        <v>1</v>
      </c>
      <c r="P1033">
        <v>1</v>
      </c>
      <c r="R1033">
        <v>51</v>
      </c>
      <c r="S1033">
        <v>1</v>
      </c>
      <c r="T1033">
        <v>1</v>
      </c>
      <c r="U1033">
        <v>1</v>
      </c>
      <c r="V1033">
        <v>1</v>
      </c>
      <c r="W1033">
        <v>1</v>
      </c>
      <c r="X1033">
        <v>1</v>
      </c>
      <c r="AA1033">
        <v>-7286.3271000000004</v>
      </c>
      <c r="AB1033">
        <v>-7286.3271000000004</v>
      </c>
      <c r="AC1033">
        <v>-7286.3271000000004</v>
      </c>
      <c r="AD1033">
        <v>-7286.3271000000004</v>
      </c>
      <c r="AE1033">
        <v>-7286.3271000000004</v>
      </c>
      <c r="AF1033">
        <v>-7286.3271000000004</v>
      </c>
    </row>
    <row r="1034" spans="2:32" x14ac:dyDescent="0.25">
      <c r="B1034">
        <v>52</v>
      </c>
      <c r="C1034">
        <v>1</v>
      </c>
      <c r="D1034">
        <v>1</v>
      </c>
      <c r="E1034">
        <v>1</v>
      </c>
      <c r="F1034">
        <v>1</v>
      </c>
      <c r="G1034">
        <v>1</v>
      </c>
      <c r="H1034">
        <v>1</v>
      </c>
      <c r="J1034">
        <v>52</v>
      </c>
      <c r="K1034">
        <v>1</v>
      </c>
      <c r="L1034">
        <v>1</v>
      </c>
      <c r="M1034">
        <v>1</v>
      </c>
      <c r="N1034">
        <v>1</v>
      </c>
      <c r="O1034">
        <v>1</v>
      </c>
      <c r="P1034">
        <v>1</v>
      </c>
      <c r="R1034">
        <v>52</v>
      </c>
      <c r="S1034">
        <v>1</v>
      </c>
      <c r="T1034">
        <v>1</v>
      </c>
      <c r="U1034">
        <v>1</v>
      </c>
      <c r="V1034">
        <v>1</v>
      </c>
      <c r="W1034">
        <v>1</v>
      </c>
      <c r="X1034">
        <v>1</v>
      </c>
      <c r="AA1034">
        <v>-7269.9448000000002</v>
      </c>
      <c r="AB1034">
        <v>-7269.9448000000002</v>
      </c>
      <c r="AC1034">
        <v>-7269.9448000000002</v>
      </c>
      <c r="AD1034">
        <v>-7269.9448000000002</v>
      </c>
      <c r="AE1034">
        <v>-7269.9448000000002</v>
      </c>
      <c r="AF1034">
        <v>-7269.9448000000002</v>
      </c>
    </row>
    <row r="1035" spans="2:32" x14ac:dyDescent="0.25">
      <c r="B1035">
        <v>53</v>
      </c>
      <c r="C1035">
        <v>1</v>
      </c>
      <c r="D1035">
        <v>1</v>
      </c>
      <c r="E1035">
        <v>1</v>
      </c>
      <c r="F1035">
        <v>1</v>
      </c>
      <c r="G1035">
        <v>1</v>
      </c>
      <c r="H1035">
        <v>1</v>
      </c>
      <c r="J1035">
        <v>53</v>
      </c>
      <c r="K1035">
        <v>1</v>
      </c>
      <c r="L1035">
        <v>1</v>
      </c>
      <c r="M1035">
        <v>1</v>
      </c>
      <c r="N1035">
        <v>1</v>
      </c>
      <c r="O1035">
        <v>1</v>
      </c>
      <c r="P1035">
        <v>1</v>
      </c>
      <c r="R1035">
        <v>53</v>
      </c>
      <c r="S1035">
        <v>1</v>
      </c>
      <c r="T1035">
        <v>1</v>
      </c>
      <c r="U1035">
        <v>1</v>
      </c>
      <c r="V1035">
        <v>1</v>
      </c>
      <c r="W1035">
        <v>1</v>
      </c>
      <c r="X1035">
        <v>1</v>
      </c>
      <c r="AA1035">
        <v>-7252.0574999999999</v>
      </c>
      <c r="AB1035">
        <v>-7252.0574999999999</v>
      </c>
      <c r="AC1035">
        <v>-7252.0574999999999</v>
      </c>
      <c r="AD1035">
        <v>-7252.0574999999999</v>
      </c>
      <c r="AE1035">
        <v>-7252.0574999999999</v>
      </c>
      <c r="AF1035">
        <v>-7252.0574999999999</v>
      </c>
    </row>
    <row r="1036" spans="2:32" x14ac:dyDescent="0.25">
      <c r="B1036">
        <v>54</v>
      </c>
      <c r="C1036">
        <v>1</v>
      </c>
      <c r="D1036">
        <v>1</v>
      </c>
      <c r="E1036">
        <v>1</v>
      </c>
      <c r="F1036">
        <v>1</v>
      </c>
      <c r="G1036">
        <v>1</v>
      </c>
      <c r="H1036">
        <v>1</v>
      </c>
      <c r="J1036">
        <v>54</v>
      </c>
      <c r="K1036">
        <v>1</v>
      </c>
      <c r="L1036">
        <v>1</v>
      </c>
      <c r="M1036">
        <v>1</v>
      </c>
      <c r="N1036">
        <v>1</v>
      </c>
      <c r="O1036">
        <v>1</v>
      </c>
      <c r="P1036">
        <v>1</v>
      </c>
      <c r="R1036">
        <v>54</v>
      </c>
      <c r="S1036">
        <v>1</v>
      </c>
      <c r="T1036">
        <v>1</v>
      </c>
      <c r="U1036">
        <v>1</v>
      </c>
      <c r="V1036">
        <v>1</v>
      </c>
      <c r="W1036">
        <v>1</v>
      </c>
      <c r="X1036">
        <v>1</v>
      </c>
      <c r="AA1036">
        <v>-7232.5680000000002</v>
      </c>
      <c r="AB1036">
        <v>-7232.5680000000002</v>
      </c>
      <c r="AC1036">
        <v>-7232.5680000000002</v>
      </c>
      <c r="AD1036">
        <v>-7232.5680000000002</v>
      </c>
      <c r="AE1036">
        <v>-7232.5680000000002</v>
      </c>
      <c r="AF1036">
        <v>-7232.5680000000002</v>
      </c>
    </row>
    <row r="1037" spans="2:32" x14ac:dyDescent="0.25">
      <c r="B1037">
        <v>55</v>
      </c>
      <c r="C1037">
        <v>1</v>
      </c>
      <c r="D1037">
        <v>1</v>
      </c>
      <c r="E1037">
        <v>1</v>
      </c>
      <c r="F1037">
        <v>1</v>
      </c>
      <c r="G1037">
        <v>1</v>
      </c>
      <c r="H1037">
        <v>1</v>
      </c>
      <c r="J1037">
        <v>55</v>
      </c>
      <c r="K1037">
        <v>1</v>
      </c>
      <c r="L1037">
        <v>1</v>
      </c>
      <c r="M1037">
        <v>1</v>
      </c>
      <c r="N1037">
        <v>1</v>
      </c>
      <c r="O1037">
        <v>1</v>
      </c>
      <c r="P1037">
        <v>1</v>
      </c>
      <c r="R1037">
        <v>55</v>
      </c>
      <c r="S1037">
        <v>1</v>
      </c>
      <c r="T1037">
        <v>1</v>
      </c>
      <c r="U1037">
        <v>1</v>
      </c>
      <c r="V1037">
        <v>1</v>
      </c>
      <c r="W1037">
        <v>1</v>
      </c>
      <c r="X1037">
        <v>1</v>
      </c>
      <c r="AA1037">
        <v>-7211.3207000000002</v>
      </c>
      <c r="AB1037">
        <v>-7211.3207000000002</v>
      </c>
      <c r="AC1037">
        <v>-7211.3207000000002</v>
      </c>
      <c r="AD1037">
        <v>-7211.3207000000002</v>
      </c>
      <c r="AE1037">
        <v>-7211.3207000000002</v>
      </c>
      <c r="AF1037">
        <v>-7211.3207000000002</v>
      </c>
    </row>
    <row r="1040" spans="2:32" x14ac:dyDescent="0.25">
      <c r="B1040" t="s">
        <v>46</v>
      </c>
      <c r="C1040">
        <v>100000</v>
      </c>
      <c r="D1040">
        <v>250000</v>
      </c>
      <c r="E1040">
        <v>500000</v>
      </c>
      <c r="F1040">
        <v>1000000</v>
      </c>
      <c r="G1040">
        <v>2000000</v>
      </c>
      <c r="J1040" t="s">
        <v>32</v>
      </c>
      <c r="K1040">
        <v>100000</v>
      </c>
      <c r="L1040">
        <v>250000</v>
      </c>
      <c r="M1040">
        <v>500000</v>
      </c>
      <c r="N1040">
        <v>1000000</v>
      </c>
      <c r="O1040">
        <v>2000000</v>
      </c>
      <c r="R1040" t="s">
        <v>48</v>
      </c>
      <c r="S1040">
        <v>100000</v>
      </c>
      <c r="T1040">
        <v>250000</v>
      </c>
      <c r="U1040">
        <v>500000</v>
      </c>
      <c r="V1040">
        <v>1000000</v>
      </c>
      <c r="W1040">
        <v>2000000</v>
      </c>
    </row>
    <row r="1041" spans="2:31" x14ac:dyDescent="0.25">
      <c r="B1041">
        <v>35</v>
      </c>
      <c r="C1041">
        <v>1</v>
      </c>
      <c r="D1041">
        <v>1</v>
      </c>
      <c r="E1041">
        <v>1</v>
      </c>
      <c r="F1041">
        <v>1</v>
      </c>
      <c r="G1041">
        <v>1</v>
      </c>
      <c r="J1041">
        <v>35</v>
      </c>
      <c r="K1041">
        <v>1</v>
      </c>
      <c r="L1041">
        <v>1</v>
      </c>
      <c r="M1041">
        <v>1</v>
      </c>
      <c r="N1041">
        <v>1</v>
      </c>
      <c r="O1041">
        <v>1</v>
      </c>
      <c r="R1041">
        <v>35</v>
      </c>
      <c r="S1041">
        <v>1</v>
      </c>
      <c r="T1041">
        <v>1</v>
      </c>
      <c r="U1041">
        <v>1</v>
      </c>
      <c r="V1041">
        <v>1</v>
      </c>
      <c r="W1041">
        <v>1</v>
      </c>
      <c r="AA1041">
        <v>-11308.6893</v>
      </c>
      <c r="AB1041">
        <v>-11308.6893</v>
      </c>
      <c r="AC1041">
        <v>-11308.6893</v>
      </c>
      <c r="AD1041">
        <v>-11308.6893</v>
      </c>
      <c r="AE1041">
        <v>-11308.6893</v>
      </c>
    </row>
    <row r="1042" spans="2:31" x14ac:dyDescent="0.25">
      <c r="B1042">
        <f t="shared" ref="B1042:B1071" si="45">B1041+1</f>
        <v>36</v>
      </c>
      <c r="C1042">
        <v>1</v>
      </c>
      <c r="D1042">
        <v>1</v>
      </c>
      <c r="E1042">
        <v>1</v>
      </c>
      <c r="F1042">
        <v>1</v>
      </c>
      <c r="G1042">
        <v>1</v>
      </c>
      <c r="J1042">
        <f t="shared" ref="J1042:J1071" si="46">J1041+1</f>
        <v>36</v>
      </c>
      <c r="K1042">
        <v>1</v>
      </c>
      <c r="L1042">
        <v>1</v>
      </c>
      <c r="M1042">
        <v>1</v>
      </c>
      <c r="N1042">
        <v>1</v>
      </c>
      <c r="O1042">
        <v>1</v>
      </c>
      <c r="R1042">
        <f t="shared" ref="R1042:R1071" si="47">R1041+1</f>
        <v>36</v>
      </c>
      <c r="S1042">
        <v>1</v>
      </c>
      <c r="T1042">
        <v>1</v>
      </c>
      <c r="U1042">
        <v>1</v>
      </c>
      <c r="V1042">
        <v>1</v>
      </c>
      <c r="W1042">
        <v>1</v>
      </c>
      <c r="AA1042">
        <v>-11214.2592</v>
      </c>
      <c r="AB1042">
        <v>-11214.2592</v>
      </c>
      <c r="AC1042">
        <v>-11214.2592</v>
      </c>
      <c r="AD1042">
        <v>-11214.2592</v>
      </c>
      <c r="AE1042">
        <v>-11214.2592</v>
      </c>
    </row>
    <row r="1043" spans="2:31" x14ac:dyDescent="0.25">
      <c r="B1043">
        <f t="shared" si="45"/>
        <v>37</v>
      </c>
      <c r="C1043">
        <v>1</v>
      </c>
      <c r="D1043">
        <v>1</v>
      </c>
      <c r="E1043">
        <v>1</v>
      </c>
      <c r="F1043">
        <v>1</v>
      </c>
      <c r="G1043">
        <v>1</v>
      </c>
      <c r="J1043">
        <f t="shared" si="46"/>
        <v>37</v>
      </c>
      <c r="K1043">
        <v>1</v>
      </c>
      <c r="L1043">
        <v>1</v>
      </c>
      <c r="M1043">
        <v>1</v>
      </c>
      <c r="N1043">
        <v>1</v>
      </c>
      <c r="O1043">
        <v>1</v>
      </c>
      <c r="R1043">
        <f t="shared" si="47"/>
        <v>37</v>
      </c>
      <c r="S1043">
        <v>1</v>
      </c>
      <c r="T1043">
        <v>1</v>
      </c>
      <c r="U1043">
        <v>1</v>
      </c>
      <c r="V1043">
        <v>1</v>
      </c>
      <c r="W1043">
        <v>1</v>
      </c>
      <c r="AA1043">
        <v>-11117.406199999999</v>
      </c>
      <c r="AB1043">
        <v>-11117.406199999999</v>
      </c>
      <c r="AC1043">
        <v>-11117.406199999999</v>
      </c>
      <c r="AD1043">
        <v>-11117.406199999999</v>
      </c>
      <c r="AE1043">
        <v>-11117.406199999999</v>
      </c>
    </row>
    <row r="1044" spans="2:31" x14ac:dyDescent="0.25">
      <c r="B1044">
        <f t="shared" si="45"/>
        <v>38</v>
      </c>
      <c r="C1044">
        <v>1</v>
      </c>
      <c r="D1044">
        <v>1</v>
      </c>
      <c r="E1044">
        <v>1</v>
      </c>
      <c r="F1044">
        <v>1</v>
      </c>
      <c r="G1044">
        <v>1</v>
      </c>
      <c r="J1044">
        <f t="shared" si="46"/>
        <v>38</v>
      </c>
      <c r="K1044">
        <v>1</v>
      </c>
      <c r="L1044">
        <v>1</v>
      </c>
      <c r="M1044">
        <v>1</v>
      </c>
      <c r="N1044">
        <v>1</v>
      </c>
      <c r="O1044">
        <v>1</v>
      </c>
      <c r="R1044">
        <f t="shared" si="47"/>
        <v>38</v>
      </c>
      <c r="S1044">
        <v>1</v>
      </c>
      <c r="T1044">
        <v>1</v>
      </c>
      <c r="U1044">
        <v>1</v>
      </c>
      <c r="V1044">
        <v>1</v>
      </c>
      <c r="W1044">
        <v>1</v>
      </c>
      <c r="AA1044">
        <v>-11018.229799999999</v>
      </c>
      <c r="AB1044">
        <v>-11018.229799999999</v>
      </c>
      <c r="AC1044">
        <v>-11018.229799999999</v>
      </c>
      <c r="AD1044">
        <v>-11018.229799999999</v>
      </c>
      <c r="AE1044">
        <v>-11018.229799999999</v>
      </c>
    </row>
    <row r="1045" spans="2:31" x14ac:dyDescent="0.25">
      <c r="B1045">
        <f t="shared" si="45"/>
        <v>39</v>
      </c>
      <c r="C1045">
        <v>1</v>
      </c>
      <c r="D1045">
        <v>1</v>
      </c>
      <c r="E1045">
        <v>1</v>
      </c>
      <c r="F1045">
        <v>1</v>
      </c>
      <c r="G1045">
        <v>1</v>
      </c>
      <c r="J1045">
        <f t="shared" si="46"/>
        <v>39</v>
      </c>
      <c r="K1045">
        <v>1</v>
      </c>
      <c r="L1045">
        <v>1</v>
      </c>
      <c r="M1045">
        <v>1</v>
      </c>
      <c r="N1045">
        <v>1</v>
      </c>
      <c r="O1045">
        <v>1</v>
      </c>
      <c r="R1045">
        <f t="shared" si="47"/>
        <v>39</v>
      </c>
      <c r="S1045">
        <v>1</v>
      </c>
      <c r="T1045">
        <v>1</v>
      </c>
      <c r="U1045">
        <v>1</v>
      </c>
      <c r="V1045">
        <v>1</v>
      </c>
      <c r="W1045">
        <v>1</v>
      </c>
      <c r="AA1045">
        <v>-10916.737999999999</v>
      </c>
      <c r="AB1045">
        <v>-10916.737999999999</v>
      </c>
      <c r="AC1045">
        <v>-10916.737999999999</v>
      </c>
      <c r="AD1045">
        <v>-10916.737999999999</v>
      </c>
      <c r="AE1045">
        <v>-10916.737999999999</v>
      </c>
    </row>
    <row r="1046" spans="2:31" x14ac:dyDescent="0.25">
      <c r="B1046">
        <f t="shared" si="45"/>
        <v>40</v>
      </c>
      <c r="C1046">
        <v>1</v>
      </c>
      <c r="D1046">
        <v>1</v>
      </c>
      <c r="E1046">
        <v>1</v>
      </c>
      <c r="F1046">
        <v>1</v>
      </c>
      <c r="G1046">
        <v>1</v>
      </c>
      <c r="J1046">
        <f t="shared" si="46"/>
        <v>40</v>
      </c>
      <c r="K1046">
        <v>1</v>
      </c>
      <c r="L1046">
        <v>1</v>
      </c>
      <c r="M1046">
        <v>1</v>
      </c>
      <c r="N1046">
        <v>1</v>
      </c>
      <c r="O1046">
        <v>1</v>
      </c>
      <c r="R1046">
        <f t="shared" si="47"/>
        <v>40</v>
      </c>
      <c r="S1046">
        <v>1</v>
      </c>
      <c r="T1046">
        <v>1</v>
      </c>
      <c r="U1046">
        <v>1</v>
      </c>
      <c r="V1046">
        <v>1</v>
      </c>
      <c r="W1046">
        <v>1</v>
      </c>
      <c r="AA1046">
        <v>-10812.8714</v>
      </c>
      <c r="AB1046">
        <v>-10812.8714</v>
      </c>
      <c r="AC1046">
        <v>-10812.8714</v>
      </c>
      <c r="AD1046">
        <v>-10812.8714</v>
      </c>
      <c r="AE1046">
        <v>-10812.8714</v>
      </c>
    </row>
    <row r="1047" spans="2:31" x14ac:dyDescent="0.25">
      <c r="B1047">
        <f t="shared" si="45"/>
        <v>41</v>
      </c>
      <c r="C1047">
        <v>1</v>
      </c>
      <c r="D1047">
        <v>1</v>
      </c>
      <c r="E1047">
        <v>1</v>
      </c>
      <c r="F1047">
        <v>1</v>
      </c>
      <c r="G1047">
        <v>1</v>
      </c>
      <c r="J1047">
        <f t="shared" si="46"/>
        <v>41</v>
      </c>
      <c r="K1047">
        <v>1</v>
      </c>
      <c r="L1047">
        <v>1</v>
      </c>
      <c r="M1047">
        <v>1</v>
      </c>
      <c r="N1047">
        <v>1</v>
      </c>
      <c r="O1047">
        <v>1</v>
      </c>
      <c r="R1047">
        <f t="shared" si="47"/>
        <v>41</v>
      </c>
      <c r="S1047">
        <v>1</v>
      </c>
      <c r="T1047">
        <v>1</v>
      </c>
      <c r="U1047">
        <v>1</v>
      </c>
      <c r="V1047">
        <v>1</v>
      </c>
      <c r="W1047">
        <v>1</v>
      </c>
      <c r="AA1047">
        <v>-10706.559600000001</v>
      </c>
      <c r="AB1047">
        <v>-10706.559600000001</v>
      </c>
      <c r="AC1047">
        <v>-10706.559600000001</v>
      </c>
      <c r="AD1047">
        <v>-10706.559600000001</v>
      </c>
      <c r="AE1047">
        <v>-10706.559600000001</v>
      </c>
    </row>
    <row r="1048" spans="2:31" x14ac:dyDescent="0.25">
      <c r="B1048">
        <f t="shared" si="45"/>
        <v>42</v>
      </c>
      <c r="C1048">
        <v>1</v>
      </c>
      <c r="D1048">
        <v>1</v>
      </c>
      <c r="E1048">
        <v>1</v>
      </c>
      <c r="F1048">
        <v>1</v>
      </c>
      <c r="G1048">
        <v>1</v>
      </c>
      <c r="J1048">
        <f t="shared" si="46"/>
        <v>42</v>
      </c>
      <c r="K1048">
        <v>1</v>
      </c>
      <c r="L1048">
        <v>1</v>
      </c>
      <c r="M1048">
        <v>1</v>
      </c>
      <c r="N1048">
        <v>1</v>
      </c>
      <c r="O1048">
        <v>1</v>
      </c>
      <c r="R1048">
        <f t="shared" si="47"/>
        <v>42</v>
      </c>
      <c r="S1048">
        <v>1</v>
      </c>
      <c r="T1048">
        <v>1</v>
      </c>
      <c r="U1048">
        <v>1</v>
      </c>
      <c r="V1048">
        <v>1</v>
      </c>
      <c r="W1048">
        <v>1</v>
      </c>
      <c r="AA1048">
        <v>-10597.8485</v>
      </c>
      <c r="AB1048">
        <v>-10597.8485</v>
      </c>
      <c r="AC1048">
        <v>-10597.8485</v>
      </c>
      <c r="AD1048">
        <v>-10597.8485</v>
      </c>
      <c r="AE1048">
        <v>-10597.8485</v>
      </c>
    </row>
    <row r="1049" spans="2:31" x14ac:dyDescent="0.25">
      <c r="B1049">
        <f t="shared" si="45"/>
        <v>43</v>
      </c>
      <c r="C1049">
        <v>1</v>
      </c>
      <c r="D1049">
        <v>1</v>
      </c>
      <c r="E1049">
        <v>1</v>
      </c>
      <c r="F1049">
        <v>1</v>
      </c>
      <c r="G1049">
        <v>1</v>
      </c>
      <c r="J1049">
        <f t="shared" si="46"/>
        <v>43</v>
      </c>
      <c r="K1049">
        <v>1</v>
      </c>
      <c r="L1049">
        <v>1</v>
      </c>
      <c r="M1049">
        <v>1</v>
      </c>
      <c r="N1049">
        <v>1</v>
      </c>
      <c r="O1049">
        <v>1</v>
      </c>
      <c r="R1049">
        <f t="shared" si="47"/>
        <v>43</v>
      </c>
      <c r="S1049">
        <v>1</v>
      </c>
      <c r="T1049">
        <v>1</v>
      </c>
      <c r="U1049">
        <v>1</v>
      </c>
      <c r="V1049">
        <v>1</v>
      </c>
      <c r="W1049">
        <v>1</v>
      </c>
      <c r="AA1049">
        <v>-10486.615400000001</v>
      </c>
      <c r="AB1049">
        <v>-10486.615400000001</v>
      </c>
      <c r="AC1049">
        <v>-10486.615400000001</v>
      </c>
      <c r="AD1049">
        <v>-10486.615400000001</v>
      </c>
      <c r="AE1049">
        <v>-10486.615400000001</v>
      </c>
    </row>
    <row r="1050" spans="2:31" x14ac:dyDescent="0.25">
      <c r="B1050">
        <f t="shared" si="45"/>
        <v>44</v>
      </c>
      <c r="C1050">
        <v>1</v>
      </c>
      <c r="D1050">
        <v>1</v>
      </c>
      <c r="E1050">
        <v>1</v>
      </c>
      <c r="F1050">
        <v>1</v>
      </c>
      <c r="G1050">
        <v>1</v>
      </c>
      <c r="J1050">
        <f t="shared" si="46"/>
        <v>44</v>
      </c>
      <c r="K1050">
        <v>1</v>
      </c>
      <c r="L1050">
        <v>1</v>
      </c>
      <c r="M1050">
        <v>1</v>
      </c>
      <c r="N1050">
        <v>1</v>
      </c>
      <c r="O1050">
        <v>1</v>
      </c>
      <c r="R1050">
        <f t="shared" si="47"/>
        <v>44</v>
      </c>
      <c r="S1050">
        <v>1</v>
      </c>
      <c r="T1050">
        <v>1</v>
      </c>
      <c r="U1050">
        <v>1</v>
      </c>
      <c r="V1050">
        <v>1</v>
      </c>
      <c r="W1050">
        <v>1</v>
      </c>
      <c r="AA1050">
        <v>-10372.9005</v>
      </c>
      <c r="AB1050">
        <v>-10372.9005</v>
      </c>
      <c r="AC1050">
        <v>-10372.9005</v>
      </c>
      <c r="AD1050">
        <v>-10372.9005</v>
      </c>
      <c r="AE1050">
        <v>-10372.9005</v>
      </c>
    </row>
    <row r="1051" spans="2:31" x14ac:dyDescent="0.25">
      <c r="B1051">
        <f t="shared" si="45"/>
        <v>45</v>
      </c>
      <c r="C1051">
        <v>1</v>
      </c>
      <c r="D1051">
        <v>1</v>
      </c>
      <c r="E1051">
        <v>1</v>
      </c>
      <c r="F1051">
        <v>1</v>
      </c>
      <c r="G1051">
        <v>1</v>
      </c>
      <c r="J1051">
        <f t="shared" si="46"/>
        <v>45</v>
      </c>
      <c r="K1051">
        <v>1</v>
      </c>
      <c r="L1051">
        <v>1</v>
      </c>
      <c r="M1051">
        <v>1</v>
      </c>
      <c r="N1051">
        <v>1</v>
      </c>
      <c r="O1051">
        <v>1</v>
      </c>
      <c r="R1051">
        <f t="shared" si="47"/>
        <v>45</v>
      </c>
      <c r="S1051">
        <v>1</v>
      </c>
      <c r="T1051">
        <v>1</v>
      </c>
      <c r="U1051">
        <v>1</v>
      </c>
      <c r="V1051">
        <v>1</v>
      </c>
      <c r="W1051">
        <v>1</v>
      </c>
      <c r="AA1051">
        <v>-10256.650600000001</v>
      </c>
      <c r="AB1051">
        <v>-10256.650600000001</v>
      </c>
      <c r="AC1051">
        <v>-10256.650600000001</v>
      </c>
      <c r="AD1051">
        <v>-10256.650600000001</v>
      </c>
      <c r="AE1051">
        <v>-10256.650600000001</v>
      </c>
    </row>
    <row r="1052" spans="2:31" x14ac:dyDescent="0.25">
      <c r="B1052">
        <f t="shared" si="45"/>
        <v>46</v>
      </c>
      <c r="C1052">
        <v>1</v>
      </c>
      <c r="D1052">
        <v>1</v>
      </c>
      <c r="E1052">
        <v>1</v>
      </c>
      <c r="F1052">
        <v>1</v>
      </c>
      <c r="G1052">
        <v>1</v>
      </c>
      <c r="J1052">
        <f t="shared" si="46"/>
        <v>46</v>
      </c>
      <c r="K1052">
        <v>1</v>
      </c>
      <c r="L1052">
        <v>1</v>
      </c>
      <c r="M1052">
        <v>1</v>
      </c>
      <c r="N1052">
        <v>1</v>
      </c>
      <c r="O1052">
        <v>1</v>
      </c>
      <c r="R1052">
        <f t="shared" si="47"/>
        <v>46</v>
      </c>
      <c r="S1052">
        <v>1</v>
      </c>
      <c r="T1052">
        <v>1</v>
      </c>
      <c r="U1052">
        <v>1</v>
      </c>
      <c r="V1052">
        <v>1</v>
      </c>
      <c r="W1052">
        <v>1</v>
      </c>
      <c r="AA1052">
        <v>-10137.871499999999</v>
      </c>
      <c r="AB1052">
        <v>-10137.871499999999</v>
      </c>
      <c r="AC1052">
        <v>-10137.871499999999</v>
      </c>
      <c r="AD1052">
        <v>-10137.871499999999</v>
      </c>
      <c r="AE1052">
        <v>-10137.871499999999</v>
      </c>
    </row>
    <row r="1053" spans="2:31" x14ac:dyDescent="0.25">
      <c r="B1053">
        <f t="shared" si="45"/>
        <v>47</v>
      </c>
      <c r="C1053">
        <v>1</v>
      </c>
      <c r="D1053">
        <v>1</v>
      </c>
      <c r="E1053">
        <v>1</v>
      </c>
      <c r="F1053">
        <v>1</v>
      </c>
      <c r="G1053">
        <v>1</v>
      </c>
      <c r="J1053">
        <f t="shared" si="46"/>
        <v>47</v>
      </c>
      <c r="K1053">
        <v>1</v>
      </c>
      <c r="L1053">
        <v>1</v>
      </c>
      <c r="M1053">
        <v>1</v>
      </c>
      <c r="N1053">
        <v>1</v>
      </c>
      <c r="O1053">
        <v>1</v>
      </c>
      <c r="R1053">
        <f t="shared" si="47"/>
        <v>47</v>
      </c>
      <c r="S1053">
        <v>1</v>
      </c>
      <c r="T1053">
        <v>1</v>
      </c>
      <c r="U1053">
        <v>1</v>
      </c>
      <c r="V1053">
        <v>1</v>
      </c>
      <c r="W1053">
        <v>1</v>
      </c>
      <c r="AA1053">
        <v>-10016.4967</v>
      </c>
      <c r="AB1053">
        <v>-10016.4967</v>
      </c>
      <c r="AC1053">
        <v>-10016.4967</v>
      </c>
      <c r="AD1053">
        <v>-10016.4967</v>
      </c>
      <c r="AE1053">
        <v>-10016.4967</v>
      </c>
    </row>
    <row r="1054" spans="2:31" x14ac:dyDescent="0.25">
      <c r="B1054">
        <f t="shared" si="45"/>
        <v>48</v>
      </c>
      <c r="C1054">
        <v>1</v>
      </c>
      <c r="D1054">
        <v>1</v>
      </c>
      <c r="E1054">
        <v>1</v>
      </c>
      <c r="F1054">
        <v>1</v>
      </c>
      <c r="G1054">
        <v>1</v>
      </c>
      <c r="J1054">
        <f t="shared" si="46"/>
        <v>48</v>
      </c>
      <c r="K1054">
        <v>1</v>
      </c>
      <c r="L1054">
        <v>1</v>
      </c>
      <c r="M1054">
        <v>1</v>
      </c>
      <c r="N1054">
        <v>1</v>
      </c>
      <c r="O1054">
        <v>1</v>
      </c>
      <c r="R1054">
        <f t="shared" si="47"/>
        <v>48</v>
      </c>
      <c r="S1054">
        <v>1</v>
      </c>
      <c r="T1054">
        <v>1</v>
      </c>
      <c r="U1054">
        <v>1</v>
      </c>
      <c r="V1054">
        <v>1</v>
      </c>
      <c r="W1054">
        <v>1</v>
      </c>
      <c r="AA1054">
        <v>-9892.6355000000003</v>
      </c>
      <c r="AB1054">
        <v>-9892.6355000000003</v>
      </c>
      <c r="AC1054">
        <v>-9892.6355000000003</v>
      </c>
      <c r="AD1054">
        <v>-9892.6355000000003</v>
      </c>
      <c r="AE1054">
        <v>-9892.6355000000003</v>
      </c>
    </row>
    <row r="1055" spans="2:31" x14ac:dyDescent="0.25">
      <c r="B1055">
        <f t="shared" si="45"/>
        <v>49</v>
      </c>
      <c r="C1055">
        <v>1</v>
      </c>
      <c r="D1055">
        <v>1</v>
      </c>
      <c r="E1055">
        <v>1</v>
      </c>
      <c r="F1055">
        <v>1</v>
      </c>
      <c r="G1055">
        <v>1</v>
      </c>
      <c r="J1055">
        <f t="shared" si="46"/>
        <v>49</v>
      </c>
      <c r="K1055">
        <v>1</v>
      </c>
      <c r="L1055">
        <v>1</v>
      </c>
      <c r="M1055">
        <v>1</v>
      </c>
      <c r="N1055">
        <v>1</v>
      </c>
      <c r="O1055">
        <v>1</v>
      </c>
      <c r="R1055">
        <f t="shared" si="47"/>
        <v>49</v>
      </c>
      <c r="S1055">
        <v>1</v>
      </c>
      <c r="T1055">
        <v>1</v>
      </c>
      <c r="U1055">
        <v>1</v>
      </c>
      <c r="V1055">
        <v>1</v>
      </c>
      <c r="W1055">
        <v>1</v>
      </c>
      <c r="AA1055">
        <v>-9766.3366999999998</v>
      </c>
      <c r="AB1055">
        <v>-9766.3366999999998</v>
      </c>
      <c r="AC1055">
        <v>-9766.3366999999998</v>
      </c>
      <c r="AD1055">
        <v>-9766.3366999999998</v>
      </c>
      <c r="AE1055">
        <v>-9766.3366999999998</v>
      </c>
    </row>
    <row r="1056" spans="2:31" x14ac:dyDescent="0.25">
      <c r="B1056">
        <f t="shared" si="45"/>
        <v>50</v>
      </c>
      <c r="C1056">
        <v>1</v>
      </c>
      <c r="D1056">
        <v>1</v>
      </c>
      <c r="E1056">
        <v>1</v>
      </c>
      <c r="F1056">
        <v>1</v>
      </c>
      <c r="G1056">
        <v>1</v>
      </c>
      <c r="J1056">
        <f t="shared" si="46"/>
        <v>50</v>
      </c>
      <c r="K1056">
        <v>1</v>
      </c>
      <c r="L1056">
        <v>1</v>
      </c>
      <c r="M1056">
        <v>1</v>
      </c>
      <c r="N1056">
        <v>1</v>
      </c>
      <c r="O1056">
        <v>1</v>
      </c>
      <c r="R1056">
        <f t="shared" si="47"/>
        <v>50</v>
      </c>
      <c r="S1056">
        <v>1</v>
      </c>
      <c r="T1056">
        <v>1</v>
      </c>
      <c r="U1056">
        <v>1</v>
      </c>
      <c r="V1056">
        <v>1</v>
      </c>
      <c r="W1056">
        <v>1</v>
      </c>
      <c r="AA1056">
        <v>-9637.5864000000001</v>
      </c>
      <c r="AB1056">
        <v>-9637.5864000000001</v>
      </c>
      <c r="AC1056">
        <v>-9637.5864000000001</v>
      </c>
      <c r="AD1056">
        <v>-9637.5864000000001</v>
      </c>
      <c r="AE1056">
        <v>-9637.5864000000001</v>
      </c>
    </row>
    <row r="1057" spans="2:31" x14ac:dyDescent="0.25">
      <c r="B1057">
        <f t="shared" si="45"/>
        <v>51</v>
      </c>
      <c r="C1057">
        <v>1</v>
      </c>
      <c r="D1057">
        <v>1</v>
      </c>
      <c r="E1057">
        <v>1</v>
      </c>
      <c r="F1057">
        <v>1</v>
      </c>
      <c r="G1057">
        <v>1</v>
      </c>
      <c r="J1057">
        <f t="shared" si="46"/>
        <v>51</v>
      </c>
      <c r="K1057">
        <v>1</v>
      </c>
      <c r="L1057">
        <v>1</v>
      </c>
      <c r="M1057">
        <v>1</v>
      </c>
      <c r="N1057">
        <v>1</v>
      </c>
      <c r="O1057">
        <v>1</v>
      </c>
      <c r="R1057">
        <f t="shared" si="47"/>
        <v>51</v>
      </c>
      <c r="S1057">
        <v>1</v>
      </c>
      <c r="T1057">
        <v>1</v>
      </c>
      <c r="U1057">
        <v>1</v>
      </c>
      <c r="V1057">
        <v>1</v>
      </c>
      <c r="W1057">
        <v>1</v>
      </c>
      <c r="AA1057">
        <v>-9506.3734000000004</v>
      </c>
      <c r="AB1057">
        <v>-9506.3734000000004</v>
      </c>
      <c r="AC1057">
        <v>-9506.3734000000004</v>
      </c>
      <c r="AD1057">
        <v>-9506.3734000000004</v>
      </c>
      <c r="AE1057">
        <v>-9506.3734000000004</v>
      </c>
    </row>
    <row r="1058" spans="2:31" x14ac:dyDescent="0.25">
      <c r="B1058">
        <f t="shared" si="45"/>
        <v>52</v>
      </c>
      <c r="C1058">
        <v>1</v>
      </c>
      <c r="D1058">
        <v>1</v>
      </c>
      <c r="E1058">
        <v>1</v>
      </c>
      <c r="F1058">
        <v>1</v>
      </c>
      <c r="G1058">
        <v>1</v>
      </c>
      <c r="J1058">
        <f t="shared" si="46"/>
        <v>52</v>
      </c>
      <c r="K1058">
        <v>1</v>
      </c>
      <c r="L1058">
        <v>1</v>
      </c>
      <c r="M1058">
        <v>1</v>
      </c>
      <c r="N1058">
        <v>1</v>
      </c>
      <c r="O1058">
        <v>1</v>
      </c>
      <c r="R1058">
        <f t="shared" si="47"/>
        <v>52</v>
      </c>
      <c r="S1058">
        <v>1</v>
      </c>
      <c r="T1058">
        <v>1</v>
      </c>
      <c r="U1058">
        <v>1</v>
      </c>
      <c r="V1058">
        <v>1</v>
      </c>
      <c r="W1058">
        <v>1</v>
      </c>
      <c r="AA1058">
        <v>-9372.7019</v>
      </c>
      <c r="AB1058">
        <v>-9372.7019</v>
      </c>
      <c r="AC1058">
        <v>-9372.7019</v>
      </c>
      <c r="AD1058">
        <v>-9372.7019</v>
      </c>
      <c r="AE1058">
        <v>-9372.7019</v>
      </c>
    </row>
    <row r="1059" spans="2:31" x14ac:dyDescent="0.25">
      <c r="B1059">
        <f t="shared" si="45"/>
        <v>53</v>
      </c>
      <c r="C1059">
        <v>1</v>
      </c>
      <c r="D1059">
        <v>1</v>
      </c>
      <c r="E1059">
        <v>1</v>
      </c>
      <c r="F1059">
        <v>1</v>
      </c>
      <c r="G1059">
        <v>1</v>
      </c>
      <c r="J1059">
        <f t="shared" si="46"/>
        <v>53</v>
      </c>
      <c r="K1059">
        <v>1</v>
      </c>
      <c r="L1059">
        <v>1</v>
      </c>
      <c r="M1059">
        <v>1</v>
      </c>
      <c r="N1059">
        <v>1</v>
      </c>
      <c r="O1059">
        <v>1</v>
      </c>
      <c r="R1059">
        <f t="shared" si="47"/>
        <v>53</v>
      </c>
      <c r="S1059">
        <v>1</v>
      </c>
      <c r="T1059">
        <v>1</v>
      </c>
      <c r="U1059">
        <v>1</v>
      </c>
      <c r="V1059">
        <v>1</v>
      </c>
      <c r="W1059">
        <v>1</v>
      </c>
      <c r="AA1059">
        <v>-9236.6705000000002</v>
      </c>
      <c r="AB1059">
        <v>-9236.6705000000002</v>
      </c>
      <c r="AC1059">
        <v>-9236.6705000000002</v>
      </c>
      <c r="AD1059">
        <v>-9236.6705000000002</v>
      </c>
      <c r="AE1059">
        <v>-9236.6705000000002</v>
      </c>
    </row>
    <row r="1060" spans="2:31" x14ac:dyDescent="0.25">
      <c r="B1060">
        <f t="shared" si="45"/>
        <v>54</v>
      </c>
      <c r="C1060">
        <v>1</v>
      </c>
      <c r="D1060">
        <v>1</v>
      </c>
      <c r="E1060">
        <v>1</v>
      </c>
      <c r="F1060">
        <v>1</v>
      </c>
      <c r="G1060">
        <v>1</v>
      </c>
      <c r="J1060">
        <f t="shared" si="46"/>
        <v>54</v>
      </c>
      <c r="K1060">
        <v>1</v>
      </c>
      <c r="L1060">
        <v>1</v>
      </c>
      <c r="M1060">
        <v>1</v>
      </c>
      <c r="N1060">
        <v>1</v>
      </c>
      <c r="O1060">
        <v>1</v>
      </c>
      <c r="R1060">
        <f t="shared" si="47"/>
        <v>54</v>
      </c>
      <c r="S1060">
        <v>1</v>
      </c>
      <c r="T1060">
        <v>1</v>
      </c>
      <c r="U1060">
        <v>1</v>
      </c>
      <c r="V1060">
        <v>1</v>
      </c>
      <c r="W1060">
        <v>1</v>
      </c>
      <c r="AA1060">
        <v>-9098.4312000000009</v>
      </c>
      <c r="AB1060">
        <v>-9098.4312000000009</v>
      </c>
      <c r="AC1060">
        <v>-9098.4312000000009</v>
      </c>
      <c r="AD1060">
        <v>-9098.4312000000009</v>
      </c>
      <c r="AE1060">
        <v>-9098.4312000000009</v>
      </c>
    </row>
    <row r="1061" spans="2:31" x14ac:dyDescent="0.25">
      <c r="B1061">
        <f t="shared" si="45"/>
        <v>55</v>
      </c>
      <c r="C1061">
        <v>1</v>
      </c>
      <c r="D1061">
        <v>1</v>
      </c>
      <c r="E1061">
        <v>1</v>
      </c>
      <c r="F1061">
        <v>1</v>
      </c>
      <c r="G1061">
        <v>1</v>
      </c>
      <c r="J1061">
        <f t="shared" si="46"/>
        <v>55</v>
      </c>
      <c r="K1061">
        <v>1</v>
      </c>
      <c r="L1061">
        <v>1</v>
      </c>
      <c r="M1061">
        <v>1</v>
      </c>
      <c r="N1061">
        <v>1</v>
      </c>
      <c r="O1061">
        <v>1</v>
      </c>
      <c r="R1061">
        <f t="shared" si="47"/>
        <v>55</v>
      </c>
      <c r="S1061">
        <v>1</v>
      </c>
      <c r="T1061">
        <v>1</v>
      </c>
      <c r="U1061">
        <v>1</v>
      </c>
      <c r="V1061">
        <v>1</v>
      </c>
      <c r="W1061">
        <v>1</v>
      </c>
      <c r="AA1061">
        <v>-8958.0210999999999</v>
      </c>
      <c r="AB1061">
        <v>-8958.0210999999999</v>
      </c>
      <c r="AC1061">
        <v>-8958.0210999999999</v>
      </c>
      <c r="AD1061">
        <v>-8958.0210999999999</v>
      </c>
      <c r="AE1061">
        <v>-8958.0210999999999</v>
      </c>
    </row>
    <row r="1062" spans="2:31" x14ac:dyDescent="0.25">
      <c r="B1062">
        <f t="shared" si="45"/>
        <v>56</v>
      </c>
      <c r="C1062">
        <v>1</v>
      </c>
      <c r="D1062">
        <v>1</v>
      </c>
      <c r="E1062">
        <v>1</v>
      </c>
      <c r="F1062">
        <v>1</v>
      </c>
      <c r="G1062">
        <v>1</v>
      </c>
      <c r="J1062">
        <f t="shared" si="46"/>
        <v>56</v>
      </c>
      <c r="K1062">
        <v>1</v>
      </c>
      <c r="L1062">
        <v>1</v>
      </c>
      <c r="M1062">
        <v>1</v>
      </c>
      <c r="N1062">
        <v>1</v>
      </c>
      <c r="O1062">
        <v>1</v>
      </c>
      <c r="R1062">
        <f t="shared" si="47"/>
        <v>56</v>
      </c>
      <c r="S1062">
        <v>1</v>
      </c>
      <c r="T1062">
        <v>1</v>
      </c>
      <c r="U1062">
        <v>1</v>
      </c>
      <c r="V1062">
        <v>1</v>
      </c>
      <c r="W1062">
        <v>1</v>
      </c>
      <c r="AA1062">
        <v>-8815.6316999999999</v>
      </c>
      <c r="AB1062">
        <v>-8815.6316999999999</v>
      </c>
      <c r="AC1062">
        <v>-8815.6316999999999</v>
      </c>
      <c r="AD1062">
        <v>-8815.6316999999999</v>
      </c>
      <c r="AE1062">
        <v>-8815.6316999999999</v>
      </c>
    </row>
    <row r="1063" spans="2:31" x14ac:dyDescent="0.25">
      <c r="B1063">
        <f t="shared" si="45"/>
        <v>57</v>
      </c>
      <c r="C1063">
        <v>1</v>
      </c>
      <c r="D1063">
        <v>1</v>
      </c>
      <c r="E1063">
        <v>1</v>
      </c>
      <c r="F1063">
        <v>1</v>
      </c>
      <c r="G1063">
        <v>1</v>
      </c>
      <c r="J1063">
        <f t="shared" si="46"/>
        <v>57</v>
      </c>
      <c r="K1063">
        <v>1</v>
      </c>
      <c r="L1063">
        <v>1</v>
      </c>
      <c r="M1063">
        <v>1</v>
      </c>
      <c r="N1063">
        <v>1</v>
      </c>
      <c r="O1063">
        <v>1</v>
      </c>
      <c r="R1063">
        <f t="shared" si="47"/>
        <v>57</v>
      </c>
      <c r="S1063">
        <v>1</v>
      </c>
      <c r="T1063">
        <v>1</v>
      </c>
      <c r="U1063">
        <v>1</v>
      </c>
      <c r="V1063">
        <v>1</v>
      </c>
      <c r="W1063">
        <v>1</v>
      </c>
      <c r="AA1063">
        <v>-8671.3991999999998</v>
      </c>
      <c r="AB1063">
        <v>-8671.3991999999998</v>
      </c>
      <c r="AC1063">
        <v>-8671.3991999999998</v>
      </c>
      <c r="AD1063">
        <v>-8671.3991999999998</v>
      </c>
      <c r="AE1063">
        <v>-8671.3991999999998</v>
      </c>
    </row>
    <row r="1064" spans="2:31" x14ac:dyDescent="0.25">
      <c r="B1064">
        <f t="shared" si="45"/>
        <v>58</v>
      </c>
      <c r="C1064">
        <v>1</v>
      </c>
      <c r="D1064">
        <v>1</v>
      </c>
      <c r="E1064">
        <v>1</v>
      </c>
      <c r="F1064">
        <v>1</v>
      </c>
      <c r="G1064">
        <v>1</v>
      </c>
      <c r="J1064">
        <f t="shared" si="46"/>
        <v>58</v>
      </c>
      <c r="K1064">
        <v>1</v>
      </c>
      <c r="L1064">
        <v>1</v>
      </c>
      <c r="M1064">
        <v>1</v>
      </c>
      <c r="N1064">
        <v>1</v>
      </c>
      <c r="O1064">
        <v>1</v>
      </c>
      <c r="R1064">
        <f t="shared" si="47"/>
        <v>58</v>
      </c>
      <c r="S1064">
        <v>1</v>
      </c>
      <c r="T1064">
        <v>1</v>
      </c>
      <c r="U1064">
        <v>1</v>
      </c>
      <c r="V1064">
        <v>1</v>
      </c>
      <c r="W1064">
        <v>1</v>
      </c>
      <c r="AA1064">
        <v>-8525.2759999999998</v>
      </c>
      <c r="AB1064">
        <v>-8525.2759999999998</v>
      </c>
      <c r="AC1064">
        <v>-8525.2759999999998</v>
      </c>
      <c r="AD1064">
        <v>-8525.2759999999998</v>
      </c>
      <c r="AE1064">
        <v>-8525.2759999999998</v>
      </c>
    </row>
    <row r="1065" spans="2:31" x14ac:dyDescent="0.25">
      <c r="B1065">
        <f t="shared" si="45"/>
        <v>59</v>
      </c>
      <c r="C1065">
        <v>1</v>
      </c>
      <c r="D1065">
        <v>1</v>
      </c>
      <c r="E1065">
        <v>1</v>
      </c>
      <c r="F1065">
        <v>1</v>
      </c>
      <c r="G1065">
        <v>1</v>
      </c>
      <c r="J1065">
        <f t="shared" si="46"/>
        <v>59</v>
      </c>
      <c r="K1065">
        <v>1</v>
      </c>
      <c r="L1065">
        <v>1</v>
      </c>
      <c r="M1065">
        <v>1</v>
      </c>
      <c r="N1065">
        <v>1</v>
      </c>
      <c r="O1065">
        <v>1</v>
      </c>
      <c r="R1065">
        <f t="shared" si="47"/>
        <v>59</v>
      </c>
      <c r="S1065">
        <v>1</v>
      </c>
      <c r="T1065">
        <v>1</v>
      </c>
      <c r="U1065">
        <v>1</v>
      </c>
      <c r="V1065">
        <v>1</v>
      </c>
      <c r="W1065">
        <v>1</v>
      </c>
      <c r="AA1065">
        <v>-8377.2351999999992</v>
      </c>
      <c r="AB1065">
        <v>-8377.2351999999992</v>
      </c>
      <c r="AC1065">
        <v>-8377.2351999999992</v>
      </c>
      <c r="AD1065">
        <v>-8377.2351999999992</v>
      </c>
      <c r="AE1065">
        <v>-8377.2351999999992</v>
      </c>
    </row>
    <row r="1066" spans="2:31" x14ac:dyDescent="0.25">
      <c r="B1066">
        <f t="shared" si="45"/>
        <v>60</v>
      </c>
      <c r="C1066">
        <v>1</v>
      </c>
      <c r="D1066">
        <v>1</v>
      </c>
      <c r="E1066">
        <v>1</v>
      </c>
      <c r="F1066">
        <v>1</v>
      </c>
      <c r="G1066">
        <v>1</v>
      </c>
      <c r="J1066">
        <f t="shared" si="46"/>
        <v>60</v>
      </c>
      <c r="K1066">
        <v>1</v>
      </c>
      <c r="L1066">
        <v>1</v>
      </c>
      <c r="M1066">
        <v>1</v>
      </c>
      <c r="N1066">
        <v>1</v>
      </c>
      <c r="O1066">
        <v>1</v>
      </c>
      <c r="R1066">
        <f t="shared" si="47"/>
        <v>60</v>
      </c>
      <c r="S1066">
        <v>1</v>
      </c>
      <c r="T1066">
        <v>1</v>
      </c>
      <c r="U1066">
        <v>1</v>
      </c>
      <c r="V1066">
        <v>1</v>
      </c>
      <c r="W1066">
        <v>1</v>
      </c>
      <c r="AA1066">
        <v>-8227.3953999999994</v>
      </c>
      <c r="AB1066">
        <v>-8227.3953999999994</v>
      </c>
      <c r="AC1066">
        <v>-8227.3953999999994</v>
      </c>
      <c r="AD1066">
        <v>-8227.3953999999994</v>
      </c>
      <c r="AE1066">
        <v>-8227.3953999999994</v>
      </c>
    </row>
    <row r="1067" spans="2:31" x14ac:dyDescent="0.25">
      <c r="B1067">
        <f t="shared" si="45"/>
        <v>61</v>
      </c>
      <c r="C1067">
        <v>1</v>
      </c>
      <c r="D1067">
        <v>1</v>
      </c>
      <c r="E1067">
        <v>1</v>
      </c>
      <c r="F1067">
        <v>1</v>
      </c>
      <c r="G1067">
        <v>1</v>
      </c>
      <c r="J1067">
        <f t="shared" si="46"/>
        <v>61</v>
      </c>
      <c r="K1067">
        <v>1</v>
      </c>
      <c r="L1067">
        <v>1</v>
      </c>
      <c r="M1067">
        <v>1</v>
      </c>
      <c r="N1067">
        <v>1</v>
      </c>
      <c r="O1067">
        <v>1</v>
      </c>
      <c r="R1067">
        <f t="shared" si="47"/>
        <v>61</v>
      </c>
      <c r="S1067">
        <v>1</v>
      </c>
      <c r="T1067">
        <v>1</v>
      </c>
      <c r="U1067">
        <v>1</v>
      </c>
      <c r="V1067">
        <v>1</v>
      </c>
      <c r="W1067">
        <v>1</v>
      </c>
      <c r="AA1067">
        <v>-8076.1778999999997</v>
      </c>
      <c r="AB1067">
        <v>-8076.1778999999997</v>
      </c>
      <c r="AC1067">
        <v>-8076.1778999999997</v>
      </c>
      <c r="AD1067">
        <v>-8076.1778999999997</v>
      </c>
      <c r="AE1067">
        <v>-8076.1778999999997</v>
      </c>
    </row>
    <row r="1068" spans="2:31" x14ac:dyDescent="0.25">
      <c r="B1068">
        <f t="shared" si="45"/>
        <v>62</v>
      </c>
      <c r="C1068">
        <v>1</v>
      </c>
      <c r="D1068">
        <v>1</v>
      </c>
      <c r="E1068">
        <v>1</v>
      </c>
      <c r="F1068">
        <v>1</v>
      </c>
      <c r="G1068">
        <v>1</v>
      </c>
      <c r="J1068">
        <f t="shared" si="46"/>
        <v>62</v>
      </c>
      <c r="K1068">
        <v>1</v>
      </c>
      <c r="L1068">
        <v>1</v>
      </c>
      <c r="M1068">
        <v>1</v>
      </c>
      <c r="N1068">
        <v>1</v>
      </c>
      <c r="O1068">
        <v>1</v>
      </c>
      <c r="R1068">
        <f t="shared" si="47"/>
        <v>62</v>
      </c>
      <c r="S1068">
        <v>1</v>
      </c>
      <c r="T1068">
        <v>1</v>
      </c>
      <c r="U1068">
        <v>1</v>
      </c>
      <c r="V1068">
        <v>1</v>
      </c>
      <c r="W1068">
        <v>1</v>
      </c>
      <c r="AA1068">
        <v>-7923.5816000000004</v>
      </c>
      <c r="AB1068">
        <v>-7923.5816000000004</v>
      </c>
      <c r="AC1068">
        <v>-7923.5816000000004</v>
      </c>
      <c r="AD1068">
        <v>-7923.5816000000004</v>
      </c>
      <c r="AE1068">
        <v>-7923.5816000000004</v>
      </c>
    </row>
    <row r="1069" spans="2:31" x14ac:dyDescent="0.25">
      <c r="B1069">
        <f t="shared" si="45"/>
        <v>63</v>
      </c>
      <c r="C1069">
        <v>1</v>
      </c>
      <c r="D1069">
        <v>1</v>
      </c>
      <c r="E1069">
        <v>1</v>
      </c>
      <c r="F1069">
        <v>1</v>
      </c>
      <c r="G1069">
        <v>1</v>
      </c>
      <c r="J1069">
        <f t="shared" si="46"/>
        <v>63</v>
      </c>
      <c r="K1069">
        <v>1</v>
      </c>
      <c r="L1069">
        <v>1</v>
      </c>
      <c r="M1069">
        <v>1</v>
      </c>
      <c r="N1069">
        <v>1</v>
      </c>
      <c r="O1069">
        <v>1</v>
      </c>
      <c r="R1069">
        <f t="shared" si="47"/>
        <v>63</v>
      </c>
      <c r="S1069">
        <v>1</v>
      </c>
      <c r="T1069">
        <v>1</v>
      </c>
      <c r="U1069">
        <v>1</v>
      </c>
      <c r="V1069">
        <v>1</v>
      </c>
      <c r="W1069">
        <v>1</v>
      </c>
      <c r="AA1069">
        <v>-7769.2775000000001</v>
      </c>
      <c r="AB1069">
        <v>-7769.2775000000001</v>
      </c>
      <c r="AC1069">
        <v>-7769.2775000000001</v>
      </c>
      <c r="AD1069">
        <v>-7769.2775000000001</v>
      </c>
      <c r="AE1069">
        <v>-7769.2775000000001</v>
      </c>
    </row>
    <row r="1070" spans="2:31" x14ac:dyDescent="0.25">
      <c r="B1070">
        <f t="shared" si="45"/>
        <v>64</v>
      </c>
      <c r="C1070">
        <v>1</v>
      </c>
      <c r="D1070">
        <v>1</v>
      </c>
      <c r="E1070">
        <v>1</v>
      </c>
      <c r="F1070">
        <v>1</v>
      </c>
      <c r="G1070">
        <v>1</v>
      </c>
      <c r="J1070">
        <f t="shared" si="46"/>
        <v>64</v>
      </c>
      <c r="K1070">
        <v>1</v>
      </c>
      <c r="L1070">
        <v>1</v>
      </c>
      <c r="M1070">
        <v>1</v>
      </c>
      <c r="N1070">
        <v>1</v>
      </c>
      <c r="O1070">
        <v>1</v>
      </c>
      <c r="R1070">
        <f t="shared" si="47"/>
        <v>64</v>
      </c>
      <c r="S1070">
        <v>1</v>
      </c>
      <c r="T1070">
        <v>1</v>
      </c>
      <c r="U1070">
        <v>1</v>
      </c>
      <c r="V1070">
        <v>1</v>
      </c>
      <c r="W1070">
        <v>1</v>
      </c>
      <c r="AA1070">
        <v>-7613.3999000000003</v>
      </c>
      <c r="AB1070">
        <v>-7613.3999000000003</v>
      </c>
      <c r="AC1070">
        <v>-7613.3999000000003</v>
      </c>
      <c r="AD1070">
        <v>-7613.3999000000003</v>
      </c>
      <c r="AE1070">
        <v>-7613.3999000000003</v>
      </c>
    </row>
    <row r="1071" spans="2:31" x14ac:dyDescent="0.25">
      <c r="B1071">
        <f t="shared" si="45"/>
        <v>65</v>
      </c>
      <c r="C1071">
        <v>1</v>
      </c>
      <c r="D1071">
        <v>1</v>
      </c>
      <c r="E1071">
        <v>1</v>
      </c>
      <c r="F1071">
        <v>1</v>
      </c>
      <c r="G1071">
        <v>1</v>
      </c>
      <c r="J1071">
        <f t="shared" si="46"/>
        <v>65</v>
      </c>
      <c r="K1071">
        <v>1</v>
      </c>
      <c r="L1071">
        <v>1</v>
      </c>
      <c r="M1071">
        <v>1</v>
      </c>
      <c r="N1071">
        <v>1</v>
      </c>
      <c r="O1071">
        <v>1</v>
      </c>
      <c r="R1071">
        <f t="shared" si="47"/>
        <v>65</v>
      </c>
      <c r="S1071">
        <v>1</v>
      </c>
      <c r="T1071">
        <v>1</v>
      </c>
      <c r="U1071">
        <v>1</v>
      </c>
      <c r="V1071">
        <v>1</v>
      </c>
      <c r="W1071">
        <v>1</v>
      </c>
      <c r="AA1071">
        <v>-7455.8590000000004</v>
      </c>
      <c r="AB1071">
        <v>-7455.8590000000004</v>
      </c>
      <c r="AC1071">
        <v>-7455.8590000000004</v>
      </c>
      <c r="AD1071">
        <v>-7455.8590000000004</v>
      </c>
      <c r="AE1071">
        <v>-7455.8590000000004</v>
      </c>
    </row>
    <row r="1074" spans="2:32" x14ac:dyDescent="0.25">
      <c r="B1074" t="s">
        <v>46</v>
      </c>
      <c r="C1074">
        <v>50000</v>
      </c>
      <c r="D1074">
        <v>100000</v>
      </c>
      <c r="E1074">
        <v>250000</v>
      </c>
      <c r="F1074">
        <v>500000</v>
      </c>
      <c r="G1074">
        <v>1000000</v>
      </c>
      <c r="H1074">
        <v>2000000</v>
      </c>
      <c r="J1074" t="s">
        <v>47</v>
      </c>
      <c r="K1074">
        <v>50000</v>
      </c>
      <c r="L1074">
        <v>100000</v>
      </c>
      <c r="M1074">
        <v>250000</v>
      </c>
      <c r="N1074">
        <v>500000</v>
      </c>
      <c r="O1074">
        <v>1000000</v>
      </c>
      <c r="P1074">
        <v>2000000</v>
      </c>
      <c r="R1074" t="s">
        <v>48</v>
      </c>
      <c r="S1074">
        <v>50000</v>
      </c>
      <c r="T1074">
        <v>100000</v>
      </c>
      <c r="U1074">
        <v>250000</v>
      </c>
      <c r="V1074">
        <v>500000</v>
      </c>
      <c r="W1074">
        <v>1000000</v>
      </c>
      <c r="X1074">
        <v>2000000</v>
      </c>
    </row>
    <row r="1075" spans="2:32" x14ac:dyDescent="0.25">
      <c r="B1075">
        <v>26</v>
      </c>
      <c r="C1075">
        <v>1</v>
      </c>
      <c r="D1075">
        <v>1</v>
      </c>
      <c r="E1075">
        <v>1</v>
      </c>
      <c r="F1075">
        <v>1</v>
      </c>
      <c r="G1075">
        <v>1</v>
      </c>
      <c r="H1075">
        <v>1</v>
      </c>
      <c r="J1075">
        <v>26</v>
      </c>
      <c r="K1075">
        <v>1</v>
      </c>
      <c r="L1075">
        <v>1</v>
      </c>
      <c r="M1075">
        <v>1</v>
      </c>
      <c r="N1075">
        <v>1</v>
      </c>
      <c r="O1075">
        <v>1</v>
      </c>
      <c r="P1075">
        <v>1</v>
      </c>
      <c r="R1075">
        <v>26</v>
      </c>
      <c r="S1075">
        <v>1</v>
      </c>
      <c r="T1075">
        <v>1</v>
      </c>
      <c r="U1075">
        <v>1</v>
      </c>
      <c r="V1075">
        <v>1</v>
      </c>
      <c r="W1075">
        <v>1</v>
      </c>
      <c r="X1075">
        <v>1</v>
      </c>
      <c r="AA1075">
        <v>-7435.5060999999996</v>
      </c>
      <c r="AB1075">
        <v>-7435.5060999999996</v>
      </c>
      <c r="AC1075">
        <v>-7435.5060999999996</v>
      </c>
      <c r="AD1075">
        <v>-7435.5060999999996</v>
      </c>
      <c r="AE1075">
        <v>-7435.5060999999996</v>
      </c>
      <c r="AF1075">
        <v>-7435.5060999999996</v>
      </c>
    </row>
    <row r="1076" spans="2:32" x14ac:dyDescent="0.25">
      <c r="B1076">
        <v>27</v>
      </c>
      <c r="C1076">
        <v>1</v>
      </c>
      <c r="D1076">
        <v>1</v>
      </c>
      <c r="E1076">
        <v>1</v>
      </c>
      <c r="F1076">
        <v>1</v>
      </c>
      <c r="G1076">
        <v>1</v>
      </c>
      <c r="H1076">
        <v>1</v>
      </c>
      <c r="J1076">
        <v>27</v>
      </c>
      <c r="K1076">
        <v>1</v>
      </c>
      <c r="L1076">
        <v>1</v>
      </c>
      <c r="M1076">
        <v>1</v>
      </c>
      <c r="N1076">
        <v>1</v>
      </c>
      <c r="O1076">
        <v>1</v>
      </c>
      <c r="P1076">
        <v>1</v>
      </c>
      <c r="R1076">
        <v>27</v>
      </c>
      <c r="S1076">
        <v>1</v>
      </c>
      <c r="T1076">
        <v>1</v>
      </c>
      <c r="U1076">
        <v>1</v>
      </c>
      <c r="V1076">
        <v>1</v>
      </c>
      <c r="W1076">
        <v>1</v>
      </c>
      <c r="X1076">
        <v>1</v>
      </c>
      <c r="AA1076">
        <v>-7434.2619000000004</v>
      </c>
      <c r="AB1076">
        <v>-7434.2619000000004</v>
      </c>
      <c r="AC1076">
        <v>-7434.2619000000004</v>
      </c>
      <c r="AD1076">
        <v>-7434.2619000000004</v>
      </c>
      <c r="AE1076">
        <v>-7434.2619000000004</v>
      </c>
      <c r="AF1076">
        <v>-7434.2619000000004</v>
      </c>
    </row>
    <row r="1077" spans="2:32" x14ac:dyDescent="0.25">
      <c r="B1077">
        <v>28</v>
      </c>
      <c r="C1077">
        <v>1</v>
      </c>
      <c r="D1077">
        <v>1</v>
      </c>
      <c r="E1077">
        <v>1</v>
      </c>
      <c r="F1077">
        <v>1</v>
      </c>
      <c r="G1077">
        <v>1</v>
      </c>
      <c r="H1077">
        <v>1</v>
      </c>
      <c r="J1077">
        <v>28</v>
      </c>
      <c r="K1077">
        <v>1</v>
      </c>
      <c r="L1077">
        <v>1</v>
      </c>
      <c r="M1077">
        <v>1</v>
      </c>
      <c r="N1077">
        <v>1</v>
      </c>
      <c r="O1077">
        <v>1</v>
      </c>
      <c r="P1077">
        <v>1</v>
      </c>
      <c r="R1077">
        <v>28</v>
      </c>
      <c r="S1077">
        <v>1</v>
      </c>
      <c r="T1077">
        <v>1</v>
      </c>
      <c r="U1077">
        <v>1</v>
      </c>
      <c r="V1077">
        <v>1</v>
      </c>
      <c r="W1077">
        <v>1</v>
      </c>
      <c r="X1077">
        <v>1</v>
      </c>
      <c r="AA1077">
        <v>-7432.8334999999997</v>
      </c>
      <c r="AB1077">
        <v>-7432.8334999999997</v>
      </c>
      <c r="AC1077">
        <v>-7432.8334999999997</v>
      </c>
      <c r="AD1077">
        <v>-7432.8334999999997</v>
      </c>
      <c r="AE1077">
        <v>-7432.8334999999997</v>
      </c>
      <c r="AF1077">
        <v>-7432.8334999999997</v>
      </c>
    </row>
    <row r="1078" spans="2:32" x14ac:dyDescent="0.25">
      <c r="B1078">
        <v>29</v>
      </c>
      <c r="C1078">
        <v>1</v>
      </c>
      <c r="D1078">
        <v>1</v>
      </c>
      <c r="E1078">
        <v>1</v>
      </c>
      <c r="F1078">
        <v>1</v>
      </c>
      <c r="G1078">
        <v>1</v>
      </c>
      <c r="H1078">
        <v>1</v>
      </c>
      <c r="J1078">
        <v>29</v>
      </c>
      <c r="K1078">
        <v>1</v>
      </c>
      <c r="L1078">
        <v>1</v>
      </c>
      <c r="M1078">
        <v>1</v>
      </c>
      <c r="N1078">
        <v>1</v>
      </c>
      <c r="O1078">
        <v>1</v>
      </c>
      <c r="P1078">
        <v>1</v>
      </c>
      <c r="R1078">
        <v>29</v>
      </c>
      <c r="S1078">
        <v>1</v>
      </c>
      <c r="T1078">
        <v>1</v>
      </c>
      <c r="U1078">
        <v>1</v>
      </c>
      <c r="V1078">
        <v>1</v>
      </c>
      <c r="W1078">
        <v>1</v>
      </c>
      <c r="X1078">
        <v>1</v>
      </c>
      <c r="AA1078">
        <v>-7431.2058999999999</v>
      </c>
      <c r="AB1078">
        <v>-7431.2058999999999</v>
      </c>
      <c r="AC1078">
        <v>-7431.2058999999999</v>
      </c>
      <c r="AD1078">
        <v>-7431.2058999999999</v>
      </c>
      <c r="AE1078">
        <v>-7431.2058999999999</v>
      </c>
      <c r="AF1078">
        <v>-7431.2058999999999</v>
      </c>
    </row>
    <row r="1079" spans="2:32" x14ac:dyDescent="0.25">
      <c r="B1079">
        <v>30</v>
      </c>
      <c r="C1079">
        <v>1</v>
      </c>
      <c r="D1079">
        <v>1</v>
      </c>
      <c r="E1079">
        <v>1</v>
      </c>
      <c r="F1079">
        <v>1</v>
      </c>
      <c r="G1079">
        <v>1</v>
      </c>
      <c r="H1079">
        <v>1</v>
      </c>
      <c r="J1079">
        <v>30</v>
      </c>
      <c r="K1079">
        <v>1</v>
      </c>
      <c r="L1079">
        <v>1</v>
      </c>
      <c r="M1079">
        <v>1</v>
      </c>
      <c r="N1079">
        <v>1</v>
      </c>
      <c r="O1079">
        <v>1</v>
      </c>
      <c r="P1079">
        <v>1</v>
      </c>
      <c r="R1079">
        <v>30</v>
      </c>
      <c r="S1079">
        <v>1</v>
      </c>
      <c r="T1079">
        <v>1</v>
      </c>
      <c r="U1079">
        <v>1</v>
      </c>
      <c r="V1079">
        <v>1</v>
      </c>
      <c r="W1079">
        <v>1</v>
      </c>
      <c r="X1079">
        <v>1</v>
      </c>
      <c r="AA1079">
        <v>-7429.3476000000001</v>
      </c>
      <c r="AB1079">
        <v>-7429.3476000000001</v>
      </c>
      <c r="AC1079">
        <v>-7429.3476000000001</v>
      </c>
      <c r="AD1079">
        <v>-7429.3476000000001</v>
      </c>
      <c r="AE1079">
        <v>-7429.3476000000001</v>
      </c>
      <c r="AF1079">
        <v>-7429.3476000000001</v>
      </c>
    </row>
    <row r="1080" spans="2:32" x14ac:dyDescent="0.25">
      <c r="B1080">
        <v>31</v>
      </c>
      <c r="C1080">
        <v>1</v>
      </c>
      <c r="D1080">
        <v>1</v>
      </c>
      <c r="E1080">
        <v>1</v>
      </c>
      <c r="F1080">
        <v>1</v>
      </c>
      <c r="G1080">
        <v>1</v>
      </c>
      <c r="H1080">
        <v>1</v>
      </c>
      <c r="J1080">
        <v>31</v>
      </c>
      <c r="K1080">
        <v>1</v>
      </c>
      <c r="L1080">
        <v>1</v>
      </c>
      <c r="M1080">
        <v>1</v>
      </c>
      <c r="N1080">
        <v>1</v>
      </c>
      <c r="O1080">
        <v>1</v>
      </c>
      <c r="P1080">
        <v>1</v>
      </c>
      <c r="R1080">
        <v>31</v>
      </c>
      <c r="S1080">
        <v>1</v>
      </c>
      <c r="T1080">
        <v>1</v>
      </c>
      <c r="U1080">
        <v>1</v>
      </c>
      <c r="V1080">
        <v>1</v>
      </c>
      <c r="W1080">
        <v>1</v>
      </c>
      <c r="X1080">
        <v>1</v>
      </c>
      <c r="AA1080">
        <v>-7427.2446</v>
      </c>
      <c r="AB1080">
        <v>-7427.2446</v>
      </c>
      <c r="AC1080">
        <v>-7427.2446</v>
      </c>
      <c r="AD1080">
        <v>-7427.2446</v>
      </c>
      <c r="AE1080">
        <v>-7427.2446</v>
      </c>
      <c r="AF1080">
        <v>-7427.2446</v>
      </c>
    </row>
    <row r="1081" spans="2:32" x14ac:dyDescent="0.25">
      <c r="B1081">
        <v>32</v>
      </c>
      <c r="C1081">
        <v>1</v>
      </c>
      <c r="D1081">
        <v>1</v>
      </c>
      <c r="E1081">
        <v>1</v>
      </c>
      <c r="F1081">
        <v>1</v>
      </c>
      <c r="G1081">
        <v>1</v>
      </c>
      <c r="H1081">
        <v>1</v>
      </c>
      <c r="J1081">
        <v>32</v>
      </c>
      <c r="K1081">
        <v>1</v>
      </c>
      <c r="L1081">
        <v>1</v>
      </c>
      <c r="M1081">
        <v>1</v>
      </c>
      <c r="N1081">
        <v>1</v>
      </c>
      <c r="O1081">
        <v>1</v>
      </c>
      <c r="P1081">
        <v>1</v>
      </c>
      <c r="R1081">
        <v>32</v>
      </c>
      <c r="S1081">
        <v>1</v>
      </c>
      <c r="T1081">
        <v>1</v>
      </c>
      <c r="U1081">
        <v>1</v>
      </c>
      <c r="V1081">
        <v>1</v>
      </c>
      <c r="W1081">
        <v>1</v>
      </c>
      <c r="X1081">
        <v>1</v>
      </c>
      <c r="AA1081">
        <v>-7424.8944000000001</v>
      </c>
      <c r="AB1081">
        <v>-7424.8944000000001</v>
      </c>
      <c r="AC1081">
        <v>-7424.8944000000001</v>
      </c>
      <c r="AD1081">
        <v>-7424.8944000000001</v>
      </c>
      <c r="AE1081">
        <v>-7424.8944000000001</v>
      </c>
      <c r="AF1081">
        <v>-7424.8944000000001</v>
      </c>
    </row>
    <row r="1082" spans="2:32" x14ac:dyDescent="0.25">
      <c r="B1082">
        <v>33</v>
      </c>
      <c r="C1082">
        <v>1</v>
      </c>
      <c r="D1082">
        <v>1</v>
      </c>
      <c r="E1082">
        <v>1</v>
      </c>
      <c r="F1082">
        <v>1</v>
      </c>
      <c r="G1082">
        <v>1</v>
      </c>
      <c r="H1082">
        <v>1</v>
      </c>
      <c r="J1082">
        <v>33</v>
      </c>
      <c r="K1082">
        <v>1</v>
      </c>
      <c r="L1082">
        <v>1</v>
      </c>
      <c r="M1082">
        <v>1</v>
      </c>
      <c r="N1082">
        <v>1</v>
      </c>
      <c r="O1082">
        <v>1</v>
      </c>
      <c r="P1082">
        <v>1</v>
      </c>
      <c r="R1082">
        <v>33</v>
      </c>
      <c r="S1082">
        <v>1</v>
      </c>
      <c r="T1082">
        <v>1</v>
      </c>
      <c r="U1082">
        <v>1</v>
      </c>
      <c r="V1082">
        <v>1</v>
      </c>
      <c r="W1082">
        <v>1</v>
      </c>
      <c r="X1082">
        <v>1</v>
      </c>
      <c r="AA1082">
        <v>-7422.2834000000003</v>
      </c>
      <c r="AB1082">
        <v>-7422.2834000000003</v>
      </c>
      <c r="AC1082">
        <v>-7422.2834000000003</v>
      </c>
      <c r="AD1082">
        <v>-7422.2834000000003</v>
      </c>
      <c r="AE1082">
        <v>-7422.2834000000003</v>
      </c>
      <c r="AF1082">
        <v>-7422.2834000000003</v>
      </c>
    </row>
    <row r="1083" spans="2:32" x14ac:dyDescent="0.25">
      <c r="B1083">
        <v>34</v>
      </c>
      <c r="C1083">
        <v>1</v>
      </c>
      <c r="D1083">
        <v>1</v>
      </c>
      <c r="E1083">
        <v>1</v>
      </c>
      <c r="F1083">
        <v>1</v>
      </c>
      <c r="G1083">
        <v>1</v>
      </c>
      <c r="H1083">
        <v>1</v>
      </c>
      <c r="J1083">
        <v>34</v>
      </c>
      <c r="K1083">
        <v>1</v>
      </c>
      <c r="L1083">
        <v>1</v>
      </c>
      <c r="M1083">
        <v>1</v>
      </c>
      <c r="N1083">
        <v>1</v>
      </c>
      <c r="O1083">
        <v>1</v>
      </c>
      <c r="P1083">
        <v>1</v>
      </c>
      <c r="R1083">
        <v>34</v>
      </c>
      <c r="S1083">
        <v>1</v>
      </c>
      <c r="T1083">
        <v>1</v>
      </c>
      <c r="U1083">
        <v>1</v>
      </c>
      <c r="V1083">
        <v>1</v>
      </c>
      <c r="W1083">
        <v>1</v>
      </c>
      <c r="X1083">
        <v>1</v>
      </c>
      <c r="AA1083">
        <v>-7419.3683000000001</v>
      </c>
      <c r="AB1083">
        <v>-7419.3683000000001</v>
      </c>
      <c r="AC1083">
        <v>-7419.3683000000001</v>
      </c>
      <c r="AD1083">
        <v>-7419.3683000000001</v>
      </c>
      <c r="AE1083">
        <v>-7419.3683000000001</v>
      </c>
      <c r="AF1083">
        <v>-7419.3683000000001</v>
      </c>
    </row>
    <row r="1084" spans="2:32" x14ac:dyDescent="0.25">
      <c r="B1084">
        <v>35</v>
      </c>
      <c r="C1084">
        <v>1</v>
      </c>
      <c r="D1084">
        <v>1</v>
      </c>
      <c r="E1084">
        <v>1</v>
      </c>
      <c r="F1084">
        <v>1</v>
      </c>
      <c r="G1084">
        <v>1</v>
      </c>
      <c r="H1084">
        <v>1</v>
      </c>
      <c r="J1084">
        <v>35</v>
      </c>
      <c r="K1084">
        <v>1</v>
      </c>
      <c r="L1084">
        <v>1</v>
      </c>
      <c r="M1084">
        <v>1</v>
      </c>
      <c r="N1084">
        <v>1</v>
      </c>
      <c r="O1084">
        <v>1</v>
      </c>
      <c r="P1084">
        <v>1</v>
      </c>
      <c r="R1084">
        <v>35</v>
      </c>
      <c r="S1084">
        <v>1</v>
      </c>
      <c r="T1084">
        <v>1</v>
      </c>
      <c r="U1084">
        <v>1</v>
      </c>
      <c r="V1084">
        <v>1</v>
      </c>
      <c r="W1084">
        <v>1</v>
      </c>
      <c r="X1084">
        <v>1</v>
      </c>
      <c r="AA1084">
        <v>-7416.1363000000001</v>
      </c>
      <c r="AB1084">
        <v>-7416.1363000000001</v>
      </c>
      <c r="AC1084">
        <v>-7416.1363000000001</v>
      </c>
      <c r="AD1084">
        <v>-7416.1363000000001</v>
      </c>
      <c r="AE1084">
        <v>-7416.1363000000001</v>
      </c>
      <c r="AF1084">
        <v>-7416.1363000000001</v>
      </c>
    </row>
    <row r="1085" spans="2:32" x14ac:dyDescent="0.25">
      <c r="B1085">
        <v>36</v>
      </c>
      <c r="C1085">
        <v>1</v>
      </c>
      <c r="D1085">
        <v>1</v>
      </c>
      <c r="E1085">
        <v>1</v>
      </c>
      <c r="F1085">
        <v>1</v>
      </c>
      <c r="G1085">
        <v>1</v>
      </c>
      <c r="H1085">
        <v>1</v>
      </c>
      <c r="J1085">
        <v>36</v>
      </c>
      <c r="K1085">
        <v>1</v>
      </c>
      <c r="L1085">
        <v>1</v>
      </c>
      <c r="M1085">
        <v>1</v>
      </c>
      <c r="N1085">
        <v>1</v>
      </c>
      <c r="O1085">
        <v>1</v>
      </c>
      <c r="P1085">
        <v>1</v>
      </c>
      <c r="R1085">
        <v>36</v>
      </c>
      <c r="S1085">
        <v>1</v>
      </c>
      <c r="T1085">
        <v>1</v>
      </c>
      <c r="U1085">
        <v>1</v>
      </c>
      <c r="V1085">
        <v>1</v>
      </c>
      <c r="W1085">
        <v>1</v>
      </c>
      <c r="X1085">
        <v>1</v>
      </c>
      <c r="AA1085">
        <v>-7412.5378000000001</v>
      </c>
      <c r="AB1085">
        <v>-7412.5378000000001</v>
      </c>
      <c r="AC1085">
        <v>-7412.5378000000001</v>
      </c>
      <c r="AD1085">
        <v>-7412.5378000000001</v>
      </c>
      <c r="AE1085">
        <v>-7412.5378000000001</v>
      </c>
      <c r="AF1085">
        <v>-7412.5378000000001</v>
      </c>
    </row>
    <row r="1086" spans="2:32" x14ac:dyDescent="0.25">
      <c r="B1086">
        <v>37</v>
      </c>
      <c r="C1086">
        <v>1</v>
      </c>
      <c r="D1086">
        <v>1</v>
      </c>
      <c r="E1086">
        <v>1</v>
      </c>
      <c r="F1086">
        <v>1</v>
      </c>
      <c r="G1086">
        <v>1</v>
      </c>
      <c r="H1086">
        <v>1</v>
      </c>
      <c r="J1086">
        <v>37</v>
      </c>
      <c r="K1086">
        <v>1</v>
      </c>
      <c r="L1086">
        <v>1</v>
      </c>
      <c r="M1086">
        <v>1</v>
      </c>
      <c r="N1086">
        <v>1</v>
      </c>
      <c r="O1086">
        <v>1</v>
      </c>
      <c r="P1086">
        <v>1</v>
      </c>
      <c r="R1086">
        <v>37</v>
      </c>
      <c r="S1086">
        <v>1</v>
      </c>
      <c r="T1086">
        <v>1</v>
      </c>
      <c r="U1086">
        <v>1</v>
      </c>
      <c r="V1086">
        <v>1</v>
      </c>
      <c r="W1086">
        <v>1</v>
      </c>
      <c r="X1086">
        <v>1</v>
      </c>
      <c r="AA1086">
        <v>-7408.55</v>
      </c>
      <c r="AB1086">
        <v>-7408.55</v>
      </c>
      <c r="AC1086">
        <v>-7408.55</v>
      </c>
      <c r="AD1086">
        <v>-7408.55</v>
      </c>
      <c r="AE1086">
        <v>-7408.55</v>
      </c>
      <c r="AF1086">
        <v>-7408.55</v>
      </c>
    </row>
    <row r="1087" spans="2:32" x14ac:dyDescent="0.25">
      <c r="B1087">
        <v>38</v>
      </c>
      <c r="C1087">
        <v>1</v>
      </c>
      <c r="D1087">
        <v>1</v>
      </c>
      <c r="E1087">
        <v>1</v>
      </c>
      <c r="F1087">
        <v>1</v>
      </c>
      <c r="G1087">
        <v>1</v>
      </c>
      <c r="H1087">
        <v>1</v>
      </c>
      <c r="J1087">
        <v>38</v>
      </c>
      <c r="K1087">
        <v>1</v>
      </c>
      <c r="L1087">
        <v>1</v>
      </c>
      <c r="M1087">
        <v>1</v>
      </c>
      <c r="N1087">
        <v>1</v>
      </c>
      <c r="O1087">
        <v>1</v>
      </c>
      <c r="P1087">
        <v>1</v>
      </c>
      <c r="R1087">
        <v>38</v>
      </c>
      <c r="S1087">
        <v>1</v>
      </c>
      <c r="T1087">
        <v>1</v>
      </c>
      <c r="U1087">
        <v>1</v>
      </c>
      <c r="V1087">
        <v>1</v>
      </c>
      <c r="W1087">
        <v>1</v>
      </c>
      <c r="X1087">
        <v>1</v>
      </c>
      <c r="AA1087">
        <v>-7404.1752999999999</v>
      </c>
      <c r="AB1087">
        <v>-7404.1752999999999</v>
      </c>
      <c r="AC1087">
        <v>-7404.1752999999999</v>
      </c>
      <c r="AD1087">
        <v>-7404.1752999999999</v>
      </c>
      <c r="AE1087">
        <v>-7404.1752999999999</v>
      </c>
      <c r="AF1087">
        <v>-7404.1752999999999</v>
      </c>
    </row>
    <row r="1088" spans="2:32" x14ac:dyDescent="0.25">
      <c r="B1088">
        <v>39</v>
      </c>
      <c r="C1088">
        <v>1</v>
      </c>
      <c r="D1088">
        <v>1</v>
      </c>
      <c r="E1088">
        <v>1</v>
      </c>
      <c r="F1088">
        <v>1</v>
      </c>
      <c r="G1088">
        <v>1</v>
      </c>
      <c r="H1088">
        <v>1</v>
      </c>
      <c r="J1088">
        <v>39</v>
      </c>
      <c r="K1088">
        <v>1</v>
      </c>
      <c r="L1088">
        <v>1</v>
      </c>
      <c r="M1088">
        <v>1</v>
      </c>
      <c r="N1088">
        <v>1</v>
      </c>
      <c r="O1088">
        <v>1</v>
      </c>
      <c r="P1088">
        <v>1</v>
      </c>
      <c r="R1088">
        <v>39</v>
      </c>
      <c r="S1088">
        <v>1</v>
      </c>
      <c r="T1088">
        <v>1</v>
      </c>
      <c r="U1088">
        <v>1</v>
      </c>
      <c r="V1088">
        <v>1</v>
      </c>
      <c r="W1088">
        <v>1</v>
      </c>
      <c r="X1088">
        <v>1</v>
      </c>
      <c r="AA1088">
        <v>-7399.3923999999997</v>
      </c>
      <c r="AB1088">
        <v>-7399.3923999999997</v>
      </c>
      <c r="AC1088">
        <v>-7399.3923999999997</v>
      </c>
      <c r="AD1088">
        <v>-7399.3923999999997</v>
      </c>
      <c r="AE1088">
        <v>-7399.3923999999997</v>
      </c>
      <c r="AF1088">
        <v>-7399.3923999999997</v>
      </c>
    </row>
    <row r="1089" spans="2:32" x14ac:dyDescent="0.25">
      <c r="B1089">
        <v>40</v>
      </c>
      <c r="C1089">
        <v>1</v>
      </c>
      <c r="D1089">
        <v>1</v>
      </c>
      <c r="E1089">
        <v>1</v>
      </c>
      <c r="F1089">
        <v>1</v>
      </c>
      <c r="G1089">
        <v>1</v>
      </c>
      <c r="H1089">
        <v>1</v>
      </c>
      <c r="J1089">
        <v>40</v>
      </c>
      <c r="K1089">
        <v>1</v>
      </c>
      <c r="L1089">
        <v>1</v>
      </c>
      <c r="M1089">
        <v>1</v>
      </c>
      <c r="N1089">
        <v>1</v>
      </c>
      <c r="O1089">
        <v>1</v>
      </c>
      <c r="P1089">
        <v>1</v>
      </c>
      <c r="R1089">
        <v>40</v>
      </c>
      <c r="S1089">
        <v>1</v>
      </c>
      <c r="T1089">
        <v>1</v>
      </c>
      <c r="U1089">
        <v>1</v>
      </c>
      <c r="V1089">
        <v>1</v>
      </c>
      <c r="W1089">
        <v>1</v>
      </c>
      <c r="X1089">
        <v>1</v>
      </c>
      <c r="AA1089">
        <v>-7394.1365999999998</v>
      </c>
      <c r="AB1089">
        <v>-7394.1365999999998</v>
      </c>
      <c r="AC1089">
        <v>-7394.1365999999998</v>
      </c>
      <c r="AD1089">
        <v>-7394.1365999999998</v>
      </c>
      <c r="AE1089">
        <v>-7394.1365999999998</v>
      </c>
      <c r="AF1089">
        <v>-7394.1365999999998</v>
      </c>
    </row>
    <row r="1090" spans="2:32" x14ac:dyDescent="0.25">
      <c r="B1090">
        <v>41</v>
      </c>
      <c r="C1090">
        <v>1</v>
      </c>
      <c r="D1090">
        <v>1</v>
      </c>
      <c r="E1090">
        <v>1</v>
      </c>
      <c r="F1090">
        <v>1</v>
      </c>
      <c r="G1090">
        <v>1</v>
      </c>
      <c r="H1090">
        <v>1</v>
      </c>
      <c r="J1090">
        <v>41</v>
      </c>
      <c r="K1090">
        <v>1</v>
      </c>
      <c r="L1090">
        <v>1</v>
      </c>
      <c r="M1090">
        <v>1</v>
      </c>
      <c r="N1090">
        <v>1</v>
      </c>
      <c r="O1090">
        <v>1</v>
      </c>
      <c r="P1090">
        <v>1</v>
      </c>
      <c r="R1090">
        <v>41</v>
      </c>
      <c r="S1090">
        <v>1</v>
      </c>
      <c r="T1090">
        <v>1</v>
      </c>
      <c r="U1090">
        <v>1</v>
      </c>
      <c r="V1090">
        <v>1</v>
      </c>
      <c r="W1090">
        <v>1</v>
      </c>
      <c r="X1090">
        <v>1</v>
      </c>
      <c r="AA1090">
        <v>-7388.3469999999998</v>
      </c>
      <c r="AB1090">
        <v>-7388.3469999999998</v>
      </c>
      <c r="AC1090">
        <v>-7388.3469999999998</v>
      </c>
      <c r="AD1090">
        <v>-7388.3469999999998</v>
      </c>
      <c r="AE1090">
        <v>-7388.3469999999998</v>
      </c>
      <c r="AF1090">
        <v>-7388.3469999999998</v>
      </c>
    </row>
    <row r="1091" spans="2:32" x14ac:dyDescent="0.25">
      <c r="B1091">
        <v>42</v>
      </c>
      <c r="C1091">
        <v>1</v>
      </c>
      <c r="D1091">
        <v>1</v>
      </c>
      <c r="E1091">
        <v>1</v>
      </c>
      <c r="F1091">
        <v>1</v>
      </c>
      <c r="G1091">
        <v>1</v>
      </c>
      <c r="H1091">
        <v>1</v>
      </c>
      <c r="J1091">
        <v>42</v>
      </c>
      <c r="K1091">
        <v>1</v>
      </c>
      <c r="L1091">
        <v>1</v>
      </c>
      <c r="M1091">
        <v>1</v>
      </c>
      <c r="N1091">
        <v>1</v>
      </c>
      <c r="O1091">
        <v>1</v>
      </c>
      <c r="P1091">
        <v>1</v>
      </c>
      <c r="R1091">
        <v>42</v>
      </c>
      <c r="S1091">
        <v>1</v>
      </c>
      <c r="T1091">
        <v>1</v>
      </c>
      <c r="U1091">
        <v>1</v>
      </c>
      <c r="V1091">
        <v>1</v>
      </c>
      <c r="W1091">
        <v>1</v>
      </c>
      <c r="X1091">
        <v>1</v>
      </c>
      <c r="AA1091">
        <v>-7381.9919</v>
      </c>
      <c r="AB1091">
        <v>-7381.9919</v>
      </c>
      <c r="AC1091">
        <v>-7381.9919</v>
      </c>
      <c r="AD1091">
        <v>-7381.9919</v>
      </c>
      <c r="AE1091">
        <v>-7381.9919</v>
      </c>
      <c r="AF1091">
        <v>-7381.9919</v>
      </c>
    </row>
    <row r="1092" spans="2:32" x14ac:dyDescent="0.25">
      <c r="B1092">
        <v>43</v>
      </c>
      <c r="C1092">
        <v>1</v>
      </c>
      <c r="D1092">
        <v>1</v>
      </c>
      <c r="E1092">
        <v>1</v>
      </c>
      <c r="F1092">
        <v>1</v>
      </c>
      <c r="G1092">
        <v>1</v>
      </c>
      <c r="H1092">
        <v>1</v>
      </c>
      <c r="J1092">
        <v>43</v>
      </c>
      <c r="K1092">
        <v>1</v>
      </c>
      <c r="L1092">
        <v>1</v>
      </c>
      <c r="M1092">
        <v>1</v>
      </c>
      <c r="N1092">
        <v>1</v>
      </c>
      <c r="O1092">
        <v>1</v>
      </c>
      <c r="P1092">
        <v>1</v>
      </c>
      <c r="R1092">
        <v>43</v>
      </c>
      <c r="S1092">
        <v>1</v>
      </c>
      <c r="T1092">
        <v>1</v>
      </c>
      <c r="U1092">
        <v>1</v>
      </c>
      <c r="V1092">
        <v>1</v>
      </c>
      <c r="W1092">
        <v>1</v>
      </c>
      <c r="X1092">
        <v>1</v>
      </c>
      <c r="AA1092">
        <v>-7374.9579999999996</v>
      </c>
      <c r="AB1092">
        <v>-7374.9579999999996</v>
      </c>
      <c r="AC1092">
        <v>-7374.9579999999996</v>
      </c>
      <c r="AD1092">
        <v>-7374.9579999999996</v>
      </c>
      <c r="AE1092">
        <v>-7374.9579999999996</v>
      </c>
      <c r="AF1092">
        <v>-7374.9579999999996</v>
      </c>
    </row>
    <row r="1093" spans="2:32" x14ac:dyDescent="0.25">
      <c r="B1093">
        <v>44</v>
      </c>
      <c r="C1093">
        <v>1</v>
      </c>
      <c r="D1093">
        <v>1</v>
      </c>
      <c r="E1093">
        <v>1</v>
      </c>
      <c r="F1093">
        <v>1</v>
      </c>
      <c r="G1093">
        <v>1</v>
      </c>
      <c r="H1093">
        <v>1</v>
      </c>
      <c r="J1093">
        <v>44</v>
      </c>
      <c r="K1093">
        <v>1</v>
      </c>
      <c r="L1093">
        <v>1</v>
      </c>
      <c r="M1093">
        <v>1</v>
      </c>
      <c r="N1093">
        <v>1</v>
      </c>
      <c r="O1093">
        <v>1</v>
      </c>
      <c r="P1093">
        <v>1</v>
      </c>
      <c r="R1093">
        <v>44</v>
      </c>
      <c r="S1093">
        <v>1</v>
      </c>
      <c r="T1093">
        <v>1</v>
      </c>
      <c r="U1093">
        <v>1</v>
      </c>
      <c r="V1093">
        <v>1</v>
      </c>
      <c r="W1093">
        <v>1</v>
      </c>
      <c r="X1093">
        <v>1</v>
      </c>
      <c r="AA1093">
        <v>-7367.2034999999996</v>
      </c>
      <c r="AB1093">
        <v>-7367.2034999999996</v>
      </c>
      <c r="AC1093">
        <v>-7367.2034999999996</v>
      </c>
      <c r="AD1093">
        <v>-7367.2034999999996</v>
      </c>
      <c r="AE1093">
        <v>-7367.2034999999996</v>
      </c>
      <c r="AF1093">
        <v>-7367.2034999999996</v>
      </c>
    </row>
    <row r="1094" spans="2:32" x14ac:dyDescent="0.25">
      <c r="B1094">
        <v>45</v>
      </c>
      <c r="C1094">
        <v>1</v>
      </c>
      <c r="D1094">
        <v>1</v>
      </c>
      <c r="E1094">
        <v>1</v>
      </c>
      <c r="F1094">
        <v>1</v>
      </c>
      <c r="G1094">
        <v>1</v>
      </c>
      <c r="H1094">
        <v>1</v>
      </c>
      <c r="J1094">
        <v>45</v>
      </c>
      <c r="K1094">
        <v>1</v>
      </c>
      <c r="L1094">
        <v>1</v>
      </c>
      <c r="M1094">
        <v>1</v>
      </c>
      <c r="N1094">
        <v>1</v>
      </c>
      <c r="O1094">
        <v>1</v>
      </c>
      <c r="P1094">
        <v>1</v>
      </c>
      <c r="R1094">
        <v>45</v>
      </c>
      <c r="S1094">
        <v>1</v>
      </c>
      <c r="T1094">
        <v>1</v>
      </c>
      <c r="U1094">
        <v>1</v>
      </c>
      <c r="V1094">
        <v>1</v>
      </c>
      <c r="W1094">
        <v>1</v>
      </c>
      <c r="X1094">
        <v>1</v>
      </c>
      <c r="AA1094">
        <v>-7358.6491999999998</v>
      </c>
      <c r="AB1094">
        <v>-7358.6491999999998</v>
      </c>
      <c r="AC1094">
        <v>-7358.6491999999998</v>
      </c>
      <c r="AD1094">
        <v>-7358.6491999999998</v>
      </c>
      <c r="AE1094">
        <v>-7358.6491999999998</v>
      </c>
      <c r="AF1094">
        <v>-7358.6491999999998</v>
      </c>
    </row>
    <row r="1095" spans="2:32" x14ac:dyDescent="0.25">
      <c r="B1095">
        <v>46</v>
      </c>
      <c r="C1095">
        <v>1</v>
      </c>
      <c r="D1095">
        <v>1</v>
      </c>
      <c r="E1095">
        <v>1</v>
      </c>
      <c r="F1095">
        <v>1</v>
      </c>
      <c r="G1095">
        <v>1</v>
      </c>
      <c r="H1095">
        <v>1</v>
      </c>
      <c r="J1095">
        <v>46</v>
      </c>
      <c r="K1095">
        <v>1</v>
      </c>
      <c r="L1095">
        <v>1</v>
      </c>
      <c r="M1095">
        <v>1</v>
      </c>
      <c r="N1095">
        <v>1</v>
      </c>
      <c r="O1095">
        <v>1</v>
      </c>
      <c r="P1095">
        <v>1</v>
      </c>
      <c r="R1095">
        <v>46</v>
      </c>
      <c r="S1095">
        <v>1</v>
      </c>
      <c r="T1095">
        <v>1</v>
      </c>
      <c r="U1095">
        <v>1</v>
      </c>
      <c r="V1095">
        <v>1</v>
      </c>
      <c r="W1095">
        <v>1</v>
      </c>
      <c r="X1095">
        <v>1</v>
      </c>
      <c r="AA1095">
        <v>-7349.2232000000004</v>
      </c>
      <c r="AB1095">
        <v>-7349.2232000000004</v>
      </c>
      <c r="AC1095">
        <v>-7349.2232000000004</v>
      </c>
      <c r="AD1095">
        <v>-7349.2232000000004</v>
      </c>
      <c r="AE1095">
        <v>-7349.2232000000004</v>
      </c>
      <c r="AF1095">
        <v>-7349.2232000000004</v>
      </c>
    </row>
    <row r="1096" spans="2:32" x14ac:dyDescent="0.25">
      <c r="B1096">
        <v>47</v>
      </c>
      <c r="C1096">
        <v>1</v>
      </c>
      <c r="D1096">
        <v>1</v>
      </c>
      <c r="E1096">
        <v>1</v>
      </c>
      <c r="F1096">
        <v>1</v>
      </c>
      <c r="G1096">
        <v>1</v>
      </c>
      <c r="H1096">
        <v>1</v>
      </c>
      <c r="J1096">
        <v>47</v>
      </c>
      <c r="K1096">
        <v>1</v>
      </c>
      <c r="L1096">
        <v>1</v>
      </c>
      <c r="M1096">
        <v>1</v>
      </c>
      <c r="N1096">
        <v>1</v>
      </c>
      <c r="O1096">
        <v>1</v>
      </c>
      <c r="P1096">
        <v>1</v>
      </c>
      <c r="R1096">
        <v>47</v>
      </c>
      <c r="S1096">
        <v>1</v>
      </c>
      <c r="T1096">
        <v>1</v>
      </c>
      <c r="U1096">
        <v>1</v>
      </c>
      <c r="V1096">
        <v>1</v>
      </c>
      <c r="W1096">
        <v>1</v>
      </c>
      <c r="X1096">
        <v>1</v>
      </c>
      <c r="AA1096">
        <v>-7338.8310000000001</v>
      </c>
      <c r="AB1096">
        <v>-7338.8310000000001</v>
      </c>
      <c r="AC1096">
        <v>-7338.8310000000001</v>
      </c>
      <c r="AD1096">
        <v>-7338.8310000000001</v>
      </c>
      <c r="AE1096">
        <v>-7338.8310000000001</v>
      </c>
      <c r="AF1096">
        <v>-7338.8310000000001</v>
      </c>
    </row>
    <row r="1097" spans="2:32" x14ac:dyDescent="0.25">
      <c r="B1097">
        <v>48</v>
      </c>
      <c r="C1097">
        <v>1</v>
      </c>
      <c r="D1097">
        <v>1</v>
      </c>
      <c r="E1097">
        <v>1</v>
      </c>
      <c r="F1097">
        <v>1</v>
      </c>
      <c r="G1097">
        <v>1</v>
      </c>
      <c r="H1097">
        <v>1</v>
      </c>
      <c r="J1097">
        <v>48</v>
      </c>
      <c r="K1097">
        <v>1</v>
      </c>
      <c r="L1097">
        <v>1</v>
      </c>
      <c r="M1097">
        <v>1</v>
      </c>
      <c r="N1097">
        <v>1</v>
      </c>
      <c r="O1097">
        <v>1</v>
      </c>
      <c r="P1097">
        <v>1</v>
      </c>
      <c r="R1097">
        <v>48</v>
      </c>
      <c r="S1097">
        <v>1</v>
      </c>
      <c r="T1097">
        <v>1</v>
      </c>
      <c r="U1097">
        <v>1</v>
      </c>
      <c r="V1097">
        <v>1</v>
      </c>
      <c r="W1097">
        <v>1</v>
      </c>
      <c r="X1097">
        <v>1</v>
      </c>
      <c r="AA1097">
        <v>-7327.4297999999999</v>
      </c>
      <c r="AB1097">
        <v>-7327.4297999999999</v>
      </c>
      <c r="AC1097">
        <v>-7327.4297999999999</v>
      </c>
      <c r="AD1097">
        <v>-7327.4297999999999</v>
      </c>
      <c r="AE1097">
        <v>-7327.4297999999999</v>
      </c>
      <c r="AF1097">
        <v>-7327.4297999999999</v>
      </c>
    </row>
    <row r="1098" spans="2:32" x14ac:dyDescent="0.25">
      <c r="B1098">
        <v>49</v>
      </c>
      <c r="C1098">
        <v>1</v>
      </c>
      <c r="D1098">
        <v>1</v>
      </c>
      <c r="E1098">
        <v>1</v>
      </c>
      <c r="F1098">
        <v>1</v>
      </c>
      <c r="G1098">
        <v>1</v>
      </c>
      <c r="H1098">
        <v>1</v>
      </c>
      <c r="J1098">
        <v>49</v>
      </c>
      <c r="K1098">
        <v>1</v>
      </c>
      <c r="L1098">
        <v>1</v>
      </c>
      <c r="M1098">
        <v>1</v>
      </c>
      <c r="N1098">
        <v>1</v>
      </c>
      <c r="O1098">
        <v>1</v>
      </c>
      <c r="P1098">
        <v>1</v>
      </c>
      <c r="R1098">
        <v>49</v>
      </c>
      <c r="S1098">
        <v>1</v>
      </c>
      <c r="T1098">
        <v>1</v>
      </c>
      <c r="U1098">
        <v>1</v>
      </c>
      <c r="V1098">
        <v>1</v>
      </c>
      <c r="W1098">
        <v>1</v>
      </c>
      <c r="X1098">
        <v>1</v>
      </c>
      <c r="AA1098">
        <v>-7314.951</v>
      </c>
      <c r="AB1098">
        <v>-7314.951</v>
      </c>
      <c r="AC1098">
        <v>-7314.951</v>
      </c>
      <c r="AD1098">
        <v>-7314.951</v>
      </c>
      <c r="AE1098">
        <v>-7314.951</v>
      </c>
      <c r="AF1098">
        <v>-7314.951</v>
      </c>
    </row>
    <row r="1099" spans="2:32" x14ac:dyDescent="0.25">
      <c r="B1099">
        <v>50</v>
      </c>
      <c r="C1099">
        <v>1</v>
      </c>
      <c r="D1099">
        <v>1</v>
      </c>
      <c r="E1099">
        <v>1</v>
      </c>
      <c r="F1099">
        <v>1</v>
      </c>
      <c r="G1099">
        <v>1</v>
      </c>
      <c r="H1099">
        <v>1</v>
      </c>
      <c r="J1099">
        <v>50</v>
      </c>
      <c r="K1099">
        <v>1</v>
      </c>
      <c r="L1099">
        <v>1</v>
      </c>
      <c r="M1099">
        <v>1</v>
      </c>
      <c r="N1099">
        <v>1</v>
      </c>
      <c r="O1099">
        <v>1</v>
      </c>
      <c r="P1099">
        <v>1</v>
      </c>
      <c r="R1099">
        <v>50</v>
      </c>
      <c r="S1099">
        <v>1</v>
      </c>
      <c r="T1099">
        <v>1</v>
      </c>
      <c r="U1099">
        <v>1</v>
      </c>
      <c r="V1099">
        <v>1</v>
      </c>
      <c r="W1099">
        <v>1</v>
      </c>
      <c r="X1099">
        <v>1</v>
      </c>
      <c r="AA1099">
        <v>-7301.2851000000001</v>
      </c>
      <c r="AB1099">
        <v>-7301.2851000000001</v>
      </c>
      <c r="AC1099">
        <v>-7301.2851000000001</v>
      </c>
      <c r="AD1099">
        <v>-7301.2851000000001</v>
      </c>
      <c r="AE1099">
        <v>-7301.2851000000001</v>
      </c>
      <c r="AF1099">
        <v>-7301.2851000000001</v>
      </c>
    </row>
    <row r="1100" spans="2:32" x14ac:dyDescent="0.25">
      <c r="B1100">
        <v>51</v>
      </c>
      <c r="C1100">
        <v>1</v>
      </c>
      <c r="D1100">
        <v>1</v>
      </c>
      <c r="E1100">
        <v>1</v>
      </c>
      <c r="F1100">
        <v>1</v>
      </c>
      <c r="G1100">
        <v>1</v>
      </c>
      <c r="H1100">
        <v>1</v>
      </c>
      <c r="J1100">
        <v>51</v>
      </c>
      <c r="K1100">
        <v>1</v>
      </c>
      <c r="L1100">
        <v>1</v>
      </c>
      <c r="M1100">
        <v>1</v>
      </c>
      <c r="N1100">
        <v>1</v>
      </c>
      <c r="O1100">
        <v>1</v>
      </c>
      <c r="P1100">
        <v>1</v>
      </c>
      <c r="R1100">
        <v>51</v>
      </c>
      <c r="S1100">
        <v>1</v>
      </c>
      <c r="T1100">
        <v>1</v>
      </c>
      <c r="U1100">
        <v>1</v>
      </c>
      <c r="V1100">
        <v>1</v>
      </c>
      <c r="W1100">
        <v>1</v>
      </c>
      <c r="X1100">
        <v>1</v>
      </c>
      <c r="AA1100">
        <v>-7286.3271000000004</v>
      </c>
      <c r="AB1100">
        <v>-7286.3271000000004</v>
      </c>
      <c r="AC1100">
        <v>-7286.3271000000004</v>
      </c>
      <c r="AD1100">
        <v>-7286.3271000000004</v>
      </c>
      <c r="AE1100">
        <v>-7286.3271000000004</v>
      </c>
      <c r="AF1100">
        <v>-7286.3271000000004</v>
      </c>
    </row>
    <row r="1101" spans="2:32" x14ac:dyDescent="0.25">
      <c r="B1101">
        <v>52</v>
      </c>
      <c r="C1101">
        <v>1</v>
      </c>
      <c r="D1101">
        <v>1</v>
      </c>
      <c r="E1101">
        <v>1</v>
      </c>
      <c r="F1101">
        <v>1</v>
      </c>
      <c r="G1101">
        <v>1</v>
      </c>
      <c r="H1101">
        <v>1</v>
      </c>
      <c r="J1101">
        <v>52</v>
      </c>
      <c r="K1101">
        <v>1</v>
      </c>
      <c r="L1101">
        <v>1</v>
      </c>
      <c r="M1101">
        <v>1</v>
      </c>
      <c r="N1101">
        <v>1</v>
      </c>
      <c r="O1101">
        <v>1</v>
      </c>
      <c r="P1101">
        <v>1</v>
      </c>
      <c r="R1101">
        <v>52</v>
      </c>
      <c r="S1101">
        <v>1</v>
      </c>
      <c r="T1101">
        <v>1</v>
      </c>
      <c r="U1101">
        <v>1</v>
      </c>
      <c r="V1101">
        <v>1</v>
      </c>
      <c r="W1101">
        <v>1</v>
      </c>
      <c r="X1101">
        <v>1</v>
      </c>
      <c r="AA1101">
        <v>-7269.9448000000002</v>
      </c>
      <c r="AB1101">
        <v>-7269.9448000000002</v>
      </c>
      <c r="AC1101">
        <v>-7269.9448000000002</v>
      </c>
      <c r="AD1101">
        <v>-7269.9448000000002</v>
      </c>
      <c r="AE1101">
        <v>-7269.9448000000002</v>
      </c>
      <c r="AF1101">
        <v>-7269.9448000000002</v>
      </c>
    </row>
    <row r="1102" spans="2:32" x14ac:dyDescent="0.25">
      <c r="B1102">
        <v>53</v>
      </c>
      <c r="C1102">
        <v>1</v>
      </c>
      <c r="D1102">
        <v>1</v>
      </c>
      <c r="E1102">
        <v>1</v>
      </c>
      <c r="F1102">
        <v>1</v>
      </c>
      <c r="G1102">
        <v>1</v>
      </c>
      <c r="H1102">
        <v>1</v>
      </c>
      <c r="J1102">
        <v>53</v>
      </c>
      <c r="K1102">
        <v>1</v>
      </c>
      <c r="L1102">
        <v>1</v>
      </c>
      <c r="M1102">
        <v>1</v>
      </c>
      <c r="N1102">
        <v>1</v>
      </c>
      <c r="O1102">
        <v>1</v>
      </c>
      <c r="P1102">
        <v>1</v>
      </c>
      <c r="R1102">
        <v>53</v>
      </c>
      <c r="S1102">
        <v>1</v>
      </c>
      <c r="T1102">
        <v>1</v>
      </c>
      <c r="U1102">
        <v>1</v>
      </c>
      <c r="V1102">
        <v>1</v>
      </c>
      <c r="W1102">
        <v>1</v>
      </c>
      <c r="X1102">
        <v>1</v>
      </c>
      <c r="AA1102">
        <v>-7252.0574999999999</v>
      </c>
      <c r="AB1102">
        <v>-7252.0574999999999</v>
      </c>
      <c r="AC1102">
        <v>-7252.0574999999999</v>
      </c>
      <c r="AD1102">
        <v>-7252.0574999999999</v>
      </c>
      <c r="AE1102">
        <v>-7252.0574999999999</v>
      </c>
      <c r="AF1102">
        <v>-7252.0574999999999</v>
      </c>
    </row>
    <row r="1103" spans="2:32" x14ac:dyDescent="0.25">
      <c r="B1103">
        <v>54</v>
      </c>
      <c r="C1103">
        <v>1</v>
      </c>
      <c r="D1103">
        <v>1</v>
      </c>
      <c r="E1103">
        <v>1</v>
      </c>
      <c r="F1103">
        <v>1</v>
      </c>
      <c r="G1103">
        <v>1</v>
      </c>
      <c r="H1103">
        <v>1</v>
      </c>
      <c r="J1103">
        <v>54</v>
      </c>
      <c r="K1103">
        <v>1</v>
      </c>
      <c r="L1103">
        <v>1</v>
      </c>
      <c r="M1103">
        <v>1</v>
      </c>
      <c r="N1103">
        <v>1</v>
      </c>
      <c r="O1103">
        <v>1</v>
      </c>
      <c r="P1103">
        <v>1</v>
      </c>
      <c r="R1103">
        <v>54</v>
      </c>
      <c r="S1103">
        <v>1</v>
      </c>
      <c r="T1103">
        <v>1</v>
      </c>
      <c r="U1103">
        <v>1</v>
      </c>
      <c r="V1103">
        <v>1</v>
      </c>
      <c r="W1103">
        <v>1</v>
      </c>
      <c r="X1103">
        <v>1</v>
      </c>
      <c r="AA1103">
        <v>-7232.5680000000002</v>
      </c>
      <c r="AB1103">
        <v>-7232.5680000000002</v>
      </c>
      <c r="AC1103">
        <v>-7232.5680000000002</v>
      </c>
      <c r="AD1103">
        <v>-7232.5680000000002</v>
      </c>
      <c r="AE1103">
        <v>-7232.5680000000002</v>
      </c>
      <c r="AF1103">
        <v>-7232.5680000000002</v>
      </c>
    </row>
    <row r="1104" spans="2:32" x14ac:dyDescent="0.25">
      <c r="B1104">
        <v>55</v>
      </c>
      <c r="C1104">
        <v>1</v>
      </c>
      <c r="D1104">
        <v>1</v>
      </c>
      <c r="E1104">
        <v>1</v>
      </c>
      <c r="F1104">
        <v>1</v>
      </c>
      <c r="G1104">
        <v>1</v>
      </c>
      <c r="H1104">
        <v>1</v>
      </c>
      <c r="J1104">
        <v>55</v>
      </c>
      <c r="K1104">
        <v>1</v>
      </c>
      <c r="L1104">
        <v>1</v>
      </c>
      <c r="M1104">
        <v>1</v>
      </c>
      <c r="N1104">
        <v>1</v>
      </c>
      <c r="O1104">
        <v>1</v>
      </c>
      <c r="P1104">
        <v>1</v>
      </c>
      <c r="R1104">
        <v>55</v>
      </c>
      <c r="S1104">
        <v>1</v>
      </c>
      <c r="T1104">
        <v>1</v>
      </c>
      <c r="U1104">
        <v>1</v>
      </c>
      <c r="V1104">
        <v>1</v>
      </c>
      <c r="W1104">
        <v>1</v>
      </c>
      <c r="X1104">
        <v>1</v>
      </c>
      <c r="AA1104">
        <v>-7211.3207000000002</v>
      </c>
      <c r="AB1104">
        <v>-7211.3207000000002</v>
      </c>
      <c r="AC1104">
        <v>-7211.3207000000002</v>
      </c>
      <c r="AD1104">
        <v>-7211.3207000000002</v>
      </c>
      <c r="AE1104">
        <v>-7211.3207000000002</v>
      </c>
      <c r="AF1104">
        <v>-7211.3207000000002</v>
      </c>
    </row>
    <row r="1107" spans="2:31" x14ac:dyDescent="0.25">
      <c r="B1107" t="s">
        <v>46</v>
      </c>
      <c r="C1107">
        <v>100000</v>
      </c>
      <c r="D1107">
        <v>250000</v>
      </c>
      <c r="E1107">
        <v>500000</v>
      </c>
      <c r="F1107">
        <v>1000000</v>
      </c>
      <c r="G1107">
        <v>2000000</v>
      </c>
      <c r="J1107" t="s">
        <v>32</v>
      </c>
      <c r="K1107">
        <v>100000</v>
      </c>
      <c r="L1107">
        <v>250000</v>
      </c>
      <c r="M1107">
        <v>500000</v>
      </c>
      <c r="N1107">
        <v>1000000</v>
      </c>
      <c r="O1107">
        <v>2000000</v>
      </c>
      <c r="R1107" t="s">
        <v>48</v>
      </c>
      <c r="S1107">
        <v>100000</v>
      </c>
      <c r="T1107">
        <v>250000</v>
      </c>
      <c r="U1107">
        <v>500000</v>
      </c>
      <c r="V1107">
        <v>1000000</v>
      </c>
      <c r="W1107">
        <v>2000000</v>
      </c>
    </row>
    <row r="1108" spans="2:31" x14ac:dyDescent="0.25">
      <c r="B1108">
        <v>35</v>
      </c>
      <c r="C1108">
        <v>1</v>
      </c>
      <c r="D1108">
        <v>1</v>
      </c>
      <c r="E1108">
        <v>1</v>
      </c>
      <c r="F1108">
        <v>1</v>
      </c>
      <c r="G1108">
        <v>1</v>
      </c>
      <c r="J1108">
        <v>35</v>
      </c>
      <c r="K1108">
        <v>1</v>
      </c>
      <c r="L1108">
        <v>1</v>
      </c>
      <c r="M1108">
        <v>1</v>
      </c>
      <c r="N1108">
        <v>1</v>
      </c>
      <c r="O1108">
        <v>1</v>
      </c>
      <c r="R1108">
        <v>35</v>
      </c>
      <c r="S1108">
        <v>1</v>
      </c>
      <c r="T1108">
        <v>1</v>
      </c>
      <c r="U1108">
        <v>1</v>
      </c>
      <c r="V1108">
        <v>1</v>
      </c>
      <c r="W1108">
        <v>1</v>
      </c>
      <c r="AA1108">
        <v>-11308.6893</v>
      </c>
      <c r="AB1108">
        <v>-11308.6893</v>
      </c>
      <c r="AC1108">
        <v>-11308.6893</v>
      </c>
      <c r="AD1108">
        <v>-11308.6893</v>
      </c>
      <c r="AE1108">
        <v>-11308.6893</v>
      </c>
    </row>
    <row r="1109" spans="2:31" x14ac:dyDescent="0.25">
      <c r="B1109">
        <f t="shared" ref="B1109:B1138" si="48">B1108+1</f>
        <v>36</v>
      </c>
      <c r="C1109">
        <v>1</v>
      </c>
      <c r="D1109">
        <v>1</v>
      </c>
      <c r="E1109">
        <v>1</v>
      </c>
      <c r="F1109">
        <v>1</v>
      </c>
      <c r="G1109">
        <v>1</v>
      </c>
      <c r="J1109">
        <f t="shared" ref="J1109:J1138" si="49">J1108+1</f>
        <v>36</v>
      </c>
      <c r="K1109">
        <v>1</v>
      </c>
      <c r="L1109">
        <v>1</v>
      </c>
      <c r="M1109">
        <v>1</v>
      </c>
      <c r="N1109">
        <v>1</v>
      </c>
      <c r="O1109">
        <v>1</v>
      </c>
      <c r="R1109">
        <f t="shared" ref="R1109:R1138" si="50">R1108+1</f>
        <v>36</v>
      </c>
      <c r="S1109">
        <v>1</v>
      </c>
      <c r="T1109">
        <v>1</v>
      </c>
      <c r="U1109">
        <v>1</v>
      </c>
      <c r="V1109">
        <v>1</v>
      </c>
      <c r="W1109">
        <v>1</v>
      </c>
      <c r="AA1109">
        <v>-11214.2592</v>
      </c>
      <c r="AB1109">
        <v>-11214.2592</v>
      </c>
      <c r="AC1109">
        <v>-11214.2592</v>
      </c>
      <c r="AD1109">
        <v>-11214.2592</v>
      </c>
      <c r="AE1109">
        <v>-11214.2592</v>
      </c>
    </row>
    <row r="1110" spans="2:31" x14ac:dyDescent="0.25">
      <c r="B1110">
        <f t="shared" si="48"/>
        <v>37</v>
      </c>
      <c r="C1110">
        <v>1</v>
      </c>
      <c r="D1110">
        <v>1</v>
      </c>
      <c r="E1110">
        <v>1</v>
      </c>
      <c r="F1110">
        <v>1</v>
      </c>
      <c r="G1110">
        <v>1</v>
      </c>
      <c r="J1110">
        <f t="shared" si="49"/>
        <v>37</v>
      </c>
      <c r="K1110">
        <v>1</v>
      </c>
      <c r="L1110">
        <v>1</v>
      </c>
      <c r="M1110">
        <v>1</v>
      </c>
      <c r="N1110">
        <v>1</v>
      </c>
      <c r="O1110">
        <v>1</v>
      </c>
      <c r="R1110">
        <f t="shared" si="50"/>
        <v>37</v>
      </c>
      <c r="S1110">
        <v>1</v>
      </c>
      <c r="T1110">
        <v>1</v>
      </c>
      <c r="U1110">
        <v>1</v>
      </c>
      <c r="V1110">
        <v>1</v>
      </c>
      <c r="W1110">
        <v>1</v>
      </c>
      <c r="AA1110">
        <v>-11117.406199999999</v>
      </c>
      <c r="AB1110">
        <v>-11117.406199999999</v>
      </c>
      <c r="AC1110">
        <v>-11117.406199999999</v>
      </c>
      <c r="AD1110">
        <v>-11117.406199999999</v>
      </c>
      <c r="AE1110">
        <v>-11117.406199999999</v>
      </c>
    </row>
    <row r="1111" spans="2:31" x14ac:dyDescent="0.25">
      <c r="B1111">
        <f t="shared" si="48"/>
        <v>38</v>
      </c>
      <c r="C1111">
        <v>1</v>
      </c>
      <c r="D1111">
        <v>1</v>
      </c>
      <c r="E1111">
        <v>1</v>
      </c>
      <c r="F1111">
        <v>1</v>
      </c>
      <c r="G1111">
        <v>1</v>
      </c>
      <c r="J1111">
        <f t="shared" si="49"/>
        <v>38</v>
      </c>
      <c r="K1111">
        <v>1</v>
      </c>
      <c r="L1111">
        <v>1</v>
      </c>
      <c r="M1111">
        <v>1</v>
      </c>
      <c r="N1111">
        <v>1</v>
      </c>
      <c r="O1111">
        <v>1</v>
      </c>
      <c r="R1111">
        <f t="shared" si="50"/>
        <v>38</v>
      </c>
      <c r="S1111">
        <v>1</v>
      </c>
      <c r="T1111">
        <v>1</v>
      </c>
      <c r="U1111">
        <v>1</v>
      </c>
      <c r="V1111">
        <v>1</v>
      </c>
      <c r="W1111">
        <v>1</v>
      </c>
      <c r="AA1111">
        <v>-11018.229799999999</v>
      </c>
      <c r="AB1111">
        <v>-11018.229799999999</v>
      </c>
      <c r="AC1111">
        <v>-11018.229799999999</v>
      </c>
      <c r="AD1111">
        <v>-11018.229799999999</v>
      </c>
      <c r="AE1111">
        <v>-11018.229799999999</v>
      </c>
    </row>
    <row r="1112" spans="2:31" x14ac:dyDescent="0.25">
      <c r="B1112">
        <f t="shared" si="48"/>
        <v>39</v>
      </c>
      <c r="C1112">
        <v>1</v>
      </c>
      <c r="D1112">
        <v>1</v>
      </c>
      <c r="E1112">
        <v>1</v>
      </c>
      <c r="F1112">
        <v>1</v>
      </c>
      <c r="G1112">
        <v>1</v>
      </c>
      <c r="J1112">
        <f t="shared" si="49"/>
        <v>39</v>
      </c>
      <c r="K1112">
        <v>1</v>
      </c>
      <c r="L1112">
        <v>1</v>
      </c>
      <c r="M1112">
        <v>1</v>
      </c>
      <c r="N1112">
        <v>1</v>
      </c>
      <c r="O1112">
        <v>1</v>
      </c>
      <c r="R1112">
        <f t="shared" si="50"/>
        <v>39</v>
      </c>
      <c r="S1112">
        <v>1</v>
      </c>
      <c r="T1112">
        <v>1</v>
      </c>
      <c r="U1112">
        <v>1</v>
      </c>
      <c r="V1112">
        <v>1</v>
      </c>
      <c r="W1112">
        <v>1</v>
      </c>
      <c r="AA1112">
        <v>-10916.737999999999</v>
      </c>
      <c r="AB1112">
        <v>-10916.737999999999</v>
      </c>
      <c r="AC1112">
        <v>-10916.737999999999</v>
      </c>
      <c r="AD1112">
        <v>-10916.737999999999</v>
      </c>
      <c r="AE1112">
        <v>-10916.737999999999</v>
      </c>
    </row>
    <row r="1113" spans="2:31" x14ac:dyDescent="0.25">
      <c r="B1113">
        <f t="shared" si="48"/>
        <v>40</v>
      </c>
      <c r="C1113">
        <v>1</v>
      </c>
      <c r="D1113">
        <v>1</v>
      </c>
      <c r="E1113">
        <v>1</v>
      </c>
      <c r="F1113">
        <v>1</v>
      </c>
      <c r="G1113">
        <v>1</v>
      </c>
      <c r="J1113">
        <f t="shared" si="49"/>
        <v>40</v>
      </c>
      <c r="K1113">
        <v>1</v>
      </c>
      <c r="L1113">
        <v>1</v>
      </c>
      <c r="M1113">
        <v>1</v>
      </c>
      <c r="N1113">
        <v>1</v>
      </c>
      <c r="O1113">
        <v>1</v>
      </c>
      <c r="R1113">
        <f t="shared" si="50"/>
        <v>40</v>
      </c>
      <c r="S1113">
        <v>1</v>
      </c>
      <c r="T1113">
        <v>1</v>
      </c>
      <c r="U1113">
        <v>1</v>
      </c>
      <c r="V1113">
        <v>1</v>
      </c>
      <c r="W1113">
        <v>1</v>
      </c>
      <c r="AA1113">
        <v>-10812.8714</v>
      </c>
      <c r="AB1113">
        <v>-10812.8714</v>
      </c>
      <c r="AC1113">
        <v>-10812.8714</v>
      </c>
      <c r="AD1113">
        <v>-10812.8714</v>
      </c>
      <c r="AE1113">
        <v>-10812.8714</v>
      </c>
    </row>
    <row r="1114" spans="2:31" x14ac:dyDescent="0.25">
      <c r="B1114">
        <f t="shared" si="48"/>
        <v>41</v>
      </c>
      <c r="C1114">
        <v>1</v>
      </c>
      <c r="D1114">
        <v>1</v>
      </c>
      <c r="E1114">
        <v>1</v>
      </c>
      <c r="F1114">
        <v>1</v>
      </c>
      <c r="G1114">
        <v>1</v>
      </c>
      <c r="J1114">
        <f t="shared" si="49"/>
        <v>41</v>
      </c>
      <c r="K1114">
        <v>1</v>
      </c>
      <c r="L1114">
        <v>1</v>
      </c>
      <c r="M1114">
        <v>1</v>
      </c>
      <c r="N1114">
        <v>1</v>
      </c>
      <c r="O1114">
        <v>1</v>
      </c>
      <c r="R1114">
        <f t="shared" si="50"/>
        <v>41</v>
      </c>
      <c r="S1114">
        <v>1</v>
      </c>
      <c r="T1114">
        <v>1</v>
      </c>
      <c r="U1114">
        <v>1</v>
      </c>
      <c r="V1114">
        <v>1</v>
      </c>
      <c r="W1114">
        <v>1</v>
      </c>
      <c r="AA1114">
        <v>-10706.559600000001</v>
      </c>
      <c r="AB1114">
        <v>-10706.559600000001</v>
      </c>
      <c r="AC1114">
        <v>-10706.559600000001</v>
      </c>
      <c r="AD1114">
        <v>-10706.559600000001</v>
      </c>
      <c r="AE1114">
        <v>-10706.559600000001</v>
      </c>
    </row>
    <row r="1115" spans="2:31" x14ac:dyDescent="0.25">
      <c r="B1115">
        <f t="shared" si="48"/>
        <v>42</v>
      </c>
      <c r="C1115">
        <v>1</v>
      </c>
      <c r="D1115">
        <v>1</v>
      </c>
      <c r="E1115">
        <v>1</v>
      </c>
      <c r="F1115">
        <v>1</v>
      </c>
      <c r="G1115">
        <v>1</v>
      </c>
      <c r="J1115">
        <f t="shared" si="49"/>
        <v>42</v>
      </c>
      <c r="K1115">
        <v>1</v>
      </c>
      <c r="L1115">
        <v>1</v>
      </c>
      <c r="M1115">
        <v>1</v>
      </c>
      <c r="N1115">
        <v>1</v>
      </c>
      <c r="O1115">
        <v>1</v>
      </c>
      <c r="R1115">
        <f t="shared" si="50"/>
        <v>42</v>
      </c>
      <c r="S1115">
        <v>1</v>
      </c>
      <c r="T1115">
        <v>1</v>
      </c>
      <c r="U1115">
        <v>1</v>
      </c>
      <c r="V1115">
        <v>1</v>
      </c>
      <c r="W1115">
        <v>1</v>
      </c>
      <c r="AA1115">
        <v>-10597.8485</v>
      </c>
      <c r="AB1115">
        <v>-10597.8485</v>
      </c>
      <c r="AC1115">
        <v>-10597.8485</v>
      </c>
      <c r="AD1115">
        <v>-10597.8485</v>
      </c>
      <c r="AE1115">
        <v>-10597.8485</v>
      </c>
    </row>
    <row r="1116" spans="2:31" x14ac:dyDescent="0.25">
      <c r="B1116">
        <f t="shared" si="48"/>
        <v>43</v>
      </c>
      <c r="C1116">
        <v>1</v>
      </c>
      <c r="D1116">
        <v>1</v>
      </c>
      <c r="E1116">
        <v>1</v>
      </c>
      <c r="F1116">
        <v>1</v>
      </c>
      <c r="G1116">
        <v>1</v>
      </c>
      <c r="J1116">
        <f t="shared" si="49"/>
        <v>43</v>
      </c>
      <c r="K1116">
        <v>1</v>
      </c>
      <c r="L1116">
        <v>1</v>
      </c>
      <c r="M1116">
        <v>1</v>
      </c>
      <c r="N1116">
        <v>1</v>
      </c>
      <c r="O1116">
        <v>1</v>
      </c>
      <c r="R1116">
        <f t="shared" si="50"/>
        <v>43</v>
      </c>
      <c r="S1116">
        <v>1</v>
      </c>
      <c r="T1116">
        <v>1</v>
      </c>
      <c r="U1116">
        <v>1</v>
      </c>
      <c r="V1116">
        <v>1</v>
      </c>
      <c r="W1116">
        <v>1</v>
      </c>
      <c r="AA1116">
        <v>-10486.615400000001</v>
      </c>
      <c r="AB1116">
        <v>-10486.615400000001</v>
      </c>
      <c r="AC1116">
        <v>-10486.615400000001</v>
      </c>
      <c r="AD1116">
        <v>-10486.615400000001</v>
      </c>
      <c r="AE1116">
        <v>-10486.615400000001</v>
      </c>
    </row>
    <row r="1117" spans="2:31" x14ac:dyDescent="0.25">
      <c r="B1117">
        <f t="shared" si="48"/>
        <v>44</v>
      </c>
      <c r="C1117">
        <v>1</v>
      </c>
      <c r="D1117">
        <v>1</v>
      </c>
      <c r="E1117">
        <v>1</v>
      </c>
      <c r="F1117">
        <v>1</v>
      </c>
      <c r="G1117">
        <v>1</v>
      </c>
      <c r="J1117">
        <f t="shared" si="49"/>
        <v>44</v>
      </c>
      <c r="K1117">
        <v>1</v>
      </c>
      <c r="L1117">
        <v>1</v>
      </c>
      <c r="M1117">
        <v>1</v>
      </c>
      <c r="N1117">
        <v>1</v>
      </c>
      <c r="O1117">
        <v>1</v>
      </c>
      <c r="R1117">
        <f t="shared" si="50"/>
        <v>44</v>
      </c>
      <c r="S1117">
        <v>1</v>
      </c>
      <c r="T1117">
        <v>1</v>
      </c>
      <c r="U1117">
        <v>1</v>
      </c>
      <c r="V1117">
        <v>1</v>
      </c>
      <c r="W1117">
        <v>1</v>
      </c>
      <c r="AA1117">
        <v>-10372.9005</v>
      </c>
      <c r="AB1117">
        <v>-10372.9005</v>
      </c>
      <c r="AC1117">
        <v>-10372.9005</v>
      </c>
      <c r="AD1117">
        <v>-10372.9005</v>
      </c>
      <c r="AE1117">
        <v>-10372.9005</v>
      </c>
    </row>
    <row r="1118" spans="2:31" x14ac:dyDescent="0.25">
      <c r="B1118">
        <f t="shared" si="48"/>
        <v>45</v>
      </c>
      <c r="C1118">
        <v>1</v>
      </c>
      <c r="D1118">
        <v>1</v>
      </c>
      <c r="E1118">
        <v>1</v>
      </c>
      <c r="F1118">
        <v>1</v>
      </c>
      <c r="G1118">
        <v>1</v>
      </c>
      <c r="J1118">
        <f t="shared" si="49"/>
        <v>45</v>
      </c>
      <c r="K1118">
        <v>1</v>
      </c>
      <c r="L1118">
        <v>1</v>
      </c>
      <c r="M1118">
        <v>1</v>
      </c>
      <c r="N1118">
        <v>1</v>
      </c>
      <c r="O1118">
        <v>1</v>
      </c>
      <c r="R1118">
        <f t="shared" si="50"/>
        <v>45</v>
      </c>
      <c r="S1118">
        <v>1</v>
      </c>
      <c r="T1118">
        <v>1</v>
      </c>
      <c r="U1118">
        <v>1</v>
      </c>
      <c r="V1118">
        <v>1</v>
      </c>
      <c r="W1118">
        <v>1</v>
      </c>
      <c r="AA1118">
        <v>-10256.650600000001</v>
      </c>
      <c r="AB1118">
        <v>-10256.650600000001</v>
      </c>
      <c r="AC1118">
        <v>-10256.650600000001</v>
      </c>
      <c r="AD1118">
        <v>-10256.650600000001</v>
      </c>
      <c r="AE1118">
        <v>-10256.650600000001</v>
      </c>
    </row>
    <row r="1119" spans="2:31" x14ac:dyDescent="0.25">
      <c r="B1119">
        <f t="shared" si="48"/>
        <v>46</v>
      </c>
      <c r="C1119">
        <v>1</v>
      </c>
      <c r="D1119">
        <v>1</v>
      </c>
      <c r="E1119">
        <v>1</v>
      </c>
      <c r="F1119">
        <v>1</v>
      </c>
      <c r="G1119">
        <v>1</v>
      </c>
      <c r="J1119">
        <f t="shared" si="49"/>
        <v>46</v>
      </c>
      <c r="K1119">
        <v>1</v>
      </c>
      <c r="L1119">
        <v>1</v>
      </c>
      <c r="M1119">
        <v>1</v>
      </c>
      <c r="N1119">
        <v>1</v>
      </c>
      <c r="O1119">
        <v>1</v>
      </c>
      <c r="R1119">
        <f t="shared" si="50"/>
        <v>46</v>
      </c>
      <c r="S1119">
        <v>1</v>
      </c>
      <c r="T1119">
        <v>1</v>
      </c>
      <c r="U1119">
        <v>1</v>
      </c>
      <c r="V1119">
        <v>1</v>
      </c>
      <c r="W1119">
        <v>1</v>
      </c>
      <c r="AA1119">
        <v>-10137.871499999999</v>
      </c>
      <c r="AB1119">
        <v>-10137.871499999999</v>
      </c>
      <c r="AC1119">
        <v>-10137.871499999999</v>
      </c>
      <c r="AD1119">
        <v>-10137.871499999999</v>
      </c>
      <c r="AE1119">
        <v>-10137.871499999999</v>
      </c>
    </row>
    <row r="1120" spans="2:31" x14ac:dyDescent="0.25">
      <c r="B1120">
        <f t="shared" si="48"/>
        <v>47</v>
      </c>
      <c r="C1120">
        <v>1</v>
      </c>
      <c r="D1120">
        <v>1</v>
      </c>
      <c r="E1120">
        <v>1</v>
      </c>
      <c r="F1120">
        <v>1</v>
      </c>
      <c r="G1120">
        <v>1</v>
      </c>
      <c r="J1120">
        <f t="shared" si="49"/>
        <v>47</v>
      </c>
      <c r="K1120">
        <v>1</v>
      </c>
      <c r="L1120">
        <v>1</v>
      </c>
      <c r="M1120">
        <v>1</v>
      </c>
      <c r="N1120">
        <v>1</v>
      </c>
      <c r="O1120">
        <v>1</v>
      </c>
      <c r="R1120">
        <f t="shared" si="50"/>
        <v>47</v>
      </c>
      <c r="S1120">
        <v>1</v>
      </c>
      <c r="T1120">
        <v>1</v>
      </c>
      <c r="U1120">
        <v>1</v>
      </c>
      <c r="V1120">
        <v>1</v>
      </c>
      <c r="W1120">
        <v>1</v>
      </c>
      <c r="AA1120">
        <v>-10016.4967</v>
      </c>
      <c r="AB1120">
        <v>-10016.4967</v>
      </c>
      <c r="AC1120">
        <v>-10016.4967</v>
      </c>
      <c r="AD1120">
        <v>-10016.4967</v>
      </c>
      <c r="AE1120">
        <v>-10016.4967</v>
      </c>
    </row>
    <row r="1121" spans="2:31" x14ac:dyDescent="0.25">
      <c r="B1121">
        <f t="shared" si="48"/>
        <v>48</v>
      </c>
      <c r="C1121">
        <v>1</v>
      </c>
      <c r="D1121">
        <v>1</v>
      </c>
      <c r="E1121">
        <v>1</v>
      </c>
      <c r="F1121">
        <v>1</v>
      </c>
      <c r="G1121">
        <v>1</v>
      </c>
      <c r="J1121">
        <f t="shared" si="49"/>
        <v>48</v>
      </c>
      <c r="K1121">
        <v>1</v>
      </c>
      <c r="L1121">
        <v>1</v>
      </c>
      <c r="M1121">
        <v>1</v>
      </c>
      <c r="N1121">
        <v>1</v>
      </c>
      <c r="O1121">
        <v>1</v>
      </c>
      <c r="R1121">
        <f t="shared" si="50"/>
        <v>48</v>
      </c>
      <c r="S1121">
        <v>1</v>
      </c>
      <c r="T1121">
        <v>1</v>
      </c>
      <c r="U1121">
        <v>1</v>
      </c>
      <c r="V1121">
        <v>1</v>
      </c>
      <c r="W1121">
        <v>1</v>
      </c>
      <c r="AA1121">
        <v>-9892.6355000000003</v>
      </c>
      <c r="AB1121">
        <v>-9892.6355000000003</v>
      </c>
      <c r="AC1121">
        <v>-9892.6355000000003</v>
      </c>
      <c r="AD1121">
        <v>-9892.6355000000003</v>
      </c>
      <c r="AE1121">
        <v>-9892.6355000000003</v>
      </c>
    </row>
    <row r="1122" spans="2:31" x14ac:dyDescent="0.25">
      <c r="B1122">
        <f t="shared" si="48"/>
        <v>49</v>
      </c>
      <c r="C1122">
        <v>1</v>
      </c>
      <c r="D1122">
        <v>1</v>
      </c>
      <c r="E1122">
        <v>1</v>
      </c>
      <c r="F1122">
        <v>1</v>
      </c>
      <c r="G1122">
        <v>1</v>
      </c>
      <c r="J1122">
        <f t="shared" si="49"/>
        <v>49</v>
      </c>
      <c r="K1122">
        <v>1</v>
      </c>
      <c r="L1122">
        <v>1</v>
      </c>
      <c r="M1122">
        <v>1</v>
      </c>
      <c r="N1122">
        <v>1</v>
      </c>
      <c r="O1122">
        <v>1</v>
      </c>
      <c r="R1122">
        <f t="shared" si="50"/>
        <v>49</v>
      </c>
      <c r="S1122">
        <v>1</v>
      </c>
      <c r="T1122">
        <v>1</v>
      </c>
      <c r="U1122">
        <v>1</v>
      </c>
      <c r="V1122">
        <v>1</v>
      </c>
      <c r="W1122">
        <v>1</v>
      </c>
      <c r="AA1122">
        <v>-9766.3366999999998</v>
      </c>
      <c r="AB1122">
        <v>-9766.3366999999998</v>
      </c>
      <c r="AC1122">
        <v>-9766.3366999999998</v>
      </c>
      <c r="AD1122">
        <v>-9766.3366999999998</v>
      </c>
      <c r="AE1122">
        <v>-9766.3366999999998</v>
      </c>
    </row>
    <row r="1123" spans="2:31" x14ac:dyDescent="0.25">
      <c r="B1123">
        <f t="shared" si="48"/>
        <v>50</v>
      </c>
      <c r="C1123">
        <v>1</v>
      </c>
      <c r="D1123">
        <v>1</v>
      </c>
      <c r="E1123">
        <v>1</v>
      </c>
      <c r="F1123">
        <v>1</v>
      </c>
      <c r="G1123">
        <v>1</v>
      </c>
      <c r="J1123">
        <f t="shared" si="49"/>
        <v>50</v>
      </c>
      <c r="K1123">
        <v>1</v>
      </c>
      <c r="L1123">
        <v>1</v>
      </c>
      <c r="M1123">
        <v>1</v>
      </c>
      <c r="N1123">
        <v>1</v>
      </c>
      <c r="O1123">
        <v>1</v>
      </c>
      <c r="R1123">
        <f t="shared" si="50"/>
        <v>50</v>
      </c>
      <c r="S1123">
        <v>1</v>
      </c>
      <c r="T1123">
        <v>1</v>
      </c>
      <c r="U1123">
        <v>1</v>
      </c>
      <c r="V1123">
        <v>1</v>
      </c>
      <c r="W1123">
        <v>1</v>
      </c>
      <c r="AA1123">
        <v>-9637.5864000000001</v>
      </c>
      <c r="AB1123">
        <v>-9637.5864000000001</v>
      </c>
      <c r="AC1123">
        <v>-9637.5864000000001</v>
      </c>
      <c r="AD1123">
        <v>-9637.5864000000001</v>
      </c>
      <c r="AE1123">
        <v>-9637.5864000000001</v>
      </c>
    </row>
    <row r="1124" spans="2:31" x14ac:dyDescent="0.25">
      <c r="B1124">
        <f t="shared" si="48"/>
        <v>51</v>
      </c>
      <c r="C1124">
        <v>1</v>
      </c>
      <c r="D1124">
        <v>1</v>
      </c>
      <c r="E1124">
        <v>1</v>
      </c>
      <c r="F1124">
        <v>1</v>
      </c>
      <c r="G1124">
        <v>1</v>
      </c>
      <c r="J1124">
        <f t="shared" si="49"/>
        <v>51</v>
      </c>
      <c r="K1124">
        <v>1</v>
      </c>
      <c r="L1124">
        <v>1</v>
      </c>
      <c r="M1124">
        <v>1</v>
      </c>
      <c r="N1124">
        <v>1</v>
      </c>
      <c r="O1124">
        <v>1</v>
      </c>
      <c r="R1124">
        <f t="shared" si="50"/>
        <v>51</v>
      </c>
      <c r="S1124">
        <v>1</v>
      </c>
      <c r="T1124">
        <v>1</v>
      </c>
      <c r="U1124">
        <v>1</v>
      </c>
      <c r="V1124">
        <v>1</v>
      </c>
      <c r="W1124">
        <v>1</v>
      </c>
      <c r="AA1124">
        <v>-9506.3734000000004</v>
      </c>
      <c r="AB1124">
        <v>-9506.3734000000004</v>
      </c>
      <c r="AC1124">
        <v>-9506.3734000000004</v>
      </c>
      <c r="AD1124">
        <v>-9506.3734000000004</v>
      </c>
      <c r="AE1124">
        <v>-9506.3734000000004</v>
      </c>
    </row>
    <row r="1125" spans="2:31" x14ac:dyDescent="0.25">
      <c r="B1125">
        <f t="shared" si="48"/>
        <v>52</v>
      </c>
      <c r="C1125">
        <v>1</v>
      </c>
      <c r="D1125">
        <v>1</v>
      </c>
      <c r="E1125">
        <v>1</v>
      </c>
      <c r="F1125">
        <v>1</v>
      </c>
      <c r="G1125">
        <v>1</v>
      </c>
      <c r="J1125">
        <f t="shared" si="49"/>
        <v>52</v>
      </c>
      <c r="K1125">
        <v>1</v>
      </c>
      <c r="L1125">
        <v>1</v>
      </c>
      <c r="M1125">
        <v>1</v>
      </c>
      <c r="N1125">
        <v>1</v>
      </c>
      <c r="O1125">
        <v>1</v>
      </c>
      <c r="R1125">
        <f t="shared" si="50"/>
        <v>52</v>
      </c>
      <c r="S1125">
        <v>1</v>
      </c>
      <c r="T1125">
        <v>1</v>
      </c>
      <c r="U1125">
        <v>1</v>
      </c>
      <c r="V1125">
        <v>1</v>
      </c>
      <c r="W1125">
        <v>1</v>
      </c>
      <c r="AA1125">
        <v>-9372.7019</v>
      </c>
      <c r="AB1125">
        <v>-9372.7019</v>
      </c>
      <c r="AC1125">
        <v>-9372.7019</v>
      </c>
      <c r="AD1125">
        <v>-9372.7019</v>
      </c>
      <c r="AE1125">
        <v>-9372.7019</v>
      </c>
    </row>
    <row r="1126" spans="2:31" x14ac:dyDescent="0.25">
      <c r="B1126">
        <f t="shared" si="48"/>
        <v>53</v>
      </c>
      <c r="C1126">
        <v>1</v>
      </c>
      <c r="D1126">
        <v>1</v>
      </c>
      <c r="E1126">
        <v>1</v>
      </c>
      <c r="F1126">
        <v>1</v>
      </c>
      <c r="G1126">
        <v>1</v>
      </c>
      <c r="J1126">
        <f t="shared" si="49"/>
        <v>53</v>
      </c>
      <c r="K1126">
        <v>1</v>
      </c>
      <c r="L1126">
        <v>1</v>
      </c>
      <c r="M1126">
        <v>1</v>
      </c>
      <c r="N1126">
        <v>1</v>
      </c>
      <c r="O1126">
        <v>1</v>
      </c>
      <c r="R1126">
        <f t="shared" si="50"/>
        <v>53</v>
      </c>
      <c r="S1126">
        <v>1</v>
      </c>
      <c r="T1126">
        <v>1</v>
      </c>
      <c r="U1126">
        <v>1</v>
      </c>
      <c r="V1126">
        <v>1</v>
      </c>
      <c r="W1126">
        <v>1</v>
      </c>
      <c r="AA1126">
        <v>-9236.6705000000002</v>
      </c>
      <c r="AB1126">
        <v>-9236.6705000000002</v>
      </c>
      <c r="AC1126">
        <v>-9236.6705000000002</v>
      </c>
      <c r="AD1126">
        <v>-9236.6705000000002</v>
      </c>
      <c r="AE1126">
        <v>-9236.6705000000002</v>
      </c>
    </row>
    <row r="1127" spans="2:31" x14ac:dyDescent="0.25">
      <c r="B1127">
        <f t="shared" si="48"/>
        <v>54</v>
      </c>
      <c r="C1127">
        <v>1</v>
      </c>
      <c r="D1127">
        <v>1</v>
      </c>
      <c r="E1127">
        <v>1</v>
      </c>
      <c r="F1127">
        <v>1</v>
      </c>
      <c r="G1127">
        <v>1</v>
      </c>
      <c r="J1127">
        <f t="shared" si="49"/>
        <v>54</v>
      </c>
      <c r="K1127">
        <v>1</v>
      </c>
      <c r="L1127">
        <v>1</v>
      </c>
      <c r="M1127">
        <v>1</v>
      </c>
      <c r="N1127">
        <v>1</v>
      </c>
      <c r="O1127">
        <v>1</v>
      </c>
      <c r="R1127">
        <f t="shared" si="50"/>
        <v>54</v>
      </c>
      <c r="S1127">
        <v>1</v>
      </c>
      <c r="T1127">
        <v>1</v>
      </c>
      <c r="U1127">
        <v>1</v>
      </c>
      <c r="V1127">
        <v>1</v>
      </c>
      <c r="W1127">
        <v>1</v>
      </c>
      <c r="AA1127">
        <v>-9098.4312000000009</v>
      </c>
      <c r="AB1127">
        <v>-9098.4312000000009</v>
      </c>
      <c r="AC1127">
        <v>-9098.4312000000009</v>
      </c>
      <c r="AD1127">
        <v>-9098.4312000000009</v>
      </c>
      <c r="AE1127">
        <v>-9098.4312000000009</v>
      </c>
    </row>
    <row r="1128" spans="2:31" x14ac:dyDescent="0.25">
      <c r="B1128">
        <f t="shared" si="48"/>
        <v>55</v>
      </c>
      <c r="C1128">
        <v>1</v>
      </c>
      <c r="D1128">
        <v>1</v>
      </c>
      <c r="E1128">
        <v>1</v>
      </c>
      <c r="F1128">
        <v>1</v>
      </c>
      <c r="G1128">
        <v>1</v>
      </c>
      <c r="J1128">
        <f t="shared" si="49"/>
        <v>55</v>
      </c>
      <c r="K1128">
        <v>1</v>
      </c>
      <c r="L1128">
        <v>1</v>
      </c>
      <c r="M1128">
        <v>1</v>
      </c>
      <c r="N1128">
        <v>1</v>
      </c>
      <c r="O1128">
        <v>1</v>
      </c>
      <c r="R1128">
        <f t="shared" si="50"/>
        <v>55</v>
      </c>
      <c r="S1128">
        <v>1</v>
      </c>
      <c r="T1128">
        <v>1</v>
      </c>
      <c r="U1128">
        <v>1</v>
      </c>
      <c r="V1128">
        <v>1</v>
      </c>
      <c r="W1128">
        <v>1</v>
      </c>
      <c r="AA1128">
        <v>-8958.0210999999999</v>
      </c>
      <c r="AB1128">
        <v>-8958.0210999999999</v>
      </c>
      <c r="AC1128">
        <v>-8958.0210999999999</v>
      </c>
      <c r="AD1128">
        <v>-8958.0210999999999</v>
      </c>
      <c r="AE1128">
        <v>-8958.0210999999999</v>
      </c>
    </row>
    <row r="1129" spans="2:31" x14ac:dyDescent="0.25">
      <c r="B1129">
        <f t="shared" si="48"/>
        <v>56</v>
      </c>
      <c r="C1129">
        <v>1</v>
      </c>
      <c r="D1129">
        <v>1</v>
      </c>
      <c r="E1129">
        <v>1</v>
      </c>
      <c r="F1129">
        <v>1</v>
      </c>
      <c r="G1129">
        <v>1</v>
      </c>
      <c r="J1129">
        <f t="shared" si="49"/>
        <v>56</v>
      </c>
      <c r="K1129">
        <v>1</v>
      </c>
      <c r="L1129">
        <v>1</v>
      </c>
      <c r="M1129">
        <v>1</v>
      </c>
      <c r="N1129">
        <v>1</v>
      </c>
      <c r="O1129">
        <v>1</v>
      </c>
      <c r="R1129">
        <f t="shared" si="50"/>
        <v>56</v>
      </c>
      <c r="S1129">
        <v>1</v>
      </c>
      <c r="T1129">
        <v>1</v>
      </c>
      <c r="U1129">
        <v>1</v>
      </c>
      <c r="V1129">
        <v>1</v>
      </c>
      <c r="W1129">
        <v>1</v>
      </c>
      <c r="AA1129">
        <v>-8815.6316999999999</v>
      </c>
      <c r="AB1129">
        <v>-8815.6316999999999</v>
      </c>
      <c r="AC1129">
        <v>-8815.6316999999999</v>
      </c>
      <c r="AD1129">
        <v>-8815.6316999999999</v>
      </c>
      <c r="AE1129">
        <v>-8815.6316999999999</v>
      </c>
    </row>
    <row r="1130" spans="2:31" x14ac:dyDescent="0.25">
      <c r="B1130">
        <f t="shared" si="48"/>
        <v>57</v>
      </c>
      <c r="C1130">
        <v>1</v>
      </c>
      <c r="D1130">
        <v>1</v>
      </c>
      <c r="E1130">
        <v>1</v>
      </c>
      <c r="F1130">
        <v>1</v>
      </c>
      <c r="G1130">
        <v>1</v>
      </c>
      <c r="J1130">
        <f t="shared" si="49"/>
        <v>57</v>
      </c>
      <c r="K1130">
        <v>1</v>
      </c>
      <c r="L1130">
        <v>1</v>
      </c>
      <c r="M1130">
        <v>1</v>
      </c>
      <c r="N1130">
        <v>1</v>
      </c>
      <c r="O1130">
        <v>1</v>
      </c>
      <c r="R1130">
        <f t="shared" si="50"/>
        <v>57</v>
      </c>
      <c r="S1130">
        <v>1</v>
      </c>
      <c r="T1130">
        <v>1</v>
      </c>
      <c r="U1130">
        <v>1</v>
      </c>
      <c r="V1130">
        <v>1</v>
      </c>
      <c r="W1130">
        <v>1</v>
      </c>
      <c r="AA1130">
        <v>-8671.3991999999998</v>
      </c>
      <c r="AB1130">
        <v>-8671.3991999999998</v>
      </c>
      <c r="AC1130">
        <v>-8671.3991999999998</v>
      </c>
      <c r="AD1130">
        <v>-8671.3991999999998</v>
      </c>
      <c r="AE1130">
        <v>-8671.3991999999998</v>
      </c>
    </row>
    <row r="1131" spans="2:31" x14ac:dyDescent="0.25">
      <c r="B1131">
        <f t="shared" si="48"/>
        <v>58</v>
      </c>
      <c r="C1131">
        <v>1</v>
      </c>
      <c r="D1131">
        <v>1</v>
      </c>
      <c r="E1131">
        <v>1</v>
      </c>
      <c r="F1131">
        <v>1</v>
      </c>
      <c r="G1131">
        <v>1</v>
      </c>
      <c r="J1131">
        <f t="shared" si="49"/>
        <v>58</v>
      </c>
      <c r="K1131">
        <v>1</v>
      </c>
      <c r="L1131">
        <v>1</v>
      </c>
      <c r="M1131">
        <v>1</v>
      </c>
      <c r="N1131">
        <v>1</v>
      </c>
      <c r="O1131">
        <v>1</v>
      </c>
      <c r="R1131">
        <f t="shared" si="50"/>
        <v>58</v>
      </c>
      <c r="S1131">
        <v>1</v>
      </c>
      <c r="T1131">
        <v>1</v>
      </c>
      <c r="U1131">
        <v>1</v>
      </c>
      <c r="V1131">
        <v>1</v>
      </c>
      <c r="W1131">
        <v>1</v>
      </c>
      <c r="AA1131">
        <v>-8525.2759999999998</v>
      </c>
      <c r="AB1131">
        <v>-8525.2759999999998</v>
      </c>
      <c r="AC1131">
        <v>-8525.2759999999998</v>
      </c>
      <c r="AD1131">
        <v>-8525.2759999999998</v>
      </c>
      <c r="AE1131">
        <v>-8525.2759999999998</v>
      </c>
    </row>
    <row r="1132" spans="2:31" x14ac:dyDescent="0.25">
      <c r="B1132">
        <f t="shared" si="48"/>
        <v>59</v>
      </c>
      <c r="C1132">
        <v>1</v>
      </c>
      <c r="D1132">
        <v>1</v>
      </c>
      <c r="E1132">
        <v>1</v>
      </c>
      <c r="F1132">
        <v>1</v>
      </c>
      <c r="G1132">
        <v>1</v>
      </c>
      <c r="J1132">
        <f t="shared" si="49"/>
        <v>59</v>
      </c>
      <c r="K1132">
        <v>1</v>
      </c>
      <c r="L1132">
        <v>1</v>
      </c>
      <c r="M1132">
        <v>1</v>
      </c>
      <c r="N1132">
        <v>1</v>
      </c>
      <c r="O1132">
        <v>1</v>
      </c>
      <c r="R1132">
        <f t="shared" si="50"/>
        <v>59</v>
      </c>
      <c r="S1132">
        <v>1</v>
      </c>
      <c r="T1132">
        <v>1</v>
      </c>
      <c r="U1132">
        <v>1</v>
      </c>
      <c r="V1132">
        <v>1</v>
      </c>
      <c r="W1132">
        <v>1</v>
      </c>
      <c r="AA1132">
        <v>-8377.2351999999992</v>
      </c>
      <c r="AB1132">
        <v>-8377.2351999999992</v>
      </c>
      <c r="AC1132">
        <v>-8377.2351999999992</v>
      </c>
      <c r="AD1132">
        <v>-8377.2351999999992</v>
      </c>
      <c r="AE1132">
        <v>-8377.2351999999992</v>
      </c>
    </row>
    <row r="1133" spans="2:31" x14ac:dyDescent="0.25">
      <c r="B1133">
        <f t="shared" si="48"/>
        <v>60</v>
      </c>
      <c r="C1133">
        <v>1</v>
      </c>
      <c r="D1133">
        <v>1</v>
      </c>
      <c r="E1133">
        <v>1</v>
      </c>
      <c r="F1133">
        <v>1</v>
      </c>
      <c r="G1133">
        <v>1</v>
      </c>
      <c r="J1133">
        <f t="shared" si="49"/>
        <v>60</v>
      </c>
      <c r="K1133">
        <v>1</v>
      </c>
      <c r="L1133">
        <v>1</v>
      </c>
      <c r="M1133">
        <v>1</v>
      </c>
      <c r="N1133">
        <v>1</v>
      </c>
      <c r="O1133">
        <v>1</v>
      </c>
      <c r="R1133">
        <f t="shared" si="50"/>
        <v>60</v>
      </c>
      <c r="S1133">
        <v>1</v>
      </c>
      <c r="T1133">
        <v>1</v>
      </c>
      <c r="U1133">
        <v>1</v>
      </c>
      <c r="V1133">
        <v>1</v>
      </c>
      <c r="W1133">
        <v>1</v>
      </c>
      <c r="AA1133">
        <v>-8227.3953999999994</v>
      </c>
      <c r="AB1133">
        <v>-8227.3953999999994</v>
      </c>
      <c r="AC1133">
        <v>-8227.3953999999994</v>
      </c>
      <c r="AD1133">
        <v>-8227.3953999999994</v>
      </c>
      <c r="AE1133">
        <v>-8227.3953999999994</v>
      </c>
    </row>
    <row r="1134" spans="2:31" x14ac:dyDescent="0.25">
      <c r="B1134">
        <f t="shared" si="48"/>
        <v>61</v>
      </c>
      <c r="C1134">
        <v>1</v>
      </c>
      <c r="D1134">
        <v>1</v>
      </c>
      <c r="E1134">
        <v>1</v>
      </c>
      <c r="F1134">
        <v>1</v>
      </c>
      <c r="G1134">
        <v>1</v>
      </c>
      <c r="J1134">
        <f t="shared" si="49"/>
        <v>61</v>
      </c>
      <c r="K1134">
        <v>1</v>
      </c>
      <c r="L1134">
        <v>1</v>
      </c>
      <c r="M1134">
        <v>1</v>
      </c>
      <c r="N1134">
        <v>1</v>
      </c>
      <c r="O1134">
        <v>1</v>
      </c>
      <c r="R1134">
        <f t="shared" si="50"/>
        <v>61</v>
      </c>
      <c r="S1134">
        <v>1</v>
      </c>
      <c r="T1134">
        <v>1</v>
      </c>
      <c r="U1134">
        <v>1</v>
      </c>
      <c r="V1134">
        <v>1</v>
      </c>
      <c r="W1134">
        <v>1</v>
      </c>
      <c r="AA1134">
        <v>-8076.1778999999997</v>
      </c>
      <c r="AB1134">
        <v>-8076.1778999999997</v>
      </c>
      <c r="AC1134">
        <v>-8076.1778999999997</v>
      </c>
      <c r="AD1134">
        <v>-8076.1778999999997</v>
      </c>
      <c r="AE1134">
        <v>-8076.1778999999997</v>
      </c>
    </row>
    <row r="1135" spans="2:31" x14ac:dyDescent="0.25">
      <c r="B1135">
        <f t="shared" si="48"/>
        <v>62</v>
      </c>
      <c r="C1135">
        <v>1</v>
      </c>
      <c r="D1135">
        <v>1</v>
      </c>
      <c r="E1135">
        <v>1</v>
      </c>
      <c r="F1135">
        <v>1</v>
      </c>
      <c r="G1135">
        <v>1</v>
      </c>
      <c r="J1135">
        <f t="shared" si="49"/>
        <v>62</v>
      </c>
      <c r="K1135">
        <v>1</v>
      </c>
      <c r="L1135">
        <v>1</v>
      </c>
      <c r="M1135">
        <v>1</v>
      </c>
      <c r="N1135">
        <v>1</v>
      </c>
      <c r="O1135">
        <v>1</v>
      </c>
      <c r="R1135">
        <f t="shared" si="50"/>
        <v>62</v>
      </c>
      <c r="S1135">
        <v>1</v>
      </c>
      <c r="T1135">
        <v>1</v>
      </c>
      <c r="U1135">
        <v>1</v>
      </c>
      <c r="V1135">
        <v>1</v>
      </c>
      <c r="W1135">
        <v>1</v>
      </c>
      <c r="AA1135">
        <v>-7923.5816000000004</v>
      </c>
      <c r="AB1135">
        <v>-7923.5816000000004</v>
      </c>
      <c r="AC1135">
        <v>-7923.5816000000004</v>
      </c>
      <c r="AD1135">
        <v>-7923.5816000000004</v>
      </c>
      <c r="AE1135">
        <v>-7923.5816000000004</v>
      </c>
    </row>
    <row r="1136" spans="2:31" x14ac:dyDescent="0.25">
      <c r="B1136">
        <f t="shared" si="48"/>
        <v>63</v>
      </c>
      <c r="C1136">
        <v>1</v>
      </c>
      <c r="D1136">
        <v>1</v>
      </c>
      <c r="E1136">
        <v>1</v>
      </c>
      <c r="F1136">
        <v>1</v>
      </c>
      <c r="G1136">
        <v>1</v>
      </c>
      <c r="J1136">
        <f t="shared" si="49"/>
        <v>63</v>
      </c>
      <c r="K1136">
        <v>1</v>
      </c>
      <c r="L1136">
        <v>1</v>
      </c>
      <c r="M1136">
        <v>1</v>
      </c>
      <c r="N1136">
        <v>1</v>
      </c>
      <c r="O1136">
        <v>1</v>
      </c>
      <c r="R1136">
        <f t="shared" si="50"/>
        <v>63</v>
      </c>
      <c r="S1136">
        <v>1</v>
      </c>
      <c r="T1136">
        <v>1</v>
      </c>
      <c r="U1136">
        <v>1</v>
      </c>
      <c r="V1136">
        <v>1</v>
      </c>
      <c r="W1136">
        <v>1</v>
      </c>
      <c r="AA1136">
        <v>-7769.2775000000001</v>
      </c>
      <c r="AB1136">
        <v>-7769.2775000000001</v>
      </c>
      <c r="AC1136">
        <v>-7769.2775000000001</v>
      </c>
      <c r="AD1136">
        <v>-7769.2775000000001</v>
      </c>
      <c r="AE1136">
        <v>-7769.2775000000001</v>
      </c>
    </row>
    <row r="1137" spans="2:32" x14ac:dyDescent="0.25">
      <c r="B1137">
        <f t="shared" si="48"/>
        <v>64</v>
      </c>
      <c r="C1137">
        <v>1</v>
      </c>
      <c r="D1137">
        <v>1</v>
      </c>
      <c r="E1137">
        <v>1</v>
      </c>
      <c r="F1137">
        <v>1</v>
      </c>
      <c r="G1137">
        <v>1</v>
      </c>
      <c r="J1137">
        <f t="shared" si="49"/>
        <v>64</v>
      </c>
      <c r="K1137">
        <v>1</v>
      </c>
      <c r="L1137">
        <v>1</v>
      </c>
      <c r="M1137">
        <v>1</v>
      </c>
      <c r="N1137">
        <v>1</v>
      </c>
      <c r="O1137">
        <v>1</v>
      </c>
      <c r="R1137">
        <f t="shared" si="50"/>
        <v>64</v>
      </c>
      <c r="S1137">
        <v>1</v>
      </c>
      <c r="T1137">
        <v>1</v>
      </c>
      <c r="U1137">
        <v>1</v>
      </c>
      <c r="V1137">
        <v>1</v>
      </c>
      <c r="W1137">
        <v>1</v>
      </c>
      <c r="AA1137">
        <v>-7613.3999000000003</v>
      </c>
      <c r="AB1137">
        <v>-7613.3999000000003</v>
      </c>
      <c r="AC1137">
        <v>-7613.3999000000003</v>
      </c>
      <c r="AD1137">
        <v>-7613.3999000000003</v>
      </c>
      <c r="AE1137">
        <v>-7613.3999000000003</v>
      </c>
    </row>
    <row r="1138" spans="2:32" x14ac:dyDescent="0.25">
      <c r="B1138">
        <f t="shared" si="48"/>
        <v>65</v>
      </c>
      <c r="C1138">
        <v>1</v>
      </c>
      <c r="D1138">
        <v>1</v>
      </c>
      <c r="E1138">
        <v>1</v>
      </c>
      <c r="F1138">
        <v>1</v>
      </c>
      <c r="G1138">
        <v>1</v>
      </c>
      <c r="J1138">
        <f t="shared" si="49"/>
        <v>65</v>
      </c>
      <c r="K1138">
        <v>1</v>
      </c>
      <c r="L1138">
        <v>1</v>
      </c>
      <c r="M1138">
        <v>1</v>
      </c>
      <c r="N1138">
        <v>1</v>
      </c>
      <c r="O1138">
        <v>1</v>
      </c>
      <c r="R1138">
        <f t="shared" si="50"/>
        <v>65</v>
      </c>
      <c r="S1138">
        <v>1</v>
      </c>
      <c r="T1138">
        <v>1</v>
      </c>
      <c r="U1138">
        <v>1</v>
      </c>
      <c r="V1138">
        <v>1</v>
      </c>
      <c r="W1138">
        <v>1</v>
      </c>
      <c r="AA1138">
        <v>-7455.8590000000004</v>
      </c>
      <c r="AB1138">
        <v>-7455.8590000000004</v>
      </c>
      <c r="AC1138">
        <v>-7455.8590000000004</v>
      </c>
      <c r="AD1138">
        <v>-7455.8590000000004</v>
      </c>
      <c r="AE1138">
        <v>-7455.8590000000004</v>
      </c>
    </row>
    <row r="1141" spans="2:32" x14ac:dyDescent="0.25">
      <c r="B1141" t="s">
        <v>46</v>
      </c>
      <c r="C1141">
        <v>50000</v>
      </c>
      <c r="D1141">
        <v>100000</v>
      </c>
      <c r="E1141">
        <v>250000</v>
      </c>
      <c r="F1141">
        <v>500000</v>
      </c>
      <c r="G1141">
        <v>1000000</v>
      </c>
      <c r="H1141">
        <v>2000000</v>
      </c>
      <c r="J1141" t="s">
        <v>47</v>
      </c>
      <c r="K1141">
        <v>50000</v>
      </c>
      <c r="L1141">
        <v>100000</v>
      </c>
      <c r="M1141">
        <v>250000</v>
      </c>
      <c r="N1141">
        <v>500000</v>
      </c>
      <c r="O1141">
        <v>1000000</v>
      </c>
      <c r="P1141">
        <v>2000000</v>
      </c>
      <c r="R1141" t="s">
        <v>48</v>
      </c>
      <c r="S1141">
        <v>50000</v>
      </c>
      <c r="T1141">
        <v>100000</v>
      </c>
      <c r="U1141">
        <v>250000</v>
      </c>
      <c r="V1141">
        <v>500000</v>
      </c>
      <c r="W1141">
        <v>1000000</v>
      </c>
      <c r="X1141">
        <v>2000000</v>
      </c>
    </row>
    <row r="1142" spans="2:32" x14ac:dyDescent="0.25">
      <c r="B1142">
        <v>26</v>
      </c>
      <c r="C1142">
        <v>1</v>
      </c>
      <c r="D1142">
        <v>1</v>
      </c>
      <c r="E1142">
        <v>1</v>
      </c>
      <c r="F1142">
        <v>1</v>
      </c>
      <c r="G1142">
        <v>1</v>
      </c>
      <c r="H1142">
        <v>1</v>
      </c>
      <c r="J1142">
        <v>26</v>
      </c>
      <c r="K1142">
        <v>1</v>
      </c>
      <c r="L1142">
        <v>1</v>
      </c>
      <c r="M1142">
        <v>1</v>
      </c>
      <c r="N1142">
        <v>1</v>
      </c>
      <c r="O1142">
        <v>1</v>
      </c>
      <c r="P1142">
        <v>1</v>
      </c>
      <c r="R1142">
        <v>26</v>
      </c>
      <c r="S1142">
        <v>1</v>
      </c>
      <c r="T1142">
        <v>1</v>
      </c>
      <c r="U1142">
        <v>1</v>
      </c>
      <c r="V1142">
        <v>1</v>
      </c>
      <c r="W1142">
        <v>1</v>
      </c>
      <c r="X1142">
        <v>1</v>
      </c>
      <c r="AA1142">
        <v>-7435.5060999999996</v>
      </c>
      <c r="AB1142">
        <v>-7435.5060999999996</v>
      </c>
      <c r="AC1142">
        <v>-7435.5060999999996</v>
      </c>
      <c r="AD1142">
        <v>-7435.5060999999996</v>
      </c>
      <c r="AE1142">
        <v>-7435.5060999999996</v>
      </c>
      <c r="AF1142">
        <v>-7435.5060999999996</v>
      </c>
    </row>
    <row r="1143" spans="2:32" x14ac:dyDescent="0.25">
      <c r="B1143">
        <v>27</v>
      </c>
      <c r="C1143">
        <v>1</v>
      </c>
      <c r="D1143">
        <v>1</v>
      </c>
      <c r="E1143">
        <v>1</v>
      </c>
      <c r="F1143">
        <v>1</v>
      </c>
      <c r="G1143">
        <v>1</v>
      </c>
      <c r="H1143">
        <v>1</v>
      </c>
      <c r="J1143">
        <v>27</v>
      </c>
      <c r="K1143">
        <v>1</v>
      </c>
      <c r="L1143">
        <v>1</v>
      </c>
      <c r="M1143">
        <v>1</v>
      </c>
      <c r="N1143">
        <v>1</v>
      </c>
      <c r="O1143">
        <v>1</v>
      </c>
      <c r="P1143">
        <v>1</v>
      </c>
      <c r="R1143">
        <v>27</v>
      </c>
      <c r="S1143">
        <v>1</v>
      </c>
      <c r="T1143">
        <v>1</v>
      </c>
      <c r="U1143">
        <v>1</v>
      </c>
      <c r="V1143">
        <v>1</v>
      </c>
      <c r="W1143">
        <v>1</v>
      </c>
      <c r="X1143">
        <v>1</v>
      </c>
      <c r="AA1143">
        <v>-7434.2619000000004</v>
      </c>
      <c r="AB1143">
        <v>-7434.2619000000004</v>
      </c>
      <c r="AC1143">
        <v>-7434.2619000000004</v>
      </c>
      <c r="AD1143">
        <v>-7434.2619000000004</v>
      </c>
      <c r="AE1143">
        <v>-7434.2619000000004</v>
      </c>
      <c r="AF1143">
        <v>-7434.2619000000004</v>
      </c>
    </row>
    <row r="1144" spans="2:32" x14ac:dyDescent="0.25">
      <c r="B1144">
        <v>28</v>
      </c>
      <c r="C1144">
        <v>1</v>
      </c>
      <c r="D1144">
        <v>1</v>
      </c>
      <c r="E1144">
        <v>1</v>
      </c>
      <c r="F1144">
        <v>1</v>
      </c>
      <c r="G1144">
        <v>1</v>
      </c>
      <c r="H1144">
        <v>1</v>
      </c>
      <c r="J1144">
        <v>28</v>
      </c>
      <c r="K1144">
        <v>1</v>
      </c>
      <c r="L1144">
        <v>1</v>
      </c>
      <c r="M1144">
        <v>1</v>
      </c>
      <c r="N1144">
        <v>1</v>
      </c>
      <c r="O1144">
        <v>1</v>
      </c>
      <c r="P1144">
        <v>1</v>
      </c>
      <c r="R1144">
        <v>28</v>
      </c>
      <c r="S1144">
        <v>1</v>
      </c>
      <c r="T1144">
        <v>1</v>
      </c>
      <c r="U1144">
        <v>1</v>
      </c>
      <c r="V1144">
        <v>1</v>
      </c>
      <c r="W1144">
        <v>1</v>
      </c>
      <c r="X1144">
        <v>1</v>
      </c>
      <c r="AA1144">
        <v>-7432.8334999999997</v>
      </c>
      <c r="AB1144">
        <v>-7432.8334999999997</v>
      </c>
      <c r="AC1144">
        <v>-7432.8334999999997</v>
      </c>
      <c r="AD1144">
        <v>-7432.8334999999997</v>
      </c>
      <c r="AE1144">
        <v>-7432.8334999999997</v>
      </c>
      <c r="AF1144">
        <v>-7432.8334999999997</v>
      </c>
    </row>
    <row r="1145" spans="2:32" x14ac:dyDescent="0.25">
      <c r="B1145">
        <v>29</v>
      </c>
      <c r="C1145">
        <v>1</v>
      </c>
      <c r="D1145">
        <v>1</v>
      </c>
      <c r="E1145">
        <v>1</v>
      </c>
      <c r="F1145">
        <v>1</v>
      </c>
      <c r="G1145">
        <v>1</v>
      </c>
      <c r="H1145">
        <v>1</v>
      </c>
      <c r="J1145">
        <v>29</v>
      </c>
      <c r="K1145">
        <v>1</v>
      </c>
      <c r="L1145">
        <v>1</v>
      </c>
      <c r="M1145">
        <v>1</v>
      </c>
      <c r="N1145">
        <v>1</v>
      </c>
      <c r="O1145">
        <v>1</v>
      </c>
      <c r="P1145">
        <v>1</v>
      </c>
      <c r="R1145">
        <v>29</v>
      </c>
      <c r="S1145">
        <v>1</v>
      </c>
      <c r="T1145">
        <v>1</v>
      </c>
      <c r="U1145">
        <v>1</v>
      </c>
      <c r="V1145">
        <v>1</v>
      </c>
      <c r="W1145">
        <v>1</v>
      </c>
      <c r="X1145">
        <v>1</v>
      </c>
      <c r="AA1145">
        <v>-7431.2058999999999</v>
      </c>
      <c r="AB1145">
        <v>-7431.2058999999999</v>
      </c>
      <c r="AC1145">
        <v>-7431.2058999999999</v>
      </c>
      <c r="AD1145">
        <v>-7431.2058999999999</v>
      </c>
      <c r="AE1145">
        <v>-7431.2058999999999</v>
      </c>
      <c r="AF1145">
        <v>-7431.2058999999999</v>
      </c>
    </row>
    <row r="1146" spans="2:32" x14ac:dyDescent="0.25">
      <c r="B1146">
        <v>30</v>
      </c>
      <c r="C1146">
        <v>1</v>
      </c>
      <c r="D1146">
        <v>1</v>
      </c>
      <c r="E1146">
        <v>1</v>
      </c>
      <c r="F1146">
        <v>1</v>
      </c>
      <c r="G1146">
        <v>1</v>
      </c>
      <c r="H1146">
        <v>1</v>
      </c>
      <c r="J1146">
        <v>30</v>
      </c>
      <c r="K1146">
        <v>1</v>
      </c>
      <c r="L1146">
        <v>1</v>
      </c>
      <c r="M1146">
        <v>1</v>
      </c>
      <c r="N1146">
        <v>1</v>
      </c>
      <c r="O1146">
        <v>1</v>
      </c>
      <c r="P1146">
        <v>1</v>
      </c>
      <c r="R1146">
        <v>30</v>
      </c>
      <c r="S1146">
        <v>1</v>
      </c>
      <c r="T1146">
        <v>1</v>
      </c>
      <c r="U1146">
        <v>1</v>
      </c>
      <c r="V1146">
        <v>1</v>
      </c>
      <c r="W1146">
        <v>1</v>
      </c>
      <c r="X1146">
        <v>1</v>
      </c>
      <c r="AA1146">
        <v>-7429.3476000000001</v>
      </c>
      <c r="AB1146">
        <v>-7429.3476000000001</v>
      </c>
      <c r="AC1146">
        <v>-7429.3476000000001</v>
      </c>
      <c r="AD1146">
        <v>-7429.3476000000001</v>
      </c>
      <c r="AE1146">
        <v>-7429.3476000000001</v>
      </c>
      <c r="AF1146">
        <v>-7429.3476000000001</v>
      </c>
    </row>
    <row r="1147" spans="2:32" x14ac:dyDescent="0.25">
      <c r="B1147">
        <v>31</v>
      </c>
      <c r="C1147">
        <v>1</v>
      </c>
      <c r="D1147">
        <v>1</v>
      </c>
      <c r="E1147">
        <v>1</v>
      </c>
      <c r="F1147">
        <v>1</v>
      </c>
      <c r="G1147">
        <v>1</v>
      </c>
      <c r="H1147">
        <v>1</v>
      </c>
      <c r="J1147">
        <v>31</v>
      </c>
      <c r="K1147">
        <v>1</v>
      </c>
      <c r="L1147">
        <v>1</v>
      </c>
      <c r="M1147">
        <v>1</v>
      </c>
      <c r="N1147">
        <v>1</v>
      </c>
      <c r="O1147">
        <v>1</v>
      </c>
      <c r="P1147">
        <v>1</v>
      </c>
      <c r="R1147">
        <v>31</v>
      </c>
      <c r="S1147">
        <v>1</v>
      </c>
      <c r="T1147">
        <v>1</v>
      </c>
      <c r="U1147">
        <v>1</v>
      </c>
      <c r="V1147">
        <v>1</v>
      </c>
      <c r="W1147">
        <v>1</v>
      </c>
      <c r="X1147">
        <v>1</v>
      </c>
      <c r="AA1147">
        <v>-7427.2446</v>
      </c>
      <c r="AB1147">
        <v>-7427.2446</v>
      </c>
      <c r="AC1147">
        <v>-7427.2446</v>
      </c>
      <c r="AD1147">
        <v>-7427.2446</v>
      </c>
      <c r="AE1147">
        <v>-7427.2446</v>
      </c>
      <c r="AF1147">
        <v>-7427.2446</v>
      </c>
    </row>
    <row r="1148" spans="2:32" x14ac:dyDescent="0.25">
      <c r="B1148">
        <v>32</v>
      </c>
      <c r="C1148">
        <v>1</v>
      </c>
      <c r="D1148">
        <v>1</v>
      </c>
      <c r="E1148">
        <v>1</v>
      </c>
      <c r="F1148">
        <v>1</v>
      </c>
      <c r="G1148">
        <v>1</v>
      </c>
      <c r="H1148">
        <v>1</v>
      </c>
      <c r="J1148">
        <v>32</v>
      </c>
      <c r="K1148">
        <v>1</v>
      </c>
      <c r="L1148">
        <v>1</v>
      </c>
      <c r="M1148">
        <v>1</v>
      </c>
      <c r="N1148">
        <v>1</v>
      </c>
      <c r="O1148">
        <v>1</v>
      </c>
      <c r="P1148">
        <v>1</v>
      </c>
      <c r="R1148">
        <v>32</v>
      </c>
      <c r="S1148">
        <v>1</v>
      </c>
      <c r="T1148">
        <v>1</v>
      </c>
      <c r="U1148">
        <v>1</v>
      </c>
      <c r="V1148">
        <v>1</v>
      </c>
      <c r="W1148">
        <v>1</v>
      </c>
      <c r="X1148">
        <v>1</v>
      </c>
      <c r="AA1148">
        <v>-7424.8944000000001</v>
      </c>
      <c r="AB1148">
        <v>-7424.8944000000001</v>
      </c>
      <c r="AC1148">
        <v>-7424.8944000000001</v>
      </c>
      <c r="AD1148">
        <v>-7424.8944000000001</v>
      </c>
      <c r="AE1148">
        <v>-7424.8944000000001</v>
      </c>
      <c r="AF1148">
        <v>-7424.8944000000001</v>
      </c>
    </row>
    <row r="1149" spans="2:32" x14ac:dyDescent="0.25">
      <c r="B1149">
        <v>33</v>
      </c>
      <c r="C1149">
        <v>1</v>
      </c>
      <c r="D1149">
        <v>1</v>
      </c>
      <c r="E1149">
        <v>1</v>
      </c>
      <c r="F1149">
        <v>1</v>
      </c>
      <c r="G1149">
        <v>1</v>
      </c>
      <c r="H1149">
        <v>1</v>
      </c>
      <c r="J1149">
        <v>33</v>
      </c>
      <c r="K1149">
        <v>1</v>
      </c>
      <c r="L1149">
        <v>1</v>
      </c>
      <c r="M1149">
        <v>1</v>
      </c>
      <c r="N1149">
        <v>1</v>
      </c>
      <c r="O1149">
        <v>1</v>
      </c>
      <c r="P1149">
        <v>1</v>
      </c>
      <c r="R1149">
        <v>33</v>
      </c>
      <c r="S1149">
        <v>1</v>
      </c>
      <c r="T1149">
        <v>1</v>
      </c>
      <c r="U1149">
        <v>1</v>
      </c>
      <c r="V1149">
        <v>1</v>
      </c>
      <c r="W1149">
        <v>1</v>
      </c>
      <c r="X1149">
        <v>1</v>
      </c>
      <c r="AA1149">
        <v>-7422.2834000000003</v>
      </c>
      <c r="AB1149">
        <v>-7422.2834000000003</v>
      </c>
      <c r="AC1149">
        <v>-7422.2834000000003</v>
      </c>
      <c r="AD1149">
        <v>-7422.2834000000003</v>
      </c>
      <c r="AE1149">
        <v>-7422.2834000000003</v>
      </c>
      <c r="AF1149">
        <v>-7422.2834000000003</v>
      </c>
    </row>
    <row r="1150" spans="2:32" x14ac:dyDescent="0.25">
      <c r="B1150">
        <v>34</v>
      </c>
      <c r="C1150">
        <v>1</v>
      </c>
      <c r="D1150">
        <v>1</v>
      </c>
      <c r="E1150">
        <v>1</v>
      </c>
      <c r="F1150">
        <v>1</v>
      </c>
      <c r="G1150">
        <v>1</v>
      </c>
      <c r="H1150">
        <v>1</v>
      </c>
      <c r="J1150">
        <v>34</v>
      </c>
      <c r="K1150">
        <v>1</v>
      </c>
      <c r="L1150">
        <v>1</v>
      </c>
      <c r="M1150">
        <v>1</v>
      </c>
      <c r="N1150">
        <v>1</v>
      </c>
      <c r="O1150">
        <v>1</v>
      </c>
      <c r="P1150">
        <v>1</v>
      </c>
      <c r="R1150">
        <v>34</v>
      </c>
      <c r="S1150">
        <v>1</v>
      </c>
      <c r="T1150">
        <v>1</v>
      </c>
      <c r="U1150">
        <v>1</v>
      </c>
      <c r="V1150">
        <v>1</v>
      </c>
      <c r="W1150">
        <v>1</v>
      </c>
      <c r="X1150">
        <v>1</v>
      </c>
      <c r="AA1150">
        <v>-7419.3683000000001</v>
      </c>
      <c r="AB1150">
        <v>-7419.3683000000001</v>
      </c>
      <c r="AC1150">
        <v>-7419.3683000000001</v>
      </c>
      <c r="AD1150">
        <v>-7419.3683000000001</v>
      </c>
      <c r="AE1150">
        <v>-7419.3683000000001</v>
      </c>
      <c r="AF1150">
        <v>-7419.3683000000001</v>
      </c>
    </row>
    <row r="1151" spans="2:32" x14ac:dyDescent="0.25">
      <c r="B1151">
        <v>35</v>
      </c>
      <c r="C1151">
        <v>1</v>
      </c>
      <c r="D1151">
        <v>1</v>
      </c>
      <c r="E1151">
        <v>1</v>
      </c>
      <c r="F1151">
        <v>1</v>
      </c>
      <c r="G1151">
        <v>1</v>
      </c>
      <c r="H1151">
        <v>1</v>
      </c>
      <c r="J1151">
        <v>35</v>
      </c>
      <c r="K1151">
        <v>1</v>
      </c>
      <c r="L1151">
        <v>1</v>
      </c>
      <c r="M1151">
        <v>1</v>
      </c>
      <c r="N1151">
        <v>1</v>
      </c>
      <c r="O1151">
        <v>1</v>
      </c>
      <c r="P1151">
        <v>1</v>
      </c>
      <c r="R1151">
        <v>35</v>
      </c>
      <c r="S1151">
        <v>1</v>
      </c>
      <c r="T1151">
        <v>1</v>
      </c>
      <c r="U1151">
        <v>1</v>
      </c>
      <c r="V1151">
        <v>1</v>
      </c>
      <c r="W1151">
        <v>1</v>
      </c>
      <c r="X1151">
        <v>1</v>
      </c>
      <c r="AA1151">
        <v>-7416.1363000000001</v>
      </c>
      <c r="AB1151">
        <v>-7416.1363000000001</v>
      </c>
      <c r="AC1151">
        <v>-7416.1363000000001</v>
      </c>
      <c r="AD1151">
        <v>-7416.1363000000001</v>
      </c>
      <c r="AE1151">
        <v>-7416.1363000000001</v>
      </c>
      <c r="AF1151">
        <v>-7416.1363000000001</v>
      </c>
    </row>
    <row r="1152" spans="2:32" x14ac:dyDescent="0.25">
      <c r="B1152">
        <v>36</v>
      </c>
      <c r="C1152">
        <v>1</v>
      </c>
      <c r="D1152">
        <v>1</v>
      </c>
      <c r="E1152">
        <v>1</v>
      </c>
      <c r="F1152">
        <v>1</v>
      </c>
      <c r="G1152">
        <v>1</v>
      </c>
      <c r="H1152">
        <v>1</v>
      </c>
      <c r="J1152">
        <v>36</v>
      </c>
      <c r="K1152">
        <v>1</v>
      </c>
      <c r="L1152">
        <v>1</v>
      </c>
      <c r="M1152">
        <v>1</v>
      </c>
      <c r="N1152">
        <v>1</v>
      </c>
      <c r="O1152">
        <v>1</v>
      </c>
      <c r="P1152">
        <v>1</v>
      </c>
      <c r="R1152">
        <v>36</v>
      </c>
      <c r="S1152">
        <v>1</v>
      </c>
      <c r="T1152">
        <v>1</v>
      </c>
      <c r="U1152">
        <v>1</v>
      </c>
      <c r="V1152">
        <v>1</v>
      </c>
      <c r="W1152">
        <v>1</v>
      </c>
      <c r="X1152">
        <v>1</v>
      </c>
      <c r="AA1152">
        <v>-7412.5378000000001</v>
      </c>
      <c r="AB1152">
        <v>-7412.5378000000001</v>
      </c>
      <c r="AC1152">
        <v>-7412.5378000000001</v>
      </c>
      <c r="AD1152">
        <v>-7412.5378000000001</v>
      </c>
      <c r="AE1152">
        <v>-7412.5378000000001</v>
      </c>
      <c r="AF1152">
        <v>-7412.5378000000001</v>
      </c>
    </row>
    <row r="1153" spans="2:32" x14ac:dyDescent="0.25">
      <c r="B1153">
        <v>37</v>
      </c>
      <c r="C1153">
        <v>1</v>
      </c>
      <c r="D1153">
        <v>1</v>
      </c>
      <c r="E1153">
        <v>1</v>
      </c>
      <c r="F1153">
        <v>1</v>
      </c>
      <c r="G1153">
        <v>1</v>
      </c>
      <c r="H1153">
        <v>1</v>
      </c>
      <c r="J1153">
        <v>37</v>
      </c>
      <c r="K1153">
        <v>1</v>
      </c>
      <c r="L1153">
        <v>1</v>
      </c>
      <c r="M1153">
        <v>1</v>
      </c>
      <c r="N1153">
        <v>1</v>
      </c>
      <c r="O1153">
        <v>1</v>
      </c>
      <c r="P1153">
        <v>1</v>
      </c>
      <c r="R1153">
        <v>37</v>
      </c>
      <c r="S1153">
        <v>1</v>
      </c>
      <c r="T1153">
        <v>1</v>
      </c>
      <c r="U1153">
        <v>1</v>
      </c>
      <c r="V1153">
        <v>1</v>
      </c>
      <c r="W1153">
        <v>1</v>
      </c>
      <c r="X1153">
        <v>1</v>
      </c>
      <c r="AA1153">
        <v>-7408.55</v>
      </c>
      <c r="AB1153">
        <v>-7408.55</v>
      </c>
      <c r="AC1153">
        <v>-7408.55</v>
      </c>
      <c r="AD1153">
        <v>-7408.55</v>
      </c>
      <c r="AE1153">
        <v>-7408.55</v>
      </c>
      <c r="AF1153">
        <v>-7408.55</v>
      </c>
    </row>
    <row r="1154" spans="2:32" x14ac:dyDescent="0.25">
      <c r="B1154">
        <v>38</v>
      </c>
      <c r="C1154">
        <v>1</v>
      </c>
      <c r="D1154">
        <v>1</v>
      </c>
      <c r="E1154">
        <v>1</v>
      </c>
      <c r="F1154">
        <v>1</v>
      </c>
      <c r="G1154">
        <v>1</v>
      </c>
      <c r="H1154">
        <v>1</v>
      </c>
      <c r="J1154">
        <v>38</v>
      </c>
      <c r="K1154">
        <v>1</v>
      </c>
      <c r="L1154">
        <v>1</v>
      </c>
      <c r="M1154">
        <v>1</v>
      </c>
      <c r="N1154">
        <v>1</v>
      </c>
      <c r="O1154">
        <v>1</v>
      </c>
      <c r="P1154">
        <v>1</v>
      </c>
      <c r="R1154">
        <v>38</v>
      </c>
      <c r="S1154">
        <v>1</v>
      </c>
      <c r="T1154">
        <v>1</v>
      </c>
      <c r="U1154">
        <v>1</v>
      </c>
      <c r="V1154">
        <v>1</v>
      </c>
      <c r="W1154">
        <v>1</v>
      </c>
      <c r="X1154">
        <v>1</v>
      </c>
      <c r="AA1154">
        <v>-7404.1752999999999</v>
      </c>
      <c r="AB1154">
        <v>-7404.1752999999999</v>
      </c>
      <c r="AC1154">
        <v>-7404.1752999999999</v>
      </c>
      <c r="AD1154">
        <v>-7404.1752999999999</v>
      </c>
      <c r="AE1154">
        <v>-7404.1752999999999</v>
      </c>
      <c r="AF1154">
        <v>-7404.1752999999999</v>
      </c>
    </row>
    <row r="1155" spans="2:32" x14ac:dyDescent="0.25">
      <c r="B1155">
        <v>39</v>
      </c>
      <c r="C1155">
        <v>1</v>
      </c>
      <c r="D1155">
        <v>1</v>
      </c>
      <c r="E1155">
        <v>1</v>
      </c>
      <c r="F1155">
        <v>1</v>
      </c>
      <c r="G1155">
        <v>1</v>
      </c>
      <c r="H1155">
        <v>1</v>
      </c>
      <c r="J1155">
        <v>39</v>
      </c>
      <c r="K1155">
        <v>1</v>
      </c>
      <c r="L1155">
        <v>1</v>
      </c>
      <c r="M1155">
        <v>1</v>
      </c>
      <c r="N1155">
        <v>1</v>
      </c>
      <c r="O1155">
        <v>1</v>
      </c>
      <c r="P1155">
        <v>1</v>
      </c>
      <c r="R1155">
        <v>39</v>
      </c>
      <c r="S1155">
        <v>1</v>
      </c>
      <c r="T1155">
        <v>1</v>
      </c>
      <c r="U1155">
        <v>1</v>
      </c>
      <c r="V1155">
        <v>1</v>
      </c>
      <c r="W1155">
        <v>1</v>
      </c>
      <c r="X1155">
        <v>1</v>
      </c>
      <c r="AA1155">
        <v>-7399.3923999999997</v>
      </c>
      <c r="AB1155">
        <v>-7399.3923999999997</v>
      </c>
      <c r="AC1155">
        <v>-7399.3923999999997</v>
      </c>
      <c r="AD1155">
        <v>-7399.3923999999997</v>
      </c>
      <c r="AE1155">
        <v>-7399.3923999999997</v>
      </c>
      <c r="AF1155">
        <v>-7399.3923999999997</v>
      </c>
    </row>
    <row r="1156" spans="2:32" x14ac:dyDescent="0.25">
      <c r="B1156">
        <v>40</v>
      </c>
      <c r="C1156">
        <v>1</v>
      </c>
      <c r="D1156">
        <v>1</v>
      </c>
      <c r="E1156">
        <v>1</v>
      </c>
      <c r="F1156">
        <v>1</v>
      </c>
      <c r="G1156">
        <v>1</v>
      </c>
      <c r="H1156">
        <v>1</v>
      </c>
      <c r="J1156">
        <v>40</v>
      </c>
      <c r="K1156">
        <v>1</v>
      </c>
      <c r="L1156">
        <v>1</v>
      </c>
      <c r="M1156">
        <v>1</v>
      </c>
      <c r="N1156">
        <v>1</v>
      </c>
      <c r="O1156">
        <v>1</v>
      </c>
      <c r="P1156">
        <v>1</v>
      </c>
      <c r="R1156">
        <v>40</v>
      </c>
      <c r="S1156">
        <v>1</v>
      </c>
      <c r="T1156">
        <v>1</v>
      </c>
      <c r="U1156">
        <v>1</v>
      </c>
      <c r="V1156">
        <v>1</v>
      </c>
      <c r="W1156">
        <v>1</v>
      </c>
      <c r="X1156">
        <v>1</v>
      </c>
      <c r="AA1156">
        <v>-7394.1365999999998</v>
      </c>
      <c r="AB1156">
        <v>-7394.1365999999998</v>
      </c>
      <c r="AC1156">
        <v>-7394.1365999999998</v>
      </c>
      <c r="AD1156">
        <v>-7394.1365999999998</v>
      </c>
      <c r="AE1156">
        <v>-7394.1365999999998</v>
      </c>
      <c r="AF1156">
        <v>-7394.1365999999998</v>
      </c>
    </row>
    <row r="1157" spans="2:32" x14ac:dyDescent="0.25">
      <c r="B1157">
        <v>41</v>
      </c>
      <c r="C1157">
        <v>1</v>
      </c>
      <c r="D1157">
        <v>1</v>
      </c>
      <c r="E1157">
        <v>1</v>
      </c>
      <c r="F1157">
        <v>1</v>
      </c>
      <c r="G1157">
        <v>1</v>
      </c>
      <c r="H1157">
        <v>1</v>
      </c>
      <c r="J1157">
        <v>41</v>
      </c>
      <c r="K1157">
        <v>1</v>
      </c>
      <c r="L1157">
        <v>1</v>
      </c>
      <c r="M1157">
        <v>1</v>
      </c>
      <c r="N1157">
        <v>1</v>
      </c>
      <c r="O1157">
        <v>1</v>
      </c>
      <c r="P1157">
        <v>1</v>
      </c>
      <c r="R1157">
        <v>41</v>
      </c>
      <c r="S1157">
        <v>1</v>
      </c>
      <c r="T1157">
        <v>1</v>
      </c>
      <c r="U1157">
        <v>1</v>
      </c>
      <c r="V1157">
        <v>1</v>
      </c>
      <c r="W1157">
        <v>1</v>
      </c>
      <c r="X1157">
        <v>1</v>
      </c>
      <c r="AA1157">
        <v>-7388.3469999999998</v>
      </c>
      <c r="AB1157">
        <v>-7388.3469999999998</v>
      </c>
      <c r="AC1157">
        <v>-7388.3469999999998</v>
      </c>
      <c r="AD1157">
        <v>-7388.3469999999998</v>
      </c>
      <c r="AE1157">
        <v>-7388.3469999999998</v>
      </c>
      <c r="AF1157">
        <v>-7388.3469999999998</v>
      </c>
    </row>
    <row r="1158" spans="2:32" x14ac:dyDescent="0.25">
      <c r="B1158">
        <v>42</v>
      </c>
      <c r="C1158">
        <v>1</v>
      </c>
      <c r="D1158">
        <v>1</v>
      </c>
      <c r="E1158">
        <v>1</v>
      </c>
      <c r="F1158">
        <v>1</v>
      </c>
      <c r="G1158">
        <v>1</v>
      </c>
      <c r="H1158">
        <v>1</v>
      </c>
      <c r="J1158">
        <v>42</v>
      </c>
      <c r="K1158">
        <v>1</v>
      </c>
      <c r="L1158">
        <v>1</v>
      </c>
      <c r="M1158">
        <v>1</v>
      </c>
      <c r="N1158">
        <v>1</v>
      </c>
      <c r="O1158">
        <v>1</v>
      </c>
      <c r="P1158">
        <v>1</v>
      </c>
      <c r="R1158">
        <v>42</v>
      </c>
      <c r="S1158">
        <v>1</v>
      </c>
      <c r="T1158">
        <v>1</v>
      </c>
      <c r="U1158">
        <v>1</v>
      </c>
      <c r="V1158">
        <v>1</v>
      </c>
      <c r="W1158">
        <v>1</v>
      </c>
      <c r="X1158">
        <v>1</v>
      </c>
      <c r="AA1158">
        <v>-7381.9919</v>
      </c>
      <c r="AB1158">
        <v>-7381.9919</v>
      </c>
      <c r="AC1158">
        <v>-7381.9919</v>
      </c>
      <c r="AD1158">
        <v>-7381.9919</v>
      </c>
      <c r="AE1158">
        <v>-7381.9919</v>
      </c>
      <c r="AF1158">
        <v>-7381.9919</v>
      </c>
    </row>
    <row r="1159" spans="2:32" x14ac:dyDescent="0.25">
      <c r="B1159">
        <v>43</v>
      </c>
      <c r="C1159">
        <v>1</v>
      </c>
      <c r="D1159">
        <v>1</v>
      </c>
      <c r="E1159">
        <v>1</v>
      </c>
      <c r="F1159">
        <v>1</v>
      </c>
      <c r="G1159">
        <v>1</v>
      </c>
      <c r="H1159">
        <v>1</v>
      </c>
      <c r="J1159">
        <v>43</v>
      </c>
      <c r="K1159">
        <v>1</v>
      </c>
      <c r="L1159">
        <v>1</v>
      </c>
      <c r="M1159">
        <v>1</v>
      </c>
      <c r="N1159">
        <v>1</v>
      </c>
      <c r="O1159">
        <v>1</v>
      </c>
      <c r="P1159">
        <v>1</v>
      </c>
      <c r="R1159">
        <v>43</v>
      </c>
      <c r="S1159">
        <v>1</v>
      </c>
      <c r="T1159">
        <v>1</v>
      </c>
      <c r="U1159">
        <v>1</v>
      </c>
      <c r="V1159">
        <v>1</v>
      </c>
      <c r="W1159">
        <v>1</v>
      </c>
      <c r="X1159">
        <v>1</v>
      </c>
      <c r="AA1159">
        <v>-7374.9579999999996</v>
      </c>
      <c r="AB1159">
        <v>-7374.9579999999996</v>
      </c>
      <c r="AC1159">
        <v>-7374.9579999999996</v>
      </c>
      <c r="AD1159">
        <v>-7374.9579999999996</v>
      </c>
      <c r="AE1159">
        <v>-7374.9579999999996</v>
      </c>
      <c r="AF1159">
        <v>-7374.9579999999996</v>
      </c>
    </row>
    <row r="1160" spans="2:32" x14ac:dyDescent="0.25">
      <c r="B1160">
        <v>44</v>
      </c>
      <c r="C1160">
        <v>1</v>
      </c>
      <c r="D1160">
        <v>1</v>
      </c>
      <c r="E1160">
        <v>1</v>
      </c>
      <c r="F1160">
        <v>1</v>
      </c>
      <c r="G1160">
        <v>1</v>
      </c>
      <c r="H1160">
        <v>1</v>
      </c>
      <c r="J1160">
        <v>44</v>
      </c>
      <c r="K1160">
        <v>1</v>
      </c>
      <c r="L1160">
        <v>1</v>
      </c>
      <c r="M1160">
        <v>1</v>
      </c>
      <c r="N1160">
        <v>1</v>
      </c>
      <c r="O1160">
        <v>1</v>
      </c>
      <c r="P1160">
        <v>1</v>
      </c>
      <c r="R1160">
        <v>44</v>
      </c>
      <c r="S1160">
        <v>1</v>
      </c>
      <c r="T1160">
        <v>1</v>
      </c>
      <c r="U1160">
        <v>1</v>
      </c>
      <c r="V1160">
        <v>1</v>
      </c>
      <c r="W1160">
        <v>1</v>
      </c>
      <c r="X1160">
        <v>1</v>
      </c>
      <c r="AA1160">
        <v>-7367.2034999999996</v>
      </c>
      <c r="AB1160">
        <v>-7367.2034999999996</v>
      </c>
      <c r="AC1160">
        <v>-7367.2034999999996</v>
      </c>
      <c r="AD1160">
        <v>-7367.2034999999996</v>
      </c>
      <c r="AE1160">
        <v>-7367.2034999999996</v>
      </c>
      <c r="AF1160">
        <v>-7367.2034999999996</v>
      </c>
    </row>
    <row r="1161" spans="2:32" x14ac:dyDescent="0.25">
      <c r="B1161">
        <v>45</v>
      </c>
      <c r="C1161">
        <v>1</v>
      </c>
      <c r="D1161">
        <v>1</v>
      </c>
      <c r="E1161">
        <v>1</v>
      </c>
      <c r="F1161">
        <v>1</v>
      </c>
      <c r="G1161">
        <v>1</v>
      </c>
      <c r="H1161">
        <v>1</v>
      </c>
      <c r="J1161">
        <v>45</v>
      </c>
      <c r="K1161">
        <v>1</v>
      </c>
      <c r="L1161">
        <v>1</v>
      </c>
      <c r="M1161">
        <v>1</v>
      </c>
      <c r="N1161">
        <v>1</v>
      </c>
      <c r="O1161">
        <v>1</v>
      </c>
      <c r="P1161">
        <v>1</v>
      </c>
      <c r="R1161">
        <v>45</v>
      </c>
      <c r="S1161">
        <v>1</v>
      </c>
      <c r="T1161">
        <v>1</v>
      </c>
      <c r="U1161">
        <v>1</v>
      </c>
      <c r="V1161">
        <v>1</v>
      </c>
      <c r="W1161">
        <v>1</v>
      </c>
      <c r="X1161">
        <v>1</v>
      </c>
      <c r="AA1161">
        <v>-7358.6491999999998</v>
      </c>
      <c r="AB1161">
        <v>-7358.6491999999998</v>
      </c>
      <c r="AC1161">
        <v>-7358.6491999999998</v>
      </c>
      <c r="AD1161">
        <v>-7358.6491999999998</v>
      </c>
      <c r="AE1161">
        <v>-7358.6491999999998</v>
      </c>
      <c r="AF1161">
        <v>-7358.6491999999998</v>
      </c>
    </row>
    <row r="1162" spans="2:32" x14ac:dyDescent="0.25">
      <c r="B1162">
        <v>46</v>
      </c>
      <c r="C1162">
        <v>1</v>
      </c>
      <c r="D1162">
        <v>1</v>
      </c>
      <c r="E1162">
        <v>1</v>
      </c>
      <c r="F1162">
        <v>1</v>
      </c>
      <c r="G1162">
        <v>1</v>
      </c>
      <c r="H1162">
        <v>1</v>
      </c>
      <c r="J1162">
        <v>46</v>
      </c>
      <c r="K1162">
        <v>1</v>
      </c>
      <c r="L1162">
        <v>1</v>
      </c>
      <c r="M1162">
        <v>1</v>
      </c>
      <c r="N1162">
        <v>1</v>
      </c>
      <c r="O1162">
        <v>1</v>
      </c>
      <c r="P1162">
        <v>1</v>
      </c>
      <c r="R1162">
        <v>46</v>
      </c>
      <c r="S1162">
        <v>1</v>
      </c>
      <c r="T1162">
        <v>1</v>
      </c>
      <c r="U1162">
        <v>1</v>
      </c>
      <c r="V1162">
        <v>1</v>
      </c>
      <c r="W1162">
        <v>1</v>
      </c>
      <c r="X1162">
        <v>1</v>
      </c>
      <c r="AA1162">
        <v>-7349.2232000000004</v>
      </c>
      <c r="AB1162">
        <v>-7349.2232000000004</v>
      </c>
      <c r="AC1162">
        <v>-7349.2232000000004</v>
      </c>
      <c r="AD1162">
        <v>-7349.2232000000004</v>
      </c>
      <c r="AE1162">
        <v>-7349.2232000000004</v>
      </c>
      <c r="AF1162">
        <v>-7349.2232000000004</v>
      </c>
    </row>
    <row r="1163" spans="2:32" x14ac:dyDescent="0.25">
      <c r="B1163">
        <v>47</v>
      </c>
      <c r="C1163">
        <v>1</v>
      </c>
      <c r="D1163">
        <v>1</v>
      </c>
      <c r="E1163">
        <v>1</v>
      </c>
      <c r="F1163">
        <v>1</v>
      </c>
      <c r="G1163">
        <v>1</v>
      </c>
      <c r="H1163">
        <v>1</v>
      </c>
      <c r="J1163">
        <v>47</v>
      </c>
      <c r="K1163">
        <v>1</v>
      </c>
      <c r="L1163">
        <v>1</v>
      </c>
      <c r="M1163">
        <v>1</v>
      </c>
      <c r="N1163">
        <v>1</v>
      </c>
      <c r="O1163">
        <v>1</v>
      </c>
      <c r="P1163">
        <v>1</v>
      </c>
      <c r="R1163">
        <v>47</v>
      </c>
      <c r="S1163">
        <v>1</v>
      </c>
      <c r="T1163">
        <v>1</v>
      </c>
      <c r="U1163">
        <v>1</v>
      </c>
      <c r="V1163">
        <v>1</v>
      </c>
      <c r="W1163">
        <v>1</v>
      </c>
      <c r="X1163">
        <v>1</v>
      </c>
      <c r="AA1163">
        <v>-7338.8310000000001</v>
      </c>
      <c r="AB1163">
        <v>-7338.8310000000001</v>
      </c>
      <c r="AC1163">
        <v>-7338.8310000000001</v>
      </c>
      <c r="AD1163">
        <v>-7338.8310000000001</v>
      </c>
      <c r="AE1163">
        <v>-7338.8310000000001</v>
      </c>
      <c r="AF1163">
        <v>-7338.8310000000001</v>
      </c>
    </row>
    <row r="1164" spans="2:32" x14ac:dyDescent="0.25">
      <c r="B1164">
        <v>48</v>
      </c>
      <c r="C1164">
        <v>1</v>
      </c>
      <c r="D1164">
        <v>1</v>
      </c>
      <c r="E1164">
        <v>1</v>
      </c>
      <c r="F1164">
        <v>1</v>
      </c>
      <c r="G1164">
        <v>1</v>
      </c>
      <c r="H1164">
        <v>1</v>
      </c>
      <c r="J1164">
        <v>48</v>
      </c>
      <c r="K1164">
        <v>1</v>
      </c>
      <c r="L1164">
        <v>1</v>
      </c>
      <c r="M1164">
        <v>1</v>
      </c>
      <c r="N1164">
        <v>1</v>
      </c>
      <c r="O1164">
        <v>1</v>
      </c>
      <c r="P1164">
        <v>1</v>
      </c>
      <c r="R1164">
        <v>48</v>
      </c>
      <c r="S1164">
        <v>1</v>
      </c>
      <c r="T1164">
        <v>1</v>
      </c>
      <c r="U1164">
        <v>1</v>
      </c>
      <c r="V1164">
        <v>1</v>
      </c>
      <c r="W1164">
        <v>1</v>
      </c>
      <c r="X1164">
        <v>1</v>
      </c>
      <c r="AA1164">
        <v>-7327.4297999999999</v>
      </c>
      <c r="AB1164">
        <v>-7327.4297999999999</v>
      </c>
      <c r="AC1164">
        <v>-7327.4297999999999</v>
      </c>
      <c r="AD1164">
        <v>-7327.4297999999999</v>
      </c>
      <c r="AE1164">
        <v>-7327.4297999999999</v>
      </c>
      <c r="AF1164">
        <v>-7327.4297999999999</v>
      </c>
    </row>
    <row r="1165" spans="2:32" x14ac:dyDescent="0.25">
      <c r="B1165">
        <v>49</v>
      </c>
      <c r="C1165">
        <v>1</v>
      </c>
      <c r="D1165">
        <v>1</v>
      </c>
      <c r="E1165">
        <v>1</v>
      </c>
      <c r="F1165">
        <v>1</v>
      </c>
      <c r="G1165">
        <v>1</v>
      </c>
      <c r="H1165">
        <v>1</v>
      </c>
      <c r="J1165">
        <v>49</v>
      </c>
      <c r="K1165">
        <v>1</v>
      </c>
      <c r="L1165">
        <v>1</v>
      </c>
      <c r="M1165">
        <v>1</v>
      </c>
      <c r="N1165">
        <v>1</v>
      </c>
      <c r="O1165">
        <v>1</v>
      </c>
      <c r="P1165">
        <v>1</v>
      </c>
      <c r="R1165">
        <v>49</v>
      </c>
      <c r="S1165">
        <v>1</v>
      </c>
      <c r="T1165">
        <v>1</v>
      </c>
      <c r="U1165">
        <v>1</v>
      </c>
      <c r="V1165">
        <v>1</v>
      </c>
      <c r="W1165">
        <v>1</v>
      </c>
      <c r="X1165">
        <v>1</v>
      </c>
      <c r="AA1165">
        <v>-7314.951</v>
      </c>
      <c r="AB1165">
        <v>-7314.951</v>
      </c>
      <c r="AC1165">
        <v>-7314.951</v>
      </c>
      <c r="AD1165">
        <v>-7314.951</v>
      </c>
      <c r="AE1165">
        <v>-7314.951</v>
      </c>
      <c r="AF1165">
        <v>-7314.951</v>
      </c>
    </row>
    <row r="1166" spans="2:32" x14ac:dyDescent="0.25">
      <c r="B1166">
        <v>50</v>
      </c>
      <c r="C1166">
        <v>1</v>
      </c>
      <c r="D1166">
        <v>1</v>
      </c>
      <c r="E1166">
        <v>1</v>
      </c>
      <c r="F1166">
        <v>1</v>
      </c>
      <c r="G1166">
        <v>1</v>
      </c>
      <c r="H1166">
        <v>1</v>
      </c>
      <c r="J1166">
        <v>50</v>
      </c>
      <c r="K1166">
        <v>1</v>
      </c>
      <c r="L1166">
        <v>1</v>
      </c>
      <c r="M1166">
        <v>1</v>
      </c>
      <c r="N1166">
        <v>1</v>
      </c>
      <c r="O1166">
        <v>1</v>
      </c>
      <c r="P1166">
        <v>1</v>
      </c>
      <c r="R1166">
        <v>50</v>
      </c>
      <c r="S1166">
        <v>1</v>
      </c>
      <c r="T1166">
        <v>1</v>
      </c>
      <c r="U1166">
        <v>1</v>
      </c>
      <c r="V1166">
        <v>1</v>
      </c>
      <c r="W1166">
        <v>1</v>
      </c>
      <c r="X1166">
        <v>1</v>
      </c>
      <c r="AA1166">
        <v>-7301.2851000000001</v>
      </c>
      <c r="AB1166">
        <v>-7301.2851000000001</v>
      </c>
      <c r="AC1166">
        <v>-7301.2851000000001</v>
      </c>
      <c r="AD1166">
        <v>-7301.2851000000001</v>
      </c>
      <c r="AE1166">
        <v>-7301.2851000000001</v>
      </c>
      <c r="AF1166">
        <v>-7301.2851000000001</v>
      </c>
    </row>
    <row r="1167" spans="2:32" x14ac:dyDescent="0.25">
      <c r="B1167">
        <v>51</v>
      </c>
      <c r="C1167">
        <v>1</v>
      </c>
      <c r="D1167">
        <v>1</v>
      </c>
      <c r="E1167">
        <v>1</v>
      </c>
      <c r="F1167">
        <v>1</v>
      </c>
      <c r="G1167">
        <v>1</v>
      </c>
      <c r="H1167">
        <v>1</v>
      </c>
      <c r="J1167">
        <v>51</v>
      </c>
      <c r="K1167">
        <v>1</v>
      </c>
      <c r="L1167">
        <v>1</v>
      </c>
      <c r="M1167">
        <v>1</v>
      </c>
      <c r="N1167">
        <v>1</v>
      </c>
      <c r="O1167">
        <v>1</v>
      </c>
      <c r="P1167">
        <v>1</v>
      </c>
      <c r="R1167">
        <v>51</v>
      </c>
      <c r="S1167">
        <v>1</v>
      </c>
      <c r="T1167">
        <v>1</v>
      </c>
      <c r="U1167">
        <v>1</v>
      </c>
      <c r="V1167">
        <v>1</v>
      </c>
      <c r="W1167">
        <v>1</v>
      </c>
      <c r="X1167">
        <v>1</v>
      </c>
      <c r="AA1167">
        <v>-7286.3271000000004</v>
      </c>
      <c r="AB1167">
        <v>-7286.3271000000004</v>
      </c>
      <c r="AC1167">
        <v>-7286.3271000000004</v>
      </c>
      <c r="AD1167">
        <v>-7286.3271000000004</v>
      </c>
      <c r="AE1167">
        <v>-7286.3271000000004</v>
      </c>
      <c r="AF1167">
        <v>-7286.3271000000004</v>
      </c>
    </row>
    <row r="1168" spans="2:32" x14ac:dyDescent="0.25">
      <c r="B1168">
        <v>52</v>
      </c>
      <c r="C1168">
        <v>1</v>
      </c>
      <c r="D1168">
        <v>1</v>
      </c>
      <c r="E1168">
        <v>1</v>
      </c>
      <c r="F1168">
        <v>1</v>
      </c>
      <c r="G1168">
        <v>1</v>
      </c>
      <c r="H1168">
        <v>1</v>
      </c>
      <c r="J1168">
        <v>52</v>
      </c>
      <c r="K1168">
        <v>1</v>
      </c>
      <c r="L1168">
        <v>1</v>
      </c>
      <c r="M1168">
        <v>1</v>
      </c>
      <c r="N1168">
        <v>1</v>
      </c>
      <c r="O1168">
        <v>1</v>
      </c>
      <c r="P1168">
        <v>1</v>
      </c>
      <c r="R1168">
        <v>52</v>
      </c>
      <c r="S1168">
        <v>1</v>
      </c>
      <c r="T1168">
        <v>1</v>
      </c>
      <c r="U1168">
        <v>1</v>
      </c>
      <c r="V1168">
        <v>1</v>
      </c>
      <c r="W1168">
        <v>1</v>
      </c>
      <c r="X1168">
        <v>1</v>
      </c>
      <c r="AA1168">
        <v>-7269.9448000000002</v>
      </c>
      <c r="AB1168">
        <v>-7269.9448000000002</v>
      </c>
      <c r="AC1168">
        <v>-7269.9448000000002</v>
      </c>
      <c r="AD1168">
        <v>-7269.9448000000002</v>
      </c>
      <c r="AE1168">
        <v>-7269.9448000000002</v>
      </c>
      <c r="AF1168">
        <v>-7269.9448000000002</v>
      </c>
    </row>
    <row r="1169" spans="2:32" x14ac:dyDescent="0.25">
      <c r="B1169">
        <v>53</v>
      </c>
      <c r="C1169">
        <v>1</v>
      </c>
      <c r="D1169">
        <v>1</v>
      </c>
      <c r="E1169">
        <v>1</v>
      </c>
      <c r="F1169">
        <v>1</v>
      </c>
      <c r="G1169">
        <v>1</v>
      </c>
      <c r="H1169">
        <v>1</v>
      </c>
      <c r="J1169">
        <v>53</v>
      </c>
      <c r="K1169">
        <v>1</v>
      </c>
      <c r="L1169">
        <v>1</v>
      </c>
      <c r="M1169">
        <v>1</v>
      </c>
      <c r="N1169">
        <v>1</v>
      </c>
      <c r="O1169">
        <v>1</v>
      </c>
      <c r="P1169">
        <v>1</v>
      </c>
      <c r="R1169">
        <v>53</v>
      </c>
      <c r="S1169">
        <v>1</v>
      </c>
      <c r="T1169">
        <v>1</v>
      </c>
      <c r="U1169">
        <v>1</v>
      </c>
      <c r="V1169">
        <v>1</v>
      </c>
      <c r="W1169">
        <v>1</v>
      </c>
      <c r="X1169">
        <v>1</v>
      </c>
      <c r="AA1169">
        <v>-7252.0574999999999</v>
      </c>
      <c r="AB1169">
        <v>-7252.0574999999999</v>
      </c>
      <c r="AC1169">
        <v>-7252.0574999999999</v>
      </c>
      <c r="AD1169">
        <v>-7252.0574999999999</v>
      </c>
      <c r="AE1169">
        <v>-7252.0574999999999</v>
      </c>
      <c r="AF1169">
        <v>-7252.0574999999999</v>
      </c>
    </row>
    <row r="1170" spans="2:32" x14ac:dyDescent="0.25">
      <c r="B1170">
        <v>54</v>
      </c>
      <c r="C1170">
        <v>1</v>
      </c>
      <c r="D1170">
        <v>1</v>
      </c>
      <c r="E1170">
        <v>1</v>
      </c>
      <c r="F1170">
        <v>1</v>
      </c>
      <c r="G1170">
        <v>1</v>
      </c>
      <c r="H1170">
        <v>1</v>
      </c>
      <c r="J1170">
        <v>54</v>
      </c>
      <c r="K1170">
        <v>1</v>
      </c>
      <c r="L1170">
        <v>1</v>
      </c>
      <c r="M1170">
        <v>1</v>
      </c>
      <c r="N1170">
        <v>1</v>
      </c>
      <c r="O1170">
        <v>1</v>
      </c>
      <c r="P1170">
        <v>1</v>
      </c>
      <c r="R1170">
        <v>54</v>
      </c>
      <c r="S1170">
        <v>1</v>
      </c>
      <c r="T1170">
        <v>1</v>
      </c>
      <c r="U1170">
        <v>1</v>
      </c>
      <c r="V1170">
        <v>1</v>
      </c>
      <c r="W1170">
        <v>1</v>
      </c>
      <c r="X1170">
        <v>1</v>
      </c>
      <c r="AA1170">
        <v>-7232.5680000000002</v>
      </c>
      <c r="AB1170">
        <v>-7232.5680000000002</v>
      </c>
      <c r="AC1170">
        <v>-7232.5680000000002</v>
      </c>
      <c r="AD1170">
        <v>-7232.5680000000002</v>
      </c>
      <c r="AE1170">
        <v>-7232.5680000000002</v>
      </c>
      <c r="AF1170">
        <v>-7232.5680000000002</v>
      </c>
    </row>
    <row r="1171" spans="2:32" x14ac:dyDescent="0.25">
      <c r="B1171">
        <v>55</v>
      </c>
      <c r="C1171">
        <v>1</v>
      </c>
      <c r="D1171">
        <v>1</v>
      </c>
      <c r="E1171">
        <v>1</v>
      </c>
      <c r="F1171">
        <v>1</v>
      </c>
      <c r="G1171">
        <v>1</v>
      </c>
      <c r="H1171">
        <v>1</v>
      </c>
      <c r="J1171">
        <v>55</v>
      </c>
      <c r="K1171">
        <v>1</v>
      </c>
      <c r="L1171">
        <v>1</v>
      </c>
      <c r="M1171">
        <v>1</v>
      </c>
      <c r="N1171">
        <v>1</v>
      </c>
      <c r="O1171">
        <v>1</v>
      </c>
      <c r="P1171">
        <v>1</v>
      </c>
      <c r="R1171">
        <v>55</v>
      </c>
      <c r="S1171">
        <v>1</v>
      </c>
      <c r="T1171">
        <v>1</v>
      </c>
      <c r="U1171">
        <v>1</v>
      </c>
      <c r="V1171">
        <v>1</v>
      </c>
      <c r="W1171">
        <v>1</v>
      </c>
      <c r="X1171">
        <v>1</v>
      </c>
      <c r="AA1171">
        <v>-7211.3207000000002</v>
      </c>
      <c r="AB1171">
        <v>-7211.3207000000002</v>
      </c>
      <c r="AC1171">
        <v>-7211.3207000000002</v>
      </c>
      <c r="AD1171">
        <v>-7211.3207000000002</v>
      </c>
      <c r="AE1171">
        <v>-7211.3207000000002</v>
      </c>
      <c r="AF1171">
        <v>-7211.3207000000002</v>
      </c>
    </row>
    <row r="1174" spans="2:32" x14ac:dyDescent="0.25">
      <c r="B1174" t="s">
        <v>46</v>
      </c>
      <c r="C1174">
        <v>100000</v>
      </c>
      <c r="D1174">
        <v>250000</v>
      </c>
      <c r="E1174">
        <v>500000</v>
      </c>
      <c r="F1174">
        <v>1000000</v>
      </c>
      <c r="G1174">
        <v>2000000</v>
      </c>
      <c r="J1174" t="s">
        <v>32</v>
      </c>
      <c r="K1174">
        <v>100000</v>
      </c>
      <c r="L1174">
        <v>250000</v>
      </c>
      <c r="M1174">
        <v>500000</v>
      </c>
      <c r="N1174">
        <v>1000000</v>
      </c>
      <c r="O1174">
        <v>2000000</v>
      </c>
      <c r="R1174" t="s">
        <v>48</v>
      </c>
      <c r="S1174">
        <v>100000</v>
      </c>
      <c r="T1174">
        <v>250000</v>
      </c>
      <c r="U1174">
        <v>500000</v>
      </c>
      <c r="V1174">
        <v>1000000</v>
      </c>
      <c r="W1174">
        <v>2000000</v>
      </c>
    </row>
    <row r="1175" spans="2:32" x14ac:dyDescent="0.25">
      <c r="B1175">
        <v>35</v>
      </c>
      <c r="C1175">
        <v>1</v>
      </c>
      <c r="D1175">
        <v>1</v>
      </c>
      <c r="E1175">
        <v>1</v>
      </c>
      <c r="F1175">
        <v>1</v>
      </c>
      <c r="G1175">
        <v>1</v>
      </c>
      <c r="J1175">
        <v>35</v>
      </c>
      <c r="K1175">
        <v>1</v>
      </c>
      <c r="L1175">
        <v>1</v>
      </c>
      <c r="M1175">
        <v>1</v>
      </c>
      <c r="N1175">
        <v>1</v>
      </c>
      <c r="O1175">
        <v>1</v>
      </c>
      <c r="R1175">
        <v>35</v>
      </c>
      <c r="S1175">
        <v>1</v>
      </c>
      <c r="T1175">
        <v>1</v>
      </c>
      <c r="U1175">
        <v>1</v>
      </c>
      <c r="V1175">
        <v>1</v>
      </c>
      <c r="W1175">
        <v>1</v>
      </c>
      <c r="AA1175">
        <v>-11308.6893</v>
      </c>
      <c r="AB1175">
        <v>-11308.6893</v>
      </c>
      <c r="AC1175">
        <v>-11308.6893</v>
      </c>
      <c r="AD1175">
        <v>-11308.6893</v>
      </c>
      <c r="AE1175">
        <v>-11308.6893</v>
      </c>
    </row>
    <row r="1176" spans="2:32" x14ac:dyDescent="0.25">
      <c r="B1176">
        <f t="shared" ref="B1176:B1205" si="51">B1175+1</f>
        <v>36</v>
      </c>
      <c r="C1176">
        <v>1</v>
      </c>
      <c r="D1176">
        <v>1</v>
      </c>
      <c r="E1176">
        <v>1</v>
      </c>
      <c r="F1176">
        <v>1</v>
      </c>
      <c r="G1176">
        <v>1</v>
      </c>
      <c r="J1176">
        <f t="shared" ref="J1176:J1205" si="52">J1175+1</f>
        <v>36</v>
      </c>
      <c r="K1176">
        <v>1</v>
      </c>
      <c r="L1176">
        <v>1</v>
      </c>
      <c r="M1176">
        <v>1</v>
      </c>
      <c r="N1176">
        <v>1</v>
      </c>
      <c r="O1176">
        <v>1</v>
      </c>
      <c r="R1176">
        <f t="shared" ref="R1176:R1205" si="53">R1175+1</f>
        <v>36</v>
      </c>
      <c r="S1176">
        <v>1</v>
      </c>
      <c r="T1176">
        <v>1</v>
      </c>
      <c r="U1176">
        <v>1</v>
      </c>
      <c r="V1176">
        <v>1</v>
      </c>
      <c r="W1176">
        <v>1</v>
      </c>
      <c r="AA1176">
        <v>-11214.2592</v>
      </c>
      <c r="AB1176">
        <v>-11214.2592</v>
      </c>
      <c r="AC1176">
        <v>-11214.2592</v>
      </c>
      <c r="AD1176">
        <v>-11214.2592</v>
      </c>
      <c r="AE1176">
        <v>-11214.2592</v>
      </c>
    </row>
    <row r="1177" spans="2:32" x14ac:dyDescent="0.25">
      <c r="B1177">
        <f t="shared" si="51"/>
        <v>37</v>
      </c>
      <c r="C1177">
        <v>1</v>
      </c>
      <c r="D1177">
        <v>1</v>
      </c>
      <c r="E1177">
        <v>1</v>
      </c>
      <c r="F1177">
        <v>1</v>
      </c>
      <c r="G1177">
        <v>1</v>
      </c>
      <c r="J1177">
        <f t="shared" si="52"/>
        <v>37</v>
      </c>
      <c r="K1177">
        <v>1</v>
      </c>
      <c r="L1177">
        <v>1</v>
      </c>
      <c r="M1177">
        <v>1</v>
      </c>
      <c r="N1177">
        <v>1</v>
      </c>
      <c r="O1177">
        <v>1</v>
      </c>
      <c r="R1177">
        <f t="shared" si="53"/>
        <v>37</v>
      </c>
      <c r="S1177">
        <v>1</v>
      </c>
      <c r="T1177">
        <v>1</v>
      </c>
      <c r="U1177">
        <v>1</v>
      </c>
      <c r="V1177">
        <v>1</v>
      </c>
      <c r="W1177">
        <v>1</v>
      </c>
      <c r="AA1177">
        <v>-11117.406199999999</v>
      </c>
      <c r="AB1177">
        <v>-11117.406199999999</v>
      </c>
      <c r="AC1177">
        <v>-11117.406199999999</v>
      </c>
      <c r="AD1177">
        <v>-11117.406199999999</v>
      </c>
      <c r="AE1177">
        <v>-11117.406199999999</v>
      </c>
    </row>
    <row r="1178" spans="2:32" x14ac:dyDescent="0.25">
      <c r="B1178">
        <f t="shared" si="51"/>
        <v>38</v>
      </c>
      <c r="C1178">
        <v>1</v>
      </c>
      <c r="D1178">
        <v>1</v>
      </c>
      <c r="E1178">
        <v>1</v>
      </c>
      <c r="F1178">
        <v>1</v>
      </c>
      <c r="G1178">
        <v>1</v>
      </c>
      <c r="J1178">
        <f t="shared" si="52"/>
        <v>38</v>
      </c>
      <c r="K1178">
        <v>1</v>
      </c>
      <c r="L1178">
        <v>1</v>
      </c>
      <c r="M1178">
        <v>1</v>
      </c>
      <c r="N1178">
        <v>1</v>
      </c>
      <c r="O1178">
        <v>1</v>
      </c>
      <c r="R1178">
        <f t="shared" si="53"/>
        <v>38</v>
      </c>
      <c r="S1178">
        <v>1</v>
      </c>
      <c r="T1178">
        <v>1</v>
      </c>
      <c r="U1178">
        <v>1</v>
      </c>
      <c r="V1178">
        <v>1</v>
      </c>
      <c r="W1178">
        <v>1</v>
      </c>
      <c r="AA1178">
        <v>-11018.229799999999</v>
      </c>
      <c r="AB1178">
        <v>-11018.229799999999</v>
      </c>
      <c r="AC1178">
        <v>-11018.229799999999</v>
      </c>
      <c r="AD1178">
        <v>-11018.229799999999</v>
      </c>
      <c r="AE1178">
        <v>-11018.229799999999</v>
      </c>
    </row>
    <row r="1179" spans="2:32" x14ac:dyDescent="0.25">
      <c r="B1179">
        <f t="shared" si="51"/>
        <v>39</v>
      </c>
      <c r="C1179">
        <v>1</v>
      </c>
      <c r="D1179">
        <v>1</v>
      </c>
      <c r="E1179">
        <v>1</v>
      </c>
      <c r="F1179">
        <v>1</v>
      </c>
      <c r="G1179">
        <v>1</v>
      </c>
      <c r="J1179">
        <f t="shared" si="52"/>
        <v>39</v>
      </c>
      <c r="K1179">
        <v>1</v>
      </c>
      <c r="L1179">
        <v>1</v>
      </c>
      <c r="M1179">
        <v>1</v>
      </c>
      <c r="N1179">
        <v>1</v>
      </c>
      <c r="O1179">
        <v>1</v>
      </c>
      <c r="R1179">
        <f t="shared" si="53"/>
        <v>39</v>
      </c>
      <c r="S1179">
        <v>1</v>
      </c>
      <c r="T1179">
        <v>1</v>
      </c>
      <c r="U1179">
        <v>1</v>
      </c>
      <c r="V1179">
        <v>1</v>
      </c>
      <c r="W1179">
        <v>1</v>
      </c>
      <c r="AA1179">
        <v>-10916.737999999999</v>
      </c>
      <c r="AB1179">
        <v>-10916.737999999999</v>
      </c>
      <c r="AC1179">
        <v>-10916.737999999999</v>
      </c>
      <c r="AD1179">
        <v>-10916.737999999999</v>
      </c>
      <c r="AE1179">
        <v>-10916.737999999999</v>
      </c>
    </row>
    <row r="1180" spans="2:32" x14ac:dyDescent="0.25">
      <c r="B1180">
        <f t="shared" si="51"/>
        <v>40</v>
      </c>
      <c r="C1180">
        <v>1</v>
      </c>
      <c r="D1180">
        <v>1</v>
      </c>
      <c r="E1180">
        <v>1</v>
      </c>
      <c r="F1180">
        <v>1</v>
      </c>
      <c r="G1180">
        <v>1</v>
      </c>
      <c r="J1180">
        <f t="shared" si="52"/>
        <v>40</v>
      </c>
      <c r="K1180">
        <v>1</v>
      </c>
      <c r="L1180">
        <v>1</v>
      </c>
      <c r="M1180">
        <v>1</v>
      </c>
      <c r="N1180">
        <v>1</v>
      </c>
      <c r="O1180">
        <v>1</v>
      </c>
      <c r="R1180">
        <f t="shared" si="53"/>
        <v>40</v>
      </c>
      <c r="S1180">
        <v>1</v>
      </c>
      <c r="T1180">
        <v>1</v>
      </c>
      <c r="U1180">
        <v>1</v>
      </c>
      <c r="V1180">
        <v>1</v>
      </c>
      <c r="W1180">
        <v>1</v>
      </c>
      <c r="AA1180">
        <v>-10812.8714</v>
      </c>
      <c r="AB1180">
        <v>-10812.8714</v>
      </c>
      <c r="AC1180">
        <v>-10812.8714</v>
      </c>
      <c r="AD1180">
        <v>-10812.8714</v>
      </c>
      <c r="AE1180">
        <v>-10812.8714</v>
      </c>
    </row>
    <row r="1181" spans="2:32" x14ac:dyDescent="0.25">
      <c r="B1181">
        <f t="shared" si="51"/>
        <v>41</v>
      </c>
      <c r="C1181">
        <v>1</v>
      </c>
      <c r="D1181">
        <v>1</v>
      </c>
      <c r="E1181">
        <v>1</v>
      </c>
      <c r="F1181">
        <v>1</v>
      </c>
      <c r="G1181">
        <v>1</v>
      </c>
      <c r="J1181">
        <f t="shared" si="52"/>
        <v>41</v>
      </c>
      <c r="K1181">
        <v>1</v>
      </c>
      <c r="L1181">
        <v>1</v>
      </c>
      <c r="M1181">
        <v>1</v>
      </c>
      <c r="N1181">
        <v>1</v>
      </c>
      <c r="O1181">
        <v>1</v>
      </c>
      <c r="R1181">
        <f t="shared" si="53"/>
        <v>41</v>
      </c>
      <c r="S1181">
        <v>1</v>
      </c>
      <c r="T1181">
        <v>1</v>
      </c>
      <c r="U1181">
        <v>1</v>
      </c>
      <c r="V1181">
        <v>1</v>
      </c>
      <c r="W1181">
        <v>1</v>
      </c>
      <c r="AA1181">
        <v>-10706.559600000001</v>
      </c>
      <c r="AB1181">
        <v>-10706.559600000001</v>
      </c>
      <c r="AC1181">
        <v>-10706.559600000001</v>
      </c>
      <c r="AD1181">
        <v>-10706.559600000001</v>
      </c>
      <c r="AE1181">
        <v>-10706.559600000001</v>
      </c>
    </row>
    <row r="1182" spans="2:32" x14ac:dyDescent="0.25">
      <c r="B1182">
        <f t="shared" si="51"/>
        <v>42</v>
      </c>
      <c r="C1182">
        <v>1</v>
      </c>
      <c r="D1182">
        <v>1</v>
      </c>
      <c r="E1182">
        <v>1</v>
      </c>
      <c r="F1182">
        <v>1</v>
      </c>
      <c r="G1182">
        <v>1</v>
      </c>
      <c r="J1182">
        <f t="shared" si="52"/>
        <v>42</v>
      </c>
      <c r="K1182">
        <v>1</v>
      </c>
      <c r="L1182">
        <v>1</v>
      </c>
      <c r="M1182">
        <v>1</v>
      </c>
      <c r="N1182">
        <v>1</v>
      </c>
      <c r="O1182">
        <v>1</v>
      </c>
      <c r="R1182">
        <f t="shared" si="53"/>
        <v>42</v>
      </c>
      <c r="S1182">
        <v>1</v>
      </c>
      <c r="T1182">
        <v>1</v>
      </c>
      <c r="U1182">
        <v>1</v>
      </c>
      <c r="V1182">
        <v>1</v>
      </c>
      <c r="W1182">
        <v>1</v>
      </c>
      <c r="AA1182">
        <v>-10597.8485</v>
      </c>
      <c r="AB1182">
        <v>-10597.8485</v>
      </c>
      <c r="AC1182">
        <v>-10597.8485</v>
      </c>
      <c r="AD1182">
        <v>-10597.8485</v>
      </c>
      <c r="AE1182">
        <v>-10597.8485</v>
      </c>
    </row>
    <row r="1183" spans="2:32" x14ac:dyDescent="0.25">
      <c r="B1183">
        <f t="shared" si="51"/>
        <v>43</v>
      </c>
      <c r="C1183">
        <v>1</v>
      </c>
      <c r="D1183">
        <v>1</v>
      </c>
      <c r="E1183">
        <v>1</v>
      </c>
      <c r="F1183">
        <v>1</v>
      </c>
      <c r="G1183">
        <v>1</v>
      </c>
      <c r="J1183">
        <f t="shared" si="52"/>
        <v>43</v>
      </c>
      <c r="K1183">
        <v>1</v>
      </c>
      <c r="L1183">
        <v>1</v>
      </c>
      <c r="M1183">
        <v>1</v>
      </c>
      <c r="N1183">
        <v>1</v>
      </c>
      <c r="O1183">
        <v>1</v>
      </c>
      <c r="R1183">
        <f t="shared" si="53"/>
        <v>43</v>
      </c>
      <c r="S1183">
        <v>1</v>
      </c>
      <c r="T1183">
        <v>1</v>
      </c>
      <c r="U1183">
        <v>1</v>
      </c>
      <c r="V1183">
        <v>1</v>
      </c>
      <c r="W1183">
        <v>1</v>
      </c>
      <c r="AA1183">
        <v>-10486.615400000001</v>
      </c>
      <c r="AB1183">
        <v>-10486.615400000001</v>
      </c>
      <c r="AC1183">
        <v>-10486.615400000001</v>
      </c>
      <c r="AD1183">
        <v>-10486.615400000001</v>
      </c>
      <c r="AE1183">
        <v>-10486.615400000001</v>
      </c>
    </row>
    <row r="1184" spans="2:32" x14ac:dyDescent="0.25">
      <c r="B1184">
        <f t="shared" si="51"/>
        <v>44</v>
      </c>
      <c r="C1184">
        <v>1</v>
      </c>
      <c r="D1184">
        <v>1</v>
      </c>
      <c r="E1184">
        <v>1</v>
      </c>
      <c r="F1184">
        <v>1</v>
      </c>
      <c r="G1184">
        <v>1</v>
      </c>
      <c r="J1184">
        <f t="shared" si="52"/>
        <v>44</v>
      </c>
      <c r="K1184">
        <v>1</v>
      </c>
      <c r="L1184">
        <v>1</v>
      </c>
      <c r="M1184">
        <v>1</v>
      </c>
      <c r="N1184">
        <v>1</v>
      </c>
      <c r="O1184">
        <v>1</v>
      </c>
      <c r="R1184">
        <f t="shared" si="53"/>
        <v>44</v>
      </c>
      <c r="S1184">
        <v>1</v>
      </c>
      <c r="T1184">
        <v>1</v>
      </c>
      <c r="U1184">
        <v>1</v>
      </c>
      <c r="V1184">
        <v>1</v>
      </c>
      <c r="W1184">
        <v>1</v>
      </c>
      <c r="AA1184">
        <v>-10372.9005</v>
      </c>
      <c r="AB1184">
        <v>-10372.9005</v>
      </c>
      <c r="AC1184">
        <v>-10372.9005</v>
      </c>
      <c r="AD1184">
        <v>-10372.9005</v>
      </c>
      <c r="AE1184">
        <v>-10372.9005</v>
      </c>
    </row>
    <row r="1185" spans="2:31" x14ac:dyDescent="0.25">
      <c r="B1185">
        <f t="shared" si="51"/>
        <v>45</v>
      </c>
      <c r="C1185">
        <v>1</v>
      </c>
      <c r="D1185">
        <v>1</v>
      </c>
      <c r="E1185">
        <v>1</v>
      </c>
      <c r="F1185">
        <v>1</v>
      </c>
      <c r="G1185">
        <v>1</v>
      </c>
      <c r="J1185">
        <f t="shared" si="52"/>
        <v>45</v>
      </c>
      <c r="K1185">
        <v>1</v>
      </c>
      <c r="L1185">
        <v>1</v>
      </c>
      <c r="M1185">
        <v>1</v>
      </c>
      <c r="N1185">
        <v>1</v>
      </c>
      <c r="O1185">
        <v>1</v>
      </c>
      <c r="R1185">
        <f t="shared" si="53"/>
        <v>45</v>
      </c>
      <c r="S1185">
        <v>1</v>
      </c>
      <c r="T1185">
        <v>1</v>
      </c>
      <c r="U1185">
        <v>1</v>
      </c>
      <c r="V1185">
        <v>1</v>
      </c>
      <c r="W1185">
        <v>1</v>
      </c>
      <c r="AA1185">
        <v>-10256.650600000001</v>
      </c>
      <c r="AB1185">
        <v>-10256.650600000001</v>
      </c>
      <c r="AC1185">
        <v>-10256.650600000001</v>
      </c>
      <c r="AD1185">
        <v>-10256.650600000001</v>
      </c>
      <c r="AE1185">
        <v>-10256.650600000001</v>
      </c>
    </row>
    <row r="1186" spans="2:31" x14ac:dyDescent="0.25">
      <c r="B1186">
        <f t="shared" si="51"/>
        <v>46</v>
      </c>
      <c r="C1186">
        <v>1</v>
      </c>
      <c r="D1186">
        <v>1</v>
      </c>
      <c r="E1186">
        <v>1</v>
      </c>
      <c r="F1186">
        <v>1</v>
      </c>
      <c r="G1186">
        <v>1</v>
      </c>
      <c r="J1186">
        <f t="shared" si="52"/>
        <v>46</v>
      </c>
      <c r="K1186">
        <v>1</v>
      </c>
      <c r="L1186">
        <v>1</v>
      </c>
      <c r="M1186">
        <v>1</v>
      </c>
      <c r="N1186">
        <v>1</v>
      </c>
      <c r="O1186">
        <v>1</v>
      </c>
      <c r="R1186">
        <f t="shared" si="53"/>
        <v>46</v>
      </c>
      <c r="S1186">
        <v>1</v>
      </c>
      <c r="T1186">
        <v>1</v>
      </c>
      <c r="U1186">
        <v>1</v>
      </c>
      <c r="V1186">
        <v>1</v>
      </c>
      <c r="W1186">
        <v>1</v>
      </c>
      <c r="AA1186">
        <v>-10137.871499999999</v>
      </c>
      <c r="AB1186">
        <v>-10137.871499999999</v>
      </c>
      <c r="AC1186">
        <v>-10137.871499999999</v>
      </c>
      <c r="AD1186">
        <v>-10137.871499999999</v>
      </c>
      <c r="AE1186">
        <v>-10137.871499999999</v>
      </c>
    </row>
    <row r="1187" spans="2:31" x14ac:dyDescent="0.25">
      <c r="B1187">
        <f t="shared" si="51"/>
        <v>47</v>
      </c>
      <c r="C1187">
        <v>1</v>
      </c>
      <c r="D1187">
        <v>1</v>
      </c>
      <c r="E1187">
        <v>1</v>
      </c>
      <c r="F1187">
        <v>1</v>
      </c>
      <c r="G1187">
        <v>1</v>
      </c>
      <c r="J1187">
        <f t="shared" si="52"/>
        <v>47</v>
      </c>
      <c r="K1187">
        <v>1</v>
      </c>
      <c r="L1187">
        <v>1</v>
      </c>
      <c r="M1187">
        <v>1</v>
      </c>
      <c r="N1187">
        <v>1</v>
      </c>
      <c r="O1187">
        <v>1</v>
      </c>
      <c r="R1187">
        <f t="shared" si="53"/>
        <v>47</v>
      </c>
      <c r="S1187">
        <v>1</v>
      </c>
      <c r="T1187">
        <v>1</v>
      </c>
      <c r="U1187">
        <v>1</v>
      </c>
      <c r="V1187">
        <v>1</v>
      </c>
      <c r="W1187">
        <v>1</v>
      </c>
      <c r="AA1187">
        <v>-10016.4967</v>
      </c>
      <c r="AB1187">
        <v>-10016.4967</v>
      </c>
      <c r="AC1187">
        <v>-10016.4967</v>
      </c>
      <c r="AD1187">
        <v>-10016.4967</v>
      </c>
      <c r="AE1187">
        <v>-10016.4967</v>
      </c>
    </row>
    <row r="1188" spans="2:31" x14ac:dyDescent="0.25">
      <c r="B1188">
        <f t="shared" si="51"/>
        <v>48</v>
      </c>
      <c r="C1188">
        <v>1</v>
      </c>
      <c r="D1188">
        <v>1</v>
      </c>
      <c r="E1188">
        <v>1</v>
      </c>
      <c r="F1188">
        <v>1</v>
      </c>
      <c r="G1188">
        <v>1</v>
      </c>
      <c r="J1188">
        <f t="shared" si="52"/>
        <v>48</v>
      </c>
      <c r="K1188">
        <v>1</v>
      </c>
      <c r="L1188">
        <v>1</v>
      </c>
      <c r="M1188">
        <v>1</v>
      </c>
      <c r="N1188">
        <v>1</v>
      </c>
      <c r="O1188">
        <v>1</v>
      </c>
      <c r="R1188">
        <f t="shared" si="53"/>
        <v>48</v>
      </c>
      <c r="S1188">
        <v>1</v>
      </c>
      <c r="T1188">
        <v>1</v>
      </c>
      <c r="U1188">
        <v>1</v>
      </c>
      <c r="V1188">
        <v>1</v>
      </c>
      <c r="W1188">
        <v>1</v>
      </c>
      <c r="AA1188">
        <v>-9892.6355000000003</v>
      </c>
      <c r="AB1188">
        <v>-9892.6355000000003</v>
      </c>
      <c r="AC1188">
        <v>-9892.6355000000003</v>
      </c>
      <c r="AD1188">
        <v>-9892.6355000000003</v>
      </c>
      <c r="AE1188">
        <v>-9892.6355000000003</v>
      </c>
    </row>
    <row r="1189" spans="2:31" x14ac:dyDescent="0.25">
      <c r="B1189">
        <f t="shared" si="51"/>
        <v>49</v>
      </c>
      <c r="C1189">
        <v>1</v>
      </c>
      <c r="D1189">
        <v>1</v>
      </c>
      <c r="E1189">
        <v>1</v>
      </c>
      <c r="F1189">
        <v>1</v>
      </c>
      <c r="G1189">
        <v>1</v>
      </c>
      <c r="J1189">
        <f t="shared" si="52"/>
        <v>49</v>
      </c>
      <c r="K1189">
        <v>1</v>
      </c>
      <c r="L1189">
        <v>1</v>
      </c>
      <c r="M1189">
        <v>1</v>
      </c>
      <c r="N1189">
        <v>1</v>
      </c>
      <c r="O1189">
        <v>1</v>
      </c>
      <c r="R1189">
        <f t="shared" si="53"/>
        <v>49</v>
      </c>
      <c r="S1189">
        <v>1</v>
      </c>
      <c r="T1189">
        <v>1</v>
      </c>
      <c r="U1189">
        <v>1</v>
      </c>
      <c r="V1189">
        <v>1</v>
      </c>
      <c r="W1189">
        <v>1</v>
      </c>
      <c r="AA1189">
        <v>-9766.3366999999998</v>
      </c>
      <c r="AB1189">
        <v>-9766.3366999999998</v>
      </c>
      <c r="AC1189">
        <v>-9766.3366999999998</v>
      </c>
      <c r="AD1189">
        <v>-9766.3366999999998</v>
      </c>
      <c r="AE1189">
        <v>-9766.3366999999998</v>
      </c>
    </row>
    <row r="1190" spans="2:31" x14ac:dyDescent="0.25">
      <c r="B1190">
        <f t="shared" si="51"/>
        <v>50</v>
      </c>
      <c r="C1190">
        <v>1</v>
      </c>
      <c r="D1190">
        <v>1</v>
      </c>
      <c r="E1190">
        <v>1</v>
      </c>
      <c r="F1190">
        <v>1</v>
      </c>
      <c r="G1190">
        <v>1</v>
      </c>
      <c r="J1190">
        <f t="shared" si="52"/>
        <v>50</v>
      </c>
      <c r="K1190">
        <v>1</v>
      </c>
      <c r="L1190">
        <v>1</v>
      </c>
      <c r="M1190">
        <v>1</v>
      </c>
      <c r="N1190">
        <v>1</v>
      </c>
      <c r="O1190">
        <v>1</v>
      </c>
      <c r="R1190">
        <f t="shared" si="53"/>
        <v>50</v>
      </c>
      <c r="S1190">
        <v>1</v>
      </c>
      <c r="T1190">
        <v>1</v>
      </c>
      <c r="U1190">
        <v>1</v>
      </c>
      <c r="V1190">
        <v>1</v>
      </c>
      <c r="W1190">
        <v>1</v>
      </c>
      <c r="AA1190">
        <v>-9637.5864000000001</v>
      </c>
      <c r="AB1190">
        <v>-9637.5864000000001</v>
      </c>
      <c r="AC1190">
        <v>-9637.5864000000001</v>
      </c>
      <c r="AD1190">
        <v>-9637.5864000000001</v>
      </c>
      <c r="AE1190">
        <v>-9637.5864000000001</v>
      </c>
    </row>
    <row r="1191" spans="2:31" x14ac:dyDescent="0.25">
      <c r="B1191">
        <f t="shared" si="51"/>
        <v>51</v>
      </c>
      <c r="C1191">
        <v>1</v>
      </c>
      <c r="D1191">
        <v>1</v>
      </c>
      <c r="E1191">
        <v>1</v>
      </c>
      <c r="F1191">
        <v>1</v>
      </c>
      <c r="G1191">
        <v>1</v>
      </c>
      <c r="J1191">
        <f t="shared" si="52"/>
        <v>51</v>
      </c>
      <c r="K1191">
        <v>1</v>
      </c>
      <c r="L1191">
        <v>1</v>
      </c>
      <c r="M1191">
        <v>1</v>
      </c>
      <c r="N1191">
        <v>1</v>
      </c>
      <c r="O1191">
        <v>1</v>
      </c>
      <c r="R1191">
        <f t="shared" si="53"/>
        <v>51</v>
      </c>
      <c r="S1191">
        <v>1</v>
      </c>
      <c r="T1191">
        <v>1</v>
      </c>
      <c r="U1191">
        <v>1</v>
      </c>
      <c r="V1191">
        <v>1</v>
      </c>
      <c r="W1191">
        <v>1</v>
      </c>
      <c r="AA1191">
        <v>-9506.3734000000004</v>
      </c>
      <c r="AB1191">
        <v>-9506.3734000000004</v>
      </c>
      <c r="AC1191">
        <v>-9506.3734000000004</v>
      </c>
      <c r="AD1191">
        <v>-9506.3734000000004</v>
      </c>
      <c r="AE1191">
        <v>-9506.3734000000004</v>
      </c>
    </row>
    <row r="1192" spans="2:31" x14ac:dyDescent="0.25">
      <c r="B1192">
        <f t="shared" si="51"/>
        <v>52</v>
      </c>
      <c r="C1192">
        <v>1</v>
      </c>
      <c r="D1192">
        <v>1</v>
      </c>
      <c r="E1192">
        <v>1</v>
      </c>
      <c r="F1192">
        <v>1</v>
      </c>
      <c r="G1192">
        <v>1</v>
      </c>
      <c r="J1192">
        <f t="shared" si="52"/>
        <v>52</v>
      </c>
      <c r="K1192">
        <v>1</v>
      </c>
      <c r="L1192">
        <v>1</v>
      </c>
      <c r="M1192">
        <v>1</v>
      </c>
      <c r="N1192">
        <v>1</v>
      </c>
      <c r="O1192">
        <v>1</v>
      </c>
      <c r="R1192">
        <f t="shared" si="53"/>
        <v>52</v>
      </c>
      <c r="S1192">
        <v>1</v>
      </c>
      <c r="T1192">
        <v>1</v>
      </c>
      <c r="U1192">
        <v>1</v>
      </c>
      <c r="V1192">
        <v>1</v>
      </c>
      <c r="W1192">
        <v>1</v>
      </c>
      <c r="AA1192">
        <v>-9372.7019</v>
      </c>
      <c r="AB1192">
        <v>-9372.7019</v>
      </c>
      <c r="AC1192">
        <v>-9372.7019</v>
      </c>
      <c r="AD1192">
        <v>-9372.7019</v>
      </c>
      <c r="AE1192">
        <v>-9372.7019</v>
      </c>
    </row>
    <row r="1193" spans="2:31" x14ac:dyDescent="0.25">
      <c r="B1193">
        <f t="shared" si="51"/>
        <v>53</v>
      </c>
      <c r="C1193">
        <v>1</v>
      </c>
      <c r="D1193">
        <v>1</v>
      </c>
      <c r="E1193">
        <v>1</v>
      </c>
      <c r="F1193">
        <v>1</v>
      </c>
      <c r="G1193">
        <v>1</v>
      </c>
      <c r="J1193">
        <f t="shared" si="52"/>
        <v>53</v>
      </c>
      <c r="K1193">
        <v>1</v>
      </c>
      <c r="L1193">
        <v>1</v>
      </c>
      <c r="M1193">
        <v>1</v>
      </c>
      <c r="N1193">
        <v>1</v>
      </c>
      <c r="O1193">
        <v>1</v>
      </c>
      <c r="R1193">
        <f t="shared" si="53"/>
        <v>53</v>
      </c>
      <c r="S1193">
        <v>1</v>
      </c>
      <c r="T1193">
        <v>1</v>
      </c>
      <c r="U1193">
        <v>1</v>
      </c>
      <c r="V1193">
        <v>1</v>
      </c>
      <c r="W1193">
        <v>1</v>
      </c>
      <c r="AA1193">
        <v>-9236.6705000000002</v>
      </c>
      <c r="AB1193">
        <v>-9236.6705000000002</v>
      </c>
      <c r="AC1193">
        <v>-9236.6705000000002</v>
      </c>
      <c r="AD1193">
        <v>-9236.6705000000002</v>
      </c>
      <c r="AE1193">
        <v>-9236.6705000000002</v>
      </c>
    </row>
    <row r="1194" spans="2:31" x14ac:dyDescent="0.25">
      <c r="B1194">
        <f t="shared" si="51"/>
        <v>54</v>
      </c>
      <c r="C1194">
        <v>1</v>
      </c>
      <c r="D1194">
        <v>1</v>
      </c>
      <c r="E1194">
        <v>1</v>
      </c>
      <c r="F1194">
        <v>1</v>
      </c>
      <c r="G1194">
        <v>1</v>
      </c>
      <c r="J1194">
        <f t="shared" si="52"/>
        <v>54</v>
      </c>
      <c r="K1194">
        <v>1</v>
      </c>
      <c r="L1194">
        <v>1</v>
      </c>
      <c r="M1194">
        <v>1</v>
      </c>
      <c r="N1194">
        <v>1</v>
      </c>
      <c r="O1194">
        <v>1</v>
      </c>
      <c r="R1194">
        <f t="shared" si="53"/>
        <v>54</v>
      </c>
      <c r="S1194">
        <v>1</v>
      </c>
      <c r="T1194">
        <v>1</v>
      </c>
      <c r="U1194">
        <v>1</v>
      </c>
      <c r="V1194">
        <v>1</v>
      </c>
      <c r="W1194">
        <v>1</v>
      </c>
      <c r="AA1194">
        <v>-9098.4312000000009</v>
      </c>
      <c r="AB1194">
        <v>-9098.4312000000009</v>
      </c>
      <c r="AC1194">
        <v>-9098.4312000000009</v>
      </c>
      <c r="AD1194">
        <v>-9098.4312000000009</v>
      </c>
      <c r="AE1194">
        <v>-9098.4312000000009</v>
      </c>
    </row>
    <row r="1195" spans="2:31" x14ac:dyDescent="0.25">
      <c r="B1195">
        <f t="shared" si="51"/>
        <v>55</v>
      </c>
      <c r="C1195">
        <v>1</v>
      </c>
      <c r="D1195">
        <v>1</v>
      </c>
      <c r="E1195">
        <v>1</v>
      </c>
      <c r="F1195">
        <v>1</v>
      </c>
      <c r="G1195">
        <v>1</v>
      </c>
      <c r="J1195">
        <f t="shared" si="52"/>
        <v>55</v>
      </c>
      <c r="K1195">
        <v>1</v>
      </c>
      <c r="L1195">
        <v>1</v>
      </c>
      <c r="M1195">
        <v>1</v>
      </c>
      <c r="N1195">
        <v>1</v>
      </c>
      <c r="O1195">
        <v>1</v>
      </c>
      <c r="R1195">
        <f t="shared" si="53"/>
        <v>55</v>
      </c>
      <c r="S1195">
        <v>1</v>
      </c>
      <c r="T1195">
        <v>1</v>
      </c>
      <c r="U1195">
        <v>1</v>
      </c>
      <c r="V1195">
        <v>1</v>
      </c>
      <c r="W1195">
        <v>1</v>
      </c>
      <c r="AA1195">
        <v>-8958.0210999999999</v>
      </c>
      <c r="AB1195">
        <v>-8958.0210999999999</v>
      </c>
      <c r="AC1195">
        <v>-8958.0210999999999</v>
      </c>
      <c r="AD1195">
        <v>-8958.0210999999999</v>
      </c>
      <c r="AE1195">
        <v>-8958.0210999999999</v>
      </c>
    </row>
    <row r="1196" spans="2:31" x14ac:dyDescent="0.25">
      <c r="B1196">
        <f t="shared" si="51"/>
        <v>56</v>
      </c>
      <c r="C1196">
        <v>1</v>
      </c>
      <c r="D1196">
        <v>1</v>
      </c>
      <c r="E1196">
        <v>1</v>
      </c>
      <c r="F1196">
        <v>1</v>
      </c>
      <c r="G1196">
        <v>1</v>
      </c>
      <c r="J1196">
        <f t="shared" si="52"/>
        <v>56</v>
      </c>
      <c r="K1196">
        <v>1</v>
      </c>
      <c r="L1196">
        <v>1</v>
      </c>
      <c r="M1196">
        <v>1</v>
      </c>
      <c r="N1196">
        <v>1</v>
      </c>
      <c r="O1196">
        <v>1</v>
      </c>
      <c r="R1196">
        <f t="shared" si="53"/>
        <v>56</v>
      </c>
      <c r="S1196">
        <v>1</v>
      </c>
      <c r="T1196">
        <v>1</v>
      </c>
      <c r="U1196">
        <v>1</v>
      </c>
      <c r="V1196">
        <v>1</v>
      </c>
      <c r="W1196">
        <v>1</v>
      </c>
      <c r="AA1196">
        <v>-8815.6316999999999</v>
      </c>
      <c r="AB1196">
        <v>-8815.6316999999999</v>
      </c>
      <c r="AC1196">
        <v>-8815.6316999999999</v>
      </c>
      <c r="AD1196">
        <v>-8815.6316999999999</v>
      </c>
      <c r="AE1196">
        <v>-8815.6316999999999</v>
      </c>
    </row>
    <row r="1197" spans="2:31" x14ac:dyDescent="0.25">
      <c r="B1197">
        <f t="shared" si="51"/>
        <v>57</v>
      </c>
      <c r="C1197">
        <v>1</v>
      </c>
      <c r="D1197">
        <v>1</v>
      </c>
      <c r="E1197">
        <v>1</v>
      </c>
      <c r="F1197">
        <v>1</v>
      </c>
      <c r="G1197">
        <v>1</v>
      </c>
      <c r="J1197">
        <f t="shared" si="52"/>
        <v>57</v>
      </c>
      <c r="K1197">
        <v>1</v>
      </c>
      <c r="L1197">
        <v>1</v>
      </c>
      <c r="M1197">
        <v>1</v>
      </c>
      <c r="N1197">
        <v>1</v>
      </c>
      <c r="O1197">
        <v>1</v>
      </c>
      <c r="R1197">
        <f t="shared" si="53"/>
        <v>57</v>
      </c>
      <c r="S1197">
        <v>1</v>
      </c>
      <c r="T1197">
        <v>1</v>
      </c>
      <c r="U1197">
        <v>1</v>
      </c>
      <c r="V1197">
        <v>1</v>
      </c>
      <c r="W1197">
        <v>1</v>
      </c>
      <c r="AA1197">
        <v>-8671.3991999999998</v>
      </c>
      <c r="AB1197">
        <v>-8671.3991999999998</v>
      </c>
      <c r="AC1197">
        <v>-8671.3991999999998</v>
      </c>
      <c r="AD1197">
        <v>-8671.3991999999998</v>
      </c>
      <c r="AE1197">
        <v>-8671.3991999999998</v>
      </c>
    </row>
    <row r="1198" spans="2:31" x14ac:dyDescent="0.25">
      <c r="B1198">
        <f t="shared" si="51"/>
        <v>58</v>
      </c>
      <c r="C1198">
        <v>1</v>
      </c>
      <c r="D1198">
        <v>1</v>
      </c>
      <c r="E1198">
        <v>1</v>
      </c>
      <c r="F1198">
        <v>1</v>
      </c>
      <c r="G1198">
        <v>1</v>
      </c>
      <c r="J1198">
        <f t="shared" si="52"/>
        <v>58</v>
      </c>
      <c r="K1198">
        <v>1</v>
      </c>
      <c r="L1198">
        <v>1</v>
      </c>
      <c r="M1198">
        <v>1</v>
      </c>
      <c r="N1198">
        <v>1</v>
      </c>
      <c r="O1198">
        <v>1</v>
      </c>
      <c r="R1198">
        <f t="shared" si="53"/>
        <v>58</v>
      </c>
      <c r="S1198">
        <v>1</v>
      </c>
      <c r="T1198">
        <v>1</v>
      </c>
      <c r="U1198">
        <v>1</v>
      </c>
      <c r="V1198">
        <v>1</v>
      </c>
      <c r="W1198">
        <v>1</v>
      </c>
      <c r="AA1198">
        <v>-8525.2759999999998</v>
      </c>
      <c r="AB1198">
        <v>-8525.2759999999998</v>
      </c>
      <c r="AC1198">
        <v>-8525.2759999999998</v>
      </c>
      <c r="AD1198">
        <v>-8525.2759999999998</v>
      </c>
      <c r="AE1198">
        <v>-8525.2759999999998</v>
      </c>
    </row>
    <row r="1199" spans="2:31" x14ac:dyDescent="0.25">
      <c r="B1199">
        <f t="shared" si="51"/>
        <v>59</v>
      </c>
      <c r="C1199">
        <v>1</v>
      </c>
      <c r="D1199">
        <v>1</v>
      </c>
      <c r="E1199">
        <v>1</v>
      </c>
      <c r="F1199">
        <v>1</v>
      </c>
      <c r="G1199">
        <v>1</v>
      </c>
      <c r="J1199">
        <f t="shared" si="52"/>
        <v>59</v>
      </c>
      <c r="K1199">
        <v>1</v>
      </c>
      <c r="L1199">
        <v>1</v>
      </c>
      <c r="M1199">
        <v>1</v>
      </c>
      <c r="N1199">
        <v>1</v>
      </c>
      <c r="O1199">
        <v>1</v>
      </c>
      <c r="R1199">
        <f t="shared" si="53"/>
        <v>59</v>
      </c>
      <c r="S1199">
        <v>1</v>
      </c>
      <c r="T1199">
        <v>1</v>
      </c>
      <c r="U1199">
        <v>1</v>
      </c>
      <c r="V1199">
        <v>1</v>
      </c>
      <c r="W1199">
        <v>1</v>
      </c>
      <c r="AA1199">
        <v>-8377.2351999999992</v>
      </c>
      <c r="AB1199">
        <v>-8377.2351999999992</v>
      </c>
      <c r="AC1199">
        <v>-8377.2351999999992</v>
      </c>
      <c r="AD1199">
        <v>-8377.2351999999992</v>
      </c>
      <c r="AE1199">
        <v>-8377.2351999999992</v>
      </c>
    </row>
    <row r="1200" spans="2:31" x14ac:dyDescent="0.25">
      <c r="B1200">
        <f t="shared" si="51"/>
        <v>60</v>
      </c>
      <c r="C1200">
        <v>1</v>
      </c>
      <c r="D1200">
        <v>1</v>
      </c>
      <c r="E1200">
        <v>1</v>
      </c>
      <c r="F1200">
        <v>1</v>
      </c>
      <c r="G1200">
        <v>1</v>
      </c>
      <c r="J1200">
        <f t="shared" si="52"/>
        <v>60</v>
      </c>
      <c r="K1200">
        <v>1</v>
      </c>
      <c r="L1200">
        <v>1</v>
      </c>
      <c r="M1200">
        <v>1</v>
      </c>
      <c r="N1200">
        <v>1</v>
      </c>
      <c r="O1200">
        <v>1</v>
      </c>
      <c r="R1200">
        <f t="shared" si="53"/>
        <v>60</v>
      </c>
      <c r="S1200">
        <v>1</v>
      </c>
      <c r="T1200">
        <v>1</v>
      </c>
      <c r="U1200">
        <v>1</v>
      </c>
      <c r="V1200">
        <v>1</v>
      </c>
      <c r="W1200">
        <v>1</v>
      </c>
      <c r="AA1200">
        <v>-8227.3953999999994</v>
      </c>
      <c r="AB1200">
        <v>-8227.3953999999994</v>
      </c>
      <c r="AC1200">
        <v>-8227.3953999999994</v>
      </c>
      <c r="AD1200">
        <v>-8227.3953999999994</v>
      </c>
      <c r="AE1200">
        <v>-8227.3953999999994</v>
      </c>
    </row>
    <row r="1201" spans="2:32" x14ac:dyDescent="0.25">
      <c r="B1201">
        <f t="shared" si="51"/>
        <v>61</v>
      </c>
      <c r="C1201">
        <v>1</v>
      </c>
      <c r="D1201">
        <v>1</v>
      </c>
      <c r="E1201">
        <v>1</v>
      </c>
      <c r="F1201">
        <v>1</v>
      </c>
      <c r="G1201">
        <v>1</v>
      </c>
      <c r="J1201">
        <f t="shared" si="52"/>
        <v>61</v>
      </c>
      <c r="K1201">
        <v>1</v>
      </c>
      <c r="L1201">
        <v>1</v>
      </c>
      <c r="M1201">
        <v>1</v>
      </c>
      <c r="N1201">
        <v>1</v>
      </c>
      <c r="O1201">
        <v>1</v>
      </c>
      <c r="R1201">
        <f t="shared" si="53"/>
        <v>61</v>
      </c>
      <c r="S1201">
        <v>1</v>
      </c>
      <c r="T1201">
        <v>1</v>
      </c>
      <c r="U1201">
        <v>1</v>
      </c>
      <c r="V1201">
        <v>1</v>
      </c>
      <c r="W1201">
        <v>1</v>
      </c>
      <c r="AA1201">
        <v>-8076.1778999999997</v>
      </c>
      <c r="AB1201">
        <v>-8076.1778999999997</v>
      </c>
      <c r="AC1201">
        <v>-8076.1778999999997</v>
      </c>
      <c r="AD1201">
        <v>-8076.1778999999997</v>
      </c>
      <c r="AE1201">
        <v>-8076.1778999999997</v>
      </c>
    </row>
    <row r="1202" spans="2:32" x14ac:dyDescent="0.25">
      <c r="B1202">
        <f t="shared" si="51"/>
        <v>62</v>
      </c>
      <c r="C1202">
        <v>1</v>
      </c>
      <c r="D1202">
        <v>1</v>
      </c>
      <c r="E1202">
        <v>1</v>
      </c>
      <c r="F1202">
        <v>1</v>
      </c>
      <c r="G1202">
        <v>1</v>
      </c>
      <c r="J1202">
        <f t="shared" si="52"/>
        <v>62</v>
      </c>
      <c r="K1202">
        <v>1</v>
      </c>
      <c r="L1202">
        <v>1</v>
      </c>
      <c r="M1202">
        <v>1</v>
      </c>
      <c r="N1202">
        <v>1</v>
      </c>
      <c r="O1202">
        <v>1</v>
      </c>
      <c r="R1202">
        <f t="shared" si="53"/>
        <v>62</v>
      </c>
      <c r="S1202">
        <v>1</v>
      </c>
      <c r="T1202">
        <v>1</v>
      </c>
      <c r="U1202">
        <v>1</v>
      </c>
      <c r="V1202">
        <v>1</v>
      </c>
      <c r="W1202">
        <v>1</v>
      </c>
      <c r="AA1202">
        <v>-7923.5816000000004</v>
      </c>
      <c r="AB1202">
        <v>-7923.5816000000004</v>
      </c>
      <c r="AC1202">
        <v>-7923.5816000000004</v>
      </c>
      <c r="AD1202">
        <v>-7923.5816000000004</v>
      </c>
      <c r="AE1202">
        <v>-7923.5816000000004</v>
      </c>
    </row>
    <row r="1203" spans="2:32" x14ac:dyDescent="0.25">
      <c r="B1203">
        <f t="shared" si="51"/>
        <v>63</v>
      </c>
      <c r="C1203">
        <v>1</v>
      </c>
      <c r="D1203">
        <v>1</v>
      </c>
      <c r="E1203">
        <v>1</v>
      </c>
      <c r="F1203">
        <v>1</v>
      </c>
      <c r="G1203">
        <v>1</v>
      </c>
      <c r="J1203">
        <f t="shared" si="52"/>
        <v>63</v>
      </c>
      <c r="K1203">
        <v>1</v>
      </c>
      <c r="L1203">
        <v>1</v>
      </c>
      <c r="M1203">
        <v>1</v>
      </c>
      <c r="N1203">
        <v>1</v>
      </c>
      <c r="O1203">
        <v>1</v>
      </c>
      <c r="R1203">
        <f t="shared" si="53"/>
        <v>63</v>
      </c>
      <c r="S1203">
        <v>1</v>
      </c>
      <c r="T1203">
        <v>1</v>
      </c>
      <c r="U1203">
        <v>1</v>
      </c>
      <c r="V1203">
        <v>1</v>
      </c>
      <c r="W1203">
        <v>1</v>
      </c>
      <c r="AA1203">
        <v>-7769.2775000000001</v>
      </c>
      <c r="AB1203">
        <v>-7769.2775000000001</v>
      </c>
      <c r="AC1203">
        <v>-7769.2775000000001</v>
      </c>
      <c r="AD1203">
        <v>-7769.2775000000001</v>
      </c>
      <c r="AE1203">
        <v>-7769.2775000000001</v>
      </c>
    </row>
    <row r="1204" spans="2:32" x14ac:dyDescent="0.25">
      <c r="B1204">
        <f t="shared" si="51"/>
        <v>64</v>
      </c>
      <c r="C1204">
        <v>1</v>
      </c>
      <c r="D1204">
        <v>1</v>
      </c>
      <c r="E1204">
        <v>1</v>
      </c>
      <c r="F1204">
        <v>1</v>
      </c>
      <c r="G1204">
        <v>1</v>
      </c>
      <c r="J1204">
        <f t="shared" si="52"/>
        <v>64</v>
      </c>
      <c r="K1204">
        <v>1</v>
      </c>
      <c r="L1204">
        <v>1</v>
      </c>
      <c r="M1204">
        <v>1</v>
      </c>
      <c r="N1204">
        <v>1</v>
      </c>
      <c r="O1204">
        <v>1</v>
      </c>
      <c r="R1204">
        <f t="shared" si="53"/>
        <v>64</v>
      </c>
      <c r="S1204">
        <v>1</v>
      </c>
      <c r="T1204">
        <v>1</v>
      </c>
      <c r="U1204">
        <v>1</v>
      </c>
      <c r="V1204">
        <v>1</v>
      </c>
      <c r="W1204">
        <v>1</v>
      </c>
      <c r="AA1204">
        <v>-7613.3999000000003</v>
      </c>
      <c r="AB1204">
        <v>-7613.3999000000003</v>
      </c>
      <c r="AC1204">
        <v>-7613.3999000000003</v>
      </c>
      <c r="AD1204">
        <v>-7613.3999000000003</v>
      </c>
      <c r="AE1204">
        <v>-7613.3999000000003</v>
      </c>
    </row>
    <row r="1205" spans="2:32" x14ac:dyDescent="0.25">
      <c r="B1205">
        <f t="shared" si="51"/>
        <v>65</v>
      </c>
      <c r="C1205">
        <v>1</v>
      </c>
      <c r="D1205">
        <v>1</v>
      </c>
      <c r="E1205">
        <v>1</v>
      </c>
      <c r="F1205">
        <v>1</v>
      </c>
      <c r="G1205">
        <v>1</v>
      </c>
      <c r="J1205">
        <f t="shared" si="52"/>
        <v>65</v>
      </c>
      <c r="K1205">
        <v>1</v>
      </c>
      <c r="L1205">
        <v>1</v>
      </c>
      <c r="M1205">
        <v>1</v>
      </c>
      <c r="N1205">
        <v>1</v>
      </c>
      <c r="O1205">
        <v>1</v>
      </c>
      <c r="R1205">
        <f t="shared" si="53"/>
        <v>65</v>
      </c>
      <c r="S1205">
        <v>1</v>
      </c>
      <c r="T1205">
        <v>1</v>
      </c>
      <c r="U1205">
        <v>1</v>
      </c>
      <c r="V1205">
        <v>1</v>
      </c>
      <c r="W1205">
        <v>1</v>
      </c>
      <c r="AA1205">
        <v>-7455.8590000000004</v>
      </c>
      <c r="AB1205">
        <v>-7455.8590000000004</v>
      </c>
      <c r="AC1205">
        <v>-7455.8590000000004</v>
      </c>
      <c r="AD1205">
        <v>-7455.8590000000004</v>
      </c>
      <c r="AE1205">
        <v>-7455.8590000000004</v>
      </c>
    </row>
    <row r="1208" spans="2:32" x14ac:dyDescent="0.25">
      <c r="B1208" t="s">
        <v>46</v>
      </c>
      <c r="C1208">
        <v>50000</v>
      </c>
      <c r="D1208">
        <v>100000</v>
      </c>
      <c r="E1208">
        <v>250000</v>
      </c>
      <c r="F1208">
        <v>500000</v>
      </c>
      <c r="G1208">
        <v>1000000</v>
      </c>
      <c r="H1208">
        <v>2000000</v>
      </c>
      <c r="J1208" t="s">
        <v>47</v>
      </c>
      <c r="K1208">
        <v>50000</v>
      </c>
      <c r="L1208">
        <v>100000</v>
      </c>
      <c r="M1208">
        <v>250000</v>
      </c>
      <c r="N1208">
        <v>500000</v>
      </c>
      <c r="O1208">
        <v>1000000</v>
      </c>
      <c r="P1208">
        <v>2000000</v>
      </c>
      <c r="R1208" t="s">
        <v>48</v>
      </c>
      <c r="S1208">
        <v>50000</v>
      </c>
      <c r="T1208">
        <v>100000</v>
      </c>
      <c r="U1208">
        <v>250000</v>
      </c>
      <c r="V1208">
        <v>500000</v>
      </c>
      <c r="W1208">
        <v>1000000</v>
      </c>
      <c r="X1208">
        <v>2000000</v>
      </c>
    </row>
    <row r="1209" spans="2:32" x14ac:dyDescent="0.25">
      <c r="B1209">
        <v>26</v>
      </c>
      <c r="C1209">
        <v>1</v>
      </c>
      <c r="D1209">
        <v>1</v>
      </c>
      <c r="E1209">
        <v>1</v>
      </c>
      <c r="F1209">
        <v>1</v>
      </c>
      <c r="G1209">
        <v>1</v>
      </c>
      <c r="H1209">
        <v>1</v>
      </c>
      <c r="J1209">
        <v>26</v>
      </c>
      <c r="K1209">
        <v>1</v>
      </c>
      <c r="L1209">
        <v>1</v>
      </c>
      <c r="M1209">
        <v>1</v>
      </c>
      <c r="N1209">
        <v>1</v>
      </c>
      <c r="O1209">
        <v>1</v>
      </c>
      <c r="P1209">
        <v>1</v>
      </c>
      <c r="R1209">
        <v>26</v>
      </c>
      <c r="S1209">
        <v>1</v>
      </c>
      <c r="T1209">
        <v>1</v>
      </c>
      <c r="U1209">
        <v>1</v>
      </c>
      <c r="V1209">
        <v>1</v>
      </c>
      <c r="W1209">
        <v>1</v>
      </c>
      <c r="X1209">
        <v>1</v>
      </c>
      <c r="AA1209">
        <v>-7435.5060999999996</v>
      </c>
      <c r="AB1209">
        <v>-7435.5060999999996</v>
      </c>
      <c r="AC1209">
        <v>-7435.5060999999996</v>
      </c>
      <c r="AD1209">
        <v>-7435.5060999999996</v>
      </c>
      <c r="AE1209">
        <v>-7435.5060999999996</v>
      </c>
      <c r="AF1209">
        <v>-7435.5060999999996</v>
      </c>
    </row>
    <row r="1210" spans="2:32" x14ac:dyDescent="0.25">
      <c r="B1210">
        <v>27</v>
      </c>
      <c r="C1210">
        <v>1</v>
      </c>
      <c r="D1210">
        <v>1</v>
      </c>
      <c r="E1210">
        <v>1</v>
      </c>
      <c r="F1210">
        <v>1</v>
      </c>
      <c r="G1210">
        <v>1</v>
      </c>
      <c r="H1210">
        <v>1</v>
      </c>
      <c r="J1210">
        <v>27</v>
      </c>
      <c r="K1210">
        <v>1</v>
      </c>
      <c r="L1210">
        <v>1</v>
      </c>
      <c r="M1210">
        <v>1</v>
      </c>
      <c r="N1210">
        <v>1</v>
      </c>
      <c r="O1210">
        <v>1</v>
      </c>
      <c r="P1210">
        <v>1</v>
      </c>
      <c r="R1210">
        <v>27</v>
      </c>
      <c r="S1210">
        <v>1</v>
      </c>
      <c r="T1210">
        <v>1</v>
      </c>
      <c r="U1210">
        <v>1</v>
      </c>
      <c r="V1210">
        <v>1</v>
      </c>
      <c r="W1210">
        <v>1</v>
      </c>
      <c r="X1210">
        <v>1</v>
      </c>
      <c r="AA1210">
        <v>-7434.2619000000004</v>
      </c>
      <c r="AB1210">
        <v>-7434.2619000000004</v>
      </c>
      <c r="AC1210">
        <v>-7434.2619000000004</v>
      </c>
      <c r="AD1210">
        <v>-7434.2619000000004</v>
      </c>
      <c r="AE1210">
        <v>-7434.2619000000004</v>
      </c>
      <c r="AF1210">
        <v>-7434.2619000000004</v>
      </c>
    </row>
    <row r="1211" spans="2:32" x14ac:dyDescent="0.25">
      <c r="B1211">
        <v>28</v>
      </c>
      <c r="C1211">
        <v>1</v>
      </c>
      <c r="D1211">
        <v>1</v>
      </c>
      <c r="E1211">
        <v>1</v>
      </c>
      <c r="F1211">
        <v>1</v>
      </c>
      <c r="G1211">
        <v>1</v>
      </c>
      <c r="H1211">
        <v>1</v>
      </c>
      <c r="J1211">
        <v>28</v>
      </c>
      <c r="K1211">
        <v>1</v>
      </c>
      <c r="L1211">
        <v>1</v>
      </c>
      <c r="M1211">
        <v>1</v>
      </c>
      <c r="N1211">
        <v>1</v>
      </c>
      <c r="O1211">
        <v>1</v>
      </c>
      <c r="P1211">
        <v>1</v>
      </c>
      <c r="R1211">
        <v>28</v>
      </c>
      <c r="S1211">
        <v>1</v>
      </c>
      <c r="T1211">
        <v>1</v>
      </c>
      <c r="U1211">
        <v>1</v>
      </c>
      <c r="V1211">
        <v>1</v>
      </c>
      <c r="W1211">
        <v>1</v>
      </c>
      <c r="X1211">
        <v>1</v>
      </c>
      <c r="AA1211">
        <v>-7432.8334999999997</v>
      </c>
      <c r="AB1211">
        <v>-7432.8334999999997</v>
      </c>
      <c r="AC1211">
        <v>-7432.8334999999997</v>
      </c>
      <c r="AD1211">
        <v>-7432.8334999999997</v>
      </c>
      <c r="AE1211">
        <v>-7432.8334999999997</v>
      </c>
      <c r="AF1211">
        <v>-7432.8334999999997</v>
      </c>
    </row>
    <row r="1212" spans="2:32" x14ac:dyDescent="0.25">
      <c r="B1212">
        <v>29</v>
      </c>
      <c r="C1212">
        <v>1</v>
      </c>
      <c r="D1212">
        <v>1</v>
      </c>
      <c r="E1212">
        <v>1</v>
      </c>
      <c r="F1212">
        <v>1</v>
      </c>
      <c r="G1212">
        <v>1</v>
      </c>
      <c r="H1212">
        <v>1</v>
      </c>
      <c r="J1212">
        <v>29</v>
      </c>
      <c r="K1212">
        <v>1</v>
      </c>
      <c r="L1212">
        <v>1</v>
      </c>
      <c r="M1212">
        <v>1</v>
      </c>
      <c r="N1212">
        <v>1</v>
      </c>
      <c r="O1212">
        <v>1</v>
      </c>
      <c r="P1212">
        <v>1</v>
      </c>
      <c r="R1212">
        <v>29</v>
      </c>
      <c r="S1212">
        <v>1</v>
      </c>
      <c r="T1212">
        <v>1</v>
      </c>
      <c r="U1212">
        <v>1</v>
      </c>
      <c r="V1212">
        <v>1</v>
      </c>
      <c r="W1212">
        <v>1</v>
      </c>
      <c r="X1212">
        <v>1</v>
      </c>
      <c r="AA1212">
        <v>-7431.2058999999999</v>
      </c>
      <c r="AB1212">
        <v>-7431.2058999999999</v>
      </c>
      <c r="AC1212">
        <v>-7431.2058999999999</v>
      </c>
      <c r="AD1212">
        <v>-7431.2058999999999</v>
      </c>
      <c r="AE1212">
        <v>-7431.2058999999999</v>
      </c>
      <c r="AF1212">
        <v>-7431.2058999999999</v>
      </c>
    </row>
    <row r="1213" spans="2:32" x14ac:dyDescent="0.25">
      <c r="B1213">
        <v>30</v>
      </c>
      <c r="C1213">
        <v>1</v>
      </c>
      <c r="D1213">
        <v>1</v>
      </c>
      <c r="E1213">
        <v>1</v>
      </c>
      <c r="F1213">
        <v>1</v>
      </c>
      <c r="G1213">
        <v>1</v>
      </c>
      <c r="H1213">
        <v>1</v>
      </c>
      <c r="J1213">
        <v>30</v>
      </c>
      <c r="K1213">
        <v>1</v>
      </c>
      <c r="L1213">
        <v>1</v>
      </c>
      <c r="M1213">
        <v>1</v>
      </c>
      <c r="N1213">
        <v>1</v>
      </c>
      <c r="O1213">
        <v>1</v>
      </c>
      <c r="P1213">
        <v>1</v>
      </c>
      <c r="R1213">
        <v>30</v>
      </c>
      <c r="S1213">
        <v>1</v>
      </c>
      <c r="T1213">
        <v>1</v>
      </c>
      <c r="U1213">
        <v>1</v>
      </c>
      <c r="V1213">
        <v>1</v>
      </c>
      <c r="W1213">
        <v>1</v>
      </c>
      <c r="X1213">
        <v>1</v>
      </c>
      <c r="AA1213">
        <v>-7429.3476000000001</v>
      </c>
      <c r="AB1213">
        <v>-7429.3476000000001</v>
      </c>
      <c r="AC1213">
        <v>-7429.3476000000001</v>
      </c>
      <c r="AD1213">
        <v>-7429.3476000000001</v>
      </c>
      <c r="AE1213">
        <v>-7429.3476000000001</v>
      </c>
      <c r="AF1213">
        <v>-7429.3476000000001</v>
      </c>
    </row>
    <row r="1214" spans="2:32" x14ac:dyDescent="0.25">
      <c r="B1214">
        <v>31</v>
      </c>
      <c r="C1214">
        <v>1</v>
      </c>
      <c r="D1214">
        <v>1</v>
      </c>
      <c r="E1214">
        <v>1</v>
      </c>
      <c r="F1214">
        <v>1</v>
      </c>
      <c r="G1214">
        <v>1</v>
      </c>
      <c r="H1214">
        <v>1</v>
      </c>
      <c r="J1214">
        <v>31</v>
      </c>
      <c r="K1214">
        <v>1</v>
      </c>
      <c r="L1214">
        <v>1</v>
      </c>
      <c r="M1214">
        <v>1</v>
      </c>
      <c r="N1214">
        <v>1</v>
      </c>
      <c r="O1214">
        <v>1</v>
      </c>
      <c r="P1214">
        <v>1</v>
      </c>
      <c r="R1214">
        <v>31</v>
      </c>
      <c r="S1214">
        <v>1</v>
      </c>
      <c r="T1214">
        <v>1</v>
      </c>
      <c r="U1214">
        <v>1</v>
      </c>
      <c r="V1214">
        <v>1</v>
      </c>
      <c r="W1214">
        <v>1</v>
      </c>
      <c r="X1214">
        <v>1</v>
      </c>
      <c r="AA1214">
        <v>-7427.2446</v>
      </c>
      <c r="AB1214">
        <v>-7427.2446</v>
      </c>
      <c r="AC1214">
        <v>-7427.2446</v>
      </c>
      <c r="AD1214">
        <v>-7427.2446</v>
      </c>
      <c r="AE1214">
        <v>-7427.2446</v>
      </c>
      <c r="AF1214">
        <v>-7427.2446</v>
      </c>
    </row>
    <row r="1215" spans="2:32" x14ac:dyDescent="0.25">
      <c r="B1215">
        <v>32</v>
      </c>
      <c r="C1215">
        <v>1</v>
      </c>
      <c r="D1215">
        <v>1</v>
      </c>
      <c r="E1215">
        <v>1</v>
      </c>
      <c r="F1215">
        <v>1</v>
      </c>
      <c r="G1215">
        <v>1</v>
      </c>
      <c r="H1215">
        <v>1</v>
      </c>
      <c r="J1215">
        <v>32</v>
      </c>
      <c r="K1215">
        <v>1</v>
      </c>
      <c r="L1215">
        <v>1</v>
      </c>
      <c r="M1215">
        <v>1</v>
      </c>
      <c r="N1215">
        <v>1</v>
      </c>
      <c r="O1215">
        <v>1</v>
      </c>
      <c r="P1215">
        <v>1</v>
      </c>
      <c r="R1215">
        <v>32</v>
      </c>
      <c r="S1215">
        <v>1</v>
      </c>
      <c r="T1215">
        <v>1</v>
      </c>
      <c r="U1215">
        <v>1</v>
      </c>
      <c r="V1215">
        <v>1</v>
      </c>
      <c r="W1215">
        <v>1</v>
      </c>
      <c r="X1215">
        <v>1</v>
      </c>
      <c r="AA1215">
        <v>-7424.8944000000001</v>
      </c>
      <c r="AB1215">
        <v>-7424.8944000000001</v>
      </c>
      <c r="AC1215">
        <v>-7424.8944000000001</v>
      </c>
      <c r="AD1215">
        <v>-7424.8944000000001</v>
      </c>
      <c r="AE1215">
        <v>-7424.8944000000001</v>
      </c>
      <c r="AF1215">
        <v>-7424.8944000000001</v>
      </c>
    </row>
    <row r="1216" spans="2:32" x14ac:dyDescent="0.25">
      <c r="B1216">
        <v>33</v>
      </c>
      <c r="C1216">
        <v>1</v>
      </c>
      <c r="D1216">
        <v>1</v>
      </c>
      <c r="E1216">
        <v>1</v>
      </c>
      <c r="F1216">
        <v>1</v>
      </c>
      <c r="G1216">
        <v>1</v>
      </c>
      <c r="H1216">
        <v>1</v>
      </c>
      <c r="J1216">
        <v>33</v>
      </c>
      <c r="K1216">
        <v>1</v>
      </c>
      <c r="L1216">
        <v>1</v>
      </c>
      <c r="M1216">
        <v>1</v>
      </c>
      <c r="N1216">
        <v>1</v>
      </c>
      <c r="O1216">
        <v>1</v>
      </c>
      <c r="P1216">
        <v>1</v>
      </c>
      <c r="R1216">
        <v>33</v>
      </c>
      <c r="S1216">
        <v>1</v>
      </c>
      <c r="T1216">
        <v>1</v>
      </c>
      <c r="U1216">
        <v>1</v>
      </c>
      <c r="V1216">
        <v>1</v>
      </c>
      <c r="W1216">
        <v>1</v>
      </c>
      <c r="X1216">
        <v>1</v>
      </c>
      <c r="AA1216">
        <v>-7422.2834000000003</v>
      </c>
      <c r="AB1216">
        <v>-7422.2834000000003</v>
      </c>
      <c r="AC1216">
        <v>-7422.2834000000003</v>
      </c>
      <c r="AD1216">
        <v>-7422.2834000000003</v>
      </c>
      <c r="AE1216">
        <v>-7422.2834000000003</v>
      </c>
      <c r="AF1216">
        <v>-7422.2834000000003</v>
      </c>
    </row>
    <row r="1217" spans="2:32" x14ac:dyDescent="0.25">
      <c r="B1217">
        <v>34</v>
      </c>
      <c r="C1217">
        <v>1</v>
      </c>
      <c r="D1217">
        <v>1</v>
      </c>
      <c r="E1217">
        <v>1</v>
      </c>
      <c r="F1217">
        <v>1</v>
      </c>
      <c r="G1217">
        <v>1</v>
      </c>
      <c r="H1217">
        <v>1</v>
      </c>
      <c r="J1217">
        <v>34</v>
      </c>
      <c r="K1217">
        <v>1</v>
      </c>
      <c r="L1217">
        <v>1</v>
      </c>
      <c r="M1217">
        <v>1</v>
      </c>
      <c r="N1217">
        <v>1</v>
      </c>
      <c r="O1217">
        <v>1</v>
      </c>
      <c r="P1217">
        <v>1</v>
      </c>
      <c r="R1217">
        <v>34</v>
      </c>
      <c r="S1217">
        <v>1</v>
      </c>
      <c r="T1217">
        <v>1</v>
      </c>
      <c r="U1217">
        <v>1</v>
      </c>
      <c r="V1217">
        <v>1</v>
      </c>
      <c r="W1217">
        <v>1</v>
      </c>
      <c r="X1217">
        <v>1</v>
      </c>
      <c r="AA1217">
        <v>-7419.3683000000001</v>
      </c>
      <c r="AB1217">
        <v>-7419.3683000000001</v>
      </c>
      <c r="AC1217">
        <v>-7419.3683000000001</v>
      </c>
      <c r="AD1217">
        <v>-7419.3683000000001</v>
      </c>
      <c r="AE1217">
        <v>-7419.3683000000001</v>
      </c>
      <c r="AF1217">
        <v>-7419.3683000000001</v>
      </c>
    </row>
    <row r="1218" spans="2:32" x14ac:dyDescent="0.25">
      <c r="B1218">
        <v>35</v>
      </c>
      <c r="C1218">
        <v>1</v>
      </c>
      <c r="D1218">
        <v>1</v>
      </c>
      <c r="E1218">
        <v>1</v>
      </c>
      <c r="F1218">
        <v>1</v>
      </c>
      <c r="G1218">
        <v>1</v>
      </c>
      <c r="H1218">
        <v>1</v>
      </c>
      <c r="J1218">
        <v>35</v>
      </c>
      <c r="K1218">
        <v>1</v>
      </c>
      <c r="L1218">
        <v>1</v>
      </c>
      <c r="M1218">
        <v>1</v>
      </c>
      <c r="N1218">
        <v>1</v>
      </c>
      <c r="O1218">
        <v>1</v>
      </c>
      <c r="P1218">
        <v>1</v>
      </c>
      <c r="R1218">
        <v>35</v>
      </c>
      <c r="S1218">
        <v>1</v>
      </c>
      <c r="T1218">
        <v>1</v>
      </c>
      <c r="U1218">
        <v>1</v>
      </c>
      <c r="V1218">
        <v>1</v>
      </c>
      <c r="W1218">
        <v>1</v>
      </c>
      <c r="X1218">
        <v>1</v>
      </c>
      <c r="AA1218">
        <v>-7416.1363000000001</v>
      </c>
      <c r="AB1218">
        <v>-7416.1363000000001</v>
      </c>
      <c r="AC1218">
        <v>-7416.1363000000001</v>
      </c>
      <c r="AD1218">
        <v>-7416.1363000000001</v>
      </c>
      <c r="AE1218">
        <v>-7416.1363000000001</v>
      </c>
      <c r="AF1218">
        <v>-7416.1363000000001</v>
      </c>
    </row>
    <row r="1219" spans="2:32" x14ac:dyDescent="0.25">
      <c r="B1219">
        <v>36</v>
      </c>
      <c r="C1219">
        <v>1</v>
      </c>
      <c r="D1219">
        <v>1</v>
      </c>
      <c r="E1219">
        <v>1</v>
      </c>
      <c r="F1219">
        <v>1</v>
      </c>
      <c r="G1219">
        <v>1</v>
      </c>
      <c r="H1219">
        <v>1</v>
      </c>
      <c r="J1219">
        <v>36</v>
      </c>
      <c r="K1219">
        <v>1</v>
      </c>
      <c r="L1219">
        <v>1</v>
      </c>
      <c r="M1219">
        <v>1</v>
      </c>
      <c r="N1219">
        <v>1</v>
      </c>
      <c r="O1219">
        <v>1</v>
      </c>
      <c r="P1219">
        <v>1</v>
      </c>
      <c r="R1219">
        <v>36</v>
      </c>
      <c r="S1219">
        <v>1</v>
      </c>
      <c r="T1219">
        <v>1</v>
      </c>
      <c r="U1219">
        <v>1</v>
      </c>
      <c r="V1219">
        <v>1</v>
      </c>
      <c r="W1219">
        <v>1</v>
      </c>
      <c r="X1219">
        <v>1</v>
      </c>
      <c r="AA1219">
        <v>-7412.5378000000001</v>
      </c>
      <c r="AB1219">
        <v>-7412.5378000000001</v>
      </c>
      <c r="AC1219">
        <v>-7412.5378000000001</v>
      </c>
      <c r="AD1219">
        <v>-7412.5378000000001</v>
      </c>
      <c r="AE1219">
        <v>-7412.5378000000001</v>
      </c>
      <c r="AF1219">
        <v>-7412.5378000000001</v>
      </c>
    </row>
    <row r="1220" spans="2:32" x14ac:dyDescent="0.25">
      <c r="B1220">
        <v>37</v>
      </c>
      <c r="C1220">
        <v>1</v>
      </c>
      <c r="D1220">
        <v>1</v>
      </c>
      <c r="E1220">
        <v>1</v>
      </c>
      <c r="F1220">
        <v>1</v>
      </c>
      <c r="G1220">
        <v>1</v>
      </c>
      <c r="H1220">
        <v>1</v>
      </c>
      <c r="J1220">
        <v>37</v>
      </c>
      <c r="K1220">
        <v>1</v>
      </c>
      <c r="L1220">
        <v>1</v>
      </c>
      <c r="M1220">
        <v>1</v>
      </c>
      <c r="N1220">
        <v>1</v>
      </c>
      <c r="O1220">
        <v>1</v>
      </c>
      <c r="P1220">
        <v>1</v>
      </c>
      <c r="R1220">
        <v>37</v>
      </c>
      <c r="S1220">
        <v>1</v>
      </c>
      <c r="T1220">
        <v>1</v>
      </c>
      <c r="U1220">
        <v>1</v>
      </c>
      <c r="V1220">
        <v>1</v>
      </c>
      <c r="W1220">
        <v>1</v>
      </c>
      <c r="X1220">
        <v>1</v>
      </c>
      <c r="AA1220">
        <v>-7408.55</v>
      </c>
      <c r="AB1220">
        <v>-7408.55</v>
      </c>
      <c r="AC1220">
        <v>-7408.55</v>
      </c>
      <c r="AD1220">
        <v>-7408.55</v>
      </c>
      <c r="AE1220">
        <v>-7408.55</v>
      </c>
      <c r="AF1220">
        <v>-7408.55</v>
      </c>
    </row>
    <row r="1221" spans="2:32" x14ac:dyDescent="0.25">
      <c r="B1221">
        <v>38</v>
      </c>
      <c r="C1221">
        <v>1</v>
      </c>
      <c r="D1221">
        <v>1</v>
      </c>
      <c r="E1221">
        <v>1</v>
      </c>
      <c r="F1221">
        <v>1</v>
      </c>
      <c r="G1221">
        <v>1</v>
      </c>
      <c r="H1221">
        <v>1</v>
      </c>
      <c r="J1221">
        <v>38</v>
      </c>
      <c r="K1221">
        <v>1</v>
      </c>
      <c r="L1221">
        <v>1</v>
      </c>
      <c r="M1221">
        <v>1</v>
      </c>
      <c r="N1221">
        <v>1</v>
      </c>
      <c r="O1221">
        <v>1</v>
      </c>
      <c r="P1221">
        <v>1</v>
      </c>
      <c r="R1221">
        <v>38</v>
      </c>
      <c r="S1221">
        <v>1</v>
      </c>
      <c r="T1221">
        <v>1</v>
      </c>
      <c r="U1221">
        <v>1</v>
      </c>
      <c r="V1221">
        <v>1</v>
      </c>
      <c r="W1221">
        <v>1</v>
      </c>
      <c r="X1221">
        <v>1</v>
      </c>
      <c r="AA1221">
        <v>-7404.1752999999999</v>
      </c>
      <c r="AB1221">
        <v>-7404.1752999999999</v>
      </c>
      <c r="AC1221">
        <v>-7404.1752999999999</v>
      </c>
      <c r="AD1221">
        <v>-7404.1752999999999</v>
      </c>
      <c r="AE1221">
        <v>-7404.1752999999999</v>
      </c>
      <c r="AF1221">
        <v>-7404.1752999999999</v>
      </c>
    </row>
    <row r="1222" spans="2:32" x14ac:dyDescent="0.25">
      <c r="B1222">
        <v>39</v>
      </c>
      <c r="C1222">
        <v>1</v>
      </c>
      <c r="D1222">
        <v>1</v>
      </c>
      <c r="E1222">
        <v>1</v>
      </c>
      <c r="F1222">
        <v>1</v>
      </c>
      <c r="G1222">
        <v>1</v>
      </c>
      <c r="H1222">
        <v>1</v>
      </c>
      <c r="J1222">
        <v>39</v>
      </c>
      <c r="K1222">
        <v>1</v>
      </c>
      <c r="L1222">
        <v>1</v>
      </c>
      <c r="M1222">
        <v>1</v>
      </c>
      <c r="N1222">
        <v>1</v>
      </c>
      <c r="O1222">
        <v>1</v>
      </c>
      <c r="P1222">
        <v>1</v>
      </c>
      <c r="R1222">
        <v>39</v>
      </c>
      <c r="S1222">
        <v>1</v>
      </c>
      <c r="T1222">
        <v>1</v>
      </c>
      <c r="U1222">
        <v>1</v>
      </c>
      <c r="V1222">
        <v>1</v>
      </c>
      <c r="W1222">
        <v>1</v>
      </c>
      <c r="X1222">
        <v>1</v>
      </c>
      <c r="AA1222">
        <v>-7399.3923999999997</v>
      </c>
      <c r="AB1222">
        <v>-7399.3923999999997</v>
      </c>
      <c r="AC1222">
        <v>-7399.3923999999997</v>
      </c>
      <c r="AD1222">
        <v>-7399.3923999999997</v>
      </c>
      <c r="AE1222">
        <v>-7399.3923999999997</v>
      </c>
      <c r="AF1222">
        <v>-7399.3923999999997</v>
      </c>
    </row>
    <row r="1223" spans="2:32" x14ac:dyDescent="0.25">
      <c r="B1223">
        <v>40</v>
      </c>
      <c r="C1223">
        <v>1</v>
      </c>
      <c r="D1223">
        <v>1</v>
      </c>
      <c r="E1223">
        <v>1</v>
      </c>
      <c r="F1223">
        <v>1</v>
      </c>
      <c r="G1223">
        <v>1</v>
      </c>
      <c r="H1223">
        <v>1</v>
      </c>
      <c r="J1223">
        <v>40</v>
      </c>
      <c r="K1223">
        <v>1</v>
      </c>
      <c r="L1223">
        <v>1</v>
      </c>
      <c r="M1223">
        <v>1</v>
      </c>
      <c r="N1223">
        <v>1</v>
      </c>
      <c r="O1223">
        <v>1</v>
      </c>
      <c r="P1223">
        <v>1</v>
      </c>
      <c r="R1223">
        <v>40</v>
      </c>
      <c r="S1223">
        <v>1</v>
      </c>
      <c r="T1223">
        <v>1</v>
      </c>
      <c r="U1223">
        <v>1</v>
      </c>
      <c r="V1223">
        <v>1</v>
      </c>
      <c r="W1223">
        <v>1</v>
      </c>
      <c r="X1223">
        <v>1</v>
      </c>
      <c r="AA1223">
        <v>-7394.1365999999998</v>
      </c>
      <c r="AB1223">
        <v>-7394.1365999999998</v>
      </c>
      <c r="AC1223">
        <v>-7394.1365999999998</v>
      </c>
      <c r="AD1223">
        <v>-7394.1365999999998</v>
      </c>
      <c r="AE1223">
        <v>-7394.1365999999998</v>
      </c>
      <c r="AF1223">
        <v>-7394.1365999999998</v>
      </c>
    </row>
    <row r="1224" spans="2:32" x14ac:dyDescent="0.25">
      <c r="B1224">
        <v>41</v>
      </c>
      <c r="C1224">
        <v>1</v>
      </c>
      <c r="D1224">
        <v>1</v>
      </c>
      <c r="E1224">
        <v>1</v>
      </c>
      <c r="F1224">
        <v>1</v>
      </c>
      <c r="G1224">
        <v>1</v>
      </c>
      <c r="H1224">
        <v>1</v>
      </c>
      <c r="J1224">
        <v>41</v>
      </c>
      <c r="K1224">
        <v>1</v>
      </c>
      <c r="L1224">
        <v>1</v>
      </c>
      <c r="M1224">
        <v>1</v>
      </c>
      <c r="N1224">
        <v>1</v>
      </c>
      <c r="O1224">
        <v>1</v>
      </c>
      <c r="P1224">
        <v>1</v>
      </c>
      <c r="R1224">
        <v>41</v>
      </c>
      <c r="S1224">
        <v>1</v>
      </c>
      <c r="T1224">
        <v>1</v>
      </c>
      <c r="U1224">
        <v>1</v>
      </c>
      <c r="V1224">
        <v>1</v>
      </c>
      <c r="W1224">
        <v>1</v>
      </c>
      <c r="X1224">
        <v>1</v>
      </c>
      <c r="AA1224">
        <v>-7388.3469999999998</v>
      </c>
      <c r="AB1224">
        <v>-7388.3469999999998</v>
      </c>
      <c r="AC1224">
        <v>-7388.3469999999998</v>
      </c>
      <c r="AD1224">
        <v>-7388.3469999999998</v>
      </c>
      <c r="AE1224">
        <v>-7388.3469999999998</v>
      </c>
      <c r="AF1224">
        <v>-7388.3469999999998</v>
      </c>
    </row>
    <row r="1225" spans="2:32" x14ac:dyDescent="0.25">
      <c r="B1225">
        <v>42</v>
      </c>
      <c r="C1225">
        <v>1</v>
      </c>
      <c r="D1225">
        <v>1</v>
      </c>
      <c r="E1225">
        <v>1</v>
      </c>
      <c r="F1225">
        <v>1</v>
      </c>
      <c r="G1225">
        <v>1</v>
      </c>
      <c r="H1225">
        <v>1</v>
      </c>
      <c r="J1225">
        <v>42</v>
      </c>
      <c r="K1225">
        <v>1</v>
      </c>
      <c r="L1225">
        <v>1</v>
      </c>
      <c r="M1225">
        <v>1</v>
      </c>
      <c r="N1225">
        <v>1</v>
      </c>
      <c r="O1225">
        <v>1</v>
      </c>
      <c r="P1225">
        <v>1</v>
      </c>
      <c r="R1225">
        <v>42</v>
      </c>
      <c r="S1225">
        <v>1</v>
      </c>
      <c r="T1225">
        <v>1</v>
      </c>
      <c r="U1225">
        <v>1</v>
      </c>
      <c r="V1225">
        <v>1</v>
      </c>
      <c r="W1225">
        <v>1</v>
      </c>
      <c r="X1225">
        <v>1</v>
      </c>
      <c r="AA1225">
        <v>-7381.9919</v>
      </c>
      <c r="AB1225">
        <v>-7381.9919</v>
      </c>
      <c r="AC1225">
        <v>-7381.9919</v>
      </c>
      <c r="AD1225">
        <v>-7381.9919</v>
      </c>
      <c r="AE1225">
        <v>-7381.9919</v>
      </c>
      <c r="AF1225">
        <v>-7381.9919</v>
      </c>
    </row>
    <row r="1226" spans="2:32" x14ac:dyDescent="0.25">
      <c r="B1226">
        <v>43</v>
      </c>
      <c r="C1226">
        <v>1</v>
      </c>
      <c r="D1226">
        <v>1</v>
      </c>
      <c r="E1226">
        <v>1</v>
      </c>
      <c r="F1226">
        <v>1</v>
      </c>
      <c r="G1226">
        <v>1</v>
      </c>
      <c r="H1226">
        <v>1</v>
      </c>
      <c r="J1226">
        <v>43</v>
      </c>
      <c r="K1226">
        <v>1</v>
      </c>
      <c r="L1226">
        <v>1</v>
      </c>
      <c r="M1226">
        <v>1</v>
      </c>
      <c r="N1226">
        <v>1</v>
      </c>
      <c r="O1226">
        <v>1</v>
      </c>
      <c r="P1226">
        <v>1</v>
      </c>
      <c r="R1226">
        <v>43</v>
      </c>
      <c r="S1226">
        <v>1</v>
      </c>
      <c r="T1226">
        <v>1</v>
      </c>
      <c r="U1226">
        <v>1</v>
      </c>
      <c r="V1226">
        <v>1</v>
      </c>
      <c r="W1226">
        <v>1</v>
      </c>
      <c r="X1226">
        <v>1</v>
      </c>
      <c r="AA1226">
        <v>-7374.9579999999996</v>
      </c>
      <c r="AB1226">
        <v>-7374.9579999999996</v>
      </c>
      <c r="AC1226">
        <v>-7374.9579999999996</v>
      </c>
      <c r="AD1226">
        <v>-7374.9579999999996</v>
      </c>
      <c r="AE1226">
        <v>-7374.9579999999996</v>
      </c>
      <c r="AF1226">
        <v>-7374.9579999999996</v>
      </c>
    </row>
    <row r="1227" spans="2:32" x14ac:dyDescent="0.25">
      <c r="B1227">
        <v>44</v>
      </c>
      <c r="C1227">
        <v>1</v>
      </c>
      <c r="D1227">
        <v>1</v>
      </c>
      <c r="E1227">
        <v>1</v>
      </c>
      <c r="F1227">
        <v>1</v>
      </c>
      <c r="G1227">
        <v>1</v>
      </c>
      <c r="H1227">
        <v>1</v>
      </c>
      <c r="J1227">
        <v>44</v>
      </c>
      <c r="K1227">
        <v>1</v>
      </c>
      <c r="L1227">
        <v>1</v>
      </c>
      <c r="M1227">
        <v>1</v>
      </c>
      <c r="N1227">
        <v>1</v>
      </c>
      <c r="O1227">
        <v>1</v>
      </c>
      <c r="P1227">
        <v>1</v>
      </c>
      <c r="R1227">
        <v>44</v>
      </c>
      <c r="S1227">
        <v>1</v>
      </c>
      <c r="T1227">
        <v>1</v>
      </c>
      <c r="U1227">
        <v>1</v>
      </c>
      <c r="V1227">
        <v>1</v>
      </c>
      <c r="W1227">
        <v>1</v>
      </c>
      <c r="X1227">
        <v>1</v>
      </c>
      <c r="AA1227">
        <v>-7367.2034999999996</v>
      </c>
      <c r="AB1227">
        <v>-7367.2034999999996</v>
      </c>
      <c r="AC1227">
        <v>-7367.2034999999996</v>
      </c>
      <c r="AD1227">
        <v>-7367.2034999999996</v>
      </c>
      <c r="AE1227">
        <v>-7367.2034999999996</v>
      </c>
      <c r="AF1227">
        <v>-7367.2034999999996</v>
      </c>
    </row>
    <row r="1228" spans="2:32" x14ac:dyDescent="0.25">
      <c r="B1228">
        <v>45</v>
      </c>
      <c r="C1228">
        <v>1</v>
      </c>
      <c r="D1228">
        <v>1</v>
      </c>
      <c r="E1228">
        <v>1</v>
      </c>
      <c r="F1228">
        <v>1</v>
      </c>
      <c r="G1228">
        <v>1</v>
      </c>
      <c r="H1228">
        <v>1</v>
      </c>
      <c r="J1228">
        <v>45</v>
      </c>
      <c r="K1228">
        <v>1</v>
      </c>
      <c r="L1228">
        <v>1</v>
      </c>
      <c r="M1228">
        <v>1</v>
      </c>
      <c r="N1228">
        <v>1</v>
      </c>
      <c r="O1228">
        <v>1</v>
      </c>
      <c r="P1228">
        <v>1</v>
      </c>
      <c r="R1228">
        <v>45</v>
      </c>
      <c r="S1228">
        <v>1</v>
      </c>
      <c r="T1228">
        <v>1</v>
      </c>
      <c r="U1228">
        <v>1</v>
      </c>
      <c r="V1228">
        <v>1</v>
      </c>
      <c r="W1228">
        <v>1</v>
      </c>
      <c r="X1228">
        <v>1</v>
      </c>
      <c r="AA1228">
        <v>-7358.6491999999998</v>
      </c>
      <c r="AB1228">
        <v>-7358.6491999999998</v>
      </c>
      <c r="AC1228">
        <v>-7358.6491999999998</v>
      </c>
      <c r="AD1228">
        <v>-7358.6491999999998</v>
      </c>
      <c r="AE1228">
        <v>-7358.6491999999998</v>
      </c>
      <c r="AF1228">
        <v>-7358.6491999999998</v>
      </c>
    </row>
    <row r="1229" spans="2:32" x14ac:dyDescent="0.25">
      <c r="B1229">
        <v>46</v>
      </c>
      <c r="C1229">
        <v>1</v>
      </c>
      <c r="D1229">
        <v>1</v>
      </c>
      <c r="E1229">
        <v>1</v>
      </c>
      <c r="F1229">
        <v>1</v>
      </c>
      <c r="G1229">
        <v>1</v>
      </c>
      <c r="H1229">
        <v>1</v>
      </c>
      <c r="J1229">
        <v>46</v>
      </c>
      <c r="K1229">
        <v>1</v>
      </c>
      <c r="L1229">
        <v>1</v>
      </c>
      <c r="M1229">
        <v>1</v>
      </c>
      <c r="N1229">
        <v>1</v>
      </c>
      <c r="O1229">
        <v>1</v>
      </c>
      <c r="P1229">
        <v>1</v>
      </c>
      <c r="R1229">
        <v>46</v>
      </c>
      <c r="S1229">
        <v>1</v>
      </c>
      <c r="T1229">
        <v>1</v>
      </c>
      <c r="U1229">
        <v>1</v>
      </c>
      <c r="V1229">
        <v>1</v>
      </c>
      <c r="W1229">
        <v>1</v>
      </c>
      <c r="X1229">
        <v>1</v>
      </c>
      <c r="AA1229">
        <v>-7349.2232000000004</v>
      </c>
      <c r="AB1229">
        <v>-7349.2232000000004</v>
      </c>
      <c r="AC1229">
        <v>-7349.2232000000004</v>
      </c>
      <c r="AD1229">
        <v>-7349.2232000000004</v>
      </c>
      <c r="AE1229">
        <v>-7349.2232000000004</v>
      </c>
      <c r="AF1229">
        <v>-7349.2232000000004</v>
      </c>
    </row>
    <row r="1230" spans="2:32" x14ac:dyDescent="0.25">
      <c r="B1230">
        <v>47</v>
      </c>
      <c r="C1230">
        <v>1</v>
      </c>
      <c r="D1230">
        <v>1</v>
      </c>
      <c r="E1230">
        <v>1</v>
      </c>
      <c r="F1230">
        <v>1</v>
      </c>
      <c r="G1230">
        <v>1</v>
      </c>
      <c r="H1230">
        <v>1</v>
      </c>
      <c r="J1230">
        <v>47</v>
      </c>
      <c r="K1230">
        <v>1</v>
      </c>
      <c r="L1230">
        <v>1</v>
      </c>
      <c r="M1230">
        <v>1</v>
      </c>
      <c r="N1230">
        <v>1</v>
      </c>
      <c r="O1230">
        <v>1</v>
      </c>
      <c r="P1230">
        <v>1</v>
      </c>
      <c r="R1230">
        <v>47</v>
      </c>
      <c r="S1230">
        <v>1</v>
      </c>
      <c r="T1230">
        <v>1</v>
      </c>
      <c r="U1230">
        <v>1</v>
      </c>
      <c r="V1230">
        <v>1</v>
      </c>
      <c r="W1230">
        <v>1</v>
      </c>
      <c r="X1230">
        <v>1</v>
      </c>
      <c r="AA1230">
        <v>-7338.8310000000001</v>
      </c>
      <c r="AB1230">
        <v>-7338.8310000000001</v>
      </c>
      <c r="AC1230">
        <v>-7338.8310000000001</v>
      </c>
      <c r="AD1230">
        <v>-7338.8310000000001</v>
      </c>
      <c r="AE1230">
        <v>-7338.8310000000001</v>
      </c>
      <c r="AF1230">
        <v>-7338.8310000000001</v>
      </c>
    </row>
    <row r="1231" spans="2:32" x14ac:dyDescent="0.25">
      <c r="B1231">
        <v>48</v>
      </c>
      <c r="C1231">
        <v>1</v>
      </c>
      <c r="D1231">
        <v>1</v>
      </c>
      <c r="E1231">
        <v>1</v>
      </c>
      <c r="F1231">
        <v>1</v>
      </c>
      <c r="G1231">
        <v>1</v>
      </c>
      <c r="H1231">
        <v>1</v>
      </c>
      <c r="J1231">
        <v>48</v>
      </c>
      <c r="K1231">
        <v>1</v>
      </c>
      <c r="L1231">
        <v>1</v>
      </c>
      <c r="M1231">
        <v>1</v>
      </c>
      <c r="N1231">
        <v>1</v>
      </c>
      <c r="O1231">
        <v>1</v>
      </c>
      <c r="P1231">
        <v>1</v>
      </c>
      <c r="R1231">
        <v>48</v>
      </c>
      <c r="S1231">
        <v>1</v>
      </c>
      <c r="T1231">
        <v>1</v>
      </c>
      <c r="U1231">
        <v>1</v>
      </c>
      <c r="V1231">
        <v>1</v>
      </c>
      <c r="W1231">
        <v>1</v>
      </c>
      <c r="X1231">
        <v>1</v>
      </c>
      <c r="AA1231">
        <v>-7327.4297999999999</v>
      </c>
      <c r="AB1231">
        <v>-7327.4297999999999</v>
      </c>
      <c r="AC1231">
        <v>-7327.4297999999999</v>
      </c>
      <c r="AD1231">
        <v>-7327.4297999999999</v>
      </c>
      <c r="AE1231">
        <v>-7327.4297999999999</v>
      </c>
      <c r="AF1231">
        <v>-7327.4297999999999</v>
      </c>
    </row>
    <row r="1232" spans="2:32" x14ac:dyDescent="0.25">
      <c r="B1232">
        <v>49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v>1</v>
      </c>
      <c r="J1232">
        <v>49</v>
      </c>
      <c r="K1232">
        <v>1</v>
      </c>
      <c r="L1232">
        <v>1</v>
      </c>
      <c r="M1232">
        <v>1</v>
      </c>
      <c r="N1232">
        <v>1</v>
      </c>
      <c r="O1232">
        <v>1</v>
      </c>
      <c r="P1232">
        <v>1</v>
      </c>
      <c r="R1232">
        <v>49</v>
      </c>
      <c r="S1232">
        <v>1</v>
      </c>
      <c r="T1232">
        <v>1</v>
      </c>
      <c r="U1232">
        <v>1</v>
      </c>
      <c r="V1232">
        <v>1</v>
      </c>
      <c r="W1232">
        <v>1</v>
      </c>
      <c r="X1232">
        <v>1</v>
      </c>
      <c r="AA1232">
        <v>-7314.951</v>
      </c>
      <c r="AB1232">
        <v>-7314.951</v>
      </c>
      <c r="AC1232">
        <v>-7314.951</v>
      </c>
      <c r="AD1232">
        <v>-7314.951</v>
      </c>
      <c r="AE1232">
        <v>-7314.951</v>
      </c>
      <c r="AF1232">
        <v>-7314.951</v>
      </c>
    </row>
    <row r="1233" spans="2:32" x14ac:dyDescent="0.25">
      <c r="B1233">
        <v>50</v>
      </c>
      <c r="C1233">
        <v>1</v>
      </c>
      <c r="D1233">
        <v>1</v>
      </c>
      <c r="E1233">
        <v>1</v>
      </c>
      <c r="F1233">
        <v>1</v>
      </c>
      <c r="G1233">
        <v>1</v>
      </c>
      <c r="H1233">
        <v>1</v>
      </c>
      <c r="J1233">
        <v>50</v>
      </c>
      <c r="K1233">
        <v>1</v>
      </c>
      <c r="L1233">
        <v>1</v>
      </c>
      <c r="M1233">
        <v>1</v>
      </c>
      <c r="N1233">
        <v>1</v>
      </c>
      <c r="O1233">
        <v>1</v>
      </c>
      <c r="P1233">
        <v>1</v>
      </c>
      <c r="R1233">
        <v>50</v>
      </c>
      <c r="S1233">
        <v>1</v>
      </c>
      <c r="T1233">
        <v>1</v>
      </c>
      <c r="U1233">
        <v>1</v>
      </c>
      <c r="V1233">
        <v>1</v>
      </c>
      <c r="W1233">
        <v>1</v>
      </c>
      <c r="X1233">
        <v>1</v>
      </c>
      <c r="AA1233">
        <v>-7301.2851000000001</v>
      </c>
      <c r="AB1233">
        <v>-7301.2851000000001</v>
      </c>
      <c r="AC1233">
        <v>-7301.2851000000001</v>
      </c>
      <c r="AD1233">
        <v>-7301.2851000000001</v>
      </c>
      <c r="AE1233">
        <v>-7301.2851000000001</v>
      </c>
      <c r="AF1233">
        <v>-7301.2851000000001</v>
      </c>
    </row>
    <row r="1234" spans="2:32" x14ac:dyDescent="0.25">
      <c r="B1234">
        <v>51</v>
      </c>
      <c r="C1234">
        <v>1</v>
      </c>
      <c r="D1234">
        <v>1</v>
      </c>
      <c r="E1234">
        <v>1</v>
      </c>
      <c r="F1234">
        <v>1</v>
      </c>
      <c r="G1234">
        <v>1</v>
      </c>
      <c r="H1234">
        <v>1</v>
      </c>
      <c r="J1234">
        <v>51</v>
      </c>
      <c r="K1234">
        <v>1</v>
      </c>
      <c r="L1234">
        <v>1</v>
      </c>
      <c r="M1234">
        <v>1</v>
      </c>
      <c r="N1234">
        <v>1</v>
      </c>
      <c r="O1234">
        <v>1</v>
      </c>
      <c r="P1234">
        <v>1</v>
      </c>
      <c r="R1234">
        <v>51</v>
      </c>
      <c r="S1234">
        <v>1</v>
      </c>
      <c r="T1234">
        <v>1</v>
      </c>
      <c r="U1234">
        <v>1</v>
      </c>
      <c r="V1234">
        <v>1</v>
      </c>
      <c r="W1234">
        <v>1</v>
      </c>
      <c r="X1234">
        <v>1</v>
      </c>
      <c r="AA1234">
        <v>-7286.3271000000004</v>
      </c>
      <c r="AB1234">
        <v>-7286.3271000000004</v>
      </c>
      <c r="AC1234">
        <v>-7286.3271000000004</v>
      </c>
      <c r="AD1234">
        <v>-7286.3271000000004</v>
      </c>
      <c r="AE1234">
        <v>-7286.3271000000004</v>
      </c>
      <c r="AF1234">
        <v>-7286.3271000000004</v>
      </c>
    </row>
    <row r="1235" spans="2:32" x14ac:dyDescent="0.25">
      <c r="B1235">
        <v>52</v>
      </c>
      <c r="C1235">
        <v>1</v>
      </c>
      <c r="D1235">
        <v>1</v>
      </c>
      <c r="E1235">
        <v>1</v>
      </c>
      <c r="F1235">
        <v>1</v>
      </c>
      <c r="G1235">
        <v>1</v>
      </c>
      <c r="H1235">
        <v>1</v>
      </c>
      <c r="J1235">
        <v>52</v>
      </c>
      <c r="K1235">
        <v>1</v>
      </c>
      <c r="L1235">
        <v>1</v>
      </c>
      <c r="M1235">
        <v>1</v>
      </c>
      <c r="N1235">
        <v>1</v>
      </c>
      <c r="O1235">
        <v>1</v>
      </c>
      <c r="P1235">
        <v>1</v>
      </c>
      <c r="R1235">
        <v>52</v>
      </c>
      <c r="S1235">
        <v>1</v>
      </c>
      <c r="T1235">
        <v>1</v>
      </c>
      <c r="U1235">
        <v>1</v>
      </c>
      <c r="V1235">
        <v>1</v>
      </c>
      <c r="W1235">
        <v>1</v>
      </c>
      <c r="X1235">
        <v>1</v>
      </c>
      <c r="AA1235">
        <v>-7269.9448000000002</v>
      </c>
      <c r="AB1235">
        <v>-7269.9448000000002</v>
      </c>
      <c r="AC1235">
        <v>-7269.9448000000002</v>
      </c>
      <c r="AD1235">
        <v>-7269.9448000000002</v>
      </c>
      <c r="AE1235">
        <v>-7269.9448000000002</v>
      </c>
      <c r="AF1235">
        <v>-7269.9448000000002</v>
      </c>
    </row>
    <row r="1236" spans="2:32" x14ac:dyDescent="0.25">
      <c r="B1236">
        <v>53</v>
      </c>
      <c r="C1236">
        <v>1</v>
      </c>
      <c r="D1236">
        <v>1</v>
      </c>
      <c r="E1236">
        <v>1</v>
      </c>
      <c r="F1236">
        <v>1</v>
      </c>
      <c r="G1236">
        <v>1</v>
      </c>
      <c r="H1236">
        <v>1</v>
      </c>
      <c r="J1236">
        <v>53</v>
      </c>
      <c r="K1236">
        <v>1</v>
      </c>
      <c r="L1236">
        <v>1</v>
      </c>
      <c r="M1236">
        <v>1</v>
      </c>
      <c r="N1236">
        <v>1</v>
      </c>
      <c r="O1236">
        <v>1</v>
      </c>
      <c r="P1236">
        <v>1</v>
      </c>
      <c r="R1236">
        <v>53</v>
      </c>
      <c r="S1236">
        <v>1</v>
      </c>
      <c r="T1236">
        <v>1</v>
      </c>
      <c r="U1236">
        <v>1</v>
      </c>
      <c r="V1236">
        <v>1</v>
      </c>
      <c r="W1236">
        <v>1</v>
      </c>
      <c r="X1236">
        <v>1</v>
      </c>
      <c r="AA1236">
        <v>-7252.0574999999999</v>
      </c>
      <c r="AB1236">
        <v>-7252.0574999999999</v>
      </c>
      <c r="AC1236">
        <v>-7252.0574999999999</v>
      </c>
      <c r="AD1236">
        <v>-7252.0574999999999</v>
      </c>
      <c r="AE1236">
        <v>-7252.0574999999999</v>
      </c>
      <c r="AF1236">
        <v>-7252.0574999999999</v>
      </c>
    </row>
    <row r="1237" spans="2:32" x14ac:dyDescent="0.25">
      <c r="B1237">
        <v>54</v>
      </c>
      <c r="C1237">
        <v>1</v>
      </c>
      <c r="D1237">
        <v>1</v>
      </c>
      <c r="E1237">
        <v>1</v>
      </c>
      <c r="F1237">
        <v>1</v>
      </c>
      <c r="G1237">
        <v>1</v>
      </c>
      <c r="H1237">
        <v>1</v>
      </c>
      <c r="J1237">
        <v>54</v>
      </c>
      <c r="K1237">
        <v>1</v>
      </c>
      <c r="L1237">
        <v>1</v>
      </c>
      <c r="M1237">
        <v>1</v>
      </c>
      <c r="N1237">
        <v>1</v>
      </c>
      <c r="O1237">
        <v>1</v>
      </c>
      <c r="P1237">
        <v>1</v>
      </c>
      <c r="R1237">
        <v>54</v>
      </c>
      <c r="S1237">
        <v>1</v>
      </c>
      <c r="T1237">
        <v>1</v>
      </c>
      <c r="U1237">
        <v>1</v>
      </c>
      <c r="V1237">
        <v>1</v>
      </c>
      <c r="W1237">
        <v>1</v>
      </c>
      <c r="X1237">
        <v>1</v>
      </c>
      <c r="AA1237">
        <v>-7232.5680000000002</v>
      </c>
      <c r="AB1237">
        <v>-7232.5680000000002</v>
      </c>
      <c r="AC1237">
        <v>-7232.5680000000002</v>
      </c>
      <c r="AD1237">
        <v>-7232.5680000000002</v>
      </c>
      <c r="AE1237">
        <v>-7232.5680000000002</v>
      </c>
      <c r="AF1237">
        <v>-7232.5680000000002</v>
      </c>
    </row>
    <row r="1238" spans="2:32" x14ac:dyDescent="0.25">
      <c r="B1238">
        <v>55</v>
      </c>
      <c r="C1238">
        <v>1</v>
      </c>
      <c r="D1238">
        <v>1</v>
      </c>
      <c r="E1238">
        <v>1</v>
      </c>
      <c r="F1238">
        <v>1</v>
      </c>
      <c r="G1238">
        <v>1</v>
      </c>
      <c r="H1238">
        <v>1</v>
      </c>
      <c r="J1238">
        <v>55</v>
      </c>
      <c r="K1238">
        <v>1</v>
      </c>
      <c r="L1238">
        <v>1</v>
      </c>
      <c r="M1238">
        <v>1</v>
      </c>
      <c r="N1238">
        <v>1</v>
      </c>
      <c r="O1238">
        <v>1</v>
      </c>
      <c r="P1238">
        <v>1</v>
      </c>
      <c r="R1238">
        <v>55</v>
      </c>
      <c r="S1238">
        <v>1</v>
      </c>
      <c r="T1238">
        <v>1</v>
      </c>
      <c r="U1238">
        <v>1</v>
      </c>
      <c r="V1238">
        <v>1</v>
      </c>
      <c r="W1238">
        <v>1</v>
      </c>
      <c r="X1238">
        <v>1</v>
      </c>
      <c r="AA1238">
        <v>-7211.3207000000002</v>
      </c>
      <c r="AB1238">
        <v>-7211.3207000000002</v>
      </c>
      <c r="AC1238">
        <v>-7211.3207000000002</v>
      </c>
      <c r="AD1238">
        <v>-7211.3207000000002</v>
      </c>
      <c r="AE1238">
        <v>-7211.3207000000002</v>
      </c>
      <c r="AF1238">
        <v>-7211.3207000000002</v>
      </c>
    </row>
    <row r="1241" spans="2:32" x14ac:dyDescent="0.25">
      <c r="B1241" t="s">
        <v>46</v>
      </c>
      <c r="C1241">
        <v>100000</v>
      </c>
      <c r="D1241">
        <v>250000</v>
      </c>
      <c r="E1241">
        <v>500000</v>
      </c>
      <c r="F1241">
        <v>1000000</v>
      </c>
      <c r="G1241">
        <v>2000000</v>
      </c>
      <c r="J1241" t="s">
        <v>32</v>
      </c>
      <c r="K1241">
        <v>100000</v>
      </c>
      <c r="L1241">
        <v>250000</v>
      </c>
      <c r="M1241">
        <v>500000</v>
      </c>
      <c r="N1241">
        <v>1000000</v>
      </c>
      <c r="O1241">
        <v>2000000</v>
      </c>
      <c r="R1241" t="s">
        <v>48</v>
      </c>
      <c r="S1241">
        <v>100000</v>
      </c>
      <c r="T1241">
        <v>250000</v>
      </c>
      <c r="U1241">
        <v>500000</v>
      </c>
      <c r="V1241">
        <v>1000000</v>
      </c>
      <c r="W1241">
        <v>2000000</v>
      </c>
    </row>
    <row r="1242" spans="2:32" x14ac:dyDescent="0.25">
      <c r="B1242">
        <v>35</v>
      </c>
      <c r="C1242">
        <v>1</v>
      </c>
      <c r="D1242">
        <v>1</v>
      </c>
      <c r="E1242">
        <v>1</v>
      </c>
      <c r="F1242">
        <v>1</v>
      </c>
      <c r="G1242">
        <v>1</v>
      </c>
      <c r="J1242">
        <v>35</v>
      </c>
      <c r="K1242">
        <v>1</v>
      </c>
      <c r="L1242">
        <v>1</v>
      </c>
      <c r="M1242">
        <v>1</v>
      </c>
      <c r="N1242">
        <v>1</v>
      </c>
      <c r="O1242">
        <v>1</v>
      </c>
      <c r="R1242">
        <v>35</v>
      </c>
      <c r="S1242">
        <v>1</v>
      </c>
      <c r="T1242">
        <v>1</v>
      </c>
      <c r="U1242">
        <v>1</v>
      </c>
      <c r="V1242">
        <v>1</v>
      </c>
      <c r="W1242">
        <v>1</v>
      </c>
      <c r="AA1242">
        <v>-11308.6893</v>
      </c>
      <c r="AB1242">
        <v>-11308.6893</v>
      </c>
      <c r="AC1242">
        <v>-11308.6893</v>
      </c>
      <c r="AD1242">
        <v>-11308.6893</v>
      </c>
      <c r="AE1242">
        <v>-11308.6893</v>
      </c>
    </row>
    <row r="1243" spans="2:32" x14ac:dyDescent="0.25">
      <c r="B1243">
        <f t="shared" ref="B1243:B1272" si="54">B1242+1</f>
        <v>36</v>
      </c>
      <c r="C1243">
        <v>1</v>
      </c>
      <c r="D1243">
        <v>1</v>
      </c>
      <c r="E1243">
        <v>1</v>
      </c>
      <c r="F1243">
        <v>1</v>
      </c>
      <c r="G1243">
        <v>1</v>
      </c>
      <c r="J1243">
        <f t="shared" ref="J1243:J1272" si="55">J1242+1</f>
        <v>36</v>
      </c>
      <c r="K1243">
        <v>1</v>
      </c>
      <c r="L1243">
        <v>1</v>
      </c>
      <c r="M1243">
        <v>1</v>
      </c>
      <c r="N1243">
        <v>1</v>
      </c>
      <c r="O1243">
        <v>1</v>
      </c>
      <c r="R1243">
        <f t="shared" ref="R1243:R1272" si="56">R1242+1</f>
        <v>36</v>
      </c>
      <c r="S1243">
        <v>1</v>
      </c>
      <c r="T1243">
        <v>1</v>
      </c>
      <c r="U1243">
        <v>1</v>
      </c>
      <c r="V1243">
        <v>1</v>
      </c>
      <c r="W1243">
        <v>1</v>
      </c>
      <c r="AA1243">
        <v>-11214.2592</v>
      </c>
      <c r="AB1243">
        <v>-11214.2592</v>
      </c>
      <c r="AC1243">
        <v>-11214.2592</v>
      </c>
      <c r="AD1243">
        <v>-11214.2592</v>
      </c>
      <c r="AE1243">
        <v>-11214.2592</v>
      </c>
    </row>
    <row r="1244" spans="2:32" x14ac:dyDescent="0.25">
      <c r="B1244">
        <f t="shared" si="54"/>
        <v>37</v>
      </c>
      <c r="C1244">
        <v>1</v>
      </c>
      <c r="D1244">
        <v>1</v>
      </c>
      <c r="E1244">
        <v>1</v>
      </c>
      <c r="F1244">
        <v>1</v>
      </c>
      <c r="G1244">
        <v>1</v>
      </c>
      <c r="J1244">
        <f t="shared" si="55"/>
        <v>37</v>
      </c>
      <c r="K1244">
        <v>1</v>
      </c>
      <c r="L1244">
        <v>1</v>
      </c>
      <c r="M1244">
        <v>1</v>
      </c>
      <c r="N1244">
        <v>1</v>
      </c>
      <c r="O1244">
        <v>1</v>
      </c>
      <c r="R1244">
        <f t="shared" si="56"/>
        <v>37</v>
      </c>
      <c r="S1244">
        <v>1</v>
      </c>
      <c r="T1244">
        <v>1</v>
      </c>
      <c r="U1244">
        <v>1</v>
      </c>
      <c r="V1244">
        <v>1</v>
      </c>
      <c r="W1244">
        <v>1</v>
      </c>
      <c r="AA1244">
        <v>-11117.406199999999</v>
      </c>
      <c r="AB1244">
        <v>-11117.406199999999</v>
      </c>
      <c r="AC1244">
        <v>-11117.406199999999</v>
      </c>
      <c r="AD1244">
        <v>-11117.406199999999</v>
      </c>
      <c r="AE1244">
        <v>-11117.406199999999</v>
      </c>
    </row>
    <row r="1245" spans="2:32" x14ac:dyDescent="0.25">
      <c r="B1245">
        <f t="shared" si="54"/>
        <v>38</v>
      </c>
      <c r="C1245">
        <v>1</v>
      </c>
      <c r="D1245">
        <v>1</v>
      </c>
      <c r="E1245">
        <v>1</v>
      </c>
      <c r="F1245">
        <v>1</v>
      </c>
      <c r="G1245">
        <v>1</v>
      </c>
      <c r="J1245">
        <f t="shared" si="55"/>
        <v>38</v>
      </c>
      <c r="K1245">
        <v>1</v>
      </c>
      <c r="L1245">
        <v>1</v>
      </c>
      <c r="M1245">
        <v>1</v>
      </c>
      <c r="N1245">
        <v>1</v>
      </c>
      <c r="O1245">
        <v>1</v>
      </c>
      <c r="R1245">
        <f t="shared" si="56"/>
        <v>38</v>
      </c>
      <c r="S1245">
        <v>1</v>
      </c>
      <c r="T1245">
        <v>1</v>
      </c>
      <c r="U1245">
        <v>1</v>
      </c>
      <c r="V1245">
        <v>1</v>
      </c>
      <c r="W1245">
        <v>1</v>
      </c>
      <c r="AA1245">
        <v>-11018.229799999999</v>
      </c>
      <c r="AB1245">
        <v>-11018.229799999999</v>
      </c>
      <c r="AC1245">
        <v>-11018.229799999999</v>
      </c>
      <c r="AD1245">
        <v>-11018.229799999999</v>
      </c>
      <c r="AE1245">
        <v>-11018.229799999999</v>
      </c>
    </row>
    <row r="1246" spans="2:32" x14ac:dyDescent="0.25">
      <c r="B1246">
        <f t="shared" si="54"/>
        <v>39</v>
      </c>
      <c r="C1246">
        <v>1</v>
      </c>
      <c r="D1246">
        <v>1</v>
      </c>
      <c r="E1246">
        <v>1</v>
      </c>
      <c r="F1246">
        <v>1</v>
      </c>
      <c r="G1246">
        <v>1</v>
      </c>
      <c r="J1246">
        <f t="shared" si="55"/>
        <v>39</v>
      </c>
      <c r="K1246">
        <v>1</v>
      </c>
      <c r="L1246">
        <v>1</v>
      </c>
      <c r="M1246">
        <v>1</v>
      </c>
      <c r="N1246">
        <v>1</v>
      </c>
      <c r="O1246">
        <v>1</v>
      </c>
      <c r="R1246">
        <f t="shared" si="56"/>
        <v>39</v>
      </c>
      <c r="S1246">
        <v>1</v>
      </c>
      <c r="T1246">
        <v>1</v>
      </c>
      <c r="U1246">
        <v>1</v>
      </c>
      <c r="V1246">
        <v>1</v>
      </c>
      <c r="W1246">
        <v>1</v>
      </c>
      <c r="AA1246">
        <v>-10916.737999999999</v>
      </c>
      <c r="AB1246">
        <v>-10916.737999999999</v>
      </c>
      <c r="AC1246">
        <v>-10916.737999999999</v>
      </c>
      <c r="AD1246">
        <v>-10916.737999999999</v>
      </c>
      <c r="AE1246">
        <v>-10916.737999999999</v>
      </c>
    </row>
    <row r="1247" spans="2:32" x14ac:dyDescent="0.25">
      <c r="B1247">
        <f t="shared" si="54"/>
        <v>40</v>
      </c>
      <c r="C1247">
        <v>1</v>
      </c>
      <c r="D1247">
        <v>1</v>
      </c>
      <c r="E1247">
        <v>1</v>
      </c>
      <c r="F1247">
        <v>1</v>
      </c>
      <c r="G1247">
        <v>1</v>
      </c>
      <c r="J1247">
        <f t="shared" si="55"/>
        <v>40</v>
      </c>
      <c r="K1247">
        <v>1</v>
      </c>
      <c r="L1247">
        <v>1</v>
      </c>
      <c r="M1247">
        <v>1</v>
      </c>
      <c r="N1247">
        <v>1</v>
      </c>
      <c r="O1247">
        <v>1</v>
      </c>
      <c r="R1247">
        <f t="shared" si="56"/>
        <v>40</v>
      </c>
      <c r="S1247">
        <v>1</v>
      </c>
      <c r="T1247">
        <v>1</v>
      </c>
      <c r="U1247">
        <v>1</v>
      </c>
      <c r="V1247">
        <v>1</v>
      </c>
      <c r="W1247">
        <v>1</v>
      </c>
      <c r="AA1247">
        <v>-10812.8714</v>
      </c>
      <c r="AB1247">
        <v>-10812.8714</v>
      </c>
      <c r="AC1247">
        <v>-10812.8714</v>
      </c>
      <c r="AD1247">
        <v>-10812.8714</v>
      </c>
      <c r="AE1247">
        <v>-10812.8714</v>
      </c>
    </row>
    <row r="1248" spans="2:32" x14ac:dyDescent="0.25">
      <c r="B1248">
        <f t="shared" si="54"/>
        <v>41</v>
      </c>
      <c r="C1248">
        <v>1</v>
      </c>
      <c r="D1248">
        <v>1</v>
      </c>
      <c r="E1248">
        <v>1</v>
      </c>
      <c r="F1248">
        <v>1</v>
      </c>
      <c r="G1248">
        <v>1</v>
      </c>
      <c r="J1248">
        <f t="shared" si="55"/>
        <v>41</v>
      </c>
      <c r="K1248">
        <v>1</v>
      </c>
      <c r="L1248">
        <v>1</v>
      </c>
      <c r="M1248">
        <v>1</v>
      </c>
      <c r="N1248">
        <v>1</v>
      </c>
      <c r="O1248">
        <v>1</v>
      </c>
      <c r="R1248">
        <f t="shared" si="56"/>
        <v>41</v>
      </c>
      <c r="S1248">
        <v>1</v>
      </c>
      <c r="T1248">
        <v>1</v>
      </c>
      <c r="U1248">
        <v>1</v>
      </c>
      <c r="V1248">
        <v>1</v>
      </c>
      <c r="W1248">
        <v>1</v>
      </c>
      <c r="AA1248">
        <v>-10706.559600000001</v>
      </c>
      <c r="AB1248">
        <v>-10706.559600000001</v>
      </c>
      <c r="AC1248">
        <v>-10706.559600000001</v>
      </c>
      <c r="AD1248">
        <v>-10706.559600000001</v>
      </c>
      <c r="AE1248">
        <v>-10706.559600000001</v>
      </c>
    </row>
    <row r="1249" spans="2:31" x14ac:dyDescent="0.25">
      <c r="B1249">
        <f t="shared" si="54"/>
        <v>42</v>
      </c>
      <c r="C1249">
        <v>1</v>
      </c>
      <c r="D1249">
        <v>1</v>
      </c>
      <c r="E1249">
        <v>1</v>
      </c>
      <c r="F1249">
        <v>1</v>
      </c>
      <c r="G1249">
        <v>1</v>
      </c>
      <c r="J1249">
        <f t="shared" si="55"/>
        <v>42</v>
      </c>
      <c r="K1249">
        <v>1</v>
      </c>
      <c r="L1249">
        <v>1</v>
      </c>
      <c r="M1249">
        <v>1</v>
      </c>
      <c r="N1249">
        <v>1</v>
      </c>
      <c r="O1249">
        <v>1</v>
      </c>
      <c r="R1249">
        <f t="shared" si="56"/>
        <v>42</v>
      </c>
      <c r="S1249">
        <v>1</v>
      </c>
      <c r="T1249">
        <v>1</v>
      </c>
      <c r="U1249">
        <v>1</v>
      </c>
      <c r="V1249">
        <v>1</v>
      </c>
      <c r="W1249">
        <v>1</v>
      </c>
      <c r="AA1249">
        <v>-10597.8485</v>
      </c>
      <c r="AB1249">
        <v>-10597.8485</v>
      </c>
      <c r="AC1249">
        <v>-10597.8485</v>
      </c>
      <c r="AD1249">
        <v>-10597.8485</v>
      </c>
      <c r="AE1249">
        <v>-10597.8485</v>
      </c>
    </row>
    <row r="1250" spans="2:31" x14ac:dyDescent="0.25">
      <c r="B1250">
        <f t="shared" si="54"/>
        <v>43</v>
      </c>
      <c r="C1250">
        <v>1</v>
      </c>
      <c r="D1250">
        <v>1</v>
      </c>
      <c r="E1250">
        <v>1</v>
      </c>
      <c r="F1250">
        <v>1</v>
      </c>
      <c r="G1250">
        <v>1</v>
      </c>
      <c r="J1250">
        <f t="shared" si="55"/>
        <v>43</v>
      </c>
      <c r="K1250">
        <v>1</v>
      </c>
      <c r="L1250">
        <v>1</v>
      </c>
      <c r="M1250">
        <v>1</v>
      </c>
      <c r="N1250">
        <v>1</v>
      </c>
      <c r="O1250">
        <v>1</v>
      </c>
      <c r="R1250">
        <f t="shared" si="56"/>
        <v>43</v>
      </c>
      <c r="S1250">
        <v>1</v>
      </c>
      <c r="T1250">
        <v>1</v>
      </c>
      <c r="U1250">
        <v>1</v>
      </c>
      <c r="V1250">
        <v>1</v>
      </c>
      <c r="W1250">
        <v>1</v>
      </c>
      <c r="AA1250">
        <v>-10486.615400000001</v>
      </c>
      <c r="AB1250">
        <v>-10486.615400000001</v>
      </c>
      <c r="AC1250">
        <v>-10486.615400000001</v>
      </c>
      <c r="AD1250">
        <v>-10486.615400000001</v>
      </c>
      <c r="AE1250">
        <v>-10486.615400000001</v>
      </c>
    </row>
    <row r="1251" spans="2:31" x14ac:dyDescent="0.25">
      <c r="B1251">
        <f t="shared" si="54"/>
        <v>44</v>
      </c>
      <c r="C1251">
        <v>1</v>
      </c>
      <c r="D1251">
        <v>1</v>
      </c>
      <c r="E1251">
        <v>1</v>
      </c>
      <c r="F1251">
        <v>1</v>
      </c>
      <c r="G1251">
        <v>1</v>
      </c>
      <c r="J1251">
        <f t="shared" si="55"/>
        <v>44</v>
      </c>
      <c r="K1251">
        <v>1</v>
      </c>
      <c r="L1251">
        <v>1</v>
      </c>
      <c r="M1251">
        <v>1</v>
      </c>
      <c r="N1251">
        <v>1</v>
      </c>
      <c r="O1251">
        <v>1</v>
      </c>
      <c r="R1251">
        <f t="shared" si="56"/>
        <v>44</v>
      </c>
      <c r="S1251">
        <v>1</v>
      </c>
      <c r="T1251">
        <v>1</v>
      </c>
      <c r="U1251">
        <v>1</v>
      </c>
      <c r="V1251">
        <v>1</v>
      </c>
      <c r="W1251">
        <v>1</v>
      </c>
      <c r="AA1251">
        <v>-10372.9005</v>
      </c>
      <c r="AB1251">
        <v>-10372.9005</v>
      </c>
      <c r="AC1251">
        <v>-10372.9005</v>
      </c>
      <c r="AD1251">
        <v>-10372.9005</v>
      </c>
      <c r="AE1251">
        <v>-10372.9005</v>
      </c>
    </row>
    <row r="1252" spans="2:31" x14ac:dyDescent="0.25">
      <c r="B1252">
        <f t="shared" si="54"/>
        <v>45</v>
      </c>
      <c r="C1252">
        <v>1</v>
      </c>
      <c r="D1252">
        <v>1</v>
      </c>
      <c r="E1252">
        <v>1</v>
      </c>
      <c r="F1252">
        <v>1</v>
      </c>
      <c r="G1252">
        <v>1</v>
      </c>
      <c r="J1252">
        <f t="shared" si="55"/>
        <v>45</v>
      </c>
      <c r="K1252">
        <v>1</v>
      </c>
      <c r="L1252">
        <v>1</v>
      </c>
      <c r="M1252">
        <v>1</v>
      </c>
      <c r="N1252">
        <v>1</v>
      </c>
      <c r="O1252">
        <v>1</v>
      </c>
      <c r="R1252">
        <f t="shared" si="56"/>
        <v>45</v>
      </c>
      <c r="S1252">
        <v>1</v>
      </c>
      <c r="T1252">
        <v>1</v>
      </c>
      <c r="U1252">
        <v>1</v>
      </c>
      <c r="V1252">
        <v>1</v>
      </c>
      <c r="W1252">
        <v>1</v>
      </c>
      <c r="AA1252">
        <v>-10256.650600000001</v>
      </c>
      <c r="AB1252">
        <v>-10256.650600000001</v>
      </c>
      <c r="AC1252">
        <v>-10256.650600000001</v>
      </c>
      <c r="AD1252">
        <v>-10256.650600000001</v>
      </c>
      <c r="AE1252">
        <v>-10256.650600000001</v>
      </c>
    </row>
    <row r="1253" spans="2:31" x14ac:dyDescent="0.25">
      <c r="B1253">
        <f t="shared" si="54"/>
        <v>46</v>
      </c>
      <c r="C1253">
        <v>1</v>
      </c>
      <c r="D1253">
        <v>1</v>
      </c>
      <c r="E1253">
        <v>1</v>
      </c>
      <c r="F1253">
        <v>1</v>
      </c>
      <c r="G1253">
        <v>1</v>
      </c>
      <c r="J1253">
        <f t="shared" si="55"/>
        <v>46</v>
      </c>
      <c r="K1253">
        <v>1</v>
      </c>
      <c r="L1253">
        <v>1</v>
      </c>
      <c r="M1253">
        <v>1</v>
      </c>
      <c r="N1253">
        <v>1</v>
      </c>
      <c r="O1253">
        <v>1</v>
      </c>
      <c r="R1253">
        <f t="shared" si="56"/>
        <v>46</v>
      </c>
      <c r="S1253">
        <v>1</v>
      </c>
      <c r="T1253">
        <v>1</v>
      </c>
      <c r="U1253">
        <v>1</v>
      </c>
      <c r="V1253">
        <v>1</v>
      </c>
      <c r="W1253">
        <v>1</v>
      </c>
      <c r="AA1253">
        <v>-10137.871499999999</v>
      </c>
      <c r="AB1253">
        <v>-10137.871499999999</v>
      </c>
      <c r="AC1253">
        <v>-10137.871499999999</v>
      </c>
      <c r="AD1253">
        <v>-10137.871499999999</v>
      </c>
      <c r="AE1253">
        <v>-10137.871499999999</v>
      </c>
    </row>
    <row r="1254" spans="2:31" x14ac:dyDescent="0.25">
      <c r="B1254">
        <f t="shared" si="54"/>
        <v>47</v>
      </c>
      <c r="C1254">
        <v>1</v>
      </c>
      <c r="D1254">
        <v>1</v>
      </c>
      <c r="E1254">
        <v>1</v>
      </c>
      <c r="F1254">
        <v>1</v>
      </c>
      <c r="G1254">
        <v>1</v>
      </c>
      <c r="J1254">
        <f t="shared" si="55"/>
        <v>47</v>
      </c>
      <c r="K1254">
        <v>1</v>
      </c>
      <c r="L1254">
        <v>1</v>
      </c>
      <c r="M1254">
        <v>1</v>
      </c>
      <c r="N1254">
        <v>1</v>
      </c>
      <c r="O1254">
        <v>1</v>
      </c>
      <c r="R1254">
        <f t="shared" si="56"/>
        <v>47</v>
      </c>
      <c r="S1254">
        <v>1</v>
      </c>
      <c r="T1254">
        <v>1</v>
      </c>
      <c r="U1254">
        <v>1</v>
      </c>
      <c r="V1254">
        <v>1</v>
      </c>
      <c r="W1254">
        <v>1</v>
      </c>
      <c r="AA1254">
        <v>-10016.4967</v>
      </c>
      <c r="AB1254">
        <v>-10016.4967</v>
      </c>
      <c r="AC1254">
        <v>-10016.4967</v>
      </c>
      <c r="AD1254">
        <v>-10016.4967</v>
      </c>
      <c r="AE1254">
        <v>-10016.4967</v>
      </c>
    </row>
    <row r="1255" spans="2:31" x14ac:dyDescent="0.25">
      <c r="B1255">
        <f t="shared" si="54"/>
        <v>48</v>
      </c>
      <c r="C1255">
        <v>1</v>
      </c>
      <c r="D1255">
        <v>1</v>
      </c>
      <c r="E1255">
        <v>1</v>
      </c>
      <c r="F1255">
        <v>1</v>
      </c>
      <c r="G1255">
        <v>1</v>
      </c>
      <c r="J1255">
        <f t="shared" si="55"/>
        <v>48</v>
      </c>
      <c r="K1255">
        <v>1</v>
      </c>
      <c r="L1255">
        <v>1</v>
      </c>
      <c r="M1255">
        <v>1</v>
      </c>
      <c r="N1255">
        <v>1</v>
      </c>
      <c r="O1255">
        <v>1</v>
      </c>
      <c r="R1255">
        <f t="shared" si="56"/>
        <v>48</v>
      </c>
      <c r="S1255">
        <v>1</v>
      </c>
      <c r="T1255">
        <v>1</v>
      </c>
      <c r="U1255">
        <v>1</v>
      </c>
      <c r="V1255">
        <v>1</v>
      </c>
      <c r="W1255">
        <v>1</v>
      </c>
      <c r="AA1255">
        <v>-9892.6355000000003</v>
      </c>
      <c r="AB1255">
        <v>-9892.6355000000003</v>
      </c>
      <c r="AC1255">
        <v>-9892.6355000000003</v>
      </c>
      <c r="AD1255">
        <v>-9892.6355000000003</v>
      </c>
      <c r="AE1255">
        <v>-9892.6355000000003</v>
      </c>
    </row>
    <row r="1256" spans="2:31" x14ac:dyDescent="0.25">
      <c r="B1256">
        <f t="shared" si="54"/>
        <v>49</v>
      </c>
      <c r="C1256">
        <v>1</v>
      </c>
      <c r="D1256">
        <v>1</v>
      </c>
      <c r="E1256">
        <v>1</v>
      </c>
      <c r="F1256">
        <v>1</v>
      </c>
      <c r="G1256">
        <v>1</v>
      </c>
      <c r="J1256">
        <f t="shared" si="55"/>
        <v>49</v>
      </c>
      <c r="K1256">
        <v>1</v>
      </c>
      <c r="L1256">
        <v>1</v>
      </c>
      <c r="M1256">
        <v>1</v>
      </c>
      <c r="N1256">
        <v>1</v>
      </c>
      <c r="O1256">
        <v>1</v>
      </c>
      <c r="R1256">
        <f t="shared" si="56"/>
        <v>49</v>
      </c>
      <c r="S1256">
        <v>1</v>
      </c>
      <c r="T1256">
        <v>1</v>
      </c>
      <c r="U1256">
        <v>1</v>
      </c>
      <c r="V1256">
        <v>1</v>
      </c>
      <c r="W1256">
        <v>1</v>
      </c>
      <c r="AA1256">
        <v>-9766.3366999999998</v>
      </c>
      <c r="AB1256">
        <v>-9766.3366999999998</v>
      </c>
      <c r="AC1256">
        <v>-9766.3366999999998</v>
      </c>
      <c r="AD1256">
        <v>-9766.3366999999998</v>
      </c>
      <c r="AE1256">
        <v>-9766.3366999999998</v>
      </c>
    </row>
    <row r="1257" spans="2:31" x14ac:dyDescent="0.25">
      <c r="B1257">
        <f t="shared" si="54"/>
        <v>50</v>
      </c>
      <c r="C1257">
        <v>1</v>
      </c>
      <c r="D1257">
        <v>1</v>
      </c>
      <c r="E1257">
        <v>1</v>
      </c>
      <c r="F1257">
        <v>1</v>
      </c>
      <c r="G1257">
        <v>1</v>
      </c>
      <c r="J1257">
        <f t="shared" si="55"/>
        <v>50</v>
      </c>
      <c r="K1257">
        <v>1</v>
      </c>
      <c r="L1257">
        <v>1</v>
      </c>
      <c r="M1257">
        <v>1</v>
      </c>
      <c r="N1257">
        <v>1</v>
      </c>
      <c r="O1257">
        <v>1</v>
      </c>
      <c r="R1257">
        <f t="shared" si="56"/>
        <v>50</v>
      </c>
      <c r="S1257">
        <v>1</v>
      </c>
      <c r="T1257">
        <v>1</v>
      </c>
      <c r="U1257">
        <v>1</v>
      </c>
      <c r="V1257">
        <v>1</v>
      </c>
      <c r="W1257">
        <v>1</v>
      </c>
      <c r="AA1257">
        <v>-9637.5864000000001</v>
      </c>
      <c r="AB1257">
        <v>-9637.5864000000001</v>
      </c>
      <c r="AC1257">
        <v>-9637.5864000000001</v>
      </c>
      <c r="AD1257">
        <v>-9637.5864000000001</v>
      </c>
      <c r="AE1257">
        <v>-9637.5864000000001</v>
      </c>
    </row>
    <row r="1258" spans="2:31" x14ac:dyDescent="0.25">
      <c r="B1258">
        <f t="shared" si="54"/>
        <v>51</v>
      </c>
      <c r="C1258">
        <v>1</v>
      </c>
      <c r="D1258">
        <v>1</v>
      </c>
      <c r="E1258">
        <v>1</v>
      </c>
      <c r="F1258">
        <v>1</v>
      </c>
      <c r="G1258">
        <v>1</v>
      </c>
      <c r="J1258">
        <f t="shared" si="55"/>
        <v>51</v>
      </c>
      <c r="K1258">
        <v>1</v>
      </c>
      <c r="L1258">
        <v>1</v>
      </c>
      <c r="M1258">
        <v>1</v>
      </c>
      <c r="N1258">
        <v>1</v>
      </c>
      <c r="O1258">
        <v>1</v>
      </c>
      <c r="R1258">
        <f t="shared" si="56"/>
        <v>51</v>
      </c>
      <c r="S1258">
        <v>1</v>
      </c>
      <c r="T1258">
        <v>1</v>
      </c>
      <c r="U1258">
        <v>1</v>
      </c>
      <c r="V1258">
        <v>1</v>
      </c>
      <c r="W1258">
        <v>1</v>
      </c>
      <c r="AA1258">
        <v>-9506.3734000000004</v>
      </c>
      <c r="AB1258">
        <v>-9506.3734000000004</v>
      </c>
      <c r="AC1258">
        <v>-9506.3734000000004</v>
      </c>
      <c r="AD1258">
        <v>-9506.3734000000004</v>
      </c>
      <c r="AE1258">
        <v>-9506.3734000000004</v>
      </c>
    </row>
    <row r="1259" spans="2:31" x14ac:dyDescent="0.25">
      <c r="B1259">
        <f t="shared" si="54"/>
        <v>52</v>
      </c>
      <c r="C1259">
        <v>1</v>
      </c>
      <c r="D1259">
        <v>1</v>
      </c>
      <c r="E1259">
        <v>1</v>
      </c>
      <c r="F1259">
        <v>1</v>
      </c>
      <c r="G1259">
        <v>1</v>
      </c>
      <c r="J1259">
        <f t="shared" si="55"/>
        <v>52</v>
      </c>
      <c r="K1259">
        <v>1</v>
      </c>
      <c r="L1259">
        <v>1</v>
      </c>
      <c r="M1259">
        <v>1</v>
      </c>
      <c r="N1259">
        <v>1</v>
      </c>
      <c r="O1259">
        <v>1</v>
      </c>
      <c r="R1259">
        <f t="shared" si="56"/>
        <v>52</v>
      </c>
      <c r="S1259">
        <v>1</v>
      </c>
      <c r="T1259">
        <v>1</v>
      </c>
      <c r="U1259">
        <v>1</v>
      </c>
      <c r="V1259">
        <v>1</v>
      </c>
      <c r="W1259">
        <v>1</v>
      </c>
      <c r="AA1259">
        <v>-9372.7019</v>
      </c>
      <c r="AB1259">
        <v>-9372.7019</v>
      </c>
      <c r="AC1259">
        <v>-9372.7019</v>
      </c>
      <c r="AD1259">
        <v>-9372.7019</v>
      </c>
      <c r="AE1259">
        <v>-9372.7019</v>
      </c>
    </row>
    <row r="1260" spans="2:31" x14ac:dyDescent="0.25">
      <c r="B1260">
        <f t="shared" si="54"/>
        <v>53</v>
      </c>
      <c r="C1260">
        <v>1</v>
      </c>
      <c r="D1260">
        <v>1</v>
      </c>
      <c r="E1260">
        <v>1</v>
      </c>
      <c r="F1260">
        <v>1</v>
      </c>
      <c r="G1260">
        <v>1</v>
      </c>
      <c r="J1260">
        <f t="shared" si="55"/>
        <v>53</v>
      </c>
      <c r="K1260">
        <v>1</v>
      </c>
      <c r="L1260">
        <v>1</v>
      </c>
      <c r="M1260">
        <v>1</v>
      </c>
      <c r="N1260">
        <v>1</v>
      </c>
      <c r="O1260">
        <v>1</v>
      </c>
      <c r="R1260">
        <f t="shared" si="56"/>
        <v>53</v>
      </c>
      <c r="S1260">
        <v>1</v>
      </c>
      <c r="T1260">
        <v>1</v>
      </c>
      <c r="U1260">
        <v>1</v>
      </c>
      <c r="V1260">
        <v>1</v>
      </c>
      <c r="W1260">
        <v>1</v>
      </c>
      <c r="AA1260">
        <v>-9236.6705000000002</v>
      </c>
      <c r="AB1260">
        <v>-9236.6705000000002</v>
      </c>
      <c r="AC1260">
        <v>-9236.6705000000002</v>
      </c>
      <c r="AD1260">
        <v>-9236.6705000000002</v>
      </c>
      <c r="AE1260">
        <v>-9236.6705000000002</v>
      </c>
    </row>
    <row r="1261" spans="2:31" x14ac:dyDescent="0.25">
      <c r="B1261">
        <f t="shared" si="54"/>
        <v>54</v>
      </c>
      <c r="C1261">
        <v>1</v>
      </c>
      <c r="D1261">
        <v>1</v>
      </c>
      <c r="E1261">
        <v>1</v>
      </c>
      <c r="F1261">
        <v>1</v>
      </c>
      <c r="G1261">
        <v>1</v>
      </c>
      <c r="J1261">
        <f t="shared" si="55"/>
        <v>54</v>
      </c>
      <c r="K1261">
        <v>1</v>
      </c>
      <c r="L1261">
        <v>1</v>
      </c>
      <c r="M1261">
        <v>1</v>
      </c>
      <c r="N1261">
        <v>1</v>
      </c>
      <c r="O1261">
        <v>1</v>
      </c>
      <c r="R1261">
        <f t="shared" si="56"/>
        <v>54</v>
      </c>
      <c r="S1261">
        <v>1</v>
      </c>
      <c r="T1261">
        <v>1</v>
      </c>
      <c r="U1261">
        <v>1</v>
      </c>
      <c r="V1261">
        <v>1</v>
      </c>
      <c r="W1261">
        <v>1</v>
      </c>
      <c r="AA1261">
        <v>-9098.4312000000009</v>
      </c>
      <c r="AB1261">
        <v>-9098.4312000000009</v>
      </c>
      <c r="AC1261">
        <v>-9098.4312000000009</v>
      </c>
      <c r="AD1261">
        <v>-9098.4312000000009</v>
      </c>
      <c r="AE1261">
        <v>-9098.4312000000009</v>
      </c>
    </row>
    <row r="1262" spans="2:31" x14ac:dyDescent="0.25">
      <c r="B1262">
        <f t="shared" si="54"/>
        <v>55</v>
      </c>
      <c r="C1262">
        <v>1</v>
      </c>
      <c r="D1262">
        <v>1</v>
      </c>
      <c r="E1262">
        <v>1</v>
      </c>
      <c r="F1262">
        <v>1</v>
      </c>
      <c r="G1262">
        <v>1</v>
      </c>
      <c r="J1262">
        <f t="shared" si="55"/>
        <v>55</v>
      </c>
      <c r="K1262">
        <v>1</v>
      </c>
      <c r="L1262">
        <v>1</v>
      </c>
      <c r="M1262">
        <v>1</v>
      </c>
      <c r="N1262">
        <v>1</v>
      </c>
      <c r="O1262">
        <v>1</v>
      </c>
      <c r="R1262">
        <f t="shared" si="56"/>
        <v>55</v>
      </c>
      <c r="S1262">
        <v>1</v>
      </c>
      <c r="T1262">
        <v>1</v>
      </c>
      <c r="U1262">
        <v>1</v>
      </c>
      <c r="V1262">
        <v>1</v>
      </c>
      <c r="W1262">
        <v>1</v>
      </c>
      <c r="AA1262">
        <v>-8958.0210999999999</v>
      </c>
      <c r="AB1262">
        <v>-8958.0210999999999</v>
      </c>
      <c r="AC1262">
        <v>-8958.0210999999999</v>
      </c>
      <c r="AD1262">
        <v>-8958.0210999999999</v>
      </c>
      <c r="AE1262">
        <v>-8958.0210999999999</v>
      </c>
    </row>
    <row r="1263" spans="2:31" x14ac:dyDescent="0.25">
      <c r="B1263">
        <f t="shared" si="54"/>
        <v>56</v>
      </c>
      <c r="C1263">
        <v>1</v>
      </c>
      <c r="D1263">
        <v>1</v>
      </c>
      <c r="E1263">
        <v>1</v>
      </c>
      <c r="F1263">
        <v>1</v>
      </c>
      <c r="G1263">
        <v>1</v>
      </c>
      <c r="J1263">
        <f t="shared" si="55"/>
        <v>56</v>
      </c>
      <c r="K1263">
        <v>1</v>
      </c>
      <c r="L1263">
        <v>1</v>
      </c>
      <c r="M1263">
        <v>1</v>
      </c>
      <c r="N1263">
        <v>1</v>
      </c>
      <c r="O1263">
        <v>1</v>
      </c>
      <c r="R1263">
        <f t="shared" si="56"/>
        <v>56</v>
      </c>
      <c r="S1263">
        <v>1</v>
      </c>
      <c r="T1263">
        <v>1</v>
      </c>
      <c r="U1263">
        <v>1</v>
      </c>
      <c r="V1263">
        <v>1</v>
      </c>
      <c r="W1263">
        <v>1</v>
      </c>
      <c r="AA1263">
        <v>-8815.6316999999999</v>
      </c>
      <c r="AB1263">
        <v>-8815.6316999999999</v>
      </c>
      <c r="AC1263">
        <v>-8815.6316999999999</v>
      </c>
      <c r="AD1263">
        <v>-8815.6316999999999</v>
      </c>
      <c r="AE1263">
        <v>-8815.6316999999999</v>
      </c>
    </row>
    <row r="1264" spans="2:31" x14ac:dyDescent="0.25">
      <c r="B1264">
        <f t="shared" si="54"/>
        <v>57</v>
      </c>
      <c r="C1264">
        <v>1</v>
      </c>
      <c r="D1264">
        <v>1</v>
      </c>
      <c r="E1264">
        <v>1</v>
      </c>
      <c r="F1264">
        <v>1</v>
      </c>
      <c r="G1264">
        <v>1</v>
      </c>
      <c r="J1264">
        <f t="shared" si="55"/>
        <v>57</v>
      </c>
      <c r="K1264">
        <v>1</v>
      </c>
      <c r="L1264">
        <v>1</v>
      </c>
      <c r="M1264">
        <v>1</v>
      </c>
      <c r="N1264">
        <v>1</v>
      </c>
      <c r="O1264">
        <v>1</v>
      </c>
      <c r="R1264">
        <f t="shared" si="56"/>
        <v>57</v>
      </c>
      <c r="S1264">
        <v>1</v>
      </c>
      <c r="T1264">
        <v>1</v>
      </c>
      <c r="U1264">
        <v>1</v>
      </c>
      <c r="V1264">
        <v>1</v>
      </c>
      <c r="W1264">
        <v>1</v>
      </c>
      <c r="AA1264">
        <v>-8671.3991999999998</v>
      </c>
      <c r="AB1264">
        <v>-8671.3991999999998</v>
      </c>
      <c r="AC1264">
        <v>-8671.3991999999998</v>
      </c>
      <c r="AD1264">
        <v>-8671.3991999999998</v>
      </c>
      <c r="AE1264">
        <v>-8671.3991999999998</v>
      </c>
    </row>
    <row r="1265" spans="2:32" x14ac:dyDescent="0.25">
      <c r="B1265">
        <f t="shared" si="54"/>
        <v>58</v>
      </c>
      <c r="C1265">
        <v>1</v>
      </c>
      <c r="D1265">
        <v>1</v>
      </c>
      <c r="E1265">
        <v>1</v>
      </c>
      <c r="F1265">
        <v>1</v>
      </c>
      <c r="G1265">
        <v>1</v>
      </c>
      <c r="J1265">
        <f t="shared" si="55"/>
        <v>58</v>
      </c>
      <c r="K1265">
        <v>1</v>
      </c>
      <c r="L1265">
        <v>1</v>
      </c>
      <c r="M1265">
        <v>1</v>
      </c>
      <c r="N1265">
        <v>1</v>
      </c>
      <c r="O1265">
        <v>1</v>
      </c>
      <c r="R1265">
        <f t="shared" si="56"/>
        <v>58</v>
      </c>
      <c r="S1265">
        <v>1</v>
      </c>
      <c r="T1265">
        <v>1</v>
      </c>
      <c r="U1265">
        <v>1</v>
      </c>
      <c r="V1265">
        <v>1</v>
      </c>
      <c r="W1265">
        <v>1</v>
      </c>
      <c r="AA1265">
        <v>-8525.2759999999998</v>
      </c>
      <c r="AB1265">
        <v>-8525.2759999999998</v>
      </c>
      <c r="AC1265">
        <v>-8525.2759999999998</v>
      </c>
      <c r="AD1265">
        <v>-8525.2759999999998</v>
      </c>
      <c r="AE1265">
        <v>-8525.2759999999998</v>
      </c>
    </row>
    <row r="1266" spans="2:32" x14ac:dyDescent="0.25">
      <c r="B1266">
        <f t="shared" si="54"/>
        <v>59</v>
      </c>
      <c r="C1266">
        <v>1</v>
      </c>
      <c r="D1266">
        <v>1</v>
      </c>
      <c r="E1266">
        <v>1</v>
      </c>
      <c r="F1266">
        <v>1</v>
      </c>
      <c r="G1266">
        <v>1</v>
      </c>
      <c r="J1266">
        <f t="shared" si="55"/>
        <v>59</v>
      </c>
      <c r="K1266">
        <v>1</v>
      </c>
      <c r="L1266">
        <v>1</v>
      </c>
      <c r="M1266">
        <v>1</v>
      </c>
      <c r="N1266">
        <v>1</v>
      </c>
      <c r="O1266">
        <v>1</v>
      </c>
      <c r="R1266">
        <f t="shared" si="56"/>
        <v>59</v>
      </c>
      <c r="S1266">
        <v>1</v>
      </c>
      <c r="T1266">
        <v>1</v>
      </c>
      <c r="U1266">
        <v>1</v>
      </c>
      <c r="V1266">
        <v>1</v>
      </c>
      <c r="W1266">
        <v>1</v>
      </c>
      <c r="AA1266">
        <v>-8377.2351999999992</v>
      </c>
      <c r="AB1266">
        <v>-8377.2351999999992</v>
      </c>
      <c r="AC1266">
        <v>-8377.2351999999992</v>
      </c>
      <c r="AD1266">
        <v>-8377.2351999999992</v>
      </c>
      <c r="AE1266">
        <v>-8377.2351999999992</v>
      </c>
    </row>
    <row r="1267" spans="2:32" x14ac:dyDescent="0.25">
      <c r="B1267">
        <f t="shared" si="54"/>
        <v>60</v>
      </c>
      <c r="C1267">
        <v>1</v>
      </c>
      <c r="D1267">
        <v>1</v>
      </c>
      <c r="E1267">
        <v>1</v>
      </c>
      <c r="F1267">
        <v>1</v>
      </c>
      <c r="G1267">
        <v>1</v>
      </c>
      <c r="J1267">
        <f t="shared" si="55"/>
        <v>60</v>
      </c>
      <c r="K1267">
        <v>1</v>
      </c>
      <c r="L1267">
        <v>1</v>
      </c>
      <c r="M1267">
        <v>1</v>
      </c>
      <c r="N1267">
        <v>1</v>
      </c>
      <c r="O1267">
        <v>1</v>
      </c>
      <c r="R1267">
        <f t="shared" si="56"/>
        <v>60</v>
      </c>
      <c r="S1267">
        <v>1</v>
      </c>
      <c r="T1267">
        <v>1</v>
      </c>
      <c r="U1267">
        <v>1</v>
      </c>
      <c r="V1267">
        <v>1</v>
      </c>
      <c r="W1267">
        <v>1</v>
      </c>
      <c r="AA1267">
        <v>-8227.3953999999994</v>
      </c>
      <c r="AB1267">
        <v>-8227.3953999999994</v>
      </c>
      <c r="AC1267">
        <v>-8227.3953999999994</v>
      </c>
      <c r="AD1267">
        <v>-8227.3953999999994</v>
      </c>
      <c r="AE1267">
        <v>-8227.3953999999994</v>
      </c>
    </row>
    <row r="1268" spans="2:32" x14ac:dyDescent="0.25">
      <c r="B1268">
        <f t="shared" si="54"/>
        <v>61</v>
      </c>
      <c r="C1268">
        <v>1</v>
      </c>
      <c r="D1268">
        <v>1</v>
      </c>
      <c r="E1268">
        <v>1</v>
      </c>
      <c r="F1268">
        <v>1</v>
      </c>
      <c r="G1268">
        <v>1</v>
      </c>
      <c r="J1268">
        <f t="shared" si="55"/>
        <v>61</v>
      </c>
      <c r="K1268">
        <v>1</v>
      </c>
      <c r="L1268">
        <v>1</v>
      </c>
      <c r="M1268">
        <v>1</v>
      </c>
      <c r="N1268">
        <v>1</v>
      </c>
      <c r="O1268">
        <v>1</v>
      </c>
      <c r="R1268">
        <f t="shared" si="56"/>
        <v>61</v>
      </c>
      <c r="S1268">
        <v>1</v>
      </c>
      <c r="T1268">
        <v>1</v>
      </c>
      <c r="U1268">
        <v>1</v>
      </c>
      <c r="V1268">
        <v>1</v>
      </c>
      <c r="W1268">
        <v>1</v>
      </c>
      <c r="AA1268">
        <v>-8076.1778999999997</v>
      </c>
      <c r="AB1268">
        <v>-8076.1778999999997</v>
      </c>
      <c r="AC1268">
        <v>-8076.1778999999997</v>
      </c>
      <c r="AD1268">
        <v>-8076.1778999999997</v>
      </c>
      <c r="AE1268">
        <v>-8076.1778999999997</v>
      </c>
    </row>
    <row r="1269" spans="2:32" x14ac:dyDescent="0.25">
      <c r="B1269">
        <f t="shared" si="54"/>
        <v>62</v>
      </c>
      <c r="C1269">
        <v>1</v>
      </c>
      <c r="D1269">
        <v>1</v>
      </c>
      <c r="E1269">
        <v>1</v>
      </c>
      <c r="F1269">
        <v>1</v>
      </c>
      <c r="G1269">
        <v>1</v>
      </c>
      <c r="J1269">
        <f t="shared" si="55"/>
        <v>62</v>
      </c>
      <c r="K1269">
        <v>1</v>
      </c>
      <c r="L1269">
        <v>1</v>
      </c>
      <c r="M1269">
        <v>1</v>
      </c>
      <c r="N1269">
        <v>1</v>
      </c>
      <c r="O1269">
        <v>1</v>
      </c>
      <c r="R1269">
        <f t="shared" si="56"/>
        <v>62</v>
      </c>
      <c r="S1269">
        <v>1</v>
      </c>
      <c r="T1269">
        <v>1</v>
      </c>
      <c r="U1269">
        <v>1</v>
      </c>
      <c r="V1269">
        <v>1</v>
      </c>
      <c r="W1269">
        <v>1</v>
      </c>
      <c r="AA1269">
        <v>-7923.5816000000004</v>
      </c>
      <c r="AB1269">
        <v>-7923.5816000000004</v>
      </c>
      <c r="AC1269">
        <v>-7923.5816000000004</v>
      </c>
      <c r="AD1269">
        <v>-7923.5816000000004</v>
      </c>
      <c r="AE1269">
        <v>-7923.5816000000004</v>
      </c>
    </row>
    <row r="1270" spans="2:32" x14ac:dyDescent="0.25">
      <c r="B1270">
        <f t="shared" si="54"/>
        <v>63</v>
      </c>
      <c r="C1270">
        <v>1</v>
      </c>
      <c r="D1270">
        <v>1</v>
      </c>
      <c r="E1270">
        <v>1</v>
      </c>
      <c r="F1270">
        <v>1</v>
      </c>
      <c r="G1270">
        <v>1</v>
      </c>
      <c r="J1270">
        <f t="shared" si="55"/>
        <v>63</v>
      </c>
      <c r="K1270">
        <v>1</v>
      </c>
      <c r="L1270">
        <v>1</v>
      </c>
      <c r="M1270">
        <v>1</v>
      </c>
      <c r="N1270">
        <v>1</v>
      </c>
      <c r="O1270">
        <v>1</v>
      </c>
      <c r="R1270">
        <f t="shared" si="56"/>
        <v>63</v>
      </c>
      <c r="S1270">
        <v>1</v>
      </c>
      <c r="T1270">
        <v>1</v>
      </c>
      <c r="U1270">
        <v>1</v>
      </c>
      <c r="V1270">
        <v>1</v>
      </c>
      <c r="W1270">
        <v>1</v>
      </c>
      <c r="AA1270">
        <v>-7769.2775000000001</v>
      </c>
      <c r="AB1270">
        <v>-7769.2775000000001</v>
      </c>
      <c r="AC1270">
        <v>-7769.2775000000001</v>
      </c>
      <c r="AD1270">
        <v>-7769.2775000000001</v>
      </c>
      <c r="AE1270">
        <v>-7769.2775000000001</v>
      </c>
    </row>
    <row r="1271" spans="2:32" x14ac:dyDescent="0.25">
      <c r="B1271">
        <f t="shared" si="54"/>
        <v>64</v>
      </c>
      <c r="C1271">
        <v>1</v>
      </c>
      <c r="D1271">
        <v>1</v>
      </c>
      <c r="E1271">
        <v>1</v>
      </c>
      <c r="F1271">
        <v>1</v>
      </c>
      <c r="G1271">
        <v>1</v>
      </c>
      <c r="J1271">
        <f t="shared" si="55"/>
        <v>64</v>
      </c>
      <c r="K1271">
        <v>1</v>
      </c>
      <c r="L1271">
        <v>1</v>
      </c>
      <c r="M1271">
        <v>1</v>
      </c>
      <c r="N1271">
        <v>1</v>
      </c>
      <c r="O1271">
        <v>1</v>
      </c>
      <c r="R1271">
        <f t="shared" si="56"/>
        <v>64</v>
      </c>
      <c r="S1271">
        <v>1</v>
      </c>
      <c r="T1271">
        <v>1</v>
      </c>
      <c r="U1271">
        <v>1</v>
      </c>
      <c r="V1271">
        <v>1</v>
      </c>
      <c r="W1271">
        <v>1</v>
      </c>
      <c r="AA1271">
        <v>-7613.3999000000003</v>
      </c>
      <c r="AB1271">
        <v>-7613.3999000000003</v>
      </c>
      <c r="AC1271">
        <v>-7613.3999000000003</v>
      </c>
      <c r="AD1271">
        <v>-7613.3999000000003</v>
      </c>
      <c r="AE1271">
        <v>-7613.3999000000003</v>
      </c>
    </row>
    <row r="1272" spans="2:32" x14ac:dyDescent="0.25">
      <c r="B1272">
        <f t="shared" si="54"/>
        <v>65</v>
      </c>
      <c r="C1272">
        <v>1</v>
      </c>
      <c r="D1272">
        <v>1</v>
      </c>
      <c r="E1272">
        <v>1</v>
      </c>
      <c r="F1272">
        <v>1</v>
      </c>
      <c r="G1272">
        <v>1</v>
      </c>
      <c r="J1272">
        <f t="shared" si="55"/>
        <v>65</v>
      </c>
      <c r="K1272">
        <v>1</v>
      </c>
      <c r="L1272">
        <v>1</v>
      </c>
      <c r="M1272">
        <v>1</v>
      </c>
      <c r="N1272">
        <v>1</v>
      </c>
      <c r="O1272">
        <v>1</v>
      </c>
      <c r="R1272">
        <f t="shared" si="56"/>
        <v>65</v>
      </c>
      <c r="S1272">
        <v>1</v>
      </c>
      <c r="T1272">
        <v>1</v>
      </c>
      <c r="U1272">
        <v>1</v>
      </c>
      <c r="V1272">
        <v>1</v>
      </c>
      <c r="W1272">
        <v>1</v>
      </c>
      <c r="AA1272">
        <v>-7455.8590000000004</v>
      </c>
      <c r="AB1272">
        <v>-7455.8590000000004</v>
      </c>
      <c r="AC1272">
        <v>-7455.8590000000004</v>
      </c>
      <c r="AD1272">
        <v>-7455.8590000000004</v>
      </c>
      <c r="AE1272">
        <v>-7455.8590000000004</v>
      </c>
    </row>
    <row r="1275" spans="2:32" x14ac:dyDescent="0.25">
      <c r="B1275" t="s">
        <v>46</v>
      </c>
      <c r="C1275">
        <v>50000</v>
      </c>
      <c r="D1275">
        <v>100000</v>
      </c>
      <c r="E1275">
        <v>250000</v>
      </c>
      <c r="F1275">
        <v>500000</v>
      </c>
      <c r="G1275">
        <v>1000000</v>
      </c>
      <c r="H1275">
        <v>2000000</v>
      </c>
      <c r="J1275" t="s">
        <v>47</v>
      </c>
      <c r="K1275">
        <v>50000</v>
      </c>
      <c r="L1275">
        <v>100000</v>
      </c>
      <c r="M1275">
        <v>250000</v>
      </c>
      <c r="N1275">
        <v>500000</v>
      </c>
      <c r="O1275">
        <v>1000000</v>
      </c>
      <c r="P1275">
        <v>2000000</v>
      </c>
      <c r="R1275" t="s">
        <v>48</v>
      </c>
      <c r="S1275">
        <v>50000</v>
      </c>
      <c r="T1275">
        <v>100000</v>
      </c>
      <c r="U1275">
        <v>250000</v>
      </c>
      <c r="V1275">
        <v>500000</v>
      </c>
      <c r="W1275">
        <v>1000000</v>
      </c>
      <c r="X1275">
        <v>2000000</v>
      </c>
    </row>
    <row r="1276" spans="2:32" x14ac:dyDescent="0.25">
      <c r="B1276">
        <v>26</v>
      </c>
      <c r="C1276">
        <v>1</v>
      </c>
      <c r="D1276">
        <v>1</v>
      </c>
      <c r="E1276">
        <v>1</v>
      </c>
      <c r="F1276">
        <v>1</v>
      </c>
      <c r="G1276">
        <v>1</v>
      </c>
      <c r="H1276">
        <v>1</v>
      </c>
      <c r="J1276">
        <v>26</v>
      </c>
      <c r="K1276">
        <v>1</v>
      </c>
      <c r="L1276">
        <v>1</v>
      </c>
      <c r="M1276">
        <v>1</v>
      </c>
      <c r="N1276">
        <v>1</v>
      </c>
      <c r="O1276">
        <v>1</v>
      </c>
      <c r="P1276">
        <v>1</v>
      </c>
      <c r="R1276">
        <v>26</v>
      </c>
      <c r="S1276">
        <v>1</v>
      </c>
      <c r="T1276">
        <v>1</v>
      </c>
      <c r="U1276">
        <v>1</v>
      </c>
      <c r="V1276">
        <v>1</v>
      </c>
      <c r="W1276">
        <v>1</v>
      </c>
      <c r="X1276">
        <v>1</v>
      </c>
      <c r="AA1276">
        <v>-7435.5060999999996</v>
      </c>
      <c r="AB1276">
        <v>-7435.5060999999996</v>
      </c>
      <c r="AC1276">
        <v>-7435.5060999999996</v>
      </c>
      <c r="AD1276">
        <v>-7435.5060999999996</v>
      </c>
      <c r="AE1276">
        <v>-7435.5060999999996</v>
      </c>
      <c r="AF1276">
        <v>-7435.5060999999996</v>
      </c>
    </row>
    <row r="1277" spans="2:32" x14ac:dyDescent="0.25">
      <c r="B1277">
        <v>27</v>
      </c>
      <c r="C1277">
        <v>1</v>
      </c>
      <c r="D1277">
        <v>1</v>
      </c>
      <c r="E1277">
        <v>1</v>
      </c>
      <c r="F1277">
        <v>1</v>
      </c>
      <c r="G1277">
        <v>1</v>
      </c>
      <c r="H1277">
        <v>1</v>
      </c>
      <c r="J1277">
        <v>27</v>
      </c>
      <c r="K1277">
        <v>1</v>
      </c>
      <c r="L1277">
        <v>1</v>
      </c>
      <c r="M1277">
        <v>1</v>
      </c>
      <c r="N1277">
        <v>1</v>
      </c>
      <c r="O1277">
        <v>1</v>
      </c>
      <c r="P1277">
        <v>1</v>
      </c>
      <c r="R1277">
        <v>27</v>
      </c>
      <c r="S1277">
        <v>1</v>
      </c>
      <c r="T1277">
        <v>1</v>
      </c>
      <c r="U1277">
        <v>1</v>
      </c>
      <c r="V1277">
        <v>1</v>
      </c>
      <c r="W1277">
        <v>1</v>
      </c>
      <c r="X1277">
        <v>1</v>
      </c>
      <c r="AA1277">
        <v>-7434.2619000000004</v>
      </c>
      <c r="AB1277">
        <v>-7434.2619000000004</v>
      </c>
      <c r="AC1277">
        <v>-7434.2619000000004</v>
      </c>
      <c r="AD1277">
        <v>-7434.2619000000004</v>
      </c>
      <c r="AE1277">
        <v>-7434.2619000000004</v>
      </c>
      <c r="AF1277">
        <v>-7434.2619000000004</v>
      </c>
    </row>
    <row r="1278" spans="2:32" x14ac:dyDescent="0.25">
      <c r="B1278">
        <v>28</v>
      </c>
      <c r="C1278">
        <v>1</v>
      </c>
      <c r="D1278">
        <v>1</v>
      </c>
      <c r="E1278">
        <v>1</v>
      </c>
      <c r="F1278">
        <v>1</v>
      </c>
      <c r="G1278">
        <v>1</v>
      </c>
      <c r="H1278">
        <v>1</v>
      </c>
      <c r="J1278">
        <v>28</v>
      </c>
      <c r="K1278">
        <v>1</v>
      </c>
      <c r="L1278">
        <v>1</v>
      </c>
      <c r="M1278">
        <v>1</v>
      </c>
      <c r="N1278">
        <v>1</v>
      </c>
      <c r="O1278">
        <v>1</v>
      </c>
      <c r="P1278">
        <v>1</v>
      </c>
      <c r="R1278">
        <v>28</v>
      </c>
      <c r="S1278">
        <v>1</v>
      </c>
      <c r="T1278">
        <v>1</v>
      </c>
      <c r="U1278">
        <v>1</v>
      </c>
      <c r="V1278">
        <v>1</v>
      </c>
      <c r="W1278">
        <v>1</v>
      </c>
      <c r="X1278">
        <v>1</v>
      </c>
      <c r="AA1278">
        <v>-7432.8334999999997</v>
      </c>
      <c r="AB1278">
        <v>-7432.8334999999997</v>
      </c>
      <c r="AC1278">
        <v>-7432.8334999999997</v>
      </c>
      <c r="AD1278">
        <v>-7432.8334999999997</v>
      </c>
      <c r="AE1278">
        <v>-7432.8334999999997</v>
      </c>
      <c r="AF1278">
        <v>-7432.8334999999997</v>
      </c>
    </row>
    <row r="1279" spans="2:32" x14ac:dyDescent="0.25">
      <c r="B1279">
        <v>29</v>
      </c>
      <c r="C1279">
        <v>1</v>
      </c>
      <c r="D1279">
        <v>1</v>
      </c>
      <c r="E1279">
        <v>1</v>
      </c>
      <c r="F1279">
        <v>1</v>
      </c>
      <c r="G1279">
        <v>1</v>
      </c>
      <c r="H1279">
        <v>1</v>
      </c>
      <c r="J1279">
        <v>29</v>
      </c>
      <c r="K1279">
        <v>1</v>
      </c>
      <c r="L1279">
        <v>1</v>
      </c>
      <c r="M1279">
        <v>1</v>
      </c>
      <c r="N1279">
        <v>1</v>
      </c>
      <c r="O1279">
        <v>1</v>
      </c>
      <c r="P1279">
        <v>1</v>
      </c>
      <c r="R1279">
        <v>29</v>
      </c>
      <c r="S1279">
        <v>1</v>
      </c>
      <c r="T1279">
        <v>1</v>
      </c>
      <c r="U1279">
        <v>1</v>
      </c>
      <c r="V1279">
        <v>1</v>
      </c>
      <c r="W1279">
        <v>1</v>
      </c>
      <c r="X1279">
        <v>1</v>
      </c>
      <c r="AA1279">
        <v>-7431.2058999999999</v>
      </c>
      <c r="AB1279">
        <v>-7431.2058999999999</v>
      </c>
      <c r="AC1279">
        <v>-7431.2058999999999</v>
      </c>
      <c r="AD1279">
        <v>-7431.2058999999999</v>
      </c>
      <c r="AE1279">
        <v>-7431.2058999999999</v>
      </c>
      <c r="AF1279">
        <v>-7431.2058999999999</v>
      </c>
    </row>
    <row r="1280" spans="2:32" x14ac:dyDescent="0.25">
      <c r="B1280">
        <v>30</v>
      </c>
      <c r="C1280">
        <v>1</v>
      </c>
      <c r="D1280">
        <v>1</v>
      </c>
      <c r="E1280">
        <v>1</v>
      </c>
      <c r="F1280">
        <v>1</v>
      </c>
      <c r="G1280">
        <v>1</v>
      </c>
      <c r="H1280">
        <v>1</v>
      </c>
      <c r="J1280">
        <v>30</v>
      </c>
      <c r="K1280">
        <v>1</v>
      </c>
      <c r="L1280">
        <v>1</v>
      </c>
      <c r="M1280">
        <v>1</v>
      </c>
      <c r="N1280">
        <v>1</v>
      </c>
      <c r="O1280">
        <v>1</v>
      </c>
      <c r="P1280">
        <v>1</v>
      </c>
      <c r="R1280">
        <v>30</v>
      </c>
      <c r="S1280">
        <v>1</v>
      </c>
      <c r="T1280">
        <v>1</v>
      </c>
      <c r="U1280">
        <v>1</v>
      </c>
      <c r="V1280">
        <v>1</v>
      </c>
      <c r="W1280">
        <v>1</v>
      </c>
      <c r="X1280">
        <v>1</v>
      </c>
      <c r="AA1280">
        <v>-7429.3476000000001</v>
      </c>
      <c r="AB1280">
        <v>-7429.3476000000001</v>
      </c>
      <c r="AC1280">
        <v>-7429.3476000000001</v>
      </c>
      <c r="AD1280">
        <v>-7429.3476000000001</v>
      </c>
      <c r="AE1280">
        <v>-7429.3476000000001</v>
      </c>
      <c r="AF1280">
        <v>-7429.3476000000001</v>
      </c>
    </row>
    <row r="1281" spans="2:32" x14ac:dyDescent="0.25">
      <c r="B1281">
        <v>31</v>
      </c>
      <c r="C1281">
        <v>1</v>
      </c>
      <c r="D1281">
        <v>1</v>
      </c>
      <c r="E1281">
        <v>1</v>
      </c>
      <c r="F1281">
        <v>1</v>
      </c>
      <c r="G1281">
        <v>1</v>
      </c>
      <c r="H1281">
        <v>1</v>
      </c>
      <c r="J1281">
        <v>31</v>
      </c>
      <c r="K1281">
        <v>1</v>
      </c>
      <c r="L1281">
        <v>1</v>
      </c>
      <c r="M1281">
        <v>1</v>
      </c>
      <c r="N1281">
        <v>1</v>
      </c>
      <c r="O1281">
        <v>1</v>
      </c>
      <c r="P1281">
        <v>1</v>
      </c>
      <c r="R1281">
        <v>31</v>
      </c>
      <c r="S1281">
        <v>1</v>
      </c>
      <c r="T1281">
        <v>1</v>
      </c>
      <c r="U1281">
        <v>1</v>
      </c>
      <c r="V1281">
        <v>1</v>
      </c>
      <c r="W1281">
        <v>1</v>
      </c>
      <c r="X1281">
        <v>1</v>
      </c>
      <c r="AA1281">
        <v>-7427.2446</v>
      </c>
      <c r="AB1281">
        <v>-7427.2446</v>
      </c>
      <c r="AC1281">
        <v>-7427.2446</v>
      </c>
      <c r="AD1281">
        <v>-7427.2446</v>
      </c>
      <c r="AE1281">
        <v>-7427.2446</v>
      </c>
      <c r="AF1281">
        <v>-7427.2446</v>
      </c>
    </row>
    <row r="1282" spans="2:32" x14ac:dyDescent="0.25">
      <c r="B1282">
        <v>32</v>
      </c>
      <c r="C1282">
        <v>1</v>
      </c>
      <c r="D1282">
        <v>1</v>
      </c>
      <c r="E1282">
        <v>1</v>
      </c>
      <c r="F1282">
        <v>1</v>
      </c>
      <c r="G1282">
        <v>1</v>
      </c>
      <c r="H1282">
        <v>1</v>
      </c>
      <c r="J1282">
        <v>32</v>
      </c>
      <c r="K1282">
        <v>1</v>
      </c>
      <c r="L1282">
        <v>1</v>
      </c>
      <c r="M1282">
        <v>1</v>
      </c>
      <c r="N1282">
        <v>1</v>
      </c>
      <c r="O1282">
        <v>1</v>
      </c>
      <c r="P1282">
        <v>1</v>
      </c>
      <c r="R1282">
        <v>32</v>
      </c>
      <c r="S1282">
        <v>1</v>
      </c>
      <c r="T1282">
        <v>1</v>
      </c>
      <c r="U1282">
        <v>1</v>
      </c>
      <c r="V1282">
        <v>1</v>
      </c>
      <c r="W1282">
        <v>1</v>
      </c>
      <c r="X1282">
        <v>1</v>
      </c>
      <c r="AA1282">
        <v>-7424.8944000000001</v>
      </c>
      <c r="AB1282">
        <v>-7424.8944000000001</v>
      </c>
      <c r="AC1282">
        <v>-7424.8944000000001</v>
      </c>
      <c r="AD1282">
        <v>-7424.8944000000001</v>
      </c>
      <c r="AE1282">
        <v>-7424.8944000000001</v>
      </c>
      <c r="AF1282">
        <v>-7424.8944000000001</v>
      </c>
    </row>
    <row r="1283" spans="2:32" x14ac:dyDescent="0.25">
      <c r="B1283">
        <v>33</v>
      </c>
      <c r="C1283">
        <v>1</v>
      </c>
      <c r="D1283">
        <v>1</v>
      </c>
      <c r="E1283">
        <v>1</v>
      </c>
      <c r="F1283">
        <v>1</v>
      </c>
      <c r="G1283">
        <v>1</v>
      </c>
      <c r="H1283">
        <v>1</v>
      </c>
      <c r="J1283">
        <v>33</v>
      </c>
      <c r="K1283">
        <v>1</v>
      </c>
      <c r="L1283">
        <v>1</v>
      </c>
      <c r="M1283">
        <v>1</v>
      </c>
      <c r="N1283">
        <v>1</v>
      </c>
      <c r="O1283">
        <v>1</v>
      </c>
      <c r="P1283">
        <v>1</v>
      </c>
      <c r="R1283">
        <v>33</v>
      </c>
      <c r="S1283">
        <v>1</v>
      </c>
      <c r="T1283">
        <v>1</v>
      </c>
      <c r="U1283">
        <v>1</v>
      </c>
      <c r="V1283">
        <v>1</v>
      </c>
      <c r="W1283">
        <v>1</v>
      </c>
      <c r="X1283">
        <v>1</v>
      </c>
      <c r="AA1283">
        <v>-7422.2834000000003</v>
      </c>
      <c r="AB1283">
        <v>-7422.2834000000003</v>
      </c>
      <c r="AC1283">
        <v>-7422.2834000000003</v>
      </c>
      <c r="AD1283">
        <v>-7422.2834000000003</v>
      </c>
      <c r="AE1283">
        <v>-7422.2834000000003</v>
      </c>
      <c r="AF1283">
        <v>-7422.2834000000003</v>
      </c>
    </row>
    <row r="1284" spans="2:32" x14ac:dyDescent="0.25">
      <c r="B1284">
        <v>34</v>
      </c>
      <c r="C1284">
        <v>1</v>
      </c>
      <c r="D1284">
        <v>1</v>
      </c>
      <c r="E1284">
        <v>1</v>
      </c>
      <c r="F1284">
        <v>1</v>
      </c>
      <c r="G1284">
        <v>1</v>
      </c>
      <c r="H1284">
        <v>1</v>
      </c>
      <c r="J1284">
        <v>34</v>
      </c>
      <c r="K1284">
        <v>1</v>
      </c>
      <c r="L1284">
        <v>1</v>
      </c>
      <c r="M1284">
        <v>1</v>
      </c>
      <c r="N1284">
        <v>1</v>
      </c>
      <c r="O1284">
        <v>1</v>
      </c>
      <c r="P1284">
        <v>1</v>
      </c>
      <c r="R1284">
        <v>34</v>
      </c>
      <c r="S1284">
        <v>1</v>
      </c>
      <c r="T1284">
        <v>1</v>
      </c>
      <c r="U1284">
        <v>1</v>
      </c>
      <c r="V1284">
        <v>1</v>
      </c>
      <c r="W1284">
        <v>1</v>
      </c>
      <c r="X1284">
        <v>1</v>
      </c>
      <c r="AA1284">
        <v>-7419.3683000000001</v>
      </c>
      <c r="AB1284">
        <v>-7419.3683000000001</v>
      </c>
      <c r="AC1284">
        <v>-7419.3683000000001</v>
      </c>
      <c r="AD1284">
        <v>-7419.3683000000001</v>
      </c>
      <c r="AE1284">
        <v>-7419.3683000000001</v>
      </c>
      <c r="AF1284">
        <v>-7419.3683000000001</v>
      </c>
    </row>
    <row r="1285" spans="2:32" x14ac:dyDescent="0.25">
      <c r="B1285">
        <v>35</v>
      </c>
      <c r="C1285">
        <v>1</v>
      </c>
      <c r="D1285">
        <v>1</v>
      </c>
      <c r="E1285">
        <v>1</v>
      </c>
      <c r="F1285">
        <v>1</v>
      </c>
      <c r="G1285">
        <v>1</v>
      </c>
      <c r="H1285">
        <v>1</v>
      </c>
      <c r="J1285">
        <v>35</v>
      </c>
      <c r="K1285">
        <v>1</v>
      </c>
      <c r="L1285">
        <v>1</v>
      </c>
      <c r="M1285">
        <v>1</v>
      </c>
      <c r="N1285">
        <v>1</v>
      </c>
      <c r="O1285">
        <v>1</v>
      </c>
      <c r="P1285">
        <v>1</v>
      </c>
      <c r="R1285">
        <v>35</v>
      </c>
      <c r="S1285">
        <v>1</v>
      </c>
      <c r="T1285">
        <v>1</v>
      </c>
      <c r="U1285">
        <v>1</v>
      </c>
      <c r="V1285">
        <v>1</v>
      </c>
      <c r="W1285">
        <v>1</v>
      </c>
      <c r="X1285">
        <v>1</v>
      </c>
      <c r="AA1285">
        <v>-7416.1363000000001</v>
      </c>
      <c r="AB1285">
        <v>-7416.1363000000001</v>
      </c>
      <c r="AC1285">
        <v>-7416.1363000000001</v>
      </c>
      <c r="AD1285">
        <v>-7416.1363000000001</v>
      </c>
      <c r="AE1285">
        <v>-7416.1363000000001</v>
      </c>
      <c r="AF1285">
        <v>-7416.1363000000001</v>
      </c>
    </row>
    <row r="1286" spans="2:32" x14ac:dyDescent="0.25">
      <c r="B1286">
        <v>36</v>
      </c>
      <c r="C1286">
        <v>1</v>
      </c>
      <c r="D1286">
        <v>1</v>
      </c>
      <c r="E1286">
        <v>1</v>
      </c>
      <c r="F1286">
        <v>1</v>
      </c>
      <c r="G1286">
        <v>1</v>
      </c>
      <c r="H1286">
        <v>1</v>
      </c>
      <c r="J1286">
        <v>36</v>
      </c>
      <c r="K1286">
        <v>1</v>
      </c>
      <c r="L1286">
        <v>1</v>
      </c>
      <c r="M1286">
        <v>1</v>
      </c>
      <c r="N1286">
        <v>1</v>
      </c>
      <c r="O1286">
        <v>1</v>
      </c>
      <c r="P1286">
        <v>1</v>
      </c>
      <c r="R1286">
        <v>36</v>
      </c>
      <c r="S1286">
        <v>1</v>
      </c>
      <c r="T1286">
        <v>1</v>
      </c>
      <c r="U1286">
        <v>1</v>
      </c>
      <c r="V1286">
        <v>1</v>
      </c>
      <c r="W1286">
        <v>1</v>
      </c>
      <c r="X1286">
        <v>1</v>
      </c>
      <c r="AA1286">
        <v>-7412.5378000000001</v>
      </c>
      <c r="AB1286">
        <v>-7412.5378000000001</v>
      </c>
      <c r="AC1286">
        <v>-7412.5378000000001</v>
      </c>
      <c r="AD1286">
        <v>-7412.5378000000001</v>
      </c>
      <c r="AE1286">
        <v>-7412.5378000000001</v>
      </c>
      <c r="AF1286">
        <v>-7412.5378000000001</v>
      </c>
    </row>
    <row r="1287" spans="2:32" x14ac:dyDescent="0.25">
      <c r="B1287">
        <v>37</v>
      </c>
      <c r="C1287">
        <v>1</v>
      </c>
      <c r="D1287">
        <v>1</v>
      </c>
      <c r="E1287">
        <v>1</v>
      </c>
      <c r="F1287">
        <v>1</v>
      </c>
      <c r="G1287">
        <v>1</v>
      </c>
      <c r="H1287">
        <v>1</v>
      </c>
      <c r="J1287">
        <v>37</v>
      </c>
      <c r="K1287">
        <v>1</v>
      </c>
      <c r="L1287">
        <v>1</v>
      </c>
      <c r="M1287">
        <v>1</v>
      </c>
      <c r="N1287">
        <v>1</v>
      </c>
      <c r="O1287">
        <v>1</v>
      </c>
      <c r="P1287">
        <v>1</v>
      </c>
      <c r="R1287">
        <v>37</v>
      </c>
      <c r="S1287">
        <v>1</v>
      </c>
      <c r="T1287">
        <v>1</v>
      </c>
      <c r="U1287">
        <v>1</v>
      </c>
      <c r="V1287">
        <v>1</v>
      </c>
      <c r="W1287">
        <v>1</v>
      </c>
      <c r="X1287">
        <v>1</v>
      </c>
      <c r="AA1287">
        <v>-7408.55</v>
      </c>
      <c r="AB1287">
        <v>-7408.55</v>
      </c>
      <c r="AC1287">
        <v>-7408.55</v>
      </c>
      <c r="AD1287">
        <v>-7408.55</v>
      </c>
      <c r="AE1287">
        <v>-7408.55</v>
      </c>
      <c r="AF1287">
        <v>-7408.55</v>
      </c>
    </row>
    <row r="1288" spans="2:32" x14ac:dyDescent="0.25">
      <c r="B1288">
        <v>38</v>
      </c>
      <c r="C1288">
        <v>1</v>
      </c>
      <c r="D1288">
        <v>1</v>
      </c>
      <c r="E1288">
        <v>1</v>
      </c>
      <c r="F1288">
        <v>1</v>
      </c>
      <c r="G1288">
        <v>1</v>
      </c>
      <c r="H1288">
        <v>1</v>
      </c>
      <c r="J1288">
        <v>38</v>
      </c>
      <c r="K1288">
        <v>1</v>
      </c>
      <c r="L1288">
        <v>1</v>
      </c>
      <c r="M1288">
        <v>1</v>
      </c>
      <c r="N1288">
        <v>1</v>
      </c>
      <c r="O1288">
        <v>1</v>
      </c>
      <c r="P1288">
        <v>1</v>
      </c>
      <c r="R1288">
        <v>38</v>
      </c>
      <c r="S1288">
        <v>1</v>
      </c>
      <c r="T1288">
        <v>1</v>
      </c>
      <c r="U1288">
        <v>1</v>
      </c>
      <c r="V1288">
        <v>1</v>
      </c>
      <c r="W1288">
        <v>1</v>
      </c>
      <c r="X1288">
        <v>1</v>
      </c>
      <c r="AA1288">
        <v>-7404.1752999999999</v>
      </c>
      <c r="AB1288">
        <v>-7404.1752999999999</v>
      </c>
      <c r="AC1288">
        <v>-7404.1752999999999</v>
      </c>
      <c r="AD1288">
        <v>-7404.1752999999999</v>
      </c>
      <c r="AE1288">
        <v>-7404.1752999999999</v>
      </c>
      <c r="AF1288">
        <v>-7404.1752999999999</v>
      </c>
    </row>
    <row r="1289" spans="2:32" x14ac:dyDescent="0.25">
      <c r="B1289">
        <v>39</v>
      </c>
      <c r="C1289">
        <v>1</v>
      </c>
      <c r="D1289">
        <v>1</v>
      </c>
      <c r="E1289">
        <v>1</v>
      </c>
      <c r="F1289">
        <v>1</v>
      </c>
      <c r="G1289">
        <v>1</v>
      </c>
      <c r="H1289">
        <v>1</v>
      </c>
      <c r="J1289">
        <v>39</v>
      </c>
      <c r="K1289">
        <v>1</v>
      </c>
      <c r="L1289">
        <v>1</v>
      </c>
      <c r="M1289">
        <v>1</v>
      </c>
      <c r="N1289">
        <v>1</v>
      </c>
      <c r="O1289">
        <v>1</v>
      </c>
      <c r="P1289">
        <v>1</v>
      </c>
      <c r="R1289">
        <v>39</v>
      </c>
      <c r="S1289">
        <v>1</v>
      </c>
      <c r="T1289">
        <v>1</v>
      </c>
      <c r="U1289">
        <v>1</v>
      </c>
      <c r="V1289">
        <v>1</v>
      </c>
      <c r="W1289">
        <v>1</v>
      </c>
      <c r="X1289">
        <v>1</v>
      </c>
      <c r="AA1289">
        <v>-7399.3923999999997</v>
      </c>
      <c r="AB1289">
        <v>-7399.3923999999997</v>
      </c>
      <c r="AC1289">
        <v>-7399.3923999999997</v>
      </c>
      <c r="AD1289">
        <v>-7399.3923999999997</v>
      </c>
      <c r="AE1289">
        <v>-7399.3923999999997</v>
      </c>
      <c r="AF1289">
        <v>-7399.3923999999997</v>
      </c>
    </row>
    <row r="1290" spans="2:32" x14ac:dyDescent="0.25">
      <c r="B1290">
        <v>40</v>
      </c>
      <c r="C1290">
        <v>1</v>
      </c>
      <c r="D1290">
        <v>1</v>
      </c>
      <c r="E1290">
        <v>1</v>
      </c>
      <c r="F1290">
        <v>1</v>
      </c>
      <c r="G1290">
        <v>1</v>
      </c>
      <c r="H1290">
        <v>1</v>
      </c>
      <c r="J1290">
        <v>40</v>
      </c>
      <c r="K1290">
        <v>1</v>
      </c>
      <c r="L1290">
        <v>1</v>
      </c>
      <c r="M1290">
        <v>1</v>
      </c>
      <c r="N1290">
        <v>1</v>
      </c>
      <c r="O1290">
        <v>1</v>
      </c>
      <c r="P1290">
        <v>1</v>
      </c>
      <c r="R1290">
        <v>40</v>
      </c>
      <c r="S1290">
        <v>1</v>
      </c>
      <c r="T1290">
        <v>1</v>
      </c>
      <c r="U1290">
        <v>1</v>
      </c>
      <c r="V1290">
        <v>1</v>
      </c>
      <c r="W1290">
        <v>1</v>
      </c>
      <c r="X1290">
        <v>1</v>
      </c>
      <c r="AA1290">
        <v>-7394.1365999999998</v>
      </c>
      <c r="AB1290">
        <v>-7394.1365999999998</v>
      </c>
      <c r="AC1290">
        <v>-7394.1365999999998</v>
      </c>
      <c r="AD1290">
        <v>-7394.1365999999998</v>
      </c>
      <c r="AE1290">
        <v>-7394.1365999999998</v>
      </c>
      <c r="AF1290">
        <v>-7394.1365999999998</v>
      </c>
    </row>
    <row r="1291" spans="2:32" x14ac:dyDescent="0.25">
      <c r="B1291">
        <v>41</v>
      </c>
      <c r="C1291">
        <v>1</v>
      </c>
      <c r="D1291">
        <v>1</v>
      </c>
      <c r="E1291">
        <v>1</v>
      </c>
      <c r="F1291">
        <v>1</v>
      </c>
      <c r="G1291">
        <v>1</v>
      </c>
      <c r="H1291">
        <v>1</v>
      </c>
      <c r="J1291">
        <v>41</v>
      </c>
      <c r="K1291">
        <v>1</v>
      </c>
      <c r="L1291">
        <v>1</v>
      </c>
      <c r="M1291">
        <v>1</v>
      </c>
      <c r="N1291">
        <v>1</v>
      </c>
      <c r="O1291">
        <v>1</v>
      </c>
      <c r="P1291">
        <v>1</v>
      </c>
      <c r="R1291">
        <v>41</v>
      </c>
      <c r="S1291">
        <v>1</v>
      </c>
      <c r="T1291">
        <v>1</v>
      </c>
      <c r="U1291">
        <v>1</v>
      </c>
      <c r="V1291">
        <v>1</v>
      </c>
      <c r="W1291">
        <v>1</v>
      </c>
      <c r="X1291">
        <v>1</v>
      </c>
      <c r="AA1291">
        <v>-7388.3469999999998</v>
      </c>
      <c r="AB1291">
        <v>-7388.3469999999998</v>
      </c>
      <c r="AC1291">
        <v>-7388.3469999999998</v>
      </c>
      <c r="AD1291">
        <v>-7388.3469999999998</v>
      </c>
      <c r="AE1291">
        <v>-7388.3469999999998</v>
      </c>
      <c r="AF1291">
        <v>-7388.3469999999998</v>
      </c>
    </row>
    <row r="1292" spans="2:32" x14ac:dyDescent="0.25">
      <c r="B1292">
        <v>42</v>
      </c>
      <c r="C1292">
        <v>1</v>
      </c>
      <c r="D1292">
        <v>1</v>
      </c>
      <c r="E1292">
        <v>1</v>
      </c>
      <c r="F1292">
        <v>1</v>
      </c>
      <c r="G1292">
        <v>1</v>
      </c>
      <c r="H1292">
        <v>1</v>
      </c>
      <c r="J1292">
        <v>42</v>
      </c>
      <c r="K1292">
        <v>1</v>
      </c>
      <c r="L1292">
        <v>1</v>
      </c>
      <c r="M1292">
        <v>1</v>
      </c>
      <c r="N1292">
        <v>1</v>
      </c>
      <c r="O1292">
        <v>1</v>
      </c>
      <c r="P1292">
        <v>1</v>
      </c>
      <c r="R1292">
        <v>42</v>
      </c>
      <c r="S1292">
        <v>1</v>
      </c>
      <c r="T1292">
        <v>1</v>
      </c>
      <c r="U1292">
        <v>1</v>
      </c>
      <c r="V1292">
        <v>1</v>
      </c>
      <c r="W1292">
        <v>1</v>
      </c>
      <c r="X1292">
        <v>1</v>
      </c>
      <c r="AA1292">
        <v>-7381.9919</v>
      </c>
      <c r="AB1292">
        <v>-7381.9919</v>
      </c>
      <c r="AC1292">
        <v>-7381.9919</v>
      </c>
      <c r="AD1292">
        <v>-7381.9919</v>
      </c>
      <c r="AE1292">
        <v>-7381.9919</v>
      </c>
      <c r="AF1292">
        <v>-7381.9919</v>
      </c>
    </row>
    <row r="1293" spans="2:32" x14ac:dyDescent="0.25">
      <c r="B1293">
        <v>43</v>
      </c>
      <c r="C1293">
        <v>1</v>
      </c>
      <c r="D1293">
        <v>1</v>
      </c>
      <c r="E1293">
        <v>1</v>
      </c>
      <c r="F1293">
        <v>1</v>
      </c>
      <c r="G1293">
        <v>1</v>
      </c>
      <c r="H1293">
        <v>1</v>
      </c>
      <c r="J1293">
        <v>43</v>
      </c>
      <c r="K1293">
        <v>1</v>
      </c>
      <c r="L1293">
        <v>1</v>
      </c>
      <c r="M1293">
        <v>1</v>
      </c>
      <c r="N1293">
        <v>1</v>
      </c>
      <c r="O1293">
        <v>1</v>
      </c>
      <c r="P1293">
        <v>1</v>
      </c>
      <c r="R1293">
        <v>43</v>
      </c>
      <c r="S1293">
        <v>1</v>
      </c>
      <c r="T1293">
        <v>1</v>
      </c>
      <c r="U1293">
        <v>1</v>
      </c>
      <c r="V1293">
        <v>1</v>
      </c>
      <c r="W1293">
        <v>1</v>
      </c>
      <c r="X1293">
        <v>1</v>
      </c>
      <c r="AA1293">
        <v>-7374.9579999999996</v>
      </c>
      <c r="AB1293">
        <v>-7374.9579999999996</v>
      </c>
      <c r="AC1293">
        <v>-7374.9579999999996</v>
      </c>
      <c r="AD1293">
        <v>-7374.9579999999996</v>
      </c>
      <c r="AE1293">
        <v>-7374.9579999999996</v>
      </c>
      <c r="AF1293">
        <v>-7374.9579999999996</v>
      </c>
    </row>
    <row r="1294" spans="2:32" x14ac:dyDescent="0.25">
      <c r="B1294">
        <v>44</v>
      </c>
      <c r="C1294">
        <v>1</v>
      </c>
      <c r="D1294">
        <v>1</v>
      </c>
      <c r="E1294">
        <v>1</v>
      </c>
      <c r="F1294">
        <v>1</v>
      </c>
      <c r="G1294">
        <v>1</v>
      </c>
      <c r="H1294">
        <v>1</v>
      </c>
      <c r="J1294">
        <v>44</v>
      </c>
      <c r="K1294">
        <v>1</v>
      </c>
      <c r="L1294">
        <v>1</v>
      </c>
      <c r="M1294">
        <v>1</v>
      </c>
      <c r="N1294">
        <v>1</v>
      </c>
      <c r="O1294">
        <v>1</v>
      </c>
      <c r="P1294">
        <v>1</v>
      </c>
      <c r="R1294">
        <v>44</v>
      </c>
      <c r="S1294">
        <v>1</v>
      </c>
      <c r="T1294">
        <v>1</v>
      </c>
      <c r="U1294">
        <v>1</v>
      </c>
      <c r="V1294">
        <v>1</v>
      </c>
      <c r="W1294">
        <v>1</v>
      </c>
      <c r="X1294">
        <v>1</v>
      </c>
      <c r="AA1294">
        <v>-7367.2034999999996</v>
      </c>
      <c r="AB1294">
        <v>-7367.2034999999996</v>
      </c>
      <c r="AC1294">
        <v>-7367.2034999999996</v>
      </c>
      <c r="AD1294">
        <v>-7367.2034999999996</v>
      </c>
      <c r="AE1294">
        <v>-7367.2034999999996</v>
      </c>
      <c r="AF1294">
        <v>-7367.2034999999996</v>
      </c>
    </row>
    <row r="1295" spans="2:32" x14ac:dyDescent="0.25">
      <c r="B1295">
        <v>45</v>
      </c>
      <c r="C1295">
        <v>1</v>
      </c>
      <c r="D1295">
        <v>1</v>
      </c>
      <c r="E1295">
        <v>1</v>
      </c>
      <c r="F1295">
        <v>1</v>
      </c>
      <c r="G1295">
        <v>1</v>
      </c>
      <c r="H1295">
        <v>1</v>
      </c>
      <c r="J1295">
        <v>45</v>
      </c>
      <c r="K1295">
        <v>1</v>
      </c>
      <c r="L1295">
        <v>1</v>
      </c>
      <c r="M1295">
        <v>1</v>
      </c>
      <c r="N1295">
        <v>1</v>
      </c>
      <c r="O1295">
        <v>1</v>
      </c>
      <c r="P1295">
        <v>1</v>
      </c>
      <c r="R1295">
        <v>45</v>
      </c>
      <c r="S1295">
        <v>1</v>
      </c>
      <c r="T1295">
        <v>1</v>
      </c>
      <c r="U1295">
        <v>1</v>
      </c>
      <c r="V1295">
        <v>1</v>
      </c>
      <c r="W1295">
        <v>1</v>
      </c>
      <c r="X1295">
        <v>1</v>
      </c>
      <c r="AA1295">
        <v>-7358.6491999999998</v>
      </c>
      <c r="AB1295">
        <v>-7358.6491999999998</v>
      </c>
      <c r="AC1295">
        <v>-7358.6491999999998</v>
      </c>
      <c r="AD1295">
        <v>-7358.6491999999998</v>
      </c>
      <c r="AE1295">
        <v>-7358.6491999999998</v>
      </c>
      <c r="AF1295">
        <v>-7358.6491999999998</v>
      </c>
    </row>
    <row r="1296" spans="2:32" x14ac:dyDescent="0.25">
      <c r="B1296">
        <v>46</v>
      </c>
      <c r="C1296">
        <v>1</v>
      </c>
      <c r="D1296">
        <v>1</v>
      </c>
      <c r="E1296">
        <v>1</v>
      </c>
      <c r="F1296">
        <v>1</v>
      </c>
      <c r="G1296">
        <v>1</v>
      </c>
      <c r="H1296">
        <v>1</v>
      </c>
      <c r="J1296">
        <v>46</v>
      </c>
      <c r="K1296">
        <v>1</v>
      </c>
      <c r="L1296">
        <v>1</v>
      </c>
      <c r="M1296">
        <v>1</v>
      </c>
      <c r="N1296">
        <v>1</v>
      </c>
      <c r="O1296">
        <v>1</v>
      </c>
      <c r="P1296">
        <v>1</v>
      </c>
      <c r="R1296">
        <v>46</v>
      </c>
      <c r="S1296">
        <v>1</v>
      </c>
      <c r="T1296">
        <v>1</v>
      </c>
      <c r="U1296">
        <v>1</v>
      </c>
      <c r="V1296">
        <v>1</v>
      </c>
      <c r="W1296">
        <v>1</v>
      </c>
      <c r="X1296">
        <v>1</v>
      </c>
      <c r="AA1296">
        <v>-7349.2232000000004</v>
      </c>
      <c r="AB1296">
        <v>-7349.2232000000004</v>
      </c>
      <c r="AC1296">
        <v>-7349.2232000000004</v>
      </c>
      <c r="AD1296">
        <v>-7349.2232000000004</v>
      </c>
      <c r="AE1296">
        <v>-7349.2232000000004</v>
      </c>
      <c r="AF1296">
        <v>-7349.2232000000004</v>
      </c>
    </row>
    <row r="1297" spans="2:32" x14ac:dyDescent="0.25">
      <c r="B1297">
        <v>47</v>
      </c>
      <c r="C1297">
        <v>1</v>
      </c>
      <c r="D1297">
        <v>1</v>
      </c>
      <c r="E1297">
        <v>1</v>
      </c>
      <c r="F1297">
        <v>1</v>
      </c>
      <c r="G1297">
        <v>1</v>
      </c>
      <c r="H1297">
        <v>1</v>
      </c>
      <c r="J1297">
        <v>47</v>
      </c>
      <c r="K1297">
        <v>1</v>
      </c>
      <c r="L1297">
        <v>1</v>
      </c>
      <c r="M1297">
        <v>1</v>
      </c>
      <c r="N1297">
        <v>1</v>
      </c>
      <c r="O1297">
        <v>1</v>
      </c>
      <c r="P1297">
        <v>1</v>
      </c>
      <c r="R1297">
        <v>47</v>
      </c>
      <c r="S1297">
        <v>1</v>
      </c>
      <c r="T1297">
        <v>1</v>
      </c>
      <c r="U1297">
        <v>1</v>
      </c>
      <c r="V1297">
        <v>1</v>
      </c>
      <c r="W1297">
        <v>1</v>
      </c>
      <c r="X1297">
        <v>1</v>
      </c>
      <c r="AA1297">
        <v>-7338.8310000000001</v>
      </c>
      <c r="AB1297">
        <v>-7338.8310000000001</v>
      </c>
      <c r="AC1297">
        <v>-7338.8310000000001</v>
      </c>
      <c r="AD1297">
        <v>-7338.8310000000001</v>
      </c>
      <c r="AE1297">
        <v>-7338.8310000000001</v>
      </c>
      <c r="AF1297">
        <v>-7338.8310000000001</v>
      </c>
    </row>
    <row r="1298" spans="2:32" x14ac:dyDescent="0.25">
      <c r="B1298">
        <v>48</v>
      </c>
      <c r="C1298">
        <v>1</v>
      </c>
      <c r="D1298">
        <v>1</v>
      </c>
      <c r="E1298">
        <v>1</v>
      </c>
      <c r="F1298">
        <v>1</v>
      </c>
      <c r="G1298">
        <v>1</v>
      </c>
      <c r="H1298">
        <v>1</v>
      </c>
      <c r="J1298">
        <v>48</v>
      </c>
      <c r="K1298">
        <v>1</v>
      </c>
      <c r="L1298">
        <v>1</v>
      </c>
      <c r="M1298">
        <v>1</v>
      </c>
      <c r="N1298">
        <v>1</v>
      </c>
      <c r="O1298">
        <v>1</v>
      </c>
      <c r="P1298">
        <v>1</v>
      </c>
      <c r="R1298">
        <v>48</v>
      </c>
      <c r="S1298">
        <v>1</v>
      </c>
      <c r="T1298">
        <v>1</v>
      </c>
      <c r="U1298">
        <v>1</v>
      </c>
      <c r="V1298">
        <v>1</v>
      </c>
      <c r="W1298">
        <v>1</v>
      </c>
      <c r="X1298">
        <v>1</v>
      </c>
      <c r="AA1298">
        <v>-7327.4297999999999</v>
      </c>
      <c r="AB1298">
        <v>-7327.4297999999999</v>
      </c>
      <c r="AC1298">
        <v>-7327.4297999999999</v>
      </c>
      <c r="AD1298">
        <v>-7327.4297999999999</v>
      </c>
      <c r="AE1298">
        <v>-7327.4297999999999</v>
      </c>
      <c r="AF1298">
        <v>-7327.4297999999999</v>
      </c>
    </row>
    <row r="1299" spans="2:32" x14ac:dyDescent="0.25">
      <c r="B1299">
        <v>49</v>
      </c>
      <c r="C1299">
        <v>1</v>
      </c>
      <c r="D1299">
        <v>1</v>
      </c>
      <c r="E1299">
        <v>1</v>
      </c>
      <c r="F1299">
        <v>1</v>
      </c>
      <c r="G1299">
        <v>1</v>
      </c>
      <c r="H1299">
        <v>1</v>
      </c>
      <c r="J1299">
        <v>49</v>
      </c>
      <c r="K1299">
        <v>1</v>
      </c>
      <c r="L1299">
        <v>1</v>
      </c>
      <c r="M1299">
        <v>1</v>
      </c>
      <c r="N1299">
        <v>1</v>
      </c>
      <c r="O1299">
        <v>1</v>
      </c>
      <c r="P1299">
        <v>1</v>
      </c>
      <c r="R1299">
        <v>49</v>
      </c>
      <c r="S1299">
        <v>1</v>
      </c>
      <c r="T1299">
        <v>1</v>
      </c>
      <c r="U1299">
        <v>1</v>
      </c>
      <c r="V1299">
        <v>1</v>
      </c>
      <c r="W1299">
        <v>1</v>
      </c>
      <c r="X1299">
        <v>1</v>
      </c>
      <c r="AA1299">
        <v>-7314.951</v>
      </c>
      <c r="AB1299">
        <v>-7314.951</v>
      </c>
      <c r="AC1299">
        <v>-7314.951</v>
      </c>
      <c r="AD1299">
        <v>-7314.951</v>
      </c>
      <c r="AE1299">
        <v>-7314.951</v>
      </c>
      <c r="AF1299">
        <v>-7314.951</v>
      </c>
    </row>
    <row r="1300" spans="2:32" x14ac:dyDescent="0.25">
      <c r="B1300">
        <v>50</v>
      </c>
      <c r="C1300">
        <v>1</v>
      </c>
      <c r="D1300">
        <v>1</v>
      </c>
      <c r="E1300">
        <v>1</v>
      </c>
      <c r="F1300">
        <v>1</v>
      </c>
      <c r="G1300">
        <v>1</v>
      </c>
      <c r="H1300">
        <v>1</v>
      </c>
      <c r="J1300">
        <v>50</v>
      </c>
      <c r="K1300">
        <v>1</v>
      </c>
      <c r="L1300">
        <v>1</v>
      </c>
      <c r="M1300">
        <v>1</v>
      </c>
      <c r="N1300">
        <v>1</v>
      </c>
      <c r="O1300">
        <v>1</v>
      </c>
      <c r="P1300">
        <v>1</v>
      </c>
      <c r="R1300">
        <v>50</v>
      </c>
      <c r="S1300">
        <v>1</v>
      </c>
      <c r="T1300">
        <v>1</v>
      </c>
      <c r="U1300">
        <v>1</v>
      </c>
      <c r="V1300">
        <v>1</v>
      </c>
      <c r="W1300">
        <v>1</v>
      </c>
      <c r="X1300">
        <v>1</v>
      </c>
      <c r="AA1300">
        <v>-7301.2851000000001</v>
      </c>
      <c r="AB1300">
        <v>-7301.2851000000001</v>
      </c>
      <c r="AC1300">
        <v>-7301.2851000000001</v>
      </c>
      <c r="AD1300">
        <v>-7301.2851000000001</v>
      </c>
      <c r="AE1300">
        <v>-7301.2851000000001</v>
      </c>
      <c r="AF1300">
        <v>-7301.2851000000001</v>
      </c>
    </row>
    <row r="1301" spans="2:32" x14ac:dyDescent="0.25">
      <c r="B1301">
        <v>51</v>
      </c>
      <c r="C1301">
        <v>1</v>
      </c>
      <c r="D1301">
        <v>1</v>
      </c>
      <c r="E1301">
        <v>1</v>
      </c>
      <c r="F1301">
        <v>1</v>
      </c>
      <c r="G1301">
        <v>1</v>
      </c>
      <c r="H1301">
        <v>1</v>
      </c>
      <c r="J1301">
        <v>51</v>
      </c>
      <c r="K1301">
        <v>1</v>
      </c>
      <c r="L1301">
        <v>1</v>
      </c>
      <c r="M1301">
        <v>1</v>
      </c>
      <c r="N1301">
        <v>1</v>
      </c>
      <c r="O1301">
        <v>1</v>
      </c>
      <c r="P1301">
        <v>1</v>
      </c>
      <c r="R1301">
        <v>51</v>
      </c>
      <c r="S1301">
        <v>1</v>
      </c>
      <c r="T1301">
        <v>1</v>
      </c>
      <c r="U1301">
        <v>1</v>
      </c>
      <c r="V1301">
        <v>1</v>
      </c>
      <c r="W1301">
        <v>1</v>
      </c>
      <c r="X1301">
        <v>1</v>
      </c>
      <c r="AA1301">
        <v>-7286.3271000000004</v>
      </c>
      <c r="AB1301">
        <v>-7286.3271000000004</v>
      </c>
      <c r="AC1301">
        <v>-7286.3271000000004</v>
      </c>
      <c r="AD1301">
        <v>-7286.3271000000004</v>
      </c>
      <c r="AE1301">
        <v>-7286.3271000000004</v>
      </c>
      <c r="AF1301">
        <v>-7286.3271000000004</v>
      </c>
    </row>
    <row r="1302" spans="2:32" x14ac:dyDescent="0.25">
      <c r="B1302">
        <v>52</v>
      </c>
      <c r="C1302">
        <v>1</v>
      </c>
      <c r="D1302">
        <v>1</v>
      </c>
      <c r="E1302">
        <v>1</v>
      </c>
      <c r="F1302">
        <v>1</v>
      </c>
      <c r="G1302">
        <v>1</v>
      </c>
      <c r="H1302">
        <v>1</v>
      </c>
      <c r="J1302">
        <v>52</v>
      </c>
      <c r="K1302">
        <v>1</v>
      </c>
      <c r="L1302">
        <v>1</v>
      </c>
      <c r="M1302">
        <v>1</v>
      </c>
      <c r="N1302">
        <v>1</v>
      </c>
      <c r="O1302">
        <v>1</v>
      </c>
      <c r="P1302">
        <v>1</v>
      </c>
      <c r="R1302">
        <v>52</v>
      </c>
      <c r="S1302">
        <v>1</v>
      </c>
      <c r="T1302">
        <v>1</v>
      </c>
      <c r="U1302">
        <v>1</v>
      </c>
      <c r="V1302">
        <v>1</v>
      </c>
      <c r="W1302">
        <v>1</v>
      </c>
      <c r="X1302">
        <v>1</v>
      </c>
      <c r="AA1302">
        <v>-7269.9448000000002</v>
      </c>
      <c r="AB1302">
        <v>-7269.9448000000002</v>
      </c>
      <c r="AC1302">
        <v>-7269.9448000000002</v>
      </c>
      <c r="AD1302">
        <v>-7269.9448000000002</v>
      </c>
      <c r="AE1302">
        <v>-7269.9448000000002</v>
      </c>
      <c r="AF1302">
        <v>-7269.9448000000002</v>
      </c>
    </row>
    <row r="1303" spans="2:32" x14ac:dyDescent="0.25">
      <c r="B1303">
        <v>53</v>
      </c>
      <c r="C1303">
        <v>1</v>
      </c>
      <c r="D1303">
        <v>1</v>
      </c>
      <c r="E1303">
        <v>1</v>
      </c>
      <c r="F1303">
        <v>1</v>
      </c>
      <c r="G1303">
        <v>1</v>
      </c>
      <c r="H1303">
        <v>1</v>
      </c>
      <c r="J1303">
        <v>53</v>
      </c>
      <c r="K1303">
        <v>1</v>
      </c>
      <c r="L1303">
        <v>1</v>
      </c>
      <c r="M1303">
        <v>1</v>
      </c>
      <c r="N1303">
        <v>1</v>
      </c>
      <c r="O1303">
        <v>1</v>
      </c>
      <c r="P1303">
        <v>1</v>
      </c>
      <c r="R1303">
        <v>53</v>
      </c>
      <c r="S1303">
        <v>1</v>
      </c>
      <c r="T1303">
        <v>1</v>
      </c>
      <c r="U1303">
        <v>1</v>
      </c>
      <c r="V1303">
        <v>1</v>
      </c>
      <c r="W1303">
        <v>1</v>
      </c>
      <c r="X1303">
        <v>1</v>
      </c>
      <c r="AA1303">
        <v>-7252.0574999999999</v>
      </c>
      <c r="AB1303">
        <v>-7252.0574999999999</v>
      </c>
      <c r="AC1303">
        <v>-7252.0574999999999</v>
      </c>
      <c r="AD1303">
        <v>-7252.0574999999999</v>
      </c>
      <c r="AE1303">
        <v>-7252.0574999999999</v>
      </c>
      <c r="AF1303">
        <v>-7252.0574999999999</v>
      </c>
    </row>
    <row r="1304" spans="2:32" x14ac:dyDescent="0.25">
      <c r="B1304">
        <v>54</v>
      </c>
      <c r="C1304">
        <v>1</v>
      </c>
      <c r="D1304">
        <v>1</v>
      </c>
      <c r="E1304">
        <v>1</v>
      </c>
      <c r="F1304">
        <v>1</v>
      </c>
      <c r="G1304">
        <v>1</v>
      </c>
      <c r="H1304">
        <v>1</v>
      </c>
      <c r="J1304">
        <v>54</v>
      </c>
      <c r="K1304">
        <v>1</v>
      </c>
      <c r="L1304">
        <v>1</v>
      </c>
      <c r="M1304">
        <v>1</v>
      </c>
      <c r="N1304">
        <v>1</v>
      </c>
      <c r="O1304">
        <v>1</v>
      </c>
      <c r="P1304">
        <v>1</v>
      </c>
      <c r="R1304">
        <v>54</v>
      </c>
      <c r="S1304">
        <v>1</v>
      </c>
      <c r="T1304">
        <v>1</v>
      </c>
      <c r="U1304">
        <v>1</v>
      </c>
      <c r="V1304">
        <v>1</v>
      </c>
      <c r="W1304">
        <v>1</v>
      </c>
      <c r="X1304">
        <v>1</v>
      </c>
      <c r="AA1304">
        <v>-7232.5680000000002</v>
      </c>
      <c r="AB1304">
        <v>-7232.5680000000002</v>
      </c>
      <c r="AC1304">
        <v>-7232.5680000000002</v>
      </c>
      <c r="AD1304">
        <v>-7232.5680000000002</v>
      </c>
      <c r="AE1304">
        <v>-7232.5680000000002</v>
      </c>
      <c r="AF1304">
        <v>-7232.5680000000002</v>
      </c>
    </row>
    <row r="1305" spans="2:32" x14ac:dyDescent="0.25">
      <c r="B1305">
        <v>55</v>
      </c>
      <c r="C1305">
        <v>1</v>
      </c>
      <c r="D1305">
        <v>1</v>
      </c>
      <c r="E1305">
        <v>1</v>
      </c>
      <c r="F1305">
        <v>1</v>
      </c>
      <c r="G1305">
        <v>1</v>
      </c>
      <c r="H1305">
        <v>1</v>
      </c>
      <c r="J1305">
        <v>55</v>
      </c>
      <c r="K1305">
        <v>1</v>
      </c>
      <c r="L1305">
        <v>1</v>
      </c>
      <c r="M1305">
        <v>1</v>
      </c>
      <c r="N1305">
        <v>1</v>
      </c>
      <c r="O1305">
        <v>1</v>
      </c>
      <c r="P1305">
        <v>1</v>
      </c>
      <c r="R1305">
        <v>55</v>
      </c>
      <c r="S1305">
        <v>1</v>
      </c>
      <c r="T1305">
        <v>1</v>
      </c>
      <c r="U1305">
        <v>1</v>
      </c>
      <c r="V1305">
        <v>1</v>
      </c>
      <c r="W1305">
        <v>1</v>
      </c>
      <c r="X1305">
        <v>1</v>
      </c>
      <c r="AA1305">
        <v>-7211.3207000000002</v>
      </c>
      <c r="AB1305">
        <v>-7211.3207000000002</v>
      </c>
      <c r="AC1305">
        <v>-7211.3207000000002</v>
      </c>
      <c r="AD1305">
        <v>-7211.3207000000002</v>
      </c>
      <c r="AE1305">
        <v>-7211.3207000000002</v>
      </c>
      <c r="AF1305">
        <v>-7211.3207000000002</v>
      </c>
    </row>
    <row r="1308" spans="2:32" x14ac:dyDescent="0.25">
      <c r="B1308" t="s">
        <v>46</v>
      </c>
      <c r="C1308">
        <v>100000</v>
      </c>
      <c r="D1308">
        <v>250000</v>
      </c>
      <c r="E1308">
        <v>500000</v>
      </c>
      <c r="F1308">
        <v>1000000</v>
      </c>
      <c r="G1308">
        <v>2000000</v>
      </c>
      <c r="J1308" t="s">
        <v>32</v>
      </c>
      <c r="K1308">
        <v>100000</v>
      </c>
      <c r="L1308">
        <v>250000</v>
      </c>
      <c r="M1308">
        <v>500000</v>
      </c>
      <c r="N1308">
        <v>1000000</v>
      </c>
      <c r="O1308">
        <v>2000000</v>
      </c>
      <c r="R1308" t="s">
        <v>48</v>
      </c>
      <c r="S1308">
        <v>100000</v>
      </c>
      <c r="T1308">
        <v>250000</v>
      </c>
      <c r="U1308">
        <v>500000</v>
      </c>
      <c r="V1308">
        <v>1000000</v>
      </c>
      <c r="W1308">
        <v>2000000</v>
      </c>
    </row>
    <row r="1309" spans="2:32" x14ac:dyDescent="0.25">
      <c r="B1309">
        <v>35</v>
      </c>
      <c r="C1309">
        <v>1</v>
      </c>
      <c r="D1309">
        <v>1</v>
      </c>
      <c r="E1309">
        <v>1</v>
      </c>
      <c r="F1309">
        <v>1</v>
      </c>
      <c r="G1309">
        <v>1</v>
      </c>
      <c r="J1309">
        <v>35</v>
      </c>
      <c r="K1309">
        <v>1</v>
      </c>
      <c r="L1309">
        <v>1</v>
      </c>
      <c r="M1309">
        <v>1</v>
      </c>
      <c r="N1309">
        <v>1</v>
      </c>
      <c r="O1309">
        <v>1</v>
      </c>
      <c r="R1309">
        <v>35</v>
      </c>
      <c r="S1309">
        <v>1</v>
      </c>
      <c r="T1309">
        <v>1</v>
      </c>
      <c r="U1309">
        <v>1</v>
      </c>
      <c r="V1309">
        <v>1</v>
      </c>
      <c r="W1309">
        <v>1</v>
      </c>
      <c r="AA1309">
        <v>-11308.6893</v>
      </c>
      <c r="AB1309">
        <v>-11308.6893</v>
      </c>
      <c r="AC1309">
        <v>-11308.6893</v>
      </c>
      <c r="AD1309">
        <v>-11308.6893</v>
      </c>
      <c r="AE1309">
        <v>-11308.6893</v>
      </c>
    </row>
    <row r="1310" spans="2:32" x14ac:dyDescent="0.25">
      <c r="B1310">
        <f t="shared" ref="B1310:B1339" si="57">B1309+1</f>
        <v>36</v>
      </c>
      <c r="C1310">
        <v>1</v>
      </c>
      <c r="D1310">
        <v>1</v>
      </c>
      <c r="E1310">
        <v>1</v>
      </c>
      <c r="F1310">
        <v>1</v>
      </c>
      <c r="G1310">
        <v>1</v>
      </c>
      <c r="J1310">
        <f t="shared" ref="J1310:J1339" si="58">J1309+1</f>
        <v>36</v>
      </c>
      <c r="K1310">
        <v>1</v>
      </c>
      <c r="L1310">
        <v>1</v>
      </c>
      <c r="M1310">
        <v>1</v>
      </c>
      <c r="N1310">
        <v>1</v>
      </c>
      <c r="O1310">
        <v>1</v>
      </c>
      <c r="R1310">
        <f t="shared" ref="R1310:R1339" si="59">R1309+1</f>
        <v>36</v>
      </c>
      <c r="S1310">
        <v>1</v>
      </c>
      <c r="T1310">
        <v>1</v>
      </c>
      <c r="U1310">
        <v>1</v>
      </c>
      <c r="V1310">
        <v>1</v>
      </c>
      <c r="W1310">
        <v>1</v>
      </c>
      <c r="AA1310">
        <v>-11214.2592</v>
      </c>
      <c r="AB1310">
        <v>-11214.2592</v>
      </c>
      <c r="AC1310">
        <v>-11214.2592</v>
      </c>
      <c r="AD1310">
        <v>-11214.2592</v>
      </c>
      <c r="AE1310">
        <v>-11214.2592</v>
      </c>
    </row>
    <row r="1311" spans="2:32" x14ac:dyDescent="0.25">
      <c r="B1311">
        <f t="shared" si="57"/>
        <v>37</v>
      </c>
      <c r="C1311">
        <v>1</v>
      </c>
      <c r="D1311">
        <v>1</v>
      </c>
      <c r="E1311">
        <v>1</v>
      </c>
      <c r="F1311">
        <v>1</v>
      </c>
      <c r="G1311">
        <v>1</v>
      </c>
      <c r="J1311">
        <f t="shared" si="58"/>
        <v>37</v>
      </c>
      <c r="K1311">
        <v>1</v>
      </c>
      <c r="L1311">
        <v>1</v>
      </c>
      <c r="M1311">
        <v>1</v>
      </c>
      <c r="N1311">
        <v>1</v>
      </c>
      <c r="O1311">
        <v>1</v>
      </c>
      <c r="R1311">
        <f t="shared" si="59"/>
        <v>37</v>
      </c>
      <c r="S1311">
        <v>1</v>
      </c>
      <c r="T1311">
        <v>1</v>
      </c>
      <c r="U1311">
        <v>1</v>
      </c>
      <c r="V1311">
        <v>1</v>
      </c>
      <c r="W1311">
        <v>1</v>
      </c>
      <c r="AA1311">
        <v>-11117.406199999999</v>
      </c>
      <c r="AB1311">
        <v>-11117.406199999999</v>
      </c>
      <c r="AC1311">
        <v>-11117.406199999999</v>
      </c>
      <c r="AD1311">
        <v>-11117.406199999999</v>
      </c>
      <c r="AE1311">
        <v>-11117.406199999999</v>
      </c>
    </row>
    <row r="1312" spans="2:32" x14ac:dyDescent="0.25">
      <c r="B1312">
        <f t="shared" si="57"/>
        <v>38</v>
      </c>
      <c r="C1312">
        <v>1</v>
      </c>
      <c r="D1312">
        <v>1</v>
      </c>
      <c r="E1312">
        <v>1</v>
      </c>
      <c r="F1312">
        <v>1</v>
      </c>
      <c r="G1312">
        <v>1</v>
      </c>
      <c r="J1312">
        <f t="shared" si="58"/>
        <v>38</v>
      </c>
      <c r="K1312">
        <v>1</v>
      </c>
      <c r="L1312">
        <v>1</v>
      </c>
      <c r="M1312">
        <v>1</v>
      </c>
      <c r="N1312">
        <v>1</v>
      </c>
      <c r="O1312">
        <v>1</v>
      </c>
      <c r="R1312">
        <f t="shared" si="59"/>
        <v>38</v>
      </c>
      <c r="S1312">
        <v>1</v>
      </c>
      <c r="T1312">
        <v>1</v>
      </c>
      <c r="U1312">
        <v>1</v>
      </c>
      <c r="V1312">
        <v>1</v>
      </c>
      <c r="W1312">
        <v>1</v>
      </c>
      <c r="AA1312">
        <v>-11018.229799999999</v>
      </c>
      <c r="AB1312">
        <v>-11018.229799999999</v>
      </c>
      <c r="AC1312">
        <v>-11018.229799999999</v>
      </c>
      <c r="AD1312">
        <v>-11018.229799999999</v>
      </c>
      <c r="AE1312">
        <v>-11018.229799999999</v>
      </c>
    </row>
    <row r="1313" spans="2:31" x14ac:dyDescent="0.25">
      <c r="B1313">
        <f t="shared" si="57"/>
        <v>39</v>
      </c>
      <c r="C1313">
        <v>1</v>
      </c>
      <c r="D1313">
        <v>1</v>
      </c>
      <c r="E1313">
        <v>1</v>
      </c>
      <c r="F1313">
        <v>1</v>
      </c>
      <c r="G1313">
        <v>1</v>
      </c>
      <c r="J1313">
        <f t="shared" si="58"/>
        <v>39</v>
      </c>
      <c r="K1313">
        <v>1</v>
      </c>
      <c r="L1313">
        <v>1</v>
      </c>
      <c r="M1313">
        <v>1</v>
      </c>
      <c r="N1313">
        <v>1</v>
      </c>
      <c r="O1313">
        <v>1</v>
      </c>
      <c r="R1313">
        <f t="shared" si="59"/>
        <v>39</v>
      </c>
      <c r="S1313">
        <v>1</v>
      </c>
      <c r="T1313">
        <v>1</v>
      </c>
      <c r="U1313">
        <v>1</v>
      </c>
      <c r="V1313">
        <v>1</v>
      </c>
      <c r="W1313">
        <v>1</v>
      </c>
      <c r="AA1313">
        <v>-10916.737999999999</v>
      </c>
      <c r="AB1313">
        <v>-10916.737999999999</v>
      </c>
      <c r="AC1313">
        <v>-10916.737999999999</v>
      </c>
      <c r="AD1313">
        <v>-10916.737999999999</v>
      </c>
      <c r="AE1313">
        <v>-10916.737999999999</v>
      </c>
    </row>
    <row r="1314" spans="2:31" x14ac:dyDescent="0.25">
      <c r="B1314">
        <f t="shared" si="57"/>
        <v>40</v>
      </c>
      <c r="C1314">
        <v>1</v>
      </c>
      <c r="D1314">
        <v>1</v>
      </c>
      <c r="E1314">
        <v>1</v>
      </c>
      <c r="F1314">
        <v>1</v>
      </c>
      <c r="G1314">
        <v>1</v>
      </c>
      <c r="J1314">
        <f t="shared" si="58"/>
        <v>40</v>
      </c>
      <c r="K1314">
        <v>1</v>
      </c>
      <c r="L1314">
        <v>1</v>
      </c>
      <c r="M1314">
        <v>1</v>
      </c>
      <c r="N1314">
        <v>1</v>
      </c>
      <c r="O1314">
        <v>1</v>
      </c>
      <c r="R1314">
        <f t="shared" si="59"/>
        <v>40</v>
      </c>
      <c r="S1314">
        <v>1</v>
      </c>
      <c r="T1314">
        <v>1</v>
      </c>
      <c r="U1314">
        <v>1</v>
      </c>
      <c r="V1314">
        <v>1</v>
      </c>
      <c r="W1314">
        <v>1</v>
      </c>
      <c r="AA1314">
        <v>-10812.8714</v>
      </c>
      <c r="AB1314">
        <v>-10812.8714</v>
      </c>
      <c r="AC1314">
        <v>-10812.8714</v>
      </c>
      <c r="AD1314">
        <v>-10812.8714</v>
      </c>
      <c r="AE1314">
        <v>-10812.8714</v>
      </c>
    </row>
    <row r="1315" spans="2:31" x14ac:dyDescent="0.25">
      <c r="B1315">
        <f t="shared" si="57"/>
        <v>41</v>
      </c>
      <c r="C1315">
        <v>1</v>
      </c>
      <c r="D1315">
        <v>1</v>
      </c>
      <c r="E1315">
        <v>1</v>
      </c>
      <c r="F1315">
        <v>1</v>
      </c>
      <c r="G1315">
        <v>1</v>
      </c>
      <c r="J1315">
        <f t="shared" si="58"/>
        <v>41</v>
      </c>
      <c r="K1315">
        <v>1</v>
      </c>
      <c r="L1315">
        <v>1</v>
      </c>
      <c r="M1315">
        <v>1</v>
      </c>
      <c r="N1315">
        <v>1</v>
      </c>
      <c r="O1315">
        <v>1</v>
      </c>
      <c r="R1315">
        <f t="shared" si="59"/>
        <v>41</v>
      </c>
      <c r="S1315">
        <v>1</v>
      </c>
      <c r="T1315">
        <v>1</v>
      </c>
      <c r="U1315">
        <v>1</v>
      </c>
      <c r="V1315">
        <v>1</v>
      </c>
      <c r="W1315">
        <v>1</v>
      </c>
      <c r="AA1315">
        <v>-10706.559600000001</v>
      </c>
      <c r="AB1315">
        <v>-10706.559600000001</v>
      </c>
      <c r="AC1315">
        <v>-10706.559600000001</v>
      </c>
      <c r="AD1315">
        <v>-10706.559600000001</v>
      </c>
      <c r="AE1315">
        <v>-10706.559600000001</v>
      </c>
    </row>
    <row r="1316" spans="2:31" x14ac:dyDescent="0.25">
      <c r="B1316">
        <f t="shared" si="57"/>
        <v>42</v>
      </c>
      <c r="C1316">
        <v>1</v>
      </c>
      <c r="D1316">
        <v>1</v>
      </c>
      <c r="E1316">
        <v>1</v>
      </c>
      <c r="F1316">
        <v>1</v>
      </c>
      <c r="G1316">
        <v>1</v>
      </c>
      <c r="J1316">
        <f t="shared" si="58"/>
        <v>42</v>
      </c>
      <c r="K1316">
        <v>1</v>
      </c>
      <c r="L1316">
        <v>1</v>
      </c>
      <c r="M1316">
        <v>1</v>
      </c>
      <c r="N1316">
        <v>1</v>
      </c>
      <c r="O1316">
        <v>1</v>
      </c>
      <c r="R1316">
        <f t="shared" si="59"/>
        <v>42</v>
      </c>
      <c r="S1316">
        <v>1</v>
      </c>
      <c r="T1316">
        <v>1</v>
      </c>
      <c r="U1316">
        <v>1</v>
      </c>
      <c r="V1316">
        <v>1</v>
      </c>
      <c r="W1316">
        <v>1</v>
      </c>
      <c r="AA1316">
        <v>-10597.8485</v>
      </c>
      <c r="AB1316">
        <v>-10597.8485</v>
      </c>
      <c r="AC1316">
        <v>-10597.8485</v>
      </c>
      <c r="AD1316">
        <v>-10597.8485</v>
      </c>
      <c r="AE1316">
        <v>-10597.8485</v>
      </c>
    </row>
    <row r="1317" spans="2:31" x14ac:dyDescent="0.25">
      <c r="B1317">
        <f t="shared" si="57"/>
        <v>43</v>
      </c>
      <c r="C1317">
        <v>1</v>
      </c>
      <c r="D1317">
        <v>1</v>
      </c>
      <c r="E1317">
        <v>1</v>
      </c>
      <c r="F1317">
        <v>1</v>
      </c>
      <c r="G1317">
        <v>1</v>
      </c>
      <c r="J1317">
        <f t="shared" si="58"/>
        <v>43</v>
      </c>
      <c r="K1317">
        <v>1</v>
      </c>
      <c r="L1317">
        <v>1</v>
      </c>
      <c r="M1317">
        <v>1</v>
      </c>
      <c r="N1317">
        <v>1</v>
      </c>
      <c r="O1317">
        <v>1</v>
      </c>
      <c r="R1317">
        <f t="shared" si="59"/>
        <v>43</v>
      </c>
      <c r="S1317">
        <v>1</v>
      </c>
      <c r="T1317">
        <v>1</v>
      </c>
      <c r="U1317">
        <v>1</v>
      </c>
      <c r="V1317">
        <v>1</v>
      </c>
      <c r="W1317">
        <v>1</v>
      </c>
      <c r="AA1317">
        <v>-10486.615400000001</v>
      </c>
      <c r="AB1317">
        <v>-10486.615400000001</v>
      </c>
      <c r="AC1317">
        <v>-10486.615400000001</v>
      </c>
      <c r="AD1317">
        <v>-10486.615400000001</v>
      </c>
      <c r="AE1317">
        <v>-10486.615400000001</v>
      </c>
    </row>
    <row r="1318" spans="2:31" x14ac:dyDescent="0.25">
      <c r="B1318">
        <f t="shared" si="57"/>
        <v>44</v>
      </c>
      <c r="C1318">
        <v>1</v>
      </c>
      <c r="D1318">
        <v>1</v>
      </c>
      <c r="E1318">
        <v>1</v>
      </c>
      <c r="F1318">
        <v>1</v>
      </c>
      <c r="G1318">
        <v>1</v>
      </c>
      <c r="J1318">
        <f t="shared" si="58"/>
        <v>44</v>
      </c>
      <c r="K1318">
        <v>1</v>
      </c>
      <c r="L1318">
        <v>1</v>
      </c>
      <c r="M1318">
        <v>1</v>
      </c>
      <c r="N1318">
        <v>1</v>
      </c>
      <c r="O1318">
        <v>1</v>
      </c>
      <c r="R1318">
        <f t="shared" si="59"/>
        <v>44</v>
      </c>
      <c r="S1318">
        <v>1</v>
      </c>
      <c r="T1318">
        <v>1</v>
      </c>
      <c r="U1318">
        <v>1</v>
      </c>
      <c r="V1318">
        <v>1</v>
      </c>
      <c r="W1318">
        <v>1</v>
      </c>
      <c r="AA1318">
        <v>-10372.9005</v>
      </c>
      <c r="AB1318">
        <v>-10372.9005</v>
      </c>
      <c r="AC1318">
        <v>-10372.9005</v>
      </c>
      <c r="AD1318">
        <v>-10372.9005</v>
      </c>
      <c r="AE1318">
        <v>-10372.9005</v>
      </c>
    </row>
    <row r="1319" spans="2:31" x14ac:dyDescent="0.25">
      <c r="B1319">
        <f t="shared" si="57"/>
        <v>45</v>
      </c>
      <c r="C1319">
        <v>1</v>
      </c>
      <c r="D1319">
        <v>1</v>
      </c>
      <c r="E1319">
        <v>1</v>
      </c>
      <c r="F1319">
        <v>1</v>
      </c>
      <c r="G1319">
        <v>1</v>
      </c>
      <c r="J1319">
        <f t="shared" si="58"/>
        <v>45</v>
      </c>
      <c r="K1319">
        <v>1</v>
      </c>
      <c r="L1319">
        <v>1</v>
      </c>
      <c r="M1319">
        <v>1</v>
      </c>
      <c r="N1319">
        <v>1</v>
      </c>
      <c r="O1319">
        <v>1</v>
      </c>
      <c r="R1319">
        <f t="shared" si="59"/>
        <v>45</v>
      </c>
      <c r="S1319">
        <v>1</v>
      </c>
      <c r="T1319">
        <v>1</v>
      </c>
      <c r="U1319">
        <v>1</v>
      </c>
      <c r="V1319">
        <v>1</v>
      </c>
      <c r="W1319">
        <v>1</v>
      </c>
      <c r="AA1319">
        <v>-10256.650600000001</v>
      </c>
      <c r="AB1319">
        <v>-10256.650600000001</v>
      </c>
      <c r="AC1319">
        <v>-10256.650600000001</v>
      </c>
      <c r="AD1319">
        <v>-10256.650600000001</v>
      </c>
      <c r="AE1319">
        <v>-10256.650600000001</v>
      </c>
    </row>
    <row r="1320" spans="2:31" x14ac:dyDescent="0.25">
      <c r="B1320">
        <f t="shared" si="57"/>
        <v>46</v>
      </c>
      <c r="C1320">
        <v>1</v>
      </c>
      <c r="D1320">
        <v>1</v>
      </c>
      <c r="E1320">
        <v>1</v>
      </c>
      <c r="F1320">
        <v>1</v>
      </c>
      <c r="G1320">
        <v>1</v>
      </c>
      <c r="J1320">
        <f t="shared" si="58"/>
        <v>46</v>
      </c>
      <c r="K1320">
        <v>1</v>
      </c>
      <c r="L1320">
        <v>1</v>
      </c>
      <c r="M1320">
        <v>1</v>
      </c>
      <c r="N1320">
        <v>1</v>
      </c>
      <c r="O1320">
        <v>1</v>
      </c>
      <c r="R1320">
        <f t="shared" si="59"/>
        <v>46</v>
      </c>
      <c r="S1320">
        <v>1</v>
      </c>
      <c r="T1320">
        <v>1</v>
      </c>
      <c r="U1320">
        <v>1</v>
      </c>
      <c r="V1320">
        <v>1</v>
      </c>
      <c r="W1320">
        <v>1</v>
      </c>
      <c r="AA1320">
        <v>-10137.871499999999</v>
      </c>
      <c r="AB1320">
        <v>-10137.871499999999</v>
      </c>
      <c r="AC1320">
        <v>-10137.871499999999</v>
      </c>
      <c r="AD1320">
        <v>-10137.871499999999</v>
      </c>
      <c r="AE1320">
        <v>-10137.871499999999</v>
      </c>
    </row>
    <row r="1321" spans="2:31" x14ac:dyDescent="0.25">
      <c r="B1321">
        <f t="shared" si="57"/>
        <v>47</v>
      </c>
      <c r="C1321">
        <v>1</v>
      </c>
      <c r="D1321">
        <v>1</v>
      </c>
      <c r="E1321">
        <v>1</v>
      </c>
      <c r="F1321">
        <v>1</v>
      </c>
      <c r="G1321">
        <v>1</v>
      </c>
      <c r="J1321">
        <f t="shared" si="58"/>
        <v>47</v>
      </c>
      <c r="K1321">
        <v>1</v>
      </c>
      <c r="L1321">
        <v>1</v>
      </c>
      <c r="M1321">
        <v>1</v>
      </c>
      <c r="N1321">
        <v>1</v>
      </c>
      <c r="O1321">
        <v>1</v>
      </c>
      <c r="R1321">
        <f t="shared" si="59"/>
        <v>47</v>
      </c>
      <c r="S1321">
        <v>1</v>
      </c>
      <c r="T1321">
        <v>1</v>
      </c>
      <c r="U1321">
        <v>1</v>
      </c>
      <c r="V1321">
        <v>1</v>
      </c>
      <c r="W1321">
        <v>1</v>
      </c>
      <c r="AA1321">
        <v>-10016.4967</v>
      </c>
      <c r="AB1321">
        <v>-10016.4967</v>
      </c>
      <c r="AC1321">
        <v>-10016.4967</v>
      </c>
      <c r="AD1321">
        <v>-10016.4967</v>
      </c>
      <c r="AE1321">
        <v>-10016.4967</v>
      </c>
    </row>
    <row r="1322" spans="2:31" x14ac:dyDescent="0.25">
      <c r="B1322">
        <f t="shared" si="57"/>
        <v>48</v>
      </c>
      <c r="C1322">
        <v>1</v>
      </c>
      <c r="D1322">
        <v>1</v>
      </c>
      <c r="E1322">
        <v>1</v>
      </c>
      <c r="F1322">
        <v>1</v>
      </c>
      <c r="G1322">
        <v>1</v>
      </c>
      <c r="J1322">
        <f t="shared" si="58"/>
        <v>48</v>
      </c>
      <c r="K1322">
        <v>1</v>
      </c>
      <c r="L1322">
        <v>1</v>
      </c>
      <c r="M1322">
        <v>1</v>
      </c>
      <c r="N1322">
        <v>1</v>
      </c>
      <c r="O1322">
        <v>1</v>
      </c>
      <c r="R1322">
        <f t="shared" si="59"/>
        <v>48</v>
      </c>
      <c r="S1322">
        <v>1</v>
      </c>
      <c r="T1322">
        <v>1</v>
      </c>
      <c r="U1322">
        <v>1</v>
      </c>
      <c r="V1322">
        <v>1</v>
      </c>
      <c r="W1322">
        <v>1</v>
      </c>
      <c r="AA1322">
        <v>-9892.6355000000003</v>
      </c>
      <c r="AB1322">
        <v>-9892.6355000000003</v>
      </c>
      <c r="AC1322">
        <v>-9892.6355000000003</v>
      </c>
      <c r="AD1322">
        <v>-9892.6355000000003</v>
      </c>
      <c r="AE1322">
        <v>-9892.6355000000003</v>
      </c>
    </row>
    <row r="1323" spans="2:31" x14ac:dyDescent="0.25">
      <c r="B1323">
        <f t="shared" si="57"/>
        <v>49</v>
      </c>
      <c r="C1323">
        <v>1</v>
      </c>
      <c r="D1323">
        <v>1</v>
      </c>
      <c r="E1323">
        <v>1</v>
      </c>
      <c r="F1323">
        <v>1</v>
      </c>
      <c r="G1323">
        <v>1</v>
      </c>
      <c r="J1323">
        <f t="shared" si="58"/>
        <v>49</v>
      </c>
      <c r="K1323">
        <v>1</v>
      </c>
      <c r="L1323">
        <v>1</v>
      </c>
      <c r="M1323">
        <v>1</v>
      </c>
      <c r="N1323">
        <v>1</v>
      </c>
      <c r="O1323">
        <v>1</v>
      </c>
      <c r="R1323">
        <f t="shared" si="59"/>
        <v>49</v>
      </c>
      <c r="S1323">
        <v>1</v>
      </c>
      <c r="T1323">
        <v>1</v>
      </c>
      <c r="U1323">
        <v>1</v>
      </c>
      <c r="V1323">
        <v>1</v>
      </c>
      <c r="W1323">
        <v>1</v>
      </c>
      <c r="AA1323">
        <v>-9766.3366999999998</v>
      </c>
      <c r="AB1323">
        <v>-9766.3366999999998</v>
      </c>
      <c r="AC1323">
        <v>-9766.3366999999998</v>
      </c>
      <c r="AD1323">
        <v>-9766.3366999999998</v>
      </c>
      <c r="AE1323">
        <v>-9766.3366999999998</v>
      </c>
    </row>
    <row r="1324" spans="2:31" x14ac:dyDescent="0.25">
      <c r="B1324">
        <f t="shared" si="57"/>
        <v>50</v>
      </c>
      <c r="C1324">
        <v>1</v>
      </c>
      <c r="D1324">
        <v>1</v>
      </c>
      <c r="E1324">
        <v>1</v>
      </c>
      <c r="F1324">
        <v>1</v>
      </c>
      <c r="G1324">
        <v>1</v>
      </c>
      <c r="J1324">
        <f t="shared" si="58"/>
        <v>50</v>
      </c>
      <c r="K1324">
        <v>1</v>
      </c>
      <c r="L1324">
        <v>1</v>
      </c>
      <c r="M1324">
        <v>1</v>
      </c>
      <c r="N1324">
        <v>1</v>
      </c>
      <c r="O1324">
        <v>1</v>
      </c>
      <c r="R1324">
        <f t="shared" si="59"/>
        <v>50</v>
      </c>
      <c r="S1324">
        <v>1</v>
      </c>
      <c r="T1324">
        <v>1</v>
      </c>
      <c r="U1324">
        <v>1</v>
      </c>
      <c r="V1324">
        <v>1</v>
      </c>
      <c r="W1324">
        <v>1</v>
      </c>
      <c r="AA1324">
        <v>-9637.5864000000001</v>
      </c>
      <c r="AB1324">
        <v>-9637.5864000000001</v>
      </c>
      <c r="AC1324">
        <v>-9637.5864000000001</v>
      </c>
      <c r="AD1324">
        <v>-9637.5864000000001</v>
      </c>
      <c r="AE1324">
        <v>-9637.5864000000001</v>
      </c>
    </row>
    <row r="1325" spans="2:31" x14ac:dyDescent="0.25">
      <c r="B1325">
        <f t="shared" si="57"/>
        <v>51</v>
      </c>
      <c r="C1325">
        <v>1</v>
      </c>
      <c r="D1325">
        <v>1</v>
      </c>
      <c r="E1325">
        <v>1</v>
      </c>
      <c r="F1325">
        <v>1</v>
      </c>
      <c r="G1325">
        <v>1</v>
      </c>
      <c r="J1325">
        <f t="shared" si="58"/>
        <v>51</v>
      </c>
      <c r="K1325">
        <v>1</v>
      </c>
      <c r="L1325">
        <v>1</v>
      </c>
      <c r="M1325">
        <v>1</v>
      </c>
      <c r="N1325">
        <v>1</v>
      </c>
      <c r="O1325">
        <v>1</v>
      </c>
      <c r="R1325">
        <f t="shared" si="59"/>
        <v>51</v>
      </c>
      <c r="S1325">
        <v>1</v>
      </c>
      <c r="T1325">
        <v>1</v>
      </c>
      <c r="U1325">
        <v>1</v>
      </c>
      <c r="V1325">
        <v>1</v>
      </c>
      <c r="W1325">
        <v>1</v>
      </c>
      <c r="AA1325">
        <v>-9506.3734000000004</v>
      </c>
      <c r="AB1325">
        <v>-9506.3734000000004</v>
      </c>
      <c r="AC1325">
        <v>-9506.3734000000004</v>
      </c>
      <c r="AD1325">
        <v>-9506.3734000000004</v>
      </c>
      <c r="AE1325">
        <v>-9506.3734000000004</v>
      </c>
    </row>
    <row r="1326" spans="2:31" x14ac:dyDescent="0.25">
      <c r="B1326">
        <f t="shared" si="57"/>
        <v>52</v>
      </c>
      <c r="C1326">
        <v>1</v>
      </c>
      <c r="D1326">
        <v>1</v>
      </c>
      <c r="E1326">
        <v>1</v>
      </c>
      <c r="F1326">
        <v>1</v>
      </c>
      <c r="G1326">
        <v>1</v>
      </c>
      <c r="J1326">
        <f t="shared" si="58"/>
        <v>52</v>
      </c>
      <c r="K1326">
        <v>1</v>
      </c>
      <c r="L1326">
        <v>1</v>
      </c>
      <c r="M1326">
        <v>1</v>
      </c>
      <c r="N1326">
        <v>1</v>
      </c>
      <c r="O1326">
        <v>1</v>
      </c>
      <c r="R1326">
        <f t="shared" si="59"/>
        <v>52</v>
      </c>
      <c r="S1326">
        <v>1</v>
      </c>
      <c r="T1326">
        <v>1</v>
      </c>
      <c r="U1326">
        <v>1</v>
      </c>
      <c r="V1326">
        <v>1</v>
      </c>
      <c r="W1326">
        <v>1</v>
      </c>
      <c r="AA1326">
        <v>-9372.7019</v>
      </c>
      <c r="AB1326">
        <v>-9372.7019</v>
      </c>
      <c r="AC1326">
        <v>-9372.7019</v>
      </c>
      <c r="AD1326">
        <v>-9372.7019</v>
      </c>
      <c r="AE1326">
        <v>-9372.7019</v>
      </c>
    </row>
    <row r="1327" spans="2:31" x14ac:dyDescent="0.25">
      <c r="B1327">
        <f t="shared" si="57"/>
        <v>53</v>
      </c>
      <c r="C1327">
        <v>1</v>
      </c>
      <c r="D1327">
        <v>1</v>
      </c>
      <c r="E1327">
        <v>1</v>
      </c>
      <c r="F1327">
        <v>1</v>
      </c>
      <c r="G1327">
        <v>1</v>
      </c>
      <c r="J1327">
        <f t="shared" si="58"/>
        <v>53</v>
      </c>
      <c r="K1327">
        <v>1</v>
      </c>
      <c r="L1327">
        <v>1</v>
      </c>
      <c r="M1327">
        <v>1</v>
      </c>
      <c r="N1327">
        <v>1</v>
      </c>
      <c r="O1327">
        <v>1</v>
      </c>
      <c r="R1327">
        <f t="shared" si="59"/>
        <v>53</v>
      </c>
      <c r="S1327">
        <v>1</v>
      </c>
      <c r="T1327">
        <v>1</v>
      </c>
      <c r="U1327">
        <v>1</v>
      </c>
      <c r="V1327">
        <v>1</v>
      </c>
      <c r="W1327">
        <v>1</v>
      </c>
      <c r="AA1327">
        <v>-9236.6705000000002</v>
      </c>
      <c r="AB1327">
        <v>-9236.6705000000002</v>
      </c>
      <c r="AC1327">
        <v>-9236.6705000000002</v>
      </c>
      <c r="AD1327">
        <v>-9236.6705000000002</v>
      </c>
      <c r="AE1327">
        <v>-9236.6705000000002</v>
      </c>
    </row>
    <row r="1328" spans="2:31" x14ac:dyDescent="0.25">
      <c r="B1328">
        <f t="shared" si="57"/>
        <v>54</v>
      </c>
      <c r="C1328">
        <v>1</v>
      </c>
      <c r="D1328">
        <v>1</v>
      </c>
      <c r="E1328">
        <v>1</v>
      </c>
      <c r="F1328">
        <v>1</v>
      </c>
      <c r="G1328">
        <v>1</v>
      </c>
      <c r="J1328">
        <f t="shared" si="58"/>
        <v>54</v>
      </c>
      <c r="K1328">
        <v>1</v>
      </c>
      <c r="L1328">
        <v>1</v>
      </c>
      <c r="M1328">
        <v>1</v>
      </c>
      <c r="N1328">
        <v>1</v>
      </c>
      <c r="O1328">
        <v>1</v>
      </c>
      <c r="R1328">
        <f t="shared" si="59"/>
        <v>54</v>
      </c>
      <c r="S1328">
        <v>1</v>
      </c>
      <c r="T1328">
        <v>1</v>
      </c>
      <c r="U1328">
        <v>1</v>
      </c>
      <c r="V1328">
        <v>1</v>
      </c>
      <c r="W1328">
        <v>1</v>
      </c>
      <c r="AA1328">
        <v>-9098.4312000000009</v>
      </c>
      <c r="AB1328">
        <v>-9098.4312000000009</v>
      </c>
      <c r="AC1328">
        <v>-9098.4312000000009</v>
      </c>
      <c r="AD1328">
        <v>-9098.4312000000009</v>
      </c>
      <c r="AE1328">
        <v>-9098.4312000000009</v>
      </c>
    </row>
    <row r="1329" spans="2:31" x14ac:dyDescent="0.25">
      <c r="B1329">
        <f t="shared" si="57"/>
        <v>55</v>
      </c>
      <c r="C1329">
        <v>1</v>
      </c>
      <c r="D1329">
        <v>1</v>
      </c>
      <c r="E1329">
        <v>1</v>
      </c>
      <c r="F1329">
        <v>1</v>
      </c>
      <c r="G1329">
        <v>1</v>
      </c>
      <c r="J1329">
        <f t="shared" si="58"/>
        <v>55</v>
      </c>
      <c r="K1329">
        <v>1</v>
      </c>
      <c r="L1329">
        <v>1</v>
      </c>
      <c r="M1329">
        <v>1</v>
      </c>
      <c r="N1329">
        <v>1</v>
      </c>
      <c r="O1329">
        <v>1</v>
      </c>
      <c r="R1329">
        <f t="shared" si="59"/>
        <v>55</v>
      </c>
      <c r="S1329">
        <v>1</v>
      </c>
      <c r="T1329">
        <v>1</v>
      </c>
      <c r="U1329">
        <v>1</v>
      </c>
      <c r="V1329">
        <v>1</v>
      </c>
      <c r="W1329">
        <v>1</v>
      </c>
      <c r="AA1329">
        <v>-8958.0210999999999</v>
      </c>
      <c r="AB1329">
        <v>-8958.0210999999999</v>
      </c>
      <c r="AC1329">
        <v>-8958.0210999999999</v>
      </c>
      <c r="AD1329">
        <v>-8958.0210999999999</v>
      </c>
      <c r="AE1329">
        <v>-8958.0210999999999</v>
      </c>
    </row>
    <row r="1330" spans="2:31" x14ac:dyDescent="0.25">
      <c r="B1330">
        <f t="shared" si="57"/>
        <v>56</v>
      </c>
      <c r="C1330">
        <v>1</v>
      </c>
      <c r="D1330">
        <v>1</v>
      </c>
      <c r="E1330">
        <v>1</v>
      </c>
      <c r="F1330">
        <v>1</v>
      </c>
      <c r="G1330">
        <v>1</v>
      </c>
      <c r="J1330">
        <f t="shared" si="58"/>
        <v>56</v>
      </c>
      <c r="K1330">
        <v>1</v>
      </c>
      <c r="L1330">
        <v>1</v>
      </c>
      <c r="M1330">
        <v>1</v>
      </c>
      <c r="N1330">
        <v>1</v>
      </c>
      <c r="O1330">
        <v>1</v>
      </c>
      <c r="R1330">
        <f t="shared" si="59"/>
        <v>56</v>
      </c>
      <c r="S1330">
        <v>1</v>
      </c>
      <c r="T1330">
        <v>1</v>
      </c>
      <c r="U1330">
        <v>1</v>
      </c>
      <c r="V1330">
        <v>1</v>
      </c>
      <c r="W1330">
        <v>1</v>
      </c>
      <c r="AA1330">
        <v>-8815.6316999999999</v>
      </c>
      <c r="AB1330">
        <v>-8815.6316999999999</v>
      </c>
      <c r="AC1330">
        <v>-8815.6316999999999</v>
      </c>
      <c r="AD1330">
        <v>-8815.6316999999999</v>
      </c>
      <c r="AE1330">
        <v>-8815.6316999999999</v>
      </c>
    </row>
    <row r="1331" spans="2:31" x14ac:dyDescent="0.25">
      <c r="B1331">
        <f t="shared" si="57"/>
        <v>57</v>
      </c>
      <c r="C1331">
        <v>1</v>
      </c>
      <c r="D1331">
        <v>1</v>
      </c>
      <c r="E1331">
        <v>1</v>
      </c>
      <c r="F1331">
        <v>1</v>
      </c>
      <c r="G1331">
        <v>1</v>
      </c>
      <c r="J1331">
        <f t="shared" si="58"/>
        <v>57</v>
      </c>
      <c r="K1331">
        <v>1</v>
      </c>
      <c r="L1331">
        <v>1</v>
      </c>
      <c r="M1331">
        <v>1</v>
      </c>
      <c r="N1331">
        <v>1</v>
      </c>
      <c r="O1331">
        <v>1</v>
      </c>
      <c r="R1331">
        <f t="shared" si="59"/>
        <v>57</v>
      </c>
      <c r="S1331">
        <v>1</v>
      </c>
      <c r="T1331">
        <v>1</v>
      </c>
      <c r="U1331">
        <v>1</v>
      </c>
      <c r="V1331">
        <v>1</v>
      </c>
      <c r="W1331">
        <v>1</v>
      </c>
      <c r="AA1331">
        <v>-8671.3991999999998</v>
      </c>
      <c r="AB1331">
        <v>-8671.3991999999998</v>
      </c>
      <c r="AC1331">
        <v>-8671.3991999999998</v>
      </c>
      <c r="AD1331">
        <v>-8671.3991999999998</v>
      </c>
      <c r="AE1331">
        <v>-8671.3991999999998</v>
      </c>
    </row>
    <row r="1332" spans="2:31" x14ac:dyDescent="0.25">
      <c r="B1332">
        <f t="shared" si="57"/>
        <v>58</v>
      </c>
      <c r="C1332">
        <v>1</v>
      </c>
      <c r="D1332">
        <v>1</v>
      </c>
      <c r="E1332">
        <v>1</v>
      </c>
      <c r="F1332">
        <v>1</v>
      </c>
      <c r="G1332">
        <v>1</v>
      </c>
      <c r="J1332">
        <f t="shared" si="58"/>
        <v>58</v>
      </c>
      <c r="K1332">
        <v>1</v>
      </c>
      <c r="L1332">
        <v>1</v>
      </c>
      <c r="M1332">
        <v>1</v>
      </c>
      <c r="N1332">
        <v>1</v>
      </c>
      <c r="O1332">
        <v>1</v>
      </c>
      <c r="R1332">
        <f t="shared" si="59"/>
        <v>58</v>
      </c>
      <c r="S1332">
        <v>1</v>
      </c>
      <c r="T1332">
        <v>1</v>
      </c>
      <c r="U1332">
        <v>1</v>
      </c>
      <c r="V1332">
        <v>1</v>
      </c>
      <c r="W1332">
        <v>1</v>
      </c>
      <c r="AA1332">
        <v>-8525.2759999999998</v>
      </c>
      <c r="AB1332">
        <v>-8525.2759999999998</v>
      </c>
      <c r="AC1332">
        <v>-8525.2759999999998</v>
      </c>
      <c r="AD1332">
        <v>-8525.2759999999998</v>
      </c>
      <c r="AE1332">
        <v>-8525.2759999999998</v>
      </c>
    </row>
    <row r="1333" spans="2:31" x14ac:dyDescent="0.25">
      <c r="B1333">
        <f t="shared" si="57"/>
        <v>59</v>
      </c>
      <c r="C1333">
        <v>1</v>
      </c>
      <c r="D1333">
        <v>1</v>
      </c>
      <c r="E1333">
        <v>1</v>
      </c>
      <c r="F1333">
        <v>1</v>
      </c>
      <c r="G1333">
        <v>1</v>
      </c>
      <c r="J1333">
        <f t="shared" si="58"/>
        <v>59</v>
      </c>
      <c r="K1333">
        <v>1</v>
      </c>
      <c r="L1333">
        <v>1</v>
      </c>
      <c r="M1333">
        <v>1</v>
      </c>
      <c r="N1333">
        <v>1</v>
      </c>
      <c r="O1333">
        <v>1</v>
      </c>
      <c r="R1333">
        <f t="shared" si="59"/>
        <v>59</v>
      </c>
      <c r="S1333">
        <v>1</v>
      </c>
      <c r="T1333">
        <v>1</v>
      </c>
      <c r="U1333">
        <v>1</v>
      </c>
      <c r="V1333">
        <v>1</v>
      </c>
      <c r="W1333">
        <v>1</v>
      </c>
      <c r="AA1333">
        <v>-8377.2351999999992</v>
      </c>
      <c r="AB1333">
        <v>-8377.2351999999992</v>
      </c>
      <c r="AC1333">
        <v>-8377.2351999999992</v>
      </c>
      <c r="AD1333">
        <v>-8377.2351999999992</v>
      </c>
      <c r="AE1333">
        <v>-8377.2351999999992</v>
      </c>
    </row>
    <row r="1334" spans="2:31" x14ac:dyDescent="0.25">
      <c r="B1334">
        <f t="shared" si="57"/>
        <v>60</v>
      </c>
      <c r="C1334">
        <v>1</v>
      </c>
      <c r="D1334">
        <v>1</v>
      </c>
      <c r="E1334">
        <v>1</v>
      </c>
      <c r="F1334">
        <v>1</v>
      </c>
      <c r="G1334">
        <v>1</v>
      </c>
      <c r="J1334">
        <f t="shared" si="58"/>
        <v>60</v>
      </c>
      <c r="K1334">
        <v>1</v>
      </c>
      <c r="L1334">
        <v>1</v>
      </c>
      <c r="M1334">
        <v>1</v>
      </c>
      <c r="N1334">
        <v>1</v>
      </c>
      <c r="O1334">
        <v>1</v>
      </c>
      <c r="R1334">
        <f t="shared" si="59"/>
        <v>60</v>
      </c>
      <c r="S1334">
        <v>1</v>
      </c>
      <c r="T1334">
        <v>1</v>
      </c>
      <c r="U1334">
        <v>1</v>
      </c>
      <c r="V1334">
        <v>1</v>
      </c>
      <c r="W1334">
        <v>1</v>
      </c>
      <c r="AA1334">
        <v>-8227.3953999999994</v>
      </c>
      <c r="AB1334">
        <v>-8227.3953999999994</v>
      </c>
      <c r="AC1334">
        <v>-8227.3953999999994</v>
      </c>
      <c r="AD1334">
        <v>-8227.3953999999994</v>
      </c>
      <c r="AE1334">
        <v>-8227.3953999999994</v>
      </c>
    </row>
    <row r="1335" spans="2:31" x14ac:dyDescent="0.25">
      <c r="B1335">
        <f t="shared" si="57"/>
        <v>61</v>
      </c>
      <c r="C1335">
        <v>1</v>
      </c>
      <c r="D1335">
        <v>1</v>
      </c>
      <c r="E1335">
        <v>1</v>
      </c>
      <c r="F1335">
        <v>1</v>
      </c>
      <c r="G1335">
        <v>1</v>
      </c>
      <c r="J1335">
        <f t="shared" si="58"/>
        <v>61</v>
      </c>
      <c r="K1335">
        <v>1</v>
      </c>
      <c r="L1335">
        <v>1</v>
      </c>
      <c r="M1335">
        <v>1</v>
      </c>
      <c r="N1335">
        <v>1</v>
      </c>
      <c r="O1335">
        <v>1</v>
      </c>
      <c r="R1335">
        <f t="shared" si="59"/>
        <v>61</v>
      </c>
      <c r="S1335">
        <v>1</v>
      </c>
      <c r="T1335">
        <v>1</v>
      </c>
      <c r="U1335">
        <v>1</v>
      </c>
      <c r="V1335">
        <v>1</v>
      </c>
      <c r="W1335">
        <v>1</v>
      </c>
      <c r="AA1335">
        <v>-8076.1778999999997</v>
      </c>
      <c r="AB1335">
        <v>-8076.1778999999997</v>
      </c>
      <c r="AC1335">
        <v>-8076.1778999999997</v>
      </c>
      <c r="AD1335">
        <v>-8076.1778999999997</v>
      </c>
      <c r="AE1335">
        <v>-8076.1778999999997</v>
      </c>
    </row>
    <row r="1336" spans="2:31" x14ac:dyDescent="0.25">
      <c r="B1336">
        <f t="shared" si="57"/>
        <v>62</v>
      </c>
      <c r="C1336">
        <v>1</v>
      </c>
      <c r="D1336">
        <v>1</v>
      </c>
      <c r="E1336">
        <v>1</v>
      </c>
      <c r="F1336">
        <v>1</v>
      </c>
      <c r="G1336">
        <v>1</v>
      </c>
      <c r="J1336">
        <f t="shared" si="58"/>
        <v>62</v>
      </c>
      <c r="K1336">
        <v>1</v>
      </c>
      <c r="L1336">
        <v>1</v>
      </c>
      <c r="M1336">
        <v>1</v>
      </c>
      <c r="N1336">
        <v>1</v>
      </c>
      <c r="O1336">
        <v>1</v>
      </c>
      <c r="R1336">
        <f t="shared" si="59"/>
        <v>62</v>
      </c>
      <c r="S1336">
        <v>1</v>
      </c>
      <c r="T1336">
        <v>1</v>
      </c>
      <c r="U1336">
        <v>1</v>
      </c>
      <c r="V1336">
        <v>1</v>
      </c>
      <c r="W1336">
        <v>1</v>
      </c>
      <c r="AA1336">
        <v>-7923.5816000000004</v>
      </c>
      <c r="AB1336">
        <v>-7923.5816000000004</v>
      </c>
      <c r="AC1336">
        <v>-7923.5816000000004</v>
      </c>
      <c r="AD1336">
        <v>-7923.5816000000004</v>
      </c>
      <c r="AE1336">
        <v>-7923.5816000000004</v>
      </c>
    </row>
    <row r="1337" spans="2:31" x14ac:dyDescent="0.25">
      <c r="B1337">
        <f t="shared" si="57"/>
        <v>63</v>
      </c>
      <c r="C1337">
        <v>1</v>
      </c>
      <c r="D1337">
        <v>1</v>
      </c>
      <c r="E1337">
        <v>1</v>
      </c>
      <c r="F1337">
        <v>1</v>
      </c>
      <c r="G1337">
        <v>1</v>
      </c>
      <c r="J1337">
        <f t="shared" si="58"/>
        <v>63</v>
      </c>
      <c r="K1337">
        <v>1</v>
      </c>
      <c r="L1337">
        <v>1</v>
      </c>
      <c r="M1337">
        <v>1</v>
      </c>
      <c r="N1337">
        <v>1</v>
      </c>
      <c r="O1337">
        <v>1</v>
      </c>
      <c r="R1337">
        <f t="shared" si="59"/>
        <v>63</v>
      </c>
      <c r="S1337">
        <v>1</v>
      </c>
      <c r="T1337">
        <v>1</v>
      </c>
      <c r="U1337">
        <v>1</v>
      </c>
      <c r="V1337">
        <v>1</v>
      </c>
      <c r="W1337">
        <v>1</v>
      </c>
      <c r="AA1337">
        <v>-7769.2775000000001</v>
      </c>
      <c r="AB1337">
        <v>-7769.2775000000001</v>
      </c>
      <c r="AC1337">
        <v>-7769.2775000000001</v>
      </c>
      <c r="AD1337">
        <v>-7769.2775000000001</v>
      </c>
      <c r="AE1337">
        <v>-7769.2775000000001</v>
      </c>
    </row>
    <row r="1338" spans="2:31" x14ac:dyDescent="0.25">
      <c r="B1338">
        <f t="shared" si="57"/>
        <v>64</v>
      </c>
      <c r="C1338">
        <v>1</v>
      </c>
      <c r="D1338">
        <v>1</v>
      </c>
      <c r="E1338">
        <v>1</v>
      </c>
      <c r="F1338">
        <v>1</v>
      </c>
      <c r="G1338">
        <v>1</v>
      </c>
      <c r="J1338">
        <f t="shared" si="58"/>
        <v>64</v>
      </c>
      <c r="K1338">
        <v>1</v>
      </c>
      <c r="L1338">
        <v>1</v>
      </c>
      <c r="M1338">
        <v>1</v>
      </c>
      <c r="N1338">
        <v>1</v>
      </c>
      <c r="O1338">
        <v>1</v>
      </c>
      <c r="R1338">
        <f t="shared" si="59"/>
        <v>64</v>
      </c>
      <c r="S1338">
        <v>1</v>
      </c>
      <c r="T1338">
        <v>1</v>
      </c>
      <c r="U1338">
        <v>1</v>
      </c>
      <c r="V1338">
        <v>1</v>
      </c>
      <c r="W1338">
        <v>1</v>
      </c>
      <c r="AA1338">
        <v>-7613.3999000000003</v>
      </c>
      <c r="AB1338">
        <v>-7613.3999000000003</v>
      </c>
      <c r="AC1338">
        <v>-7613.3999000000003</v>
      </c>
      <c r="AD1338">
        <v>-7613.3999000000003</v>
      </c>
      <c r="AE1338">
        <v>-7613.3999000000003</v>
      </c>
    </row>
    <row r="1339" spans="2:31" x14ac:dyDescent="0.25">
      <c r="B1339">
        <f t="shared" si="57"/>
        <v>65</v>
      </c>
      <c r="C1339">
        <v>1</v>
      </c>
      <c r="D1339">
        <v>1</v>
      </c>
      <c r="E1339">
        <v>1</v>
      </c>
      <c r="F1339">
        <v>1</v>
      </c>
      <c r="G1339">
        <v>1</v>
      </c>
      <c r="J1339">
        <f t="shared" si="58"/>
        <v>65</v>
      </c>
      <c r="K1339">
        <v>1</v>
      </c>
      <c r="L1339">
        <v>1</v>
      </c>
      <c r="M1339">
        <v>1</v>
      </c>
      <c r="N1339">
        <v>1</v>
      </c>
      <c r="O1339">
        <v>1</v>
      </c>
      <c r="R1339">
        <f t="shared" si="59"/>
        <v>65</v>
      </c>
      <c r="S1339">
        <v>1</v>
      </c>
      <c r="T1339">
        <v>1</v>
      </c>
      <c r="U1339">
        <v>1</v>
      </c>
      <c r="V1339">
        <v>1</v>
      </c>
      <c r="W1339">
        <v>1</v>
      </c>
      <c r="AA1339">
        <v>-7455.8590000000004</v>
      </c>
      <c r="AB1339">
        <v>-7455.8590000000004</v>
      </c>
      <c r="AC1339">
        <v>-7455.8590000000004</v>
      </c>
      <c r="AD1339">
        <v>-7455.8590000000004</v>
      </c>
      <c r="AE1339">
        <v>-7455.8590000000004</v>
      </c>
    </row>
    <row r="1342" spans="2:31" x14ac:dyDescent="0.25">
      <c r="B1342" t="s">
        <v>46</v>
      </c>
      <c r="C1342">
        <v>50000</v>
      </c>
      <c r="D1342">
        <v>100000</v>
      </c>
      <c r="E1342">
        <v>250000</v>
      </c>
      <c r="F1342">
        <v>500000</v>
      </c>
      <c r="G1342">
        <v>1000000</v>
      </c>
      <c r="H1342">
        <v>2000000</v>
      </c>
      <c r="J1342" t="s">
        <v>47</v>
      </c>
      <c r="K1342">
        <v>50000</v>
      </c>
      <c r="L1342">
        <v>100000</v>
      </c>
      <c r="M1342">
        <v>250000</v>
      </c>
      <c r="N1342">
        <v>500000</v>
      </c>
      <c r="O1342">
        <v>1000000</v>
      </c>
      <c r="P1342">
        <v>2000000</v>
      </c>
      <c r="R1342" t="s">
        <v>48</v>
      </c>
      <c r="S1342">
        <v>50000</v>
      </c>
      <c r="T1342">
        <v>100000</v>
      </c>
      <c r="U1342">
        <v>250000</v>
      </c>
      <c r="V1342">
        <v>500000</v>
      </c>
      <c r="W1342">
        <v>1000000</v>
      </c>
      <c r="X1342">
        <v>2000000</v>
      </c>
    </row>
    <row r="1343" spans="2:31" x14ac:dyDescent="0.25">
      <c r="B1343">
        <v>26</v>
      </c>
      <c r="C1343">
        <v>1</v>
      </c>
      <c r="D1343">
        <v>1</v>
      </c>
      <c r="E1343">
        <v>1</v>
      </c>
      <c r="F1343">
        <v>1</v>
      </c>
      <c r="G1343">
        <v>1</v>
      </c>
      <c r="H1343">
        <v>1</v>
      </c>
      <c r="J1343">
        <v>26</v>
      </c>
      <c r="K1343">
        <v>1</v>
      </c>
      <c r="L1343">
        <v>1</v>
      </c>
      <c r="M1343">
        <v>1</v>
      </c>
      <c r="N1343">
        <v>1</v>
      </c>
      <c r="O1343">
        <v>1</v>
      </c>
      <c r="P1343">
        <v>1</v>
      </c>
      <c r="R1343">
        <v>26</v>
      </c>
      <c r="S1343">
        <v>1</v>
      </c>
      <c r="T1343">
        <v>1</v>
      </c>
      <c r="U1343">
        <v>1</v>
      </c>
      <c r="V1343">
        <v>1</v>
      </c>
      <c r="W1343">
        <v>1</v>
      </c>
      <c r="X1343">
        <v>1</v>
      </c>
    </row>
    <row r="1344" spans="2:31" x14ac:dyDescent="0.25">
      <c r="B1344">
        <v>27</v>
      </c>
      <c r="C1344">
        <v>1</v>
      </c>
      <c r="D1344">
        <v>1</v>
      </c>
      <c r="E1344">
        <v>1</v>
      </c>
      <c r="F1344">
        <v>1</v>
      </c>
      <c r="G1344">
        <v>1</v>
      </c>
      <c r="H1344">
        <v>1</v>
      </c>
      <c r="J1344">
        <v>27</v>
      </c>
      <c r="K1344">
        <v>1</v>
      </c>
      <c r="L1344">
        <v>1</v>
      </c>
      <c r="M1344">
        <v>1</v>
      </c>
      <c r="N1344">
        <v>1</v>
      </c>
      <c r="O1344">
        <v>1</v>
      </c>
      <c r="P1344">
        <v>1</v>
      </c>
      <c r="R1344">
        <v>27</v>
      </c>
      <c r="S1344">
        <v>1</v>
      </c>
      <c r="T1344">
        <v>1</v>
      </c>
      <c r="U1344">
        <v>1</v>
      </c>
      <c r="V1344">
        <v>1</v>
      </c>
      <c r="W1344">
        <v>1</v>
      </c>
      <c r="X1344">
        <v>1</v>
      </c>
    </row>
    <row r="1345" spans="2:24" x14ac:dyDescent="0.25">
      <c r="B1345">
        <v>28</v>
      </c>
      <c r="C1345">
        <v>1</v>
      </c>
      <c r="D1345">
        <v>1</v>
      </c>
      <c r="E1345">
        <v>1</v>
      </c>
      <c r="F1345">
        <v>1</v>
      </c>
      <c r="G1345">
        <v>1</v>
      </c>
      <c r="H1345">
        <v>1</v>
      </c>
      <c r="J1345">
        <v>28</v>
      </c>
      <c r="K1345">
        <v>1</v>
      </c>
      <c r="L1345">
        <v>1</v>
      </c>
      <c r="M1345">
        <v>1</v>
      </c>
      <c r="N1345">
        <v>1</v>
      </c>
      <c r="O1345">
        <v>1</v>
      </c>
      <c r="P1345">
        <v>1</v>
      </c>
      <c r="R1345">
        <v>28</v>
      </c>
      <c r="S1345">
        <v>1</v>
      </c>
      <c r="T1345">
        <v>1</v>
      </c>
      <c r="U1345">
        <v>1</v>
      </c>
      <c r="V1345">
        <v>1</v>
      </c>
      <c r="W1345">
        <v>1</v>
      </c>
      <c r="X1345">
        <v>1</v>
      </c>
    </row>
    <row r="1346" spans="2:24" x14ac:dyDescent="0.25">
      <c r="B1346">
        <v>29</v>
      </c>
      <c r="C1346">
        <v>1</v>
      </c>
      <c r="D1346">
        <v>1</v>
      </c>
      <c r="E1346">
        <v>1</v>
      </c>
      <c r="F1346">
        <v>1</v>
      </c>
      <c r="G1346">
        <v>1</v>
      </c>
      <c r="H1346">
        <v>1</v>
      </c>
      <c r="J1346">
        <v>29</v>
      </c>
      <c r="K1346">
        <v>1</v>
      </c>
      <c r="L1346">
        <v>1</v>
      </c>
      <c r="M1346">
        <v>1</v>
      </c>
      <c r="N1346">
        <v>1</v>
      </c>
      <c r="O1346">
        <v>1</v>
      </c>
      <c r="P1346">
        <v>1</v>
      </c>
      <c r="R1346">
        <v>29</v>
      </c>
      <c r="S1346">
        <v>1</v>
      </c>
      <c r="T1346">
        <v>1</v>
      </c>
      <c r="U1346">
        <v>1</v>
      </c>
      <c r="V1346">
        <v>1</v>
      </c>
      <c r="W1346">
        <v>1</v>
      </c>
      <c r="X1346">
        <v>1</v>
      </c>
    </row>
    <row r="1347" spans="2:24" x14ac:dyDescent="0.25">
      <c r="B1347">
        <v>30</v>
      </c>
      <c r="C1347">
        <v>1</v>
      </c>
      <c r="D1347">
        <v>1</v>
      </c>
      <c r="E1347">
        <v>1</v>
      </c>
      <c r="F1347">
        <v>1</v>
      </c>
      <c r="G1347">
        <v>1</v>
      </c>
      <c r="H1347">
        <v>1</v>
      </c>
      <c r="J1347">
        <v>30</v>
      </c>
      <c r="K1347">
        <v>1</v>
      </c>
      <c r="L1347">
        <v>1</v>
      </c>
      <c r="M1347">
        <v>1</v>
      </c>
      <c r="N1347">
        <v>1</v>
      </c>
      <c r="O1347">
        <v>1</v>
      </c>
      <c r="P1347">
        <v>1</v>
      </c>
      <c r="R1347">
        <v>30</v>
      </c>
      <c r="S1347">
        <v>1</v>
      </c>
      <c r="T1347">
        <v>1</v>
      </c>
      <c r="U1347">
        <v>1</v>
      </c>
      <c r="V1347">
        <v>1</v>
      </c>
      <c r="W1347">
        <v>1</v>
      </c>
      <c r="X1347">
        <v>1</v>
      </c>
    </row>
    <row r="1348" spans="2:24" x14ac:dyDescent="0.25">
      <c r="B1348">
        <v>31</v>
      </c>
      <c r="C1348">
        <v>1</v>
      </c>
      <c r="D1348">
        <v>1</v>
      </c>
      <c r="E1348">
        <v>1</v>
      </c>
      <c r="F1348">
        <v>1</v>
      </c>
      <c r="G1348">
        <v>1</v>
      </c>
      <c r="H1348">
        <v>1</v>
      </c>
      <c r="J1348">
        <v>31</v>
      </c>
      <c r="K1348">
        <v>1</v>
      </c>
      <c r="L1348">
        <v>1</v>
      </c>
      <c r="M1348">
        <v>1</v>
      </c>
      <c r="N1348">
        <v>1</v>
      </c>
      <c r="O1348">
        <v>1</v>
      </c>
      <c r="P1348">
        <v>1</v>
      </c>
      <c r="R1348">
        <v>31</v>
      </c>
      <c r="S1348">
        <v>1</v>
      </c>
      <c r="T1348">
        <v>1</v>
      </c>
      <c r="U1348">
        <v>1</v>
      </c>
      <c r="V1348">
        <v>1</v>
      </c>
      <c r="W1348">
        <v>1</v>
      </c>
      <c r="X1348">
        <v>1</v>
      </c>
    </row>
    <row r="1349" spans="2:24" x14ac:dyDescent="0.25">
      <c r="B1349">
        <v>32</v>
      </c>
      <c r="C1349">
        <v>1</v>
      </c>
      <c r="D1349">
        <v>1</v>
      </c>
      <c r="E1349">
        <v>1</v>
      </c>
      <c r="F1349">
        <v>1</v>
      </c>
      <c r="G1349">
        <v>1</v>
      </c>
      <c r="H1349">
        <v>1</v>
      </c>
      <c r="J1349">
        <v>32</v>
      </c>
      <c r="K1349">
        <v>1</v>
      </c>
      <c r="L1349">
        <v>1</v>
      </c>
      <c r="M1349">
        <v>1</v>
      </c>
      <c r="N1349">
        <v>1</v>
      </c>
      <c r="O1349">
        <v>1</v>
      </c>
      <c r="P1349">
        <v>1</v>
      </c>
      <c r="R1349">
        <v>32</v>
      </c>
      <c r="S1349">
        <v>1</v>
      </c>
      <c r="T1349">
        <v>1</v>
      </c>
      <c r="U1349">
        <v>1</v>
      </c>
      <c r="V1349">
        <v>1</v>
      </c>
      <c r="W1349">
        <v>1</v>
      </c>
      <c r="X1349">
        <v>1</v>
      </c>
    </row>
    <row r="1350" spans="2:24" x14ac:dyDescent="0.25">
      <c r="B1350">
        <v>33</v>
      </c>
      <c r="C1350">
        <v>1</v>
      </c>
      <c r="D1350">
        <v>1</v>
      </c>
      <c r="E1350">
        <v>1</v>
      </c>
      <c r="F1350">
        <v>1</v>
      </c>
      <c r="G1350">
        <v>1</v>
      </c>
      <c r="H1350">
        <v>1</v>
      </c>
      <c r="J1350">
        <v>33</v>
      </c>
      <c r="K1350">
        <v>1</v>
      </c>
      <c r="L1350">
        <v>1</v>
      </c>
      <c r="M1350">
        <v>1</v>
      </c>
      <c r="N1350">
        <v>1</v>
      </c>
      <c r="O1350">
        <v>1</v>
      </c>
      <c r="P1350">
        <v>1</v>
      </c>
      <c r="R1350">
        <v>33</v>
      </c>
      <c r="S1350">
        <v>1</v>
      </c>
      <c r="T1350">
        <v>1</v>
      </c>
      <c r="U1350">
        <v>1</v>
      </c>
      <c r="V1350">
        <v>1</v>
      </c>
      <c r="W1350">
        <v>1</v>
      </c>
      <c r="X1350">
        <v>1</v>
      </c>
    </row>
    <row r="1351" spans="2:24" x14ac:dyDescent="0.25">
      <c r="B1351">
        <v>34</v>
      </c>
      <c r="C1351">
        <v>1</v>
      </c>
      <c r="D1351">
        <v>1</v>
      </c>
      <c r="E1351">
        <v>1</v>
      </c>
      <c r="F1351">
        <v>1</v>
      </c>
      <c r="G1351">
        <v>1</v>
      </c>
      <c r="H1351">
        <v>1</v>
      </c>
      <c r="J1351">
        <v>34</v>
      </c>
      <c r="K1351">
        <v>1</v>
      </c>
      <c r="L1351">
        <v>1</v>
      </c>
      <c r="M1351">
        <v>1</v>
      </c>
      <c r="N1351">
        <v>1</v>
      </c>
      <c r="O1351">
        <v>1</v>
      </c>
      <c r="P1351">
        <v>1</v>
      </c>
      <c r="R1351">
        <v>34</v>
      </c>
      <c r="S1351">
        <v>1</v>
      </c>
      <c r="T1351">
        <v>1</v>
      </c>
      <c r="U1351">
        <v>1</v>
      </c>
      <c r="V1351">
        <v>1</v>
      </c>
      <c r="W1351">
        <v>1</v>
      </c>
      <c r="X1351">
        <v>1</v>
      </c>
    </row>
    <row r="1352" spans="2:24" x14ac:dyDescent="0.25">
      <c r="B1352">
        <v>35</v>
      </c>
      <c r="C1352">
        <v>1</v>
      </c>
      <c r="D1352">
        <v>1</v>
      </c>
      <c r="E1352">
        <v>1</v>
      </c>
      <c r="F1352">
        <v>1</v>
      </c>
      <c r="G1352">
        <v>1</v>
      </c>
      <c r="H1352">
        <v>1</v>
      </c>
      <c r="J1352">
        <v>35</v>
      </c>
      <c r="K1352">
        <v>1</v>
      </c>
      <c r="L1352">
        <v>1</v>
      </c>
      <c r="M1352">
        <v>1</v>
      </c>
      <c r="N1352">
        <v>1</v>
      </c>
      <c r="O1352">
        <v>1</v>
      </c>
      <c r="P1352">
        <v>1</v>
      </c>
      <c r="R1352">
        <v>35</v>
      </c>
      <c r="S1352">
        <v>1</v>
      </c>
      <c r="T1352">
        <v>1</v>
      </c>
      <c r="U1352">
        <v>1</v>
      </c>
      <c r="V1352">
        <v>1</v>
      </c>
      <c r="W1352">
        <v>1</v>
      </c>
      <c r="X1352">
        <v>1</v>
      </c>
    </row>
    <row r="1353" spans="2:24" x14ac:dyDescent="0.25">
      <c r="B1353">
        <v>36</v>
      </c>
      <c r="C1353">
        <v>1</v>
      </c>
      <c r="D1353">
        <v>1</v>
      </c>
      <c r="E1353">
        <v>1</v>
      </c>
      <c r="F1353">
        <v>1</v>
      </c>
      <c r="G1353">
        <v>1</v>
      </c>
      <c r="H1353">
        <v>1</v>
      </c>
      <c r="J1353">
        <v>36</v>
      </c>
      <c r="K1353">
        <v>1</v>
      </c>
      <c r="L1353">
        <v>1</v>
      </c>
      <c r="M1353">
        <v>1</v>
      </c>
      <c r="N1353">
        <v>1</v>
      </c>
      <c r="O1353">
        <v>1</v>
      </c>
      <c r="P1353">
        <v>1</v>
      </c>
      <c r="R1353">
        <v>36</v>
      </c>
      <c r="S1353">
        <v>1</v>
      </c>
      <c r="T1353">
        <v>1</v>
      </c>
      <c r="U1353">
        <v>1</v>
      </c>
      <c r="V1353">
        <v>1</v>
      </c>
      <c r="W1353">
        <v>1</v>
      </c>
      <c r="X1353">
        <v>1</v>
      </c>
    </row>
    <row r="1354" spans="2:24" x14ac:dyDescent="0.25">
      <c r="B1354">
        <v>37</v>
      </c>
      <c r="C1354">
        <v>1</v>
      </c>
      <c r="D1354">
        <v>1</v>
      </c>
      <c r="E1354">
        <v>1</v>
      </c>
      <c r="F1354">
        <v>1</v>
      </c>
      <c r="G1354">
        <v>1</v>
      </c>
      <c r="H1354">
        <v>1</v>
      </c>
      <c r="J1354">
        <v>37</v>
      </c>
      <c r="K1354">
        <v>1</v>
      </c>
      <c r="L1354">
        <v>1</v>
      </c>
      <c r="M1354">
        <v>1</v>
      </c>
      <c r="N1354">
        <v>1</v>
      </c>
      <c r="O1354">
        <v>1</v>
      </c>
      <c r="P1354">
        <v>1</v>
      </c>
      <c r="R1354">
        <v>37</v>
      </c>
      <c r="S1354">
        <v>1</v>
      </c>
      <c r="T1354">
        <v>1</v>
      </c>
      <c r="U1354">
        <v>1</v>
      </c>
      <c r="V1354">
        <v>1</v>
      </c>
      <c r="W1354">
        <v>1</v>
      </c>
      <c r="X1354">
        <v>1</v>
      </c>
    </row>
    <row r="1355" spans="2:24" x14ac:dyDescent="0.25">
      <c r="B1355">
        <v>38</v>
      </c>
      <c r="C1355">
        <v>1</v>
      </c>
      <c r="D1355">
        <v>1</v>
      </c>
      <c r="E1355">
        <v>1</v>
      </c>
      <c r="F1355">
        <v>1</v>
      </c>
      <c r="G1355">
        <v>1</v>
      </c>
      <c r="H1355">
        <v>1</v>
      </c>
      <c r="J1355">
        <v>38</v>
      </c>
      <c r="K1355">
        <v>1</v>
      </c>
      <c r="L1355">
        <v>1</v>
      </c>
      <c r="M1355">
        <v>1</v>
      </c>
      <c r="N1355">
        <v>1</v>
      </c>
      <c r="O1355">
        <v>1</v>
      </c>
      <c r="P1355">
        <v>1</v>
      </c>
      <c r="R1355">
        <v>38</v>
      </c>
      <c r="S1355">
        <v>1</v>
      </c>
      <c r="T1355">
        <v>1</v>
      </c>
      <c r="U1355">
        <v>1</v>
      </c>
      <c r="V1355">
        <v>1</v>
      </c>
      <c r="W1355">
        <v>1</v>
      </c>
      <c r="X1355">
        <v>1</v>
      </c>
    </row>
    <row r="1356" spans="2:24" x14ac:dyDescent="0.25">
      <c r="B1356">
        <v>39</v>
      </c>
      <c r="C1356">
        <v>1</v>
      </c>
      <c r="D1356">
        <v>1</v>
      </c>
      <c r="E1356">
        <v>1</v>
      </c>
      <c r="F1356">
        <v>1</v>
      </c>
      <c r="G1356">
        <v>1</v>
      </c>
      <c r="H1356">
        <v>1</v>
      </c>
      <c r="J1356">
        <v>39</v>
      </c>
      <c r="K1356">
        <v>1</v>
      </c>
      <c r="L1356">
        <v>1</v>
      </c>
      <c r="M1356">
        <v>1</v>
      </c>
      <c r="N1356">
        <v>1</v>
      </c>
      <c r="O1356">
        <v>1</v>
      </c>
      <c r="P1356">
        <v>1</v>
      </c>
      <c r="R1356">
        <v>39</v>
      </c>
      <c r="S1356">
        <v>1</v>
      </c>
      <c r="T1356">
        <v>1</v>
      </c>
      <c r="U1356">
        <v>1</v>
      </c>
      <c r="V1356">
        <v>1</v>
      </c>
      <c r="W1356">
        <v>1</v>
      </c>
      <c r="X1356">
        <v>1</v>
      </c>
    </row>
    <row r="1357" spans="2:24" x14ac:dyDescent="0.25">
      <c r="B1357">
        <v>40</v>
      </c>
      <c r="C1357">
        <v>1</v>
      </c>
      <c r="D1357">
        <v>1</v>
      </c>
      <c r="E1357">
        <v>1</v>
      </c>
      <c r="F1357">
        <v>1</v>
      </c>
      <c r="G1357">
        <v>1</v>
      </c>
      <c r="H1357">
        <v>1</v>
      </c>
      <c r="J1357">
        <v>40</v>
      </c>
      <c r="K1357">
        <v>1</v>
      </c>
      <c r="L1357">
        <v>1</v>
      </c>
      <c r="M1357">
        <v>1</v>
      </c>
      <c r="N1357">
        <v>1</v>
      </c>
      <c r="O1357">
        <v>1</v>
      </c>
      <c r="P1357">
        <v>1</v>
      </c>
      <c r="R1357">
        <v>40</v>
      </c>
      <c r="S1357">
        <v>1</v>
      </c>
      <c r="T1357">
        <v>1</v>
      </c>
      <c r="U1357">
        <v>1</v>
      </c>
      <c r="V1357">
        <v>1</v>
      </c>
      <c r="W1357">
        <v>1</v>
      </c>
      <c r="X1357">
        <v>1</v>
      </c>
    </row>
    <row r="1358" spans="2:24" x14ac:dyDescent="0.25">
      <c r="B1358">
        <v>41</v>
      </c>
      <c r="C1358">
        <v>1</v>
      </c>
      <c r="D1358">
        <v>1</v>
      </c>
      <c r="E1358">
        <v>1</v>
      </c>
      <c r="F1358">
        <v>1</v>
      </c>
      <c r="G1358">
        <v>1</v>
      </c>
      <c r="H1358">
        <v>1</v>
      </c>
      <c r="J1358">
        <v>41</v>
      </c>
      <c r="K1358">
        <v>1</v>
      </c>
      <c r="L1358">
        <v>1</v>
      </c>
      <c r="M1358">
        <v>1</v>
      </c>
      <c r="N1358">
        <v>1</v>
      </c>
      <c r="O1358">
        <v>1</v>
      </c>
      <c r="P1358">
        <v>1</v>
      </c>
      <c r="R1358">
        <v>41</v>
      </c>
      <c r="S1358">
        <v>1</v>
      </c>
      <c r="T1358">
        <v>1</v>
      </c>
      <c r="U1358">
        <v>1</v>
      </c>
      <c r="V1358">
        <v>1</v>
      </c>
      <c r="W1358">
        <v>1</v>
      </c>
      <c r="X1358">
        <v>1</v>
      </c>
    </row>
    <row r="1359" spans="2:24" x14ac:dyDescent="0.25">
      <c r="B1359">
        <v>42</v>
      </c>
      <c r="C1359">
        <v>1</v>
      </c>
      <c r="D1359">
        <v>1</v>
      </c>
      <c r="E1359">
        <v>1</v>
      </c>
      <c r="F1359">
        <v>1</v>
      </c>
      <c r="G1359">
        <v>1</v>
      </c>
      <c r="H1359">
        <v>1</v>
      </c>
      <c r="J1359">
        <v>42</v>
      </c>
      <c r="K1359">
        <v>1</v>
      </c>
      <c r="L1359">
        <v>1</v>
      </c>
      <c r="M1359">
        <v>1</v>
      </c>
      <c r="N1359">
        <v>1</v>
      </c>
      <c r="O1359">
        <v>1</v>
      </c>
      <c r="P1359">
        <v>1</v>
      </c>
      <c r="R1359">
        <v>42</v>
      </c>
      <c r="S1359">
        <v>1</v>
      </c>
      <c r="T1359">
        <v>1</v>
      </c>
      <c r="U1359">
        <v>1</v>
      </c>
      <c r="V1359">
        <v>1</v>
      </c>
      <c r="W1359">
        <v>1</v>
      </c>
      <c r="X1359">
        <v>1</v>
      </c>
    </row>
    <row r="1360" spans="2:24" x14ac:dyDescent="0.25">
      <c r="B1360">
        <v>43</v>
      </c>
      <c r="C1360">
        <v>1</v>
      </c>
      <c r="D1360">
        <v>1</v>
      </c>
      <c r="E1360">
        <v>1</v>
      </c>
      <c r="F1360">
        <v>1</v>
      </c>
      <c r="G1360">
        <v>1</v>
      </c>
      <c r="H1360">
        <v>1</v>
      </c>
      <c r="J1360">
        <v>43</v>
      </c>
      <c r="K1360">
        <v>1</v>
      </c>
      <c r="L1360">
        <v>1</v>
      </c>
      <c r="M1360">
        <v>1</v>
      </c>
      <c r="N1360">
        <v>1</v>
      </c>
      <c r="O1360">
        <v>1</v>
      </c>
      <c r="P1360">
        <v>1</v>
      </c>
      <c r="R1360">
        <v>43</v>
      </c>
      <c r="S1360">
        <v>1</v>
      </c>
      <c r="T1360">
        <v>1</v>
      </c>
      <c r="U1360">
        <v>1</v>
      </c>
      <c r="V1360">
        <v>1</v>
      </c>
      <c r="W1360">
        <v>1</v>
      </c>
      <c r="X1360">
        <v>1</v>
      </c>
    </row>
    <row r="1361" spans="2:24" x14ac:dyDescent="0.25">
      <c r="B1361">
        <v>44</v>
      </c>
      <c r="C1361">
        <v>1</v>
      </c>
      <c r="D1361">
        <v>1</v>
      </c>
      <c r="E1361">
        <v>1</v>
      </c>
      <c r="F1361">
        <v>1</v>
      </c>
      <c r="G1361">
        <v>1</v>
      </c>
      <c r="H1361">
        <v>1</v>
      </c>
      <c r="J1361">
        <v>44</v>
      </c>
      <c r="K1361">
        <v>1</v>
      </c>
      <c r="L1361">
        <v>1</v>
      </c>
      <c r="M1361">
        <v>1</v>
      </c>
      <c r="N1361">
        <v>1</v>
      </c>
      <c r="O1361">
        <v>1</v>
      </c>
      <c r="P1361">
        <v>1</v>
      </c>
      <c r="R1361">
        <v>44</v>
      </c>
      <c r="S1361">
        <v>1</v>
      </c>
      <c r="T1361">
        <v>1</v>
      </c>
      <c r="U1361">
        <v>1</v>
      </c>
      <c r="V1361">
        <v>1</v>
      </c>
      <c r="W1361">
        <v>1</v>
      </c>
      <c r="X1361">
        <v>1</v>
      </c>
    </row>
    <row r="1362" spans="2:24" x14ac:dyDescent="0.25">
      <c r="B1362">
        <v>45</v>
      </c>
      <c r="C1362">
        <v>1</v>
      </c>
      <c r="D1362">
        <v>1</v>
      </c>
      <c r="E1362">
        <v>1</v>
      </c>
      <c r="F1362">
        <v>1</v>
      </c>
      <c r="G1362">
        <v>1</v>
      </c>
      <c r="H1362">
        <v>1</v>
      </c>
      <c r="J1362">
        <v>45</v>
      </c>
      <c r="K1362">
        <v>1</v>
      </c>
      <c r="L1362">
        <v>1</v>
      </c>
      <c r="M1362">
        <v>1</v>
      </c>
      <c r="N1362">
        <v>1</v>
      </c>
      <c r="O1362">
        <v>1</v>
      </c>
      <c r="P1362">
        <v>1</v>
      </c>
      <c r="R1362">
        <v>45</v>
      </c>
      <c r="S1362">
        <v>1</v>
      </c>
      <c r="T1362">
        <v>1</v>
      </c>
      <c r="U1362">
        <v>1</v>
      </c>
      <c r="V1362">
        <v>1</v>
      </c>
      <c r="W1362">
        <v>1</v>
      </c>
      <c r="X1362">
        <v>1</v>
      </c>
    </row>
    <row r="1363" spans="2:24" x14ac:dyDescent="0.25">
      <c r="B1363">
        <v>46</v>
      </c>
      <c r="C1363">
        <v>1</v>
      </c>
      <c r="D1363">
        <v>1</v>
      </c>
      <c r="E1363">
        <v>1</v>
      </c>
      <c r="F1363">
        <v>1</v>
      </c>
      <c r="G1363">
        <v>1</v>
      </c>
      <c r="H1363">
        <v>1</v>
      </c>
      <c r="J1363">
        <v>46</v>
      </c>
      <c r="K1363">
        <v>1</v>
      </c>
      <c r="L1363">
        <v>1</v>
      </c>
      <c r="M1363">
        <v>1</v>
      </c>
      <c r="N1363">
        <v>1</v>
      </c>
      <c r="O1363">
        <v>1</v>
      </c>
      <c r="P1363">
        <v>1</v>
      </c>
      <c r="R1363">
        <v>46</v>
      </c>
      <c r="S1363">
        <v>1</v>
      </c>
      <c r="T1363">
        <v>1</v>
      </c>
      <c r="U1363">
        <v>1</v>
      </c>
      <c r="V1363">
        <v>1</v>
      </c>
      <c r="W1363">
        <v>1</v>
      </c>
      <c r="X1363">
        <v>1</v>
      </c>
    </row>
    <row r="1364" spans="2:24" x14ac:dyDescent="0.25">
      <c r="B1364">
        <v>47</v>
      </c>
      <c r="C1364">
        <v>1</v>
      </c>
      <c r="D1364">
        <v>1</v>
      </c>
      <c r="E1364">
        <v>1</v>
      </c>
      <c r="F1364">
        <v>1</v>
      </c>
      <c r="G1364">
        <v>1</v>
      </c>
      <c r="H1364">
        <v>1</v>
      </c>
      <c r="J1364">
        <v>47</v>
      </c>
      <c r="K1364">
        <v>1</v>
      </c>
      <c r="L1364">
        <v>1</v>
      </c>
      <c r="M1364">
        <v>1</v>
      </c>
      <c r="N1364">
        <v>1</v>
      </c>
      <c r="O1364">
        <v>1</v>
      </c>
      <c r="P1364">
        <v>1</v>
      </c>
      <c r="R1364">
        <v>47</v>
      </c>
      <c r="S1364">
        <v>1</v>
      </c>
      <c r="T1364">
        <v>1</v>
      </c>
      <c r="U1364">
        <v>1</v>
      </c>
      <c r="V1364">
        <v>1</v>
      </c>
      <c r="W1364">
        <v>1</v>
      </c>
      <c r="X1364">
        <v>1</v>
      </c>
    </row>
    <row r="1365" spans="2:24" x14ac:dyDescent="0.25">
      <c r="B1365">
        <v>48</v>
      </c>
      <c r="C1365">
        <v>1</v>
      </c>
      <c r="D1365">
        <v>1</v>
      </c>
      <c r="E1365">
        <v>1</v>
      </c>
      <c r="F1365">
        <v>1</v>
      </c>
      <c r="G1365">
        <v>1</v>
      </c>
      <c r="H1365">
        <v>1</v>
      </c>
      <c r="J1365">
        <v>48</v>
      </c>
      <c r="K1365">
        <v>1</v>
      </c>
      <c r="L1365">
        <v>1</v>
      </c>
      <c r="M1365">
        <v>1</v>
      </c>
      <c r="N1365">
        <v>1</v>
      </c>
      <c r="O1365">
        <v>1</v>
      </c>
      <c r="P1365">
        <v>1</v>
      </c>
      <c r="R1365">
        <v>48</v>
      </c>
      <c r="S1365">
        <v>1</v>
      </c>
      <c r="T1365">
        <v>1</v>
      </c>
      <c r="U1365">
        <v>1</v>
      </c>
      <c r="V1365">
        <v>1</v>
      </c>
      <c r="W1365">
        <v>1</v>
      </c>
      <c r="X1365">
        <v>1</v>
      </c>
    </row>
    <row r="1366" spans="2:24" x14ac:dyDescent="0.25">
      <c r="B1366">
        <v>49</v>
      </c>
      <c r="C1366">
        <v>1</v>
      </c>
      <c r="D1366">
        <v>1</v>
      </c>
      <c r="E1366">
        <v>1</v>
      </c>
      <c r="F1366">
        <v>1</v>
      </c>
      <c r="G1366">
        <v>1</v>
      </c>
      <c r="H1366">
        <v>1</v>
      </c>
      <c r="J1366">
        <v>49</v>
      </c>
      <c r="K1366">
        <v>1</v>
      </c>
      <c r="L1366">
        <v>1</v>
      </c>
      <c r="M1366">
        <v>1</v>
      </c>
      <c r="N1366">
        <v>1</v>
      </c>
      <c r="O1366">
        <v>1</v>
      </c>
      <c r="P1366">
        <v>1</v>
      </c>
      <c r="R1366">
        <v>49</v>
      </c>
      <c r="S1366">
        <v>1</v>
      </c>
      <c r="T1366">
        <v>1</v>
      </c>
      <c r="U1366">
        <v>1</v>
      </c>
      <c r="V1366">
        <v>1</v>
      </c>
      <c r="W1366">
        <v>1</v>
      </c>
      <c r="X1366">
        <v>1</v>
      </c>
    </row>
    <row r="1367" spans="2:24" x14ac:dyDescent="0.25">
      <c r="B1367">
        <v>50</v>
      </c>
      <c r="C1367">
        <v>1</v>
      </c>
      <c r="D1367">
        <v>1</v>
      </c>
      <c r="E1367">
        <v>1</v>
      </c>
      <c r="F1367">
        <v>1</v>
      </c>
      <c r="G1367">
        <v>1</v>
      </c>
      <c r="H1367">
        <v>1</v>
      </c>
      <c r="J1367">
        <v>50</v>
      </c>
      <c r="K1367">
        <v>1</v>
      </c>
      <c r="L1367">
        <v>1</v>
      </c>
      <c r="M1367">
        <v>1</v>
      </c>
      <c r="N1367">
        <v>1</v>
      </c>
      <c r="O1367">
        <v>1</v>
      </c>
      <c r="P1367">
        <v>1</v>
      </c>
      <c r="R1367">
        <v>50</v>
      </c>
      <c r="S1367">
        <v>1</v>
      </c>
      <c r="T1367">
        <v>1</v>
      </c>
      <c r="U1367">
        <v>1</v>
      </c>
      <c r="V1367">
        <v>1</v>
      </c>
      <c r="W1367">
        <v>1</v>
      </c>
      <c r="X1367">
        <v>1</v>
      </c>
    </row>
    <row r="1368" spans="2:24" x14ac:dyDescent="0.25">
      <c r="B1368">
        <v>51</v>
      </c>
      <c r="C1368">
        <v>1</v>
      </c>
      <c r="D1368">
        <v>1</v>
      </c>
      <c r="E1368">
        <v>1</v>
      </c>
      <c r="F1368">
        <v>1</v>
      </c>
      <c r="G1368">
        <v>1</v>
      </c>
      <c r="H1368">
        <v>1</v>
      </c>
      <c r="J1368">
        <v>51</v>
      </c>
      <c r="K1368">
        <v>1</v>
      </c>
      <c r="L1368">
        <v>1</v>
      </c>
      <c r="M1368">
        <v>1</v>
      </c>
      <c r="N1368">
        <v>1</v>
      </c>
      <c r="O1368">
        <v>1</v>
      </c>
      <c r="P1368">
        <v>1</v>
      </c>
      <c r="R1368">
        <v>51</v>
      </c>
      <c r="S1368">
        <v>1</v>
      </c>
      <c r="T1368">
        <v>1</v>
      </c>
      <c r="U1368">
        <v>1</v>
      </c>
      <c r="V1368">
        <v>1</v>
      </c>
      <c r="W1368">
        <v>1</v>
      </c>
      <c r="X1368">
        <v>1</v>
      </c>
    </row>
    <row r="1369" spans="2:24" x14ac:dyDescent="0.25">
      <c r="B1369">
        <v>52</v>
      </c>
      <c r="C1369">
        <v>1</v>
      </c>
      <c r="D1369">
        <v>1</v>
      </c>
      <c r="E1369">
        <v>1</v>
      </c>
      <c r="F1369">
        <v>1</v>
      </c>
      <c r="G1369">
        <v>1</v>
      </c>
      <c r="H1369">
        <v>1</v>
      </c>
      <c r="J1369">
        <v>52</v>
      </c>
      <c r="K1369">
        <v>1</v>
      </c>
      <c r="L1369">
        <v>1</v>
      </c>
      <c r="M1369">
        <v>1</v>
      </c>
      <c r="N1369">
        <v>1</v>
      </c>
      <c r="O1369">
        <v>1</v>
      </c>
      <c r="P1369">
        <v>1</v>
      </c>
      <c r="R1369">
        <v>52</v>
      </c>
      <c r="S1369">
        <v>1</v>
      </c>
      <c r="T1369">
        <v>1</v>
      </c>
      <c r="U1369">
        <v>1</v>
      </c>
      <c r="V1369">
        <v>1</v>
      </c>
      <c r="W1369">
        <v>1</v>
      </c>
      <c r="X1369">
        <v>1</v>
      </c>
    </row>
    <row r="1370" spans="2:24" x14ac:dyDescent="0.25">
      <c r="B1370">
        <v>53</v>
      </c>
      <c r="C1370">
        <v>1</v>
      </c>
      <c r="D1370">
        <v>1</v>
      </c>
      <c r="E1370">
        <v>1</v>
      </c>
      <c r="F1370">
        <v>1</v>
      </c>
      <c r="G1370">
        <v>1</v>
      </c>
      <c r="H1370">
        <v>1</v>
      </c>
      <c r="J1370">
        <v>53</v>
      </c>
      <c r="K1370">
        <v>1</v>
      </c>
      <c r="L1370">
        <v>1</v>
      </c>
      <c r="M1370">
        <v>1</v>
      </c>
      <c r="N1370">
        <v>1</v>
      </c>
      <c r="O1370">
        <v>1</v>
      </c>
      <c r="P1370">
        <v>1</v>
      </c>
      <c r="R1370">
        <v>53</v>
      </c>
      <c r="S1370">
        <v>1</v>
      </c>
      <c r="T1370">
        <v>1</v>
      </c>
      <c r="U1370">
        <v>1</v>
      </c>
      <c r="V1370">
        <v>1</v>
      </c>
      <c r="W1370">
        <v>1</v>
      </c>
      <c r="X1370">
        <v>1</v>
      </c>
    </row>
    <row r="1371" spans="2:24" x14ac:dyDescent="0.25">
      <c r="B1371">
        <v>54</v>
      </c>
      <c r="C1371">
        <v>1</v>
      </c>
      <c r="D1371">
        <v>1</v>
      </c>
      <c r="E1371">
        <v>1</v>
      </c>
      <c r="F1371">
        <v>1</v>
      </c>
      <c r="G1371">
        <v>1</v>
      </c>
      <c r="H1371">
        <v>1</v>
      </c>
      <c r="J1371">
        <v>54</v>
      </c>
      <c r="K1371">
        <v>1</v>
      </c>
      <c r="L1371">
        <v>1</v>
      </c>
      <c r="M1371">
        <v>1</v>
      </c>
      <c r="N1371">
        <v>1</v>
      </c>
      <c r="O1371">
        <v>1</v>
      </c>
      <c r="P1371">
        <v>1</v>
      </c>
      <c r="R1371">
        <v>54</v>
      </c>
      <c r="S1371">
        <v>1</v>
      </c>
      <c r="T1371">
        <v>1</v>
      </c>
      <c r="U1371">
        <v>1</v>
      </c>
      <c r="V1371">
        <v>1</v>
      </c>
      <c r="W1371">
        <v>1</v>
      </c>
      <c r="X1371">
        <v>1</v>
      </c>
    </row>
    <row r="1372" spans="2:24" x14ac:dyDescent="0.25">
      <c r="B1372">
        <v>55</v>
      </c>
      <c r="C1372">
        <v>1</v>
      </c>
      <c r="D1372">
        <v>1</v>
      </c>
      <c r="E1372">
        <v>1</v>
      </c>
      <c r="F1372">
        <v>1</v>
      </c>
      <c r="G1372">
        <v>1</v>
      </c>
      <c r="H1372">
        <v>1</v>
      </c>
      <c r="J1372">
        <v>55</v>
      </c>
      <c r="K1372">
        <v>1</v>
      </c>
      <c r="L1372">
        <v>1</v>
      </c>
      <c r="M1372">
        <v>1</v>
      </c>
      <c r="N1372">
        <v>1</v>
      </c>
      <c r="O1372">
        <v>1</v>
      </c>
      <c r="P1372">
        <v>1</v>
      </c>
      <c r="R1372">
        <v>55</v>
      </c>
      <c r="S1372">
        <v>1</v>
      </c>
      <c r="T1372">
        <v>1</v>
      </c>
      <c r="U1372">
        <v>1</v>
      </c>
      <c r="V1372">
        <v>1</v>
      </c>
      <c r="W1372">
        <v>1</v>
      </c>
      <c r="X1372">
        <v>1</v>
      </c>
    </row>
    <row r="1375" spans="2:24" x14ac:dyDescent="0.25">
      <c r="B1375" t="s">
        <v>46</v>
      </c>
      <c r="C1375">
        <v>100000</v>
      </c>
      <c r="D1375">
        <v>250000</v>
      </c>
      <c r="E1375">
        <v>500000</v>
      </c>
      <c r="F1375">
        <v>1000000</v>
      </c>
      <c r="G1375">
        <v>2000000</v>
      </c>
      <c r="J1375" t="s">
        <v>32</v>
      </c>
      <c r="K1375">
        <v>100000</v>
      </c>
      <c r="L1375">
        <v>250000</v>
      </c>
      <c r="M1375">
        <v>500000</v>
      </c>
      <c r="N1375">
        <v>1000000</v>
      </c>
      <c r="O1375">
        <v>2000000</v>
      </c>
      <c r="R1375" t="s">
        <v>48</v>
      </c>
      <c r="S1375">
        <v>100000</v>
      </c>
      <c r="T1375">
        <v>250000</v>
      </c>
      <c r="U1375">
        <v>500000</v>
      </c>
      <c r="V1375">
        <v>1000000</v>
      </c>
      <c r="W1375">
        <v>2000000</v>
      </c>
    </row>
    <row r="1376" spans="2:24" x14ac:dyDescent="0.25">
      <c r="B1376">
        <v>35</v>
      </c>
      <c r="C1376">
        <v>1</v>
      </c>
      <c r="D1376">
        <v>1</v>
      </c>
      <c r="E1376">
        <v>1</v>
      </c>
      <c r="F1376">
        <v>1</v>
      </c>
      <c r="G1376">
        <v>1</v>
      </c>
      <c r="J1376">
        <v>35</v>
      </c>
      <c r="K1376">
        <v>1</v>
      </c>
      <c r="L1376">
        <v>1</v>
      </c>
      <c r="M1376">
        <v>1</v>
      </c>
      <c r="N1376">
        <v>1</v>
      </c>
      <c r="O1376">
        <v>1</v>
      </c>
      <c r="R1376">
        <v>35</v>
      </c>
      <c r="S1376">
        <v>1</v>
      </c>
      <c r="T1376">
        <v>1</v>
      </c>
      <c r="U1376">
        <v>1</v>
      </c>
      <c r="V1376">
        <v>1</v>
      </c>
      <c r="W1376">
        <v>1</v>
      </c>
    </row>
    <row r="1377" spans="2:23" x14ac:dyDescent="0.25">
      <c r="B1377">
        <f t="shared" ref="B1377:B1406" si="60">B1376+1</f>
        <v>36</v>
      </c>
      <c r="C1377">
        <v>1</v>
      </c>
      <c r="D1377">
        <v>1</v>
      </c>
      <c r="E1377">
        <v>1</v>
      </c>
      <c r="F1377">
        <v>1</v>
      </c>
      <c r="G1377">
        <v>1</v>
      </c>
      <c r="J1377">
        <f t="shared" ref="J1377:J1406" si="61">J1376+1</f>
        <v>36</v>
      </c>
      <c r="K1377">
        <v>1</v>
      </c>
      <c r="L1377">
        <v>1</v>
      </c>
      <c r="M1377">
        <v>1</v>
      </c>
      <c r="N1377">
        <v>1</v>
      </c>
      <c r="O1377">
        <v>1</v>
      </c>
      <c r="R1377">
        <f t="shared" ref="R1377:R1406" si="62">R1376+1</f>
        <v>36</v>
      </c>
      <c r="S1377">
        <v>1</v>
      </c>
      <c r="T1377">
        <v>1</v>
      </c>
      <c r="U1377">
        <v>1</v>
      </c>
      <c r="V1377">
        <v>1</v>
      </c>
      <c r="W1377">
        <v>1</v>
      </c>
    </row>
    <row r="1378" spans="2:23" x14ac:dyDescent="0.25">
      <c r="B1378">
        <f t="shared" si="60"/>
        <v>37</v>
      </c>
      <c r="C1378">
        <v>1</v>
      </c>
      <c r="D1378">
        <v>1</v>
      </c>
      <c r="E1378">
        <v>1</v>
      </c>
      <c r="F1378">
        <v>1</v>
      </c>
      <c r="G1378">
        <v>1</v>
      </c>
      <c r="J1378">
        <f t="shared" si="61"/>
        <v>37</v>
      </c>
      <c r="K1378">
        <v>1</v>
      </c>
      <c r="L1378">
        <v>1</v>
      </c>
      <c r="M1378">
        <v>1</v>
      </c>
      <c r="N1378">
        <v>1</v>
      </c>
      <c r="O1378">
        <v>1</v>
      </c>
      <c r="R1378">
        <f t="shared" si="62"/>
        <v>37</v>
      </c>
      <c r="S1378">
        <v>1</v>
      </c>
      <c r="T1378">
        <v>1</v>
      </c>
      <c r="U1378">
        <v>1</v>
      </c>
      <c r="V1378">
        <v>1</v>
      </c>
      <c r="W1378">
        <v>1</v>
      </c>
    </row>
    <row r="1379" spans="2:23" x14ac:dyDescent="0.25">
      <c r="B1379">
        <f t="shared" si="60"/>
        <v>38</v>
      </c>
      <c r="C1379">
        <v>1</v>
      </c>
      <c r="D1379">
        <v>1</v>
      </c>
      <c r="E1379">
        <v>1</v>
      </c>
      <c r="F1379">
        <v>1</v>
      </c>
      <c r="G1379">
        <v>1</v>
      </c>
      <c r="J1379">
        <f t="shared" si="61"/>
        <v>38</v>
      </c>
      <c r="K1379">
        <v>1</v>
      </c>
      <c r="L1379">
        <v>1</v>
      </c>
      <c r="M1379">
        <v>1</v>
      </c>
      <c r="N1379">
        <v>1</v>
      </c>
      <c r="O1379">
        <v>1</v>
      </c>
      <c r="R1379">
        <f t="shared" si="62"/>
        <v>38</v>
      </c>
      <c r="S1379">
        <v>1</v>
      </c>
      <c r="T1379">
        <v>1</v>
      </c>
      <c r="U1379">
        <v>1</v>
      </c>
      <c r="V1379">
        <v>1</v>
      </c>
      <c r="W1379">
        <v>1</v>
      </c>
    </row>
    <row r="1380" spans="2:23" x14ac:dyDescent="0.25">
      <c r="B1380">
        <f t="shared" si="60"/>
        <v>39</v>
      </c>
      <c r="C1380">
        <v>1</v>
      </c>
      <c r="D1380">
        <v>1</v>
      </c>
      <c r="E1380">
        <v>1</v>
      </c>
      <c r="F1380">
        <v>1</v>
      </c>
      <c r="G1380">
        <v>1</v>
      </c>
      <c r="J1380">
        <f t="shared" si="61"/>
        <v>39</v>
      </c>
      <c r="K1380">
        <v>1</v>
      </c>
      <c r="L1380">
        <v>1</v>
      </c>
      <c r="M1380">
        <v>1</v>
      </c>
      <c r="N1380">
        <v>1</v>
      </c>
      <c r="O1380">
        <v>1</v>
      </c>
      <c r="R1380">
        <f t="shared" si="62"/>
        <v>39</v>
      </c>
      <c r="S1380">
        <v>1</v>
      </c>
      <c r="T1380">
        <v>1</v>
      </c>
      <c r="U1380">
        <v>1</v>
      </c>
      <c r="V1380">
        <v>1</v>
      </c>
      <c r="W1380">
        <v>1</v>
      </c>
    </row>
    <row r="1381" spans="2:23" x14ac:dyDescent="0.25">
      <c r="B1381">
        <f t="shared" si="60"/>
        <v>40</v>
      </c>
      <c r="C1381">
        <v>1</v>
      </c>
      <c r="D1381">
        <v>1</v>
      </c>
      <c r="E1381">
        <v>1</v>
      </c>
      <c r="F1381">
        <v>1</v>
      </c>
      <c r="G1381">
        <v>1</v>
      </c>
      <c r="J1381">
        <f t="shared" si="61"/>
        <v>40</v>
      </c>
      <c r="K1381">
        <v>1</v>
      </c>
      <c r="L1381">
        <v>1</v>
      </c>
      <c r="M1381">
        <v>1</v>
      </c>
      <c r="N1381">
        <v>1</v>
      </c>
      <c r="O1381">
        <v>1</v>
      </c>
      <c r="R1381">
        <f t="shared" si="62"/>
        <v>40</v>
      </c>
      <c r="S1381">
        <v>1</v>
      </c>
      <c r="T1381">
        <v>1</v>
      </c>
      <c r="U1381">
        <v>1</v>
      </c>
      <c r="V1381">
        <v>1</v>
      </c>
      <c r="W1381">
        <v>1</v>
      </c>
    </row>
    <row r="1382" spans="2:23" x14ac:dyDescent="0.25">
      <c r="B1382">
        <f t="shared" si="60"/>
        <v>41</v>
      </c>
      <c r="C1382">
        <v>1</v>
      </c>
      <c r="D1382">
        <v>1</v>
      </c>
      <c r="E1382">
        <v>1</v>
      </c>
      <c r="F1382">
        <v>1</v>
      </c>
      <c r="G1382">
        <v>1</v>
      </c>
      <c r="J1382">
        <f t="shared" si="61"/>
        <v>41</v>
      </c>
      <c r="K1382">
        <v>1</v>
      </c>
      <c r="L1382">
        <v>1</v>
      </c>
      <c r="M1382">
        <v>1</v>
      </c>
      <c r="N1382">
        <v>1</v>
      </c>
      <c r="O1382">
        <v>1</v>
      </c>
      <c r="R1382">
        <f t="shared" si="62"/>
        <v>41</v>
      </c>
      <c r="S1382">
        <v>1</v>
      </c>
      <c r="T1382">
        <v>1</v>
      </c>
      <c r="U1382">
        <v>1</v>
      </c>
      <c r="V1382">
        <v>1</v>
      </c>
      <c r="W1382">
        <v>1</v>
      </c>
    </row>
    <row r="1383" spans="2:23" x14ac:dyDescent="0.25">
      <c r="B1383">
        <f t="shared" si="60"/>
        <v>42</v>
      </c>
      <c r="C1383">
        <v>1</v>
      </c>
      <c r="D1383">
        <v>1</v>
      </c>
      <c r="E1383">
        <v>1</v>
      </c>
      <c r="F1383">
        <v>1</v>
      </c>
      <c r="G1383">
        <v>1</v>
      </c>
      <c r="J1383">
        <f t="shared" si="61"/>
        <v>42</v>
      </c>
      <c r="K1383">
        <v>1</v>
      </c>
      <c r="L1383">
        <v>1</v>
      </c>
      <c r="M1383">
        <v>1</v>
      </c>
      <c r="N1383">
        <v>1</v>
      </c>
      <c r="O1383">
        <v>1</v>
      </c>
      <c r="R1383">
        <f t="shared" si="62"/>
        <v>42</v>
      </c>
      <c r="S1383">
        <v>1</v>
      </c>
      <c r="T1383">
        <v>1</v>
      </c>
      <c r="U1383">
        <v>1</v>
      </c>
      <c r="V1383">
        <v>1</v>
      </c>
      <c r="W1383">
        <v>1</v>
      </c>
    </row>
    <row r="1384" spans="2:23" x14ac:dyDescent="0.25">
      <c r="B1384">
        <f t="shared" si="60"/>
        <v>43</v>
      </c>
      <c r="C1384">
        <v>1</v>
      </c>
      <c r="D1384">
        <v>1</v>
      </c>
      <c r="E1384">
        <v>1</v>
      </c>
      <c r="F1384">
        <v>1</v>
      </c>
      <c r="G1384">
        <v>1</v>
      </c>
      <c r="J1384">
        <f t="shared" si="61"/>
        <v>43</v>
      </c>
      <c r="K1384">
        <v>1</v>
      </c>
      <c r="L1384">
        <v>1</v>
      </c>
      <c r="M1384">
        <v>1</v>
      </c>
      <c r="N1384">
        <v>1</v>
      </c>
      <c r="O1384">
        <v>1</v>
      </c>
      <c r="R1384">
        <f t="shared" si="62"/>
        <v>43</v>
      </c>
      <c r="S1384">
        <v>1</v>
      </c>
      <c r="T1384">
        <v>1</v>
      </c>
      <c r="U1384">
        <v>1</v>
      </c>
      <c r="V1384">
        <v>1</v>
      </c>
      <c r="W1384">
        <v>1</v>
      </c>
    </row>
    <row r="1385" spans="2:23" x14ac:dyDescent="0.25">
      <c r="B1385">
        <f t="shared" si="60"/>
        <v>44</v>
      </c>
      <c r="C1385">
        <v>1</v>
      </c>
      <c r="D1385">
        <v>1</v>
      </c>
      <c r="E1385">
        <v>1</v>
      </c>
      <c r="F1385">
        <v>1</v>
      </c>
      <c r="G1385">
        <v>1</v>
      </c>
      <c r="J1385">
        <f t="shared" si="61"/>
        <v>44</v>
      </c>
      <c r="K1385">
        <v>1</v>
      </c>
      <c r="L1385">
        <v>1</v>
      </c>
      <c r="M1385">
        <v>1</v>
      </c>
      <c r="N1385">
        <v>1</v>
      </c>
      <c r="O1385">
        <v>1</v>
      </c>
      <c r="R1385">
        <f t="shared" si="62"/>
        <v>44</v>
      </c>
      <c r="S1385">
        <v>1</v>
      </c>
      <c r="T1385">
        <v>1</v>
      </c>
      <c r="U1385">
        <v>1</v>
      </c>
      <c r="V1385">
        <v>1</v>
      </c>
      <c r="W1385">
        <v>1</v>
      </c>
    </row>
    <row r="1386" spans="2:23" x14ac:dyDescent="0.25">
      <c r="B1386">
        <f t="shared" si="60"/>
        <v>45</v>
      </c>
      <c r="C1386">
        <v>1</v>
      </c>
      <c r="D1386">
        <v>1</v>
      </c>
      <c r="E1386">
        <v>1</v>
      </c>
      <c r="F1386">
        <v>1</v>
      </c>
      <c r="G1386">
        <v>1</v>
      </c>
      <c r="J1386">
        <f t="shared" si="61"/>
        <v>45</v>
      </c>
      <c r="K1386">
        <v>1</v>
      </c>
      <c r="L1386">
        <v>1</v>
      </c>
      <c r="M1386">
        <v>1</v>
      </c>
      <c r="N1386">
        <v>1</v>
      </c>
      <c r="O1386">
        <v>1</v>
      </c>
      <c r="R1386">
        <f t="shared" si="62"/>
        <v>45</v>
      </c>
      <c r="S1386">
        <v>1</v>
      </c>
      <c r="T1386">
        <v>1</v>
      </c>
      <c r="U1386">
        <v>1</v>
      </c>
      <c r="V1386">
        <v>1</v>
      </c>
      <c r="W1386">
        <v>1</v>
      </c>
    </row>
    <row r="1387" spans="2:23" x14ac:dyDescent="0.25">
      <c r="B1387">
        <f t="shared" si="60"/>
        <v>46</v>
      </c>
      <c r="C1387">
        <v>1</v>
      </c>
      <c r="D1387">
        <v>1</v>
      </c>
      <c r="E1387">
        <v>1</v>
      </c>
      <c r="F1387">
        <v>1</v>
      </c>
      <c r="G1387">
        <v>1</v>
      </c>
      <c r="J1387">
        <f t="shared" si="61"/>
        <v>46</v>
      </c>
      <c r="K1387">
        <v>1</v>
      </c>
      <c r="L1387">
        <v>1</v>
      </c>
      <c r="M1387">
        <v>1</v>
      </c>
      <c r="N1387">
        <v>1</v>
      </c>
      <c r="O1387">
        <v>1</v>
      </c>
      <c r="R1387">
        <f t="shared" si="62"/>
        <v>46</v>
      </c>
      <c r="S1387">
        <v>1</v>
      </c>
      <c r="T1387">
        <v>1</v>
      </c>
      <c r="U1387">
        <v>1</v>
      </c>
      <c r="V1387">
        <v>1</v>
      </c>
      <c r="W1387">
        <v>1</v>
      </c>
    </row>
    <row r="1388" spans="2:23" x14ac:dyDescent="0.25">
      <c r="B1388">
        <f t="shared" si="60"/>
        <v>47</v>
      </c>
      <c r="C1388">
        <v>1</v>
      </c>
      <c r="D1388">
        <v>1</v>
      </c>
      <c r="E1388">
        <v>1</v>
      </c>
      <c r="F1388">
        <v>1</v>
      </c>
      <c r="G1388">
        <v>1</v>
      </c>
      <c r="J1388">
        <f t="shared" si="61"/>
        <v>47</v>
      </c>
      <c r="K1388">
        <v>1</v>
      </c>
      <c r="L1388">
        <v>1</v>
      </c>
      <c r="M1388">
        <v>1</v>
      </c>
      <c r="N1388">
        <v>1</v>
      </c>
      <c r="O1388">
        <v>1</v>
      </c>
      <c r="R1388">
        <f t="shared" si="62"/>
        <v>47</v>
      </c>
      <c r="S1388">
        <v>1</v>
      </c>
      <c r="T1388">
        <v>1</v>
      </c>
      <c r="U1388">
        <v>1</v>
      </c>
      <c r="V1388">
        <v>1</v>
      </c>
      <c r="W1388">
        <v>1</v>
      </c>
    </row>
    <row r="1389" spans="2:23" x14ac:dyDescent="0.25">
      <c r="B1389">
        <f t="shared" si="60"/>
        <v>48</v>
      </c>
      <c r="C1389">
        <v>1</v>
      </c>
      <c r="D1389">
        <v>1</v>
      </c>
      <c r="E1389">
        <v>1</v>
      </c>
      <c r="F1389">
        <v>1</v>
      </c>
      <c r="G1389">
        <v>1</v>
      </c>
      <c r="J1389">
        <f t="shared" si="61"/>
        <v>48</v>
      </c>
      <c r="K1389">
        <v>1</v>
      </c>
      <c r="L1389">
        <v>1</v>
      </c>
      <c r="M1389">
        <v>1</v>
      </c>
      <c r="N1389">
        <v>1</v>
      </c>
      <c r="O1389">
        <v>1</v>
      </c>
      <c r="R1389">
        <f t="shared" si="62"/>
        <v>48</v>
      </c>
      <c r="S1389">
        <v>1</v>
      </c>
      <c r="T1389">
        <v>1</v>
      </c>
      <c r="U1389">
        <v>1</v>
      </c>
      <c r="V1389">
        <v>1</v>
      </c>
      <c r="W1389">
        <v>1</v>
      </c>
    </row>
    <row r="1390" spans="2:23" x14ac:dyDescent="0.25">
      <c r="B1390">
        <f t="shared" si="60"/>
        <v>49</v>
      </c>
      <c r="C1390">
        <v>1</v>
      </c>
      <c r="D1390">
        <v>1</v>
      </c>
      <c r="E1390">
        <v>1</v>
      </c>
      <c r="F1390">
        <v>1</v>
      </c>
      <c r="G1390">
        <v>1</v>
      </c>
      <c r="J1390">
        <f t="shared" si="61"/>
        <v>49</v>
      </c>
      <c r="K1390">
        <v>1</v>
      </c>
      <c r="L1390">
        <v>1</v>
      </c>
      <c r="M1390">
        <v>1</v>
      </c>
      <c r="N1390">
        <v>1</v>
      </c>
      <c r="O1390">
        <v>1</v>
      </c>
      <c r="R1390">
        <f t="shared" si="62"/>
        <v>49</v>
      </c>
      <c r="S1390">
        <v>1</v>
      </c>
      <c r="T1390">
        <v>1</v>
      </c>
      <c r="U1390">
        <v>1</v>
      </c>
      <c r="V1390">
        <v>1</v>
      </c>
      <c r="W1390">
        <v>1</v>
      </c>
    </row>
    <row r="1391" spans="2:23" x14ac:dyDescent="0.25">
      <c r="B1391">
        <f t="shared" si="60"/>
        <v>50</v>
      </c>
      <c r="C1391">
        <v>1</v>
      </c>
      <c r="D1391">
        <v>1</v>
      </c>
      <c r="E1391">
        <v>1</v>
      </c>
      <c r="F1391">
        <v>1</v>
      </c>
      <c r="G1391">
        <v>1</v>
      </c>
      <c r="J1391">
        <f t="shared" si="61"/>
        <v>50</v>
      </c>
      <c r="K1391">
        <v>1</v>
      </c>
      <c r="L1391">
        <v>1</v>
      </c>
      <c r="M1391">
        <v>1</v>
      </c>
      <c r="N1391">
        <v>1</v>
      </c>
      <c r="O1391">
        <v>1</v>
      </c>
      <c r="R1391">
        <f t="shared" si="62"/>
        <v>50</v>
      </c>
      <c r="S1391">
        <v>1</v>
      </c>
      <c r="T1391">
        <v>1</v>
      </c>
      <c r="U1391">
        <v>1</v>
      </c>
      <c r="V1391">
        <v>1</v>
      </c>
      <c r="W1391">
        <v>1</v>
      </c>
    </row>
    <row r="1392" spans="2:23" x14ac:dyDescent="0.25">
      <c r="B1392">
        <f t="shared" si="60"/>
        <v>51</v>
      </c>
      <c r="C1392">
        <v>1</v>
      </c>
      <c r="D1392">
        <v>1</v>
      </c>
      <c r="E1392">
        <v>1</v>
      </c>
      <c r="F1392">
        <v>1</v>
      </c>
      <c r="G1392">
        <v>1</v>
      </c>
      <c r="J1392">
        <f t="shared" si="61"/>
        <v>51</v>
      </c>
      <c r="K1392">
        <v>1</v>
      </c>
      <c r="L1392">
        <v>1</v>
      </c>
      <c r="M1392">
        <v>1</v>
      </c>
      <c r="N1392">
        <v>1</v>
      </c>
      <c r="O1392">
        <v>1</v>
      </c>
      <c r="R1392">
        <f t="shared" si="62"/>
        <v>51</v>
      </c>
      <c r="S1392">
        <v>1</v>
      </c>
      <c r="T1392">
        <v>1</v>
      </c>
      <c r="U1392">
        <v>1</v>
      </c>
      <c r="V1392">
        <v>1</v>
      </c>
      <c r="W1392">
        <v>1</v>
      </c>
    </row>
    <row r="1393" spans="2:23" x14ac:dyDescent="0.25">
      <c r="B1393">
        <f t="shared" si="60"/>
        <v>52</v>
      </c>
      <c r="C1393">
        <v>1</v>
      </c>
      <c r="D1393">
        <v>1</v>
      </c>
      <c r="E1393">
        <v>1</v>
      </c>
      <c r="F1393">
        <v>1</v>
      </c>
      <c r="G1393">
        <v>1</v>
      </c>
      <c r="J1393">
        <f t="shared" si="61"/>
        <v>52</v>
      </c>
      <c r="K1393">
        <v>1</v>
      </c>
      <c r="L1393">
        <v>1</v>
      </c>
      <c r="M1393">
        <v>1</v>
      </c>
      <c r="N1393">
        <v>1</v>
      </c>
      <c r="O1393">
        <v>1</v>
      </c>
      <c r="R1393">
        <f t="shared" si="62"/>
        <v>52</v>
      </c>
      <c r="S1393">
        <v>1</v>
      </c>
      <c r="T1393">
        <v>1</v>
      </c>
      <c r="U1393">
        <v>1</v>
      </c>
      <c r="V1393">
        <v>1</v>
      </c>
      <c r="W1393">
        <v>1</v>
      </c>
    </row>
    <row r="1394" spans="2:23" x14ac:dyDescent="0.25">
      <c r="B1394">
        <f t="shared" si="60"/>
        <v>53</v>
      </c>
      <c r="C1394">
        <v>1</v>
      </c>
      <c r="D1394">
        <v>1</v>
      </c>
      <c r="E1394">
        <v>1</v>
      </c>
      <c r="F1394">
        <v>1</v>
      </c>
      <c r="G1394">
        <v>1</v>
      </c>
      <c r="J1394">
        <f t="shared" si="61"/>
        <v>53</v>
      </c>
      <c r="K1394">
        <v>1</v>
      </c>
      <c r="L1394">
        <v>1</v>
      </c>
      <c r="M1394">
        <v>1</v>
      </c>
      <c r="N1394">
        <v>1</v>
      </c>
      <c r="O1394">
        <v>1</v>
      </c>
      <c r="R1394">
        <f t="shared" si="62"/>
        <v>53</v>
      </c>
      <c r="S1394">
        <v>1</v>
      </c>
      <c r="T1394">
        <v>1</v>
      </c>
      <c r="U1394">
        <v>1</v>
      </c>
      <c r="V1394">
        <v>1</v>
      </c>
      <c r="W1394">
        <v>1</v>
      </c>
    </row>
    <row r="1395" spans="2:23" x14ac:dyDescent="0.25">
      <c r="B1395">
        <f t="shared" si="60"/>
        <v>54</v>
      </c>
      <c r="C1395">
        <v>1</v>
      </c>
      <c r="D1395">
        <v>1</v>
      </c>
      <c r="E1395">
        <v>1</v>
      </c>
      <c r="F1395">
        <v>1</v>
      </c>
      <c r="G1395">
        <v>1</v>
      </c>
      <c r="J1395">
        <f t="shared" si="61"/>
        <v>54</v>
      </c>
      <c r="K1395">
        <v>1</v>
      </c>
      <c r="L1395">
        <v>1</v>
      </c>
      <c r="M1395">
        <v>1</v>
      </c>
      <c r="N1395">
        <v>1</v>
      </c>
      <c r="O1395">
        <v>1</v>
      </c>
      <c r="R1395">
        <f t="shared" si="62"/>
        <v>54</v>
      </c>
      <c r="S1395">
        <v>1</v>
      </c>
      <c r="T1395">
        <v>1</v>
      </c>
      <c r="U1395">
        <v>1</v>
      </c>
      <c r="V1395">
        <v>1</v>
      </c>
      <c r="W1395">
        <v>1</v>
      </c>
    </row>
    <row r="1396" spans="2:23" x14ac:dyDescent="0.25">
      <c r="B1396">
        <f t="shared" si="60"/>
        <v>55</v>
      </c>
      <c r="C1396">
        <v>1</v>
      </c>
      <c r="D1396">
        <v>1</v>
      </c>
      <c r="E1396">
        <v>1</v>
      </c>
      <c r="F1396">
        <v>1</v>
      </c>
      <c r="G1396">
        <v>1</v>
      </c>
      <c r="J1396">
        <f t="shared" si="61"/>
        <v>55</v>
      </c>
      <c r="K1396">
        <v>1</v>
      </c>
      <c r="L1396">
        <v>1</v>
      </c>
      <c r="M1396">
        <v>1</v>
      </c>
      <c r="N1396">
        <v>1</v>
      </c>
      <c r="O1396">
        <v>1</v>
      </c>
      <c r="R1396">
        <f t="shared" si="62"/>
        <v>55</v>
      </c>
      <c r="S1396">
        <v>1</v>
      </c>
      <c r="T1396">
        <v>1</v>
      </c>
      <c r="U1396">
        <v>1</v>
      </c>
      <c r="V1396">
        <v>1</v>
      </c>
      <c r="W1396">
        <v>1</v>
      </c>
    </row>
    <row r="1397" spans="2:23" x14ac:dyDescent="0.25">
      <c r="B1397">
        <f t="shared" si="60"/>
        <v>56</v>
      </c>
      <c r="C1397">
        <v>1</v>
      </c>
      <c r="D1397">
        <v>1</v>
      </c>
      <c r="E1397">
        <v>1</v>
      </c>
      <c r="F1397">
        <v>1</v>
      </c>
      <c r="G1397">
        <v>1</v>
      </c>
      <c r="J1397">
        <f t="shared" si="61"/>
        <v>56</v>
      </c>
      <c r="K1397">
        <v>1</v>
      </c>
      <c r="L1397">
        <v>1</v>
      </c>
      <c r="M1397">
        <v>1</v>
      </c>
      <c r="N1397">
        <v>1</v>
      </c>
      <c r="O1397">
        <v>1</v>
      </c>
      <c r="R1397">
        <f t="shared" si="62"/>
        <v>56</v>
      </c>
      <c r="S1397">
        <v>1</v>
      </c>
      <c r="T1397">
        <v>1</v>
      </c>
      <c r="U1397">
        <v>1</v>
      </c>
      <c r="V1397">
        <v>1</v>
      </c>
      <c r="W1397">
        <v>1</v>
      </c>
    </row>
    <row r="1398" spans="2:23" x14ac:dyDescent="0.25">
      <c r="B1398">
        <f t="shared" si="60"/>
        <v>57</v>
      </c>
      <c r="C1398">
        <v>1</v>
      </c>
      <c r="D1398">
        <v>1</v>
      </c>
      <c r="E1398">
        <v>1</v>
      </c>
      <c r="F1398">
        <v>1</v>
      </c>
      <c r="G1398">
        <v>1</v>
      </c>
      <c r="J1398">
        <f t="shared" si="61"/>
        <v>57</v>
      </c>
      <c r="K1398">
        <v>1</v>
      </c>
      <c r="L1398">
        <v>1</v>
      </c>
      <c r="M1398">
        <v>1</v>
      </c>
      <c r="N1398">
        <v>1</v>
      </c>
      <c r="O1398">
        <v>1</v>
      </c>
      <c r="R1398">
        <f t="shared" si="62"/>
        <v>57</v>
      </c>
      <c r="S1398">
        <v>1</v>
      </c>
      <c r="T1398">
        <v>1</v>
      </c>
      <c r="U1398">
        <v>1</v>
      </c>
      <c r="V1398">
        <v>1</v>
      </c>
      <c r="W1398">
        <v>1</v>
      </c>
    </row>
    <row r="1399" spans="2:23" x14ac:dyDescent="0.25">
      <c r="B1399">
        <f t="shared" si="60"/>
        <v>58</v>
      </c>
      <c r="C1399">
        <v>1</v>
      </c>
      <c r="D1399">
        <v>1</v>
      </c>
      <c r="E1399">
        <v>1</v>
      </c>
      <c r="F1399">
        <v>1</v>
      </c>
      <c r="G1399">
        <v>1</v>
      </c>
      <c r="J1399">
        <f t="shared" si="61"/>
        <v>58</v>
      </c>
      <c r="K1399">
        <v>1</v>
      </c>
      <c r="L1399">
        <v>1</v>
      </c>
      <c r="M1399">
        <v>1</v>
      </c>
      <c r="N1399">
        <v>1</v>
      </c>
      <c r="O1399">
        <v>1</v>
      </c>
      <c r="R1399">
        <f t="shared" si="62"/>
        <v>58</v>
      </c>
      <c r="S1399">
        <v>1</v>
      </c>
      <c r="T1399">
        <v>1</v>
      </c>
      <c r="U1399">
        <v>1</v>
      </c>
      <c r="V1399">
        <v>1</v>
      </c>
      <c r="W1399">
        <v>1</v>
      </c>
    </row>
    <row r="1400" spans="2:23" x14ac:dyDescent="0.25">
      <c r="B1400">
        <f t="shared" si="60"/>
        <v>59</v>
      </c>
      <c r="C1400">
        <v>1</v>
      </c>
      <c r="D1400">
        <v>1</v>
      </c>
      <c r="E1400">
        <v>1</v>
      </c>
      <c r="F1400">
        <v>1</v>
      </c>
      <c r="G1400">
        <v>1</v>
      </c>
      <c r="J1400">
        <f t="shared" si="61"/>
        <v>59</v>
      </c>
      <c r="K1400">
        <v>1</v>
      </c>
      <c r="L1400">
        <v>1</v>
      </c>
      <c r="M1400">
        <v>1</v>
      </c>
      <c r="N1400">
        <v>1</v>
      </c>
      <c r="O1400">
        <v>1</v>
      </c>
      <c r="R1400">
        <f t="shared" si="62"/>
        <v>59</v>
      </c>
      <c r="S1400">
        <v>1</v>
      </c>
      <c r="T1400">
        <v>1</v>
      </c>
      <c r="U1400">
        <v>1</v>
      </c>
      <c r="V1400">
        <v>1</v>
      </c>
      <c r="W1400">
        <v>1</v>
      </c>
    </row>
    <row r="1401" spans="2:23" x14ac:dyDescent="0.25">
      <c r="B1401">
        <f t="shared" si="60"/>
        <v>60</v>
      </c>
      <c r="C1401">
        <v>1</v>
      </c>
      <c r="D1401">
        <v>1</v>
      </c>
      <c r="E1401">
        <v>1</v>
      </c>
      <c r="F1401">
        <v>1</v>
      </c>
      <c r="G1401">
        <v>1</v>
      </c>
      <c r="J1401">
        <f t="shared" si="61"/>
        <v>60</v>
      </c>
      <c r="K1401">
        <v>1</v>
      </c>
      <c r="L1401">
        <v>1</v>
      </c>
      <c r="M1401">
        <v>1</v>
      </c>
      <c r="N1401">
        <v>1</v>
      </c>
      <c r="O1401">
        <v>1</v>
      </c>
      <c r="R1401">
        <f t="shared" si="62"/>
        <v>60</v>
      </c>
      <c r="S1401">
        <v>1</v>
      </c>
      <c r="T1401">
        <v>1</v>
      </c>
      <c r="U1401">
        <v>1</v>
      </c>
      <c r="V1401">
        <v>1</v>
      </c>
      <c r="W1401">
        <v>1</v>
      </c>
    </row>
    <row r="1402" spans="2:23" x14ac:dyDescent="0.25">
      <c r="B1402">
        <f t="shared" si="60"/>
        <v>61</v>
      </c>
      <c r="C1402">
        <v>1</v>
      </c>
      <c r="D1402">
        <v>1</v>
      </c>
      <c r="E1402">
        <v>1</v>
      </c>
      <c r="F1402">
        <v>1</v>
      </c>
      <c r="G1402">
        <v>1</v>
      </c>
      <c r="J1402">
        <f t="shared" si="61"/>
        <v>61</v>
      </c>
      <c r="K1402">
        <v>1</v>
      </c>
      <c r="L1402">
        <v>1</v>
      </c>
      <c r="M1402">
        <v>1</v>
      </c>
      <c r="N1402">
        <v>1</v>
      </c>
      <c r="O1402">
        <v>1</v>
      </c>
      <c r="R1402">
        <f t="shared" si="62"/>
        <v>61</v>
      </c>
      <c r="S1402">
        <v>1</v>
      </c>
      <c r="T1402">
        <v>1</v>
      </c>
      <c r="U1402">
        <v>1</v>
      </c>
      <c r="V1402">
        <v>1</v>
      </c>
      <c r="W1402">
        <v>1</v>
      </c>
    </row>
    <row r="1403" spans="2:23" x14ac:dyDescent="0.25">
      <c r="B1403">
        <f t="shared" si="60"/>
        <v>62</v>
      </c>
      <c r="C1403">
        <v>1</v>
      </c>
      <c r="D1403">
        <v>1</v>
      </c>
      <c r="E1403">
        <v>1</v>
      </c>
      <c r="F1403">
        <v>1</v>
      </c>
      <c r="G1403">
        <v>1</v>
      </c>
      <c r="J1403">
        <f t="shared" si="61"/>
        <v>62</v>
      </c>
      <c r="K1403">
        <v>1</v>
      </c>
      <c r="L1403">
        <v>1</v>
      </c>
      <c r="M1403">
        <v>1</v>
      </c>
      <c r="N1403">
        <v>1</v>
      </c>
      <c r="O1403">
        <v>1</v>
      </c>
      <c r="R1403">
        <f t="shared" si="62"/>
        <v>62</v>
      </c>
      <c r="S1403">
        <v>1</v>
      </c>
      <c r="T1403">
        <v>1</v>
      </c>
      <c r="U1403">
        <v>1</v>
      </c>
      <c r="V1403">
        <v>1</v>
      </c>
      <c r="W1403">
        <v>1</v>
      </c>
    </row>
    <row r="1404" spans="2:23" x14ac:dyDescent="0.25">
      <c r="B1404">
        <f t="shared" si="60"/>
        <v>63</v>
      </c>
      <c r="C1404">
        <v>1</v>
      </c>
      <c r="D1404">
        <v>1</v>
      </c>
      <c r="E1404">
        <v>1</v>
      </c>
      <c r="F1404">
        <v>1</v>
      </c>
      <c r="G1404">
        <v>1</v>
      </c>
      <c r="J1404">
        <f t="shared" si="61"/>
        <v>63</v>
      </c>
      <c r="K1404">
        <v>1</v>
      </c>
      <c r="L1404">
        <v>1</v>
      </c>
      <c r="M1404">
        <v>1</v>
      </c>
      <c r="N1404">
        <v>1</v>
      </c>
      <c r="O1404">
        <v>1</v>
      </c>
      <c r="R1404">
        <f t="shared" si="62"/>
        <v>63</v>
      </c>
      <c r="S1404">
        <v>1</v>
      </c>
      <c r="T1404">
        <v>1</v>
      </c>
      <c r="U1404">
        <v>1</v>
      </c>
      <c r="V1404">
        <v>1</v>
      </c>
      <c r="W1404">
        <v>1</v>
      </c>
    </row>
    <row r="1405" spans="2:23" x14ac:dyDescent="0.25">
      <c r="B1405">
        <f t="shared" si="60"/>
        <v>64</v>
      </c>
      <c r="C1405">
        <v>1</v>
      </c>
      <c r="D1405">
        <v>1</v>
      </c>
      <c r="E1405">
        <v>1</v>
      </c>
      <c r="F1405">
        <v>1</v>
      </c>
      <c r="G1405">
        <v>1</v>
      </c>
      <c r="J1405">
        <f t="shared" si="61"/>
        <v>64</v>
      </c>
      <c r="K1405">
        <v>1</v>
      </c>
      <c r="L1405">
        <v>1</v>
      </c>
      <c r="M1405">
        <v>1</v>
      </c>
      <c r="N1405">
        <v>1</v>
      </c>
      <c r="O1405">
        <v>1</v>
      </c>
      <c r="R1405">
        <f t="shared" si="62"/>
        <v>64</v>
      </c>
      <c r="S1405">
        <v>1</v>
      </c>
      <c r="T1405">
        <v>1</v>
      </c>
      <c r="U1405">
        <v>1</v>
      </c>
      <c r="V1405">
        <v>1</v>
      </c>
      <c r="W1405">
        <v>1</v>
      </c>
    </row>
    <row r="1406" spans="2:23" x14ac:dyDescent="0.25">
      <c r="B1406">
        <f t="shared" si="60"/>
        <v>65</v>
      </c>
      <c r="C1406">
        <v>1</v>
      </c>
      <c r="D1406">
        <v>1</v>
      </c>
      <c r="E1406">
        <v>1</v>
      </c>
      <c r="F1406">
        <v>1</v>
      </c>
      <c r="G1406">
        <v>1</v>
      </c>
      <c r="J1406">
        <f t="shared" si="61"/>
        <v>65</v>
      </c>
      <c r="K1406">
        <v>1</v>
      </c>
      <c r="L1406">
        <v>1</v>
      </c>
      <c r="M1406">
        <v>1</v>
      </c>
      <c r="N1406">
        <v>1</v>
      </c>
      <c r="O1406">
        <v>1</v>
      </c>
      <c r="R1406">
        <f t="shared" si="62"/>
        <v>65</v>
      </c>
      <c r="S1406">
        <v>1</v>
      </c>
      <c r="T1406">
        <v>1</v>
      </c>
      <c r="U1406">
        <v>1</v>
      </c>
      <c r="V1406">
        <v>1</v>
      </c>
      <c r="W1406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1227-6C6D-4C67-A1D9-B0FB0827C084}">
  <sheetPr codeName="Sheet34">
    <tabColor theme="5" tint="0.79998168889431442"/>
  </sheetPr>
  <dimension ref="A1:AF1406"/>
  <sheetViews>
    <sheetView topLeftCell="C31" workbookViewId="0">
      <selection activeCell="AF64" sqref="AF64"/>
    </sheetView>
  </sheetViews>
  <sheetFormatPr defaultColWidth="8.85546875" defaultRowHeight="15" x14ac:dyDescent="0.25"/>
  <sheetData>
    <row r="1" spans="1:32" x14ac:dyDescent="0.25">
      <c r="A1" t="s">
        <v>62</v>
      </c>
      <c r="B1" t="s">
        <v>64</v>
      </c>
    </row>
    <row r="2" spans="1:32" x14ac:dyDescent="0.25">
      <c r="B2" t="s">
        <v>46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47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48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32" x14ac:dyDescent="0.25">
      <c r="B3">
        <v>26</v>
      </c>
      <c r="C3">
        <v>225.96842121609649</v>
      </c>
      <c r="D3">
        <v>369.45142734522938</v>
      </c>
      <c r="E3">
        <v>799.90053513996281</v>
      </c>
      <c r="F3">
        <v>1517.3155825733984</v>
      </c>
      <c r="G3">
        <v>2952.1457163298182</v>
      </c>
      <c r="H3">
        <v>5821.8063848826441</v>
      </c>
      <c r="J3">
        <v>26</v>
      </c>
      <c r="K3">
        <v>312.57411997190638</v>
      </c>
      <c r="L3">
        <v>415.33500843538104</v>
      </c>
      <c r="M3">
        <v>723.61871957889707</v>
      </c>
      <c r="N3">
        <v>1237.423358254473</v>
      </c>
      <c r="O3">
        <v>2265.0330904773073</v>
      </c>
      <c r="P3">
        <v>4320.257245688088</v>
      </c>
      <c r="R3">
        <v>26</v>
      </c>
      <c r="S3">
        <v>4.7981386934745185E-2</v>
      </c>
      <c r="T3">
        <v>4.2740155112435563E-2</v>
      </c>
      <c r="U3">
        <v>3.9254836299566387E-2</v>
      </c>
      <c r="V3">
        <v>3.8027762675330923E-2</v>
      </c>
      <c r="W3">
        <v>3.7401037569942508E-2</v>
      </c>
      <c r="X3">
        <v>3.7084284294984782E-2</v>
      </c>
      <c r="AA3">
        <v>-5174.8482999999997</v>
      </c>
      <c r="AB3">
        <v>-5174.8482999999997</v>
      </c>
      <c r="AC3">
        <v>-5174.8482999999997</v>
      </c>
      <c r="AD3">
        <v>-5174.8482999999997</v>
      </c>
      <c r="AE3">
        <v>-5174.8482999999997</v>
      </c>
      <c r="AF3">
        <v>-5174.8482999999997</v>
      </c>
    </row>
    <row r="4" spans="1:32" x14ac:dyDescent="0.25">
      <c r="B4">
        <v>27</v>
      </c>
      <c r="C4">
        <v>301.3098963321018</v>
      </c>
      <c r="D4">
        <v>519.77896055872372</v>
      </c>
      <c r="E4">
        <v>1175.1863279329334</v>
      </c>
      <c r="F4">
        <v>2267.5321950318871</v>
      </c>
      <c r="G4">
        <v>4452.2231735748474</v>
      </c>
      <c r="H4">
        <v>8821.6056731732169</v>
      </c>
      <c r="J4">
        <v>27</v>
      </c>
      <c r="K4">
        <v>366.53340971049829</v>
      </c>
      <c r="L4">
        <v>522.99798236410788</v>
      </c>
      <c r="M4">
        <v>992.39372718492814</v>
      </c>
      <c r="N4">
        <v>1774.7229249243828</v>
      </c>
      <c r="O4">
        <v>3339.3725530514494</v>
      </c>
      <c r="P4">
        <v>6468.6781037095498</v>
      </c>
      <c r="R4">
        <v>27</v>
      </c>
      <c r="S4">
        <v>4.4699655060643106E-2</v>
      </c>
      <c r="T4">
        <v>4.0964591306567932E-2</v>
      </c>
      <c r="U4">
        <v>3.8559205442182831E-2</v>
      </c>
      <c r="V4">
        <v>3.7727252914944165E-2</v>
      </c>
      <c r="W4">
        <v>3.730530834093071E-2</v>
      </c>
      <c r="X4">
        <v>3.709282515884027E-2</v>
      </c>
      <c r="AA4">
        <v>-5173.6036999999997</v>
      </c>
      <c r="AB4">
        <v>-5173.6036999999997</v>
      </c>
      <c r="AC4">
        <v>-5173.6036999999997</v>
      </c>
      <c r="AD4">
        <v>-5173.6036999999997</v>
      </c>
      <c r="AE4">
        <v>-5173.6036999999997</v>
      </c>
      <c r="AF4">
        <v>-5173.6036999999997</v>
      </c>
    </row>
    <row r="5" spans="1:32" x14ac:dyDescent="0.25">
      <c r="B5">
        <v>28</v>
      </c>
      <c r="C5">
        <v>215.74250564640525</v>
      </c>
      <c r="D5">
        <v>349.04866423448101</v>
      </c>
      <c r="E5">
        <v>748.96721749782728</v>
      </c>
      <c r="F5">
        <v>1415.4980486428669</v>
      </c>
      <c r="G5">
        <v>2748.5599838145795</v>
      </c>
      <c r="H5">
        <v>5414.6836722369344</v>
      </c>
      <c r="J5">
        <v>28</v>
      </c>
      <c r="K5">
        <v>305.25089053814099</v>
      </c>
      <c r="L5">
        <v>400.72313830259327</v>
      </c>
      <c r="M5">
        <v>687.14078909271484</v>
      </c>
      <c r="N5">
        <v>1164.5024752827157</v>
      </c>
      <c r="O5">
        <v>2119.2290430435678</v>
      </c>
      <c r="P5">
        <v>4028.6800483115803</v>
      </c>
      <c r="R5">
        <v>28</v>
      </c>
      <c r="S5">
        <v>4.868101002685421E-2</v>
      </c>
      <c r="T5">
        <v>4.3131189485777988E-2</v>
      </c>
      <c r="U5">
        <v>3.9415538335660028E-2</v>
      </c>
      <c r="V5">
        <v>3.8102348031951339E-2</v>
      </c>
      <c r="W5">
        <v>3.7430608281154409E-2</v>
      </c>
      <c r="X5">
        <v>3.7090821420918019E-2</v>
      </c>
      <c r="AA5">
        <v>-5172.1755999999996</v>
      </c>
      <c r="AB5">
        <v>-5172.1755999999996</v>
      </c>
      <c r="AC5">
        <v>-5172.1755999999996</v>
      </c>
      <c r="AD5">
        <v>-5172.1755999999996</v>
      </c>
      <c r="AE5">
        <v>-5172.1755999999996</v>
      </c>
      <c r="AF5">
        <v>-5172.1755999999996</v>
      </c>
    </row>
    <row r="6" spans="1:32" x14ac:dyDescent="0.25">
      <c r="B6">
        <v>29</v>
      </c>
      <c r="C6">
        <v>294.66313373394951</v>
      </c>
      <c r="D6">
        <v>506.5182013175704</v>
      </c>
      <c r="E6">
        <v>1142.0833193550109</v>
      </c>
      <c r="F6">
        <v>2201.3586301918981</v>
      </c>
      <c r="G6">
        <v>4319.9092932387284</v>
      </c>
      <c r="H6">
        <v>8557.0104473036608</v>
      </c>
      <c r="J6">
        <v>29</v>
      </c>
      <c r="K6">
        <v>361.77303848023303</v>
      </c>
      <c r="L6">
        <v>513.50145250032256</v>
      </c>
      <c r="M6">
        <v>968.68571094092658</v>
      </c>
      <c r="N6">
        <v>1727.3274665974968</v>
      </c>
      <c r="O6">
        <v>3244.6114582990776</v>
      </c>
      <c r="P6">
        <v>6279.1774442520982</v>
      </c>
      <c r="R6">
        <v>29</v>
      </c>
      <c r="S6">
        <v>4.4897312019769098E-2</v>
      </c>
      <c r="T6">
        <v>4.1067363046902283E-2</v>
      </c>
      <c r="U6">
        <v>3.8595977192247055E-2</v>
      </c>
      <c r="V6">
        <v>3.7740272325372137E-2</v>
      </c>
      <c r="W6">
        <v>3.7306118059184046E-2</v>
      </c>
      <c r="X6">
        <v>3.7087429972197272E-2</v>
      </c>
      <c r="AA6">
        <v>-5170.5482000000002</v>
      </c>
      <c r="AB6">
        <v>-5170.5482000000002</v>
      </c>
      <c r="AC6">
        <v>-5170.5482000000002</v>
      </c>
      <c r="AD6">
        <v>-5170.5482000000002</v>
      </c>
      <c r="AE6">
        <v>-5170.5482000000002</v>
      </c>
      <c r="AF6">
        <v>-5170.5482000000002</v>
      </c>
    </row>
    <row r="7" spans="1:32" x14ac:dyDescent="0.25">
      <c r="B7">
        <v>30</v>
      </c>
      <c r="C7">
        <v>215.04449974233594</v>
      </c>
      <c r="D7">
        <v>347.6567559253653</v>
      </c>
      <c r="E7">
        <v>745.49369450327652</v>
      </c>
      <c r="F7">
        <v>1408.5552030045581</v>
      </c>
      <c r="G7">
        <v>2734.6780496180181</v>
      </c>
      <c r="H7">
        <v>5386.9239587482289</v>
      </c>
      <c r="J7">
        <v>30</v>
      </c>
      <c r="K7">
        <v>304.75083410206253</v>
      </c>
      <c r="L7">
        <v>399.72589947840652</v>
      </c>
      <c r="M7">
        <v>684.65308681467923</v>
      </c>
      <c r="N7">
        <v>1159.531078957205</v>
      </c>
      <c r="O7">
        <v>2109.2850678157956</v>
      </c>
      <c r="P7">
        <v>4008.7955739760146</v>
      </c>
      <c r="R7">
        <v>30</v>
      </c>
      <c r="S7">
        <v>4.8729143797634711E-2</v>
      </c>
      <c r="T7">
        <v>4.3157672255226265E-2</v>
      </c>
      <c r="U7">
        <v>3.9425753639202643E-2</v>
      </c>
      <c r="V7">
        <v>3.8106458473846194E-2</v>
      </c>
      <c r="W7">
        <v>3.7431503607109784E-2</v>
      </c>
      <c r="X7">
        <v>3.7090079171184565E-2</v>
      </c>
      <c r="AA7">
        <v>-5168.6908999999996</v>
      </c>
      <c r="AB7">
        <v>-5168.6908999999996</v>
      </c>
      <c r="AC7">
        <v>-5168.6908999999996</v>
      </c>
      <c r="AD7">
        <v>-5168.6908999999996</v>
      </c>
      <c r="AE7">
        <v>-5168.6908999999996</v>
      </c>
      <c r="AF7">
        <v>-5168.6908999999996</v>
      </c>
    </row>
    <row r="8" spans="1:32" x14ac:dyDescent="0.25">
      <c r="B8">
        <v>31</v>
      </c>
      <c r="C8">
        <v>213.10682335005052</v>
      </c>
      <c r="D8">
        <v>343.79100213320038</v>
      </c>
      <c r="E8">
        <v>735.84347317681647</v>
      </c>
      <c r="F8">
        <v>1389.2642863651215</v>
      </c>
      <c r="G8">
        <v>2696.1059095356281</v>
      </c>
      <c r="H8">
        <v>5309.7891530001834</v>
      </c>
      <c r="J8">
        <v>31</v>
      </c>
      <c r="K8">
        <v>303.36299423858827</v>
      </c>
      <c r="L8">
        <v>396.95785415459977</v>
      </c>
      <c r="M8">
        <v>677.74166893552592</v>
      </c>
      <c r="N8">
        <v>1145.7150229057315</v>
      </c>
      <c r="O8">
        <v>2081.6616932910947</v>
      </c>
      <c r="P8">
        <v>3953.555000368091</v>
      </c>
      <c r="R8">
        <v>31</v>
      </c>
      <c r="S8">
        <v>4.8872958895176177E-2</v>
      </c>
      <c r="T8">
        <v>4.3238467534747027E-2</v>
      </c>
      <c r="U8">
        <v>3.9459022246425501E-2</v>
      </c>
      <c r="V8">
        <v>3.8121871470478075E-2</v>
      </c>
      <c r="W8">
        <v>3.7437568354991901E-2</v>
      </c>
      <c r="X8">
        <v>3.7091353198222876E-2</v>
      </c>
      <c r="AA8">
        <v>-5166.5891000000001</v>
      </c>
      <c r="AB8">
        <v>-5166.5891000000001</v>
      </c>
      <c r="AC8">
        <v>-5166.5891000000001</v>
      </c>
      <c r="AD8">
        <v>-5166.5891000000001</v>
      </c>
      <c r="AE8">
        <v>-5166.5891000000001</v>
      </c>
      <c r="AF8">
        <v>-5166.5891000000001</v>
      </c>
    </row>
    <row r="9" spans="1:32" x14ac:dyDescent="0.25">
      <c r="B9">
        <v>32</v>
      </c>
      <c r="C9">
        <v>274.02621197168861</v>
      </c>
      <c r="D9">
        <v>465.34351264816536</v>
      </c>
      <c r="E9">
        <v>1039.2955382453561</v>
      </c>
      <c r="F9">
        <v>1995.8820929804056</v>
      </c>
      <c r="G9">
        <v>3909.0549288784659</v>
      </c>
      <c r="H9">
        <v>7735.4009318774306</v>
      </c>
      <c r="J9">
        <v>32</v>
      </c>
      <c r="K9">
        <v>346.9924859349394</v>
      </c>
      <c r="L9">
        <v>484.01189360909757</v>
      </c>
      <c r="M9">
        <v>895.07155466272161</v>
      </c>
      <c r="N9">
        <v>1580.1691906548695</v>
      </c>
      <c r="O9">
        <v>2950.3612789194667</v>
      </c>
      <c r="P9">
        <v>5690.7493098521518</v>
      </c>
      <c r="R9">
        <v>32</v>
      </c>
      <c r="S9">
        <v>4.5600191491592001E-2</v>
      </c>
      <c r="T9">
        <v>4.1438440934716603E-2</v>
      </c>
      <c r="U9">
        <v>3.8734267758487428E-2</v>
      </c>
      <c r="V9">
        <v>3.779438483602382E-2</v>
      </c>
      <c r="W9">
        <v>3.7316796177481626E-2</v>
      </c>
      <c r="X9">
        <v>3.7076052515633062E-2</v>
      </c>
      <c r="AA9">
        <v>-5164.2407000000003</v>
      </c>
      <c r="AB9">
        <v>-5164.2407000000003</v>
      </c>
      <c r="AC9">
        <v>-5164.2407000000003</v>
      </c>
      <c r="AD9">
        <v>-5164.2407000000003</v>
      </c>
      <c r="AE9">
        <v>-5164.2407000000003</v>
      </c>
      <c r="AF9">
        <v>-5164.2407000000003</v>
      </c>
    </row>
    <row r="10" spans="1:32" x14ac:dyDescent="0.25">
      <c r="B10">
        <v>33</v>
      </c>
      <c r="C10">
        <v>274.95566055270547</v>
      </c>
      <c r="D10">
        <v>467.19860657884658</v>
      </c>
      <c r="E10">
        <v>1043.927448301351</v>
      </c>
      <c r="F10">
        <v>2005.1421885336572</v>
      </c>
      <c r="G10">
        <v>3927.571672232511</v>
      </c>
      <c r="H10">
        <v>7772.4306419480718</v>
      </c>
      <c r="J10">
        <v>33</v>
      </c>
      <c r="K10">
        <v>347.65847727009123</v>
      </c>
      <c r="L10">
        <v>485.34095967317262</v>
      </c>
      <c r="M10">
        <v>898.38844928744038</v>
      </c>
      <c r="N10">
        <v>1586.8009788519848</v>
      </c>
      <c r="O10">
        <v>2963.6260756169067</v>
      </c>
      <c r="P10">
        <v>5717.2762961188855</v>
      </c>
      <c r="R10">
        <v>33</v>
      </c>
      <c r="S10">
        <v>4.5563719192957208E-2</v>
      </c>
      <c r="T10">
        <v>4.1418632582604253E-2</v>
      </c>
      <c r="U10">
        <v>3.8726217411838793E-2</v>
      </c>
      <c r="V10">
        <v>3.7790610063835883E-2</v>
      </c>
      <c r="W10">
        <v>3.7315238061395695E-2</v>
      </c>
      <c r="X10">
        <v>3.7075616449244286E-2</v>
      </c>
      <c r="AA10">
        <v>-5161.6318000000001</v>
      </c>
      <c r="AB10">
        <v>-5161.6318000000001</v>
      </c>
      <c r="AC10">
        <v>-5161.6318000000001</v>
      </c>
      <c r="AD10">
        <v>-5161.6318000000001</v>
      </c>
      <c r="AE10">
        <v>-5161.6318000000001</v>
      </c>
      <c r="AF10">
        <v>-5161.6318000000001</v>
      </c>
    </row>
    <row r="11" spans="1:32" x14ac:dyDescent="0.25">
      <c r="B11">
        <v>34</v>
      </c>
      <c r="C11">
        <v>269.91322120371103</v>
      </c>
      <c r="D11">
        <v>457.13801841326296</v>
      </c>
      <c r="E11">
        <v>1018.8123912227873</v>
      </c>
      <c r="F11">
        <v>1954.9363208793429</v>
      </c>
      <c r="G11">
        <v>3827.1844584252212</v>
      </c>
      <c r="H11">
        <v>7571.6804967101034</v>
      </c>
      <c r="J11">
        <v>34</v>
      </c>
      <c r="K11">
        <v>344.0471195974892</v>
      </c>
      <c r="L11">
        <v>478.13558733609898</v>
      </c>
      <c r="M11">
        <v>880.40077143711642</v>
      </c>
      <c r="N11">
        <v>1550.842453556379</v>
      </c>
      <c r="O11">
        <v>2891.7290573133287</v>
      </c>
      <c r="P11">
        <v>5573.4995076385676</v>
      </c>
      <c r="R11">
        <v>34</v>
      </c>
      <c r="S11">
        <v>4.5755698161059399E-2</v>
      </c>
      <c r="T11">
        <v>4.1520882011677918E-2</v>
      </c>
      <c r="U11">
        <v>3.8764979277078337E-2</v>
      </c>
      <c r="V11">
        <v>3.7806313857138285E-2</v>
      </c>
      <c r="W11">
        <v>3.7319033702344351E-2</v>
      </c>
      <c r="X11">
        <v>3.7073354389066671E-2</v>
      </c>
      <c r="AA11">
        <v>-5158.7194</v>
      </c>
      <c r="AB11">
        <v>-5158.7194</v>
      </c>
      <c r="AC11">
        <v>-5158.7194</v>
      </c>
      <c r="AD11">
        <v>-5158.7194</v>
      </c>
      <c r="AE11">
        <v>-5158.7194</v>
      </c>
      <c r="AF11">
        <v>-5158.7194</v>
      </c>
    </row>
    <row r="12" spans="1:32" x14ac:dyDescent="0.25">
      <c r="B12">
        <v>35</v>
      </c>
      <c r="C12">
        <v>269.01808347947014</v>
      </c>
      <c r="D12">
        <v>455.35252734344067</v>
      </c>
      <c r="E12">
        <v>1014.3558623117863</v>
      </c>
      <c r="F12">
        <v>1946.0280910521819</v>
      </c>
      <c r="G12">
        <v>3809.3725516189029</v>
      </c>
      <c r="H12">
        <v>7536.061474980188</v>
      </c>
      <c r="J12">
        <v>35</v>
      </c>
      <c r="K12">
        <v>343.4060437891435</v>
      </c>
      <c r="L12">
        <v>476.85691479661546</v>
      </c>
      <c r="M12">
        <v>877.20956713608757</v>
      </c>
      <c r="N12">
        <v>1544.4640318714264</v>
      </c>
      <c r="O12">
        <v>2878.9729972763598</v>
      </c>
      <c r="P12">
        <v>5547.9909540284716</v>
      </c>
      <c r="R12">
        <v>35</v>
      </c>
      <c r="S12">
        <v>4.5789533131138871E-2</v>
      </c>
      <c r="T12">
        <v>4.1538662018438366E-2</v>
      </c>
      <c r="U12">
        <v>3.8771376473222707E-2</v>
      </c>
      <c r="V12">
        <v>3.7808573716245464E-2</v>
      </c>
      <c r="W12">
        <v>3.7319146383586022E-2</v>
      </c>
      <c r="X12">
        <v>3.7072378657291738E-2</v>
      </c>
      <c r="AA12">
        <v>-5155.4901</v>
      </c>
      <c r="AB12">
        <v>-5155.4901</v>
      </c>
      <c r="AC12">
        <v>-5155.4901</v>
      </c>
      <c r="AD12">
        <v>-5155.4901</v>
      </c>
      <c r="AE12">
        <v>-5155.4901</v>
      </c>
      <c r="AF12">
        <v>-5155.4901</v>
      </c>
    </row>
    <row r="13" spans="1:32" x14ac:dyDescent="0.25">
      <c r="B13">
        <v>36</v>
      </c>
      <c r="C13">
        <v>278.22003347954262</v>
      </c>
      <c r="D13">
        <v>473.71380071256084</v>
      </c>
      <c r="E13">
        <v>1060.1950489005146</v>
      </c>
      <c r="F13">
        <v>2037.663822801399</v>
      </c>
      <c r="G13">
        <v>3992.6013679872985</v>
      </c>
      <c r="H13">
        <v>7902.4764555533939</v>
      </c>
      <c r="J13">
        <v>36</v>
      </c>
      <c r="K13">
        <v>349.99642996141938</v>
      </c>
      <c r="L13">
        <v>490.00724916685249</v>
      </c>
      <c r="M13">
        <v>910.03908426794987</v>
      </c>
      <c r="N13">
        <v>1610.0924559516679</v>
      </c>
      <c r="O13">
        <v>3010.1991688877097</v>
      </c>
      <c r="P13">
        <v>5810.41256211992</v>
      </c>
      <c r="R13">
        <v>36</v>
      </c>
      <c r="S13">
        <v>4.543885946713333E-2</v>
      </c>
      <c r="T13">
        <v>4.1351067675824194E-2</v>
      </c>
      <c r="U13">
        <v>3.8699054091972052E-2</v>
      </c>
      <c r="V13">
        <v>3.7778095329688011E-2</v>
      </c>
      <c r="W13">
        <v>3.7310288251917623E-2</v>
      </c>
      <c r="X13">
        <v>3.7074511306001368E-2</v>
      </c>
      <c r="AA13">
        <v>-5151.8950999999997</v>
      </c>
      <c r="AB13">
        <v>-5151.8950999999997</v>
      </c>
      <c r="AC13">
        <v>-5151.8950999999997</v>
      </c>
      <c r="AD13">
        <v>-5151.8950999999997</v>
      </c>
      <c r="AE13">
        <v>-5151.8950999999997</v>
      </c>
      <c r="AF13">
        <v>-5151.8950999999997</v>
      </c>
    </row>
    <row r="14" spans="1:32" x14ac:dyDescent="0.25">
      <c r="B14">
        <v>37</v>
      </c>
      <c r="C14">
        <v>282.97713522827598</v>
      </c>
      <c r="D14">
        <v>483.20627267768913</v>
      </c>
      <c r="E14">
        <v>1083.8936970769507</v>
      </c>
      <c r="F14">
        <v>2085.0394194471251</v>
      </c>
      <c r="G14">
        <v>4087.33069167648</v>
      </c>
      <c r="H14">
        <v>8091.9133856636263</v>
      </c>
      <c r="J14">
        <v>37</v>
      </c>
      <c r="K14">
        <v>353.40337976373803</v>
      </c>
      <c r="L14">
        <v>496.80551289863979</v>
      </c>
      <c r="M14">
        <v>927.01205242964352</v>
      </c>
      <c r="N14">
        <v>1644.0231265069633</v>
      </c>
      <c r="O14">
        <v>3078.0432687464199</v>
      </c>
      <c r="P14">
        <v>5946.0852919050521</v>
      </c>
      <c r="R14">
        <v>37</v>
      </c>
      <c r="S14">
        <v>4.5268738402861386E-2</v>
      </c>
      <c r="T14">
        <v>4.1260382187385147E-2</v>
      </c>
      <c r="U14">
        <v>3.8664235295193361E-2</v>
      </c>
      <c r="V14">
        <v>3.7763497974909743E-2</v>
      </c>
      <c r="W14">
        <v>3.7306122909273931E-2</v>
      </c>
      <c r="X14">
        <v>3.7075648257928639E-2</v>
      </c>
      <c r="AA14">
        <v>-5147.9106000000002</v>
      </c>
      <c r="AB14">
        <v>-5147.9106000000002</v>
      </c>
      <c r="AC14">
        <v>-5147.9106000000002</v>
      </c>
      <c r="AD14">
        <v>-5147.9106000000002</v>
      </c>
      <c r="AE14">
        <v>-5147.9106000000002</v>
      </c>
      <c r="AF14">
        <v>-5147.9106000000002</v>
      </c>
    </row>
    <row r="15" spans="1:32" x14ac:dyDescent="0.25">
      <c r="B15">
        <v>38</v>
      </c>
      <c r="C15">
        <v>283.90875639379061</v>
      </c>
      <c r="D15">
        <v>485.06575713676841</v>
      </c>
      <c r="E15">
        <v>1088.5367627202911</v>
      </c>
      <c r="F15">
        <v>2094.3217756207528</v>
      </c>
      <c r="G15">
        <v>4105.8918042386613</v>
      </c>
      <c r="H15">
        <v>8129.031863465937</v>
      </c>
      <c r="J15">
        <v>38</v>
      </c>
      <c r="K15">
        <v>354.07059452446174</v>
      </c>
      <c r="L15">
        <v>498.13723284070238</v>
      </c>
      <c r="M15">
        <v>930.33718679276171</v>
      </c>
      <c r="N15">
        <v>1650.6704851733302</v>
      </c>
      <c r="O15">
        <v>3091.3371146871577</v>
      </c>
      <c r="P15">
        <v>5972.6703968692309</v>
      </c>
      <c r="R15">
        <v>38</v>
      </c>
      <c r="S15">
        <v>4.5235083792030117E-2</v>
      </c>
      <c r="T15">
        <v>4.1242193912540914E-2</v>
      </c>
      <c r="U15">
        <v>3.865689979180309E-2</v>
      </c>
      <c r="V15">
        <v>3.7760085935517385E-2</v>
      </c>
      <c r="W15">
        <v>3.7304739725600777E-2</v>
      </c>
      <c r="X15">
        <v>3.7075293623918482E-2</v>
      </c>
      <c r="AA15">
        <v>-5143.5393999999997</v>
      </c>
      <c r="AB15">
        <v>-5143.5393999999997</v>
      </c>
      <c r="AC15">
        <v>-5143.5393999999997</v>
      </c>
      <c r="AD15">
        <v>-5143.5393999999997</v>
      </c>
      <c r="AE15">
        <v>-5143.5393999999997</v>
      </c>
      <c r="AF15">
        <v>-5143.5393999999997</v>
      </c>
    </row>
    <row r="16" spans="1:32" x14ac:dyDescent="0.25">
      <c r="B16">
        <v>39</v>
      </c>
      <c r="C16">
        <v>281.55514232030112</v>
      </c>
      <c r="D16">
        <v>480.37018871221682</v>
      </c>
      <c r="E16">
        <v>1076.8152434638405</v>
      </c>
      <c r="F16">
        <v>2070.8903743746296</v>
      </c>
      <c r="G16">
        <v>4059.0406348284159</v>
      </c>
      <c r="H16">
        <v>8035.341154699564</v>
      </c>
      <c r="J16">
        <v>39</v>
      </c>
      <c r="K16">
        <v>352.38501201220606</v>
      </c>
      <c r="L16">
        <v>494.77456112388063</v>
      </c>
      <c r="M16">
        <v>921.9422266044221</v>
      </c>
      <c r="N16">
        <v>1633.8887969630741</v>
      </c>
      <c r="O16">
        <v>3057.7819217729266</v>
      </c>
      <c r="P16">
        <v>5905.5681593389309</v>
      </c>
      <c r="R16">
        <v>39</v>
      </c>
      <c r="S16">
        <v>4.5315279450524049E-2</v>
      </c>
      <c r="T16">
        <v>4.1284347343273575E-2</v>
      </c>
      <c r="U16">
        <v>3.8672333222582234E-2</v>
      </c>
      <c r="V16">
        <v>3.7765857506661726E-2</v>
      </c>
      <c r="W16">
        <v>3.7305526161073077E-2</v>
      </c>
      <c r="X16">
        <v>3.7073547637047621E-2</v>
      </c>
      <c r="AA16">
        <v>-5138.76</v>
      </c>
      <c r="AB16">
        <v>-5138.76</v>
      </c>
      <c r="AC16">
        <v>-5138.76</v>
      </c>
      <c r="AD16">
        <v>-5138.76</v>
      </c>
      <c r="AE16">
        <v>-5138.76</v>
      </c>
      <c r="AF16">
        <v>-5138.76</v>
      </c>
    </row>
    <row r="17" spans="2:32" x14ac:dyDescent="0.25">
      <c r="B17">
        <v>40</v>
      </c>
      <c r="C17">
        <v>301.84458480538137</v>
      </c>
      <c r="D17">
        <v>520.85462029334212</v>
      </c>
      <c r="E17">
        <v>1177.8847395641176</v>
      </c>
      <c r="F17">
        <v>2272.9349283710644</v>
      </c>
      <c r="G17">
        <v>4463.0353363922213</v>
      </c>
      <c r="H17">
        <v>8843.2360602846165</v>
      </c>
      <c r="J17">
        <v>40</v>
      </c>
      <c r="K17">
        <v>366.91608859269763</v>
      </c>
      <c r="L17">
        <v>523.76886512229157</v>
      </c>
      <c r="M17">
        <v>994.32734333897497</v>
      </c>
      <c r="N17">
        <v>1778.5913579061016</v>
      </c>
      <c r="O17">
        <v>3347.1197399259254</v>
      </c>
      <c r="P17">
        <v>6484.1754345376976</v>
      </c>
      <c r="R17">
        <v>40</v>
      </c>
      <c r="S17">
        <v>4.4664472749207818E-2</v>
      </c>
      <c r="T17">
        <v>4.0941363929716035E-2</v>
      </c>
      <c r="U17">
        <v>3.854425041414089E-2</v>
      </c>
      <c r="V17">
        <v>3.771525663477826E-2</v>
      </c>
      <c r="W17">
        <v>3.7294854322702076E-2</v>
      </c>
      <c r="X17">
        <v>3.7083145551876084E-2</v>
      </c>
      <c r="AA17">
        <v>-5133.5084999999999</v>
      </c>
      <c r="AB17">
        <v>-5133.5084999999999</v>
      </c>
      <c r="AC17">
        <v>-5133.5084999999999</v>
      </c>
      <c r="AD17">
        <v>-5133.5084999999999</v>
      </c>
      <c r="AE17">
        <v>-5133.5084999999999</v>
      </c>
      <c r="AF17">
        <v>-5133.5084999999999</v>
      </c>
    </row>
    <row r="18" spans="2:32" x14ac:dyDescent="0.25">
      <c r="B18">
        <v>41</v>
      </c>
      <c r="C18">
        <v>310.75188681715485</v>
      </c>
      <c r="D18">
        <v>538.62820358542172</v>
      </c>
      <c r="E18">
        <v>1222.2570911882226</v>
      </c>
      <c r="F18">
        <v>2361.6386060072009</v>
      </c>
      <c r="G18">
        <v>4640.4016380821477</v>
      </c>
      <c r="H18">
        <v>9197.9277039165372</v>
      </c>
      <c r="J18">
        <v>41</v>
      </c>
      <c r="K18">
        <v>373.29541601008441</v>
      </c>
      <c r="L18">
        <v>536.49832140771105</v>
      </c>
      <c r="M18">
        <v>1026.1063105923477</v>
      </c>
      <c r="N18">
        <v>1842.1200372898711</v>
      </c>
      <c r="O18">
        <v>3474.1475189409684</v>
      </c>
      <c r="P18">
        <v>6738.2025017742999</v>
      </c>
      <c r="R18">
        <v>41</v>
      </c>
      <c r="S18">
        <v>4.4413084183328566E-2</v>
      </c>
      <c r="T18">
        <v>4.0810184227536572E-2</v>
      </c>
      <c r="U18">
        <v>3.8496221819535492E-2</v>
      </c>
      <c r="V18">
        <v>3.7697065714158651E-2</v>
      </c>
      <c r="W18">
        <v>3.7292009312005936E-2</v>
      </c>
      <c r="X18">
        <v>3.7088084823224898E-2</v>
      </c>
      <c r="AA18">
        <v>-5127.7236000000003</v>
      </c>
      <c r="AB18">
        <v>-5127.7236000000003</v>
      </c>
      <c r="AC18">
        <v>-5127.7236000000003</v>
      </c>
      <c r="AD18">
        <v>-5127.7236000000003</v>
      </c>
      <c r="AE18">
        <v>-5127.7236000000003</v>
      </c>
      <c r="AF18">
        <v>-5127.7236000000003</v>
      </c>
    </row>
    <row r="19" spans="2:32" x14ac:dyDescent="0.25">
      <c r="B19">
        <v>42</v>
      </c>
      <c r="C19">
        <v>326.98883629846756</v>
      </c>
      <c r="D19">
        <v>571.02679406470145</v>
      </c>
      <c r="E19">
        <v>1303.1406600180931</v>
      </c>
      <c r="F19">
        <v>2523.330432643455</v>
      </c>
      <c r="G19">
        <v>4963.7099838559534</v>
      </c>
      <c r="H19">
        <v>9844.4691078216711</v>
      </c>
      <c r="J19">
        <v>42</v>
      </c>
      <c r="K19">
        <v>384.92415536970157</v>
      </c>
      <c r="L19">
        <v>559.70171622774524</v>
      </c>
      <c r="M19">
        <v>1084.0343137792443</v>
      </c>
      <c r="N19">
        <v>1957.9219304857688</v>
      </c>
      <c r="O19">
        <v>3705.6972329068885</v>
      </c>
      <c r="P19">
        <v>7201.248087084954</v>
      </c>
      <c r="R19">
        <v>42</v>
      </c>
      <c r="S19">
        <v>4.4001789663722146E-2</v>
      </c>
      <c r="T19">
        <v>4.0597861102324551E-2</v>
      </c>
      <c r="U19">
        <v>3.8420629230569325E-2</v>
      </c>
      <c r="V19">
        <v>3.7670356409131411E-2</v>
      </c>
      <c r="W19">
        <v>3.7290407320190289E-2</v>
      </c>
      <c r="X19">
        <v>3.7099207861171601E-2</v>
      </c>
      <c r="AA19">
        <v>-5121.3726999999999</v>
      </c>
      <c r="AB19">
        <v>-5121.3726999999999</v>
      </c>
      <c r="AC19">
        <v>-5121.3726999999999</v>
      </c>
      <c r="AD19">
        <v>-5121.3726999999999</v>
      </c>
      <c r="AE19">
        <v>-5121.3726999999999</v>
      </c>
      <c r="AF19">
        <v>-5121.3726999999999</v>
      </c>
    </row>
    <row r="20" spans="2:32" x14ac:dyDescent="0.25">
      <c r="B20">
        <v>43</v>
      </c>
      <c r="C20">
        <v>334.79342600071863</v>
      </c>
      <c r="D20">
        <v>586.60021907177736</v>
      </c>
      <c r="E20">
        <v>1342.0205514992899</v>
      </c>
      <c r="F20">
        <v>2601.054464913901</v>
      </c>
      <c r="G20">
        <v>5119.1222936378526</v>
      </c>
      <c r="H20">
        <v>10155.257952449934</v>
      </c>
      <c r="J20">
        <v>43</v>
      </c>
      <c r="K20">
        <v>390.51371057964479</v>
      </c>
      <c r="L20">
        <v>570.85533645473606</v>
      </c>
      <c r="M20">
        <v>1111.8796729624773</v>
      </c>
      <c r="N20">
        <v>2013.5872015980603</v>
      </c>
      <c r="O20">
        <v>3817.0022807834466</v>
      </c>
      <c r="P20">
        <v>7423.8324549321696</v>
      </c>
      <c r="R20">
        <v>43</v>
      </c>
      <c r="S20">
        <v>4.3821799045060228E-2</v>
      </c>
      <c r="T20">
        <v>4.0505605291407676E-2</v>
      </c>
      <c r="U20">
        <v>3.838829723847037E-2</v>
      </c>
      <c r="V20">
        <v>3.7659381942307446E-2</v>
      </c>
      <c r="W20">
        <v>3.7290388605637492E-2</v>
      </c>
      <c r="X20">
        <v>3.7104737949284594E-2</v>
      </c>
      <c r="AA20">
        <v>-5114.3449000000001</v>
      </c>
      <c r="AB20">
        <v>-5114.3449000000001</v>
      </c>
      <c r="AC20">
        <v>-5114.3449000000001</v>
      </c>
      <c r="AD20">
        <v>-5114.3449000000001</v>
      </c>
      <c r="AE20">
        <v>-5114.3449000000001</v>
      </c>
      <c r="AF20">
        <v>-5114.3449000000001</v>
      </c>
    </row>
    <row r="21" spans="2:32" x14ac:dyDescent="0.25">
      <c r="B21">
        <v>44</v>
      </c>
      <c r="C21">
        <v>352.48063500909626</v>
      </c>
      <c r="D21">
        <v>621.89268841006435</v>
      </c>
      <c r="E21">
        <v>1430.1288430380844</v>
      </c>
      <c r="F21">
        <v>2777.1890972403917</v>
      </c>
      <c r="G21">
        <v>5471.3096117841096</v>
      </c>
      <c r="H21">
        <v>10859.550665749684</v>
      </c>
      <c r="J21">
        <v>44</v>
      </c>
      <c r="K21">
        <v>403.1811494978956</v>
      </c>
      <c r="L21">
        <v>596.13137402948996</v>
      </c>
      <c r="M21">
        <v>1174.9819832639096</v>
      </c>
      <c r="N21">
        <v>2139.7329581204795</v>
      </c>
      <c r="O21">
        <v>4069.2349787077474</v>
      </c>
      <c r="P21">
        <v>7928.2393070928665</v>
      </c>
      <c r="R21">
        <v>44</v>
      </c>
      <c r="S21">
        <v>4.3453773354019232E-2</v>
      </c>
      <c r="T21">
        <v>4.0319257727709834E-2</v>
      </c>
      <c r="U21">
        <v>3.8325356732206162E-2</v>
      </c>
      <c r="V21">
        <v>3.7640290841352897E-2</v>
      </c>
      <c r="W21">
        <v>3.7293765130817835E-2</v>
      </c>
      <c r="X21">
        <v>3.7119487757325986E-2</v>
      </c>
      <c r="AA21">
        <v>-5106.5976000000001</v>
      </c>
      <c r="AB21">
        <v>-5106.5976000000001</v>
      </c>
      <c r="AC21">
        <v>-5106.5976000000001</v>
      </c>
      <c r="AD21">
        <v>-5106.5976000000001</v>
      </c>
      <c r="AE21">
        <v>-5106.5976000000001</v>
      </c>
      <c r="AF21">
        <v>-5106.5976000000001</v>
      </c>
    </row>
    <row r="22" spans="2:32" x14ac:dyDescent="0.25">
      <c r="B22">
        <v>45</v>
      </c>
      <c r="C22">
        <v>364.73941644776238</v>
      </c>
      <c r="D22">
        <v>646.35376383173389</v>
      </c>
      <c r="E22">
        <v>1491.1968334763096</v>
      </c>
      <c r="F22">
        <v>2899.2686178492136</v>
      </c>
      <c r="G22">
        <v>5715.4121871579937</v>
      </c>
      <c r="H22">
        <v>11347.699325923017</v>
      </c>
      <c r="J22">
        <v>45</v>
      </c>
      <c r="K22">
        <v>411.96079060219108</v>
      </c>
      <c r="L22">
        <v>613.6500849290569</v>
      </c>
      <c r="M22">
        <v>1218.7182849051314</v>
      </c>
      <c r="N22">
        <v>2227.165303681868</v>
      </c>
      <c r="O22">
        <v>4244.0593477265065</v>
      </c>
      <c r="P22">
        <v>8277.8474375160877</v>
      </c>
      <c r="R22">
        <v>45</v>
      </c>
      <c r="S22">
        <v>4.3225333413320577E-2</v>
      </c>
      <c r="T22">
        <v>4.0204839318736862E-2</v>
      </c>
      <c r="U22">
        <v>3.828791704535095E-2</v>
      </c>
      <c r="V22">
        <v>3.7630116025950011E-2</v>
      </c>
      <c r="W22">
        <v>3.7297542515078774E-2</v>
      </c>
      <c r="X22">
        <v>3.7130322922487968E-2</v>
      </c>
      <c r="AA22">
        <v>-5098.0524999999998</v>
      </c>
      <c r="AB22">
        <v>-5098.0524999999998</v>
      </c>
      <c r="AC22">
        <v>-5098.0524999999998</v>
      </c>
      <c r="AD22">
        <v>-5098.0524999999998</v>
      </c>
      <c r="AE22">
        <v>-5098.0524999999998</v>
      </c>
      <c r="AF22">
        <v>-5098.0524999999998</v>
      </c>
    </row>
    <row r="23" spans="2:32" x14ac:dyDescent="0.25">
      <c r="B23">
        <v>46</v>
      </c>
      <c r="C23">
        <v>380.73546388544719</v>
      </c>
      <c r="D23">
        <v>678.27198316998374</v>
      </c>
      <c r="E23">
        <v>1570.881560280925</v>
      </c>
      <c r="F23">
        <v>3058.5642128867544</v>
      </c>
      <c r="G23">
        <v>6033.9294137313918</v>
      </c>
      <c r="H23">
        <v>11984.659901497484</v>
      </c>
      <c r="J23">
        <v>46</v>
      </c>
      <c r="K23">
        <v>423.41700571037063</v>
      </c>
      <c r="L23">
        <v>636.50962683856687</v>
      </c>
      <c r="M23">
        <v>1275.7877118985125</v>
      </c>
      <c r="N23">
        <v>2341.2514642759998</v>
      </c>
      <c r="O23">
        <v>4472.1777676393103</v>
      </c>
      <c r="P23">
        <v>8734.0313652150799</v>
      </c>
      <c r="R23">
        <v>46</v>
      </c>
      <c r="S23">
        <v>4.2956232447957765E-2</v>
      </c>
      <c r="T23">
        <v>4.0071713277879395E-2</v>
      </c>
      <c r="U23">
        <v>3.8246116859893542E-2</v>
      </c>
      <c r="V23">
        <v>3.7620575245921772E-2</v>
      </c>
      <c r="W23">
        <v>3.7304490542053204E-2</v>
      </c>
      <c r="X23">
        <v>3.714560851981985E-2</v>
      </c>
      <c r="AA23">
        <v>-5088.6378000000004</v>
      </c>
      <c r="AB23">
        <v>-5088.6378000000004</v>
      </c>
      <c r="AC23">
        <v>-5088.6378000000004</v>
      </c>
      <c r="AD23">
        <v>-5088.6378000000004</v>
      </c>
      <c r="AE23">
        <v>-5088.6378000000004</v>
      </c>
      <c r="AF23">
        <v>-5088.6378000000004</v>
      </c>
    </row>
    <row r="24" spans="2:32" x14ac:dyDescent="0.25">
      <c r="B24">
        <v>47</v>
      </c>
      <c r="C24">
        <v>403.21424244801415</v>
      </c>
      <c r="D24">
        <v>723.1254668865123</v>
      </c>
      <c r="E24">
        <v>1682.8591412304538</v>
      </c>
      <c r="F24">
        <v>3282.4152696203128</v>
      </c>
      <c r="G24">
        <v>6481.5275277019628</v>
      </c>
      <c r="H24">
        <v>12879.75204480924</v>
      </c>
      <c r="J24">
        <v>47</v>
      </c>
      <c r="K24">
        <v>439.51600659131418</v>
      </c>
      <c r="L24">
        <v>668.63320796895277</v>
      </c>
      <c r="M24">
        <v>1355.9848239131206</v>
      </c>
      <c r="N24">
        <v>2501.5709019752976</v>
      </c>
      <c r="O24">
        <v>4792.7430730517372</v>
      </c>
      <c r="P24">
        <v>9375.0874260457931</v>
      </c>
      <c r="R24">
        <v>47</v>
      </c>
      <c r="S24">
        <v>4.2625147341210257E-2</v>
      </c>
      <c r="T24">
        <v>3.9910753542740318E-2</v>
      </c>
      <c r="U24">
        <v>3.81987067565841E-2</v>
      </c>
      <c r="V24">
        <v>3.7613141026148433E-2</v>
      </c>
      <c r="W24">
        <v>3.7317467482523181E-2</v>
      </c>
      <c r="X24">
        <v>3.7168897893642638E-2</v>
      </c>
      <c r="AA24">
        <v>-5078.2593999999999</v>
      </c>
      <c r="AB24">
        <v>-5078.2593999999999</v>
      </c>
      <c r="AC24">
        <v>-5078.2593999999999</v>
      </c>
      <c r="AD24">
        <v>-5078.2593999999999</v>
      </c>
      <c r="AE24">
        <v>-5078.2593999999999</v>
      </c>
      <c r="AF24">
        <v>-5078.2593999999999</v>
      </c>
    </row>
    <row r="25" spans="2:32" x14ac:dyDescent="0.25">
      <c r="B25">
        <v>48</v>
      </c>
      <c r="C25">
        <v>420.82114083491371</v>
      </c>
      <c r="D25">
        <v>758.25801613342526</v>
      </c>
      <c r="E25">
        <v>1770.5686321213088</v>
      </c>
      <c r="F25">
        <v>3457.7530282115958</v>
      </c>
      <c r="G25">
        <v>6832.1218299230159</v>
      </c>
      <c r="H25">
        <v>13580.859228490641</v>
      </c>
      <c r="J25">
        <v>48</v>
      </c>
      <c r="K25">
        <v>452.12599278788048</v>
      </c>
      <c r="L25">
        <v>693.79491006511944</v>
      </c>
      <c r="M25">
        <v>1418.8015483169656</v>
      </c>
      <c r="N25">
        <v>2627.1463593686785</v>
      </c>
      <c r="O25">
        <v>5043.8360907323222</v>
      </c>
      <c r="P25">
        <v>9877.2132050293148</v>
      </c>
      <c r="R25">
        <v>48</v>
      </c>
      <c r="S25">
        <v>4.2397522563105694E-2</v>
      </c>
      <c r="T25">
        <v>3.9802008180638504E-2</v>
      </c>
      <c r="U25">
        <v>3.8168842334923569E-2</v>
      </c>
      <c r="V25">
        <v>3.7610963005344722E-2</v>
      </c>
      <c r="W25">
        <v>3.7329407612417098E-2</v>
      </c>
      <c r="X25">
        <v>3.7187965537012202E-2</v>
      </c>
      <c r="AA25">
        <v>-5066.8732</v>
      </c>
      <c r="AB25">
        <v>-5066.8732</v>
      </c>
      <c r="AC25">
        <v>-5066.8732</v>
      </c>
      <c r="AD25">
        <v>-5066.8732</v>
      </c>
      <c r="AE25">
        <v>-5066.8732</v>
      </c>
      <c r="AF25">
        <v>-5066.8732</v>
      </c>
    </row>
    <row r="26" spans="2:32" x14ac:dyDescent="0.25">
      <c r="B26">
        <v>49</v>
      </c>
      <c r="C26">
        <v>446.09483469354376</v>
      </c>
      <c r="D26">
        <v>808.688453152379</v>
      </c>
      <c r="E26">
        <v>1896.4693108483671</v>
      </c>
      <c r="F26">
        <v>3709.4374124770347</v>
      </c>
      <c r="G26">
        <v>7335.3736169421682</v>
      </c>
      <c r="H26">
        <v>14587.246026715869</v>
      </c>
      <c r="J26">
        <v>49</v>
      </c>
      <c r="K26">
        <v>470.22666862116512</v>
      </c>
      <c r="L26">
        <v>729.91256627544863</v>
      </c>
      <c r="M26">
        <v>1508.9702857595512</v>
      </c>
      <c r="N26">
        <v>2807.399880762714</v>
      </c>
      <c r="O26">
        <v>5404.2590845791274</v>
      </c>
      <c r="P26">
        <v>10597.977501855872</v>
      </c>
      <c r="R26">
        <v>49</v>
      </c>
      <c r="S26">
        <v>4.2112206068716684E-2</v>
      </c>
      <c r="T26">
        <v>3.966870998902805E-2</v>
      </c>
      <c r="U26">
        <v>3.81358648504182E-2</v>
      </c>
      <c r="V26">
        <v>3.7613093818070986E-2</v>
      </c>
      <c r="W26">
        <v>3.7349421049381659E-2</v>
      </c>
      <c r="X26">
        <v>3.721700573417186E-2</v>
      </c>
      <c r="AA26">
        <v>-5054.4124000000002</v>
      </c>
      <c r="AB26">
        <v>-5054.4124000000002</v>
      </c>
      <c r="AC26">
        <v>-5054.4124000000002</v>
      </c>
      <c r="AD26">
        <v>-5054.4124000000002</v>
      </c>
      <c r="AE26">
        <v>-5054.4124000000002</v>
      </c>
      <c r="AF26">
        <v>-5054.4124000000002</v>
      </c>
    </row>
    <row r="27" spans="2:32" x14ac:dyDescent="0.25">
      <c r="B27">
        <v>50</v>
      </c>
      <c r="C27">
        <v>474.08570421679906</v>
      </c>
      <c r="D27">
        <v>864.54063987552615</v>
      </c>
      <c r="E27">
        <v>2035.9054490215065</v>
      </c>
      <c r="F27">
        <v>3988.1801455297987</v>
      </c>
      <c r="G27">
        <v>7892.7295345269804</v>
      </c>
      <c r="H27">
        <v>15701.828313412656</v>
      </c>
      <c r="J27">
        <v>50</v>
      </c>
      <c r="K27">
        <v>490.2734712726442</v>
      </c>
      <c r="L27">
        <v>769.91335414903006</v>
      </c>
      <c r="M27">
        <v>1608.8330275168155</v>
      </c>
      <c r="N27">
        <v>3007.0326495703921</v>
      </c>
      <c r="O27">
        <v>5803.431847850894</v>
      </c>
      <c r="P27">
        <v>11396.230254574126</v>
      </c>
      <c r="R27">
        <v>50</v>
      </c>
      <c r="S27">
        <v>4.18428732139422E-2</v>
      </c>
      <c r="T27">
        <v>3.9546506334885656E-2</v>
      </c>
      <c r="U27">
        <v>3.8110172254103292E-2</v>
      </c>
      <c r="V27">
        <v>3.7621071414807972E-2</v>
      </c>
      <c r="W27">
        <v>3.7374527975544636E-2</v>
      </c>
      <c r="X27">
        <v>3.725075224321106E-2</v>
      </c>
      <c r="AA27">
        <v>-5040.7671</v>
      </c>
      <c r="AB27">
        <v>-5040.7671</v>
      </c>
      <c r="AC27">
        <v>-5040.7671</v>
      </c>
      <c r="AD27">
        <v>-5040.7671</v>
      </c>
      <c r="AE27">
        <v>-5040.7671</v>
      </c>
      <c r="AF27">
        <v>-5040.7671</v>
      </c>
    </row>
    <row r="28" spans="2:32" x14ac:dyDescent="0.25">
      <c r="B28">
        <v>51</v>
      </c>
      <c r="C28">
        <v>505.64084555143597</v>
      </c>
      <c r="D28">
        <v>927.50481960171521</v>
      </c>
      <c r="E28">
        <v>2193.0967514266999</v>
      </c>
      <c r="F28">
        <v>4302.4166486252052</v>
      </c>
      <c r="G28">
        <v>8521.0564444504362</v>
      </c>
      <c r="H28">
        <v>16958.336037033834</v>
      </c>
      <c r="J28">
        <v>51</v>
      </c>
      <c r="K28">
        <v>512.87298805437422</v>
      </c>
      <c r="L28">
        <v>815.00768913882166</v>
      </c>
      <c r="M28">
        <v>1721.4119023347739</v>
      </c>
      <c r="N28">
        <v>3232.0857139995715</v>
      </c>
      <c r="O28">
        <v>6253.4333535602782</v>
      </c>
      <c r="P28">
        <v>12296.128643284173</v>
      </c>
      <c r="R28">
        <v>51</v>
      </c>
      <c r="S28">
        <v>4.1586860307531781E-2</v>
      </c>
      <c r="T28">
        <v>3.9434579147807236E-2</v>
      </c>
      <c r="U28">
        <v>3.8092211108638363E-2</v>
      </c>
      <c r="V28">
        <v>3.7635792749947994E-2</v>
      </c>
      <c r="W28">
        <v>3.7405856830834638E-2</v>
      </c>
      <c r="X28">
        <v>3.7290452538491614E-2</v>
      </c>
      <c r="AA28">
        <v>-5025.8329000000003</v>
      </c>
      <c r="AB28">
        <v>-5025.8329000000003</v>
      </c>
      <c r="AC28">
        <v>-5025.8329000000003</v>
      </c>
      <c r="AD28">
        <v>-5025.8329000000003</v>
      </c>
      <c r="AE28">
        <v>-5025.8329000000003</v>
      </c>
      <c r="AF28">
        <v>-5025.8329000000003</v>
      </c>
    </row>
    <row r="29" spans="2:32" x14ac:dyDescent="0.25">
      <c r="B29">
        <v>52</v>
      </c>
      <c r="C29">
        <v>544.8663173498652</v>
      </c>
      <c r="D29">
        <v>1005.7739491196027</v>
      </c>
      <c r="E29">
        <v>2388.4968526726911</v>
      </c>
      <c r="F29">
        <v>4693.0350264789295</v>
      </c>
      <c r="G29">
        <v>9302.1113744922259</v>
      </c>
      <c r="H29">
        <v>18520.264070637812</v>
      </c>
      <c r="J29">
        <v>52</v>
      </c>
      <c r="K29">
        <v>540.96579811753327</v>
      </c>
      <c r="L29">
        <v>871.06320581631189</v>
      </c>
      <c r="M29">
        <v>1861.3555222257855</v>
      </c>
      <c r="N29">
        <v>3511.842730025448</v>
      </c>
      <c r="O29">
        <v>6812.8171501616889</v>
      </c>
      <c r="P29">
        <v>13414.765991781111</v>
      </c>
      <c r="R29">
        <v>52</v>
      </c>
      <c r="S29">
        <v>4.1324775584556273E-2</v>
      </c>
      <c r="T29">
        <v>3.9325830993065303E-2</v>
      </c>
      <c r="U29">
        <v>3.8082871432139065E-2</v>
      </c>
      <c r="V29">
        <v>3.766092213116301E-2</v>
      </c>
      <c r="W29">
        <v>3.7448480745587487E-2</v>
      </c>
      <c r="X29">
        <v>3.734188973899033E-2</v>
      </c>
      <c r="AA29">
        <v>-5009.4771000000001</v>
      </c>
      <c r="AB29">
        <v>-5009.4771000000001</v>
      </c>
      <c r="AC29">
        <v>-5009.4771000000001</v>
      </c>
      <c r="AD29">
        <v>-5009.4771000000001</v>
      </c>
      <c r="AE29">
        <v>-5009.4771000000001</v>
      </c>
      <c r="AF29">
        <v>-5009.4771000000001</v>
      </c>
    </row>
    <row r="30" spans="2:32" x14ac:dyDescent="0.25">
      <c r="B30">
        <v>53</v>
      </c>
      <c r="C30">
        <v>585.26086636398315</v>
      </c>
      <c r="D30">
        <v>1086.3758321624714</v>
      </c>
      <c r="E30">
        <v>2589.7207382868737</v>
      </c>
      <c r="F30">
        <v>5095.2955838823837</v>
      </c>
      <c r="G30">
        <v>10106.445276244029</v>
      </c>
      <c r="H30">
        <v>20128.74466165651</v>
      </c>
      <c r="J30">
        <v>53</v>
      </c>
      <c r="K30">
        <v>569.89596818252357</v>
      </c>
      <c r="L30">
        <v>928.78946484235166</v>
      </c>
      <c r="M30">
        <v>2005.4700532195056</v>
      </c>
      <c r="N30">
        <v>3799.9377236780856</v>
      </c>
      <c r="O30">
        <v>7388.8730777912569</v>
      </c>
      <c r="P30">
        <v>14566.743793786503</v>
      </c>
      <c r="R30">
        <v>53</v>
      </c>
      <c r="S30">
        <v>4.1105914393335663E-2</v>
      </c>
      <c r="T30">
        <v>3.9241270298914888E-2</v>
      </c>
      <c r="U30">
        <v>3.808488381211883E-2</v>
      </c>
      <c r="V30">
        <v>3.7692864698130268E-2</v>
      </c>
      <c r="W30">
        <v>3.749559696169924E-2</v>
      </c>
      <c r="X30">
        <v>3.7396645673697382E-2</v>
      </c>
      <c r="AA30">
        <v>-4991.6184000000003</v>
      </c>
      <c r="AB30">
        <v>-4991.6184000000003</v>
      </c>
      <c r="AC30">
        <v>-4991.6184000000003</v>
      </c>
      <c r="AD30">
        <v>-4991.6184000000003</v>
      </c>
      <c r="AE30">
        <v>-4991.6184000000003</v>
      </c>
      <c r="AF30">
        <v>-4991.6184000000003</v>
      </c>
    </row>
    <row r="31" spans="2:32" x14ac:dyDescent="0.25">
      <c r="B31">
        <v>54</v>
      </c>
      <c r="C31">
        <v>623.64190346107205</v>
      </c>
      <c r="D31">
        <v>1162.9601379160126</v>
      </c>
      <c r="E31">
        <v>2780.9148534221017</v>
      </c>
      <c r="F31">
        <v>5477.5060724852838</v>
      </c>
      <c r="G31">
        <v>10870.688501783334</v>
      </c>
      <c r="H31">
        <v>21657.053361066519</v>
      </c>
      <c r="J31">
        <v>54</v>
      </c>
      <c r="K31">
        <v>597.38420976793986</v>
      </c>
      <c r="L31">
        <v>983.63844236225123</v>
      </c>
      <c r="M31">
        <v>2142.4012764766958</v>
      </c>
      <c r="N31">
        <v>4073.6729648253749</v>
      </c>
      <c r="O31">
        <v>7936.216242391587</v>
      </c>
      <c r="P31">
        <v>15661.302805239131</v>
      </c>
      <c r="R31">
        <v>54</v>
      </c>
      <c r="S31">
        <v>4.0935824399429555E-2</v>
      </c>
      <c r="T31">
        <v>3.918117640336094E-2</v>
      </c>
      <c r="U31">
        <v>3.8095355483399151E-2</v>
      </c>
      <c r="V31">
        <v>3.7727672217953367E-2</v>
      </c>
      <c r="W31">
        <v>3.7542730083395703E-2</v>
      </c>
      <c r="X31">
        <v>3.7449981571495483E-2</v>
      </c>
      <c r="AA31">
        <v>-4972.1588000000002</v>
      </c>
      <c r="AB31">
        <v>-4972.1588000000002</v>
      </c>
      <c r="AC31">
        <v>-4972.1588000000002</v>
      </c>
      <c r="AD31">
        <v>-4972.1588000000002</v>
      </c>
      <c r="AE31">
        <v>-4972.1588000000002</v>
      </c>
      <c r="AF31">
        <v>-4972.1588000000002</v>
      </c>
    </row>
    <row r="32" spans="2:32" x14ac:dyDescent="0.25">
      <c r="B32">
        <v>55</v>
      </c>
      <c r="C32">
        <v>677.63557339457475</v>
      </c>
      <c r="D32">
        <v>1270.6968142532107</v>
      </c>
      <c r="E32">
        <v>3049.8805659024097</v>
      </c>
      <c r="F32">
        <v>6015.1867788047648</v>
      </c>
      <c r="G32">
        <v>11945.799191021355</v>
      </c>
      <c r="H32">
        <v>23807.024502646429</v>
      </c>
      <c r="J32">
        <v>55</v>
      </c>
      <c r="K32">
        <v>636.05378813715288</v>
      </c>
      <c r="L32">
        <v>1060.7983084399475</v>
      </c>
      <c r="M32">
        <v>2335.0321940218055</v>
      </c>
      <c r="N32">
        <v>4458.7548916779924</v>
      </c>
      <c r="O32">
        <v>8706.2001352462103</v>
      </c>
      <c r="P32">
        <v>17201.09606305632</v>
      </c>
      <c r="R32">
        <v>55</v>
      </c>
      <c r="S32">
        <v>4.0746359722935166E-2</v>
      </c>
      <c r="T32">
        <v>3.9123450302314344E-2</v>
      </c>
      <c r="U32">
        <v>3.8121744199707042E-2</v>
      </c>
      <c r="V32">
        <v>3.7782996681264169E-2</v>
      </c>
      <c r="W32">
        <v>3.7612696272162349E-2</v>
      </c>
      <c r="X32">
        <v>3.7527314976084414E-2</v>
      </c>
      <c r="AA32">
        <v>-4950.9426000000003</v>
      </c>
      <c r="AB32">
        <v>-4950.9426000000003</v>
      </c>
      <c r="AC32">
        <v>-4950.9426000000003</v>
      </c>
      <c r="AD32">
        <v>-4950.9426000000003</v>
      </c>
      <c r="AE32">
        <v>-4950.9426000000003</v>
      </c>
      <c r="AF32">
        <v>-4950.9426000000003</v>
      </c>
    </row>
    <row r="35" spans="2:31" x14ac:dyDescent="0.25">
      <c r="B35" t="s">
        <v>46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32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48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2:31" x14ac:dyDescent="0.25">
      <c r="B36">
        <v>35</v>
      </c>
      <c r="C36">
        <v>13440.124980641607</v>
      </c>
      <c r="D36">
        <v>37781.359956683234</v>
      </c>
      <c r="E36">
        <v>78350.086401770648</v>
      </c>
      <c r="F36">
        <v>159487.53637519386</v>
      </c>
      <c r="G36">
        <v>321762.44325163582</v>
      </c>
      <c r="J36">
        <v>35</v>
      </c>
      <c r="K36">
        <v>672.00624903153221</v>
      </c>
      <c r="L36">
        <v>1889.0668191520235</v>
      </c>
      <c r="M36">
        <v>3917.5037626636913</v>
      </c>
      <c r="N36">
        <v>7974.372425175563</v>
      </c>
      <c r="O36">
        <v>16088.122162552667</v>
      </c>
      <c r="R36">
        <v>35</v>
      </c>
      <c r="S36">
        <v>3.2185659736803318E-2</v>
      </c>
      <c r="T36">
        <v>3.2643217847110995E-2</v>
      </c>
      <c r="U36">
        <v>3.2811340228331876E-2</v>
      </c>
      <c r="V36">
        <v>3.2898657727283842E-2</v>
      </c>
      <c r="W36">
        <v>3.2943169482853474E-2</v>
      </c>
      <c r="AA36">
        <v>-8996.1419000000005</v>
      </c>
      <c r="AB36">
        <v>-8996.1419000000005</v>
      </c>
      <c r="AC36">
        <v>-8996.1419000000005</v>
      </c>
      <c r="AD36">
        <v>-8996.1419000000005</v>
      </c>
      <c r="AE36">
        <v>-8996.1419000000005</v>
      </c>
    </row>
    <row r="37" spans="2:31" x14ac:dyDescent="0.25">
      <c r="B37">
        <f t="shared" ref="B37:B66" si="0">B36+1</f>
        <v>36</v>
      </c>
      <c r="C37">
        <v>14198.886919880029</v>
      </c>
      <c r="D37">
        <v>39647.02666784633</v>
      </c>
      <c r="E37">
        <v>82060.593349634437</v>
      </c>
      <c r="F37">
        <v>166887.72659667692</v>
      </c>
      <c r="G37">
        <v>336541.99304325611</v>
      </c>
      <c r="J37">
        <f t="shared" ref="J37:J66" si="1">J36+1</f>
        <v>36</v>
      </c>
      <c r="K37">
        <v>709.94442145705398</v>
      </c>
      <c r="L37">
        <v>1982.3514692887547</v>
      </c>
      <c r="M37">
        <v>4103.0306563396589</v>
      </c>
      <c r="N37">
        <v>8344.3888231768506</v>
      </c>
      <c r="O37">
        <v>16827.10507235874</v>
      </c>
      <c r="R37">
        <f t="shared" ref="R37:R66" si="2">R36+1</f>
        <v>36</v>
      </c>
      <c r="S37">
        <v>3.232729066518214E-2</v>
      </c>
      <c r="T37">
        <v>3.2791328223660043E-2</v>
      </c>
      <c r="U37">
        <v>3.2961465658401412E-2</v>
      </c>
      <c r="V37">
        <v>3.3049754633907025E-2</v>
      </c>
      <c r="W37">
        <v>3.309473909745031E-2</v>
      </c>
      <c r="AA37">
        <v>-8902.6679999999997</v>
      </c>
      <c r="AB37">
        <v>-8902.6679999999997</v>
      </c>
      <c r="AC37">
        <v>-8902.6679999999997</v>
      </c>
      <c r="AD37">
        <v>-8902.6679999999997</v>
      </c>
      <c r="AE37">
        <v>-8902.6679999999997</v>
      </c>
    </row>
    <row r="38" spans="2:31" x14ac:dyDescent="0.25">
      <c r="B38">
        <f t="shared" si="0"/>
        <v>37</v>
      </c>
      <c r="C38">
        <v>14993.16477328811</v>
      </c>
      <c r="D38">
        <v>41600.223967449005</v>
      </c>
      <c r="E38">
        <v>85945.323633660169</v>
      </c>
      <c r="F38">
        <v>174635.52285571126</v>
      </c>
      <c r="G38">
        <v>352015.92125436559</v>
      </c>
      <c r="J38">
        <f t="shared" si="1"/>
        <v>37</v>
      </c>
      <c r="K38">
        <v>749.65892358351266</v>
      </c>
      <c r="L38">
        <v>2080.0113645602687</v>
      </c>
      <c r="M38">
        <v>4297.2672148499405</v>
      </c>
      <c r="N38">
        <v>8731.7787205560599</v>
      </c>
      <c r="O38">
        <v>17600.801651724498</v>
      </c>
      <c r="R38">
        <f t="shared" si="2"/>
        <v>37</v>
      </c>
      <c r="S38">
        <v>3.2478690113776354E-2</v>
      </c>
      <c r="T38">
        <v>3.2949595189939673E-2</v>
      </c>
      <c r="U38">
        <v>3.3121886047609461E-2</v>
      </c>
      <c r="V38">
        <v>3.3211215578954789E-2</v>
      </c>
      <c r="W38">
        <v>3.3256710046679183E-2</v>
      </c>
      <c r="AA38">
        <v>-8806.7960000000003</v>
      </c>
      <c r="AB38">
        <v>-8806.7960000000003</v>
      </c>
      <c r="AC38">
        <v>-8806.7960000000003</v>
      </c>
      <c r="AD38">
        <v>-8806.7960000000003</v>
      </c>
      <c r="AE38">
        <v>-8806.7960000000003</v>
      </c>
    </row>
    <row r="39" spans="2:31" x14ac:dyDescent="0.25">
      <c r="B39">
        <f t="shared" si="0"/>
        <v>38</v>
      </c>
      <c r="C39">
        <v>15824.73212748795</v>
      </c>
      <c r="D39">
        <v>43645.236277380245</v>
      </c>
      <c r="E39">
        <v>90012.744153227424</v>
      </c>
      <c r="F39">
        <v>182747.75980021374</v>
      </c>
      <c r="G39">
        <v>368217.79105065914</v>
      </c>
      <c r="J39">
        <f t="shared" si="1"/>
        <v>38</v>
      </c>
      <c r="K39">
        <v>791.23725308026769</v>
      </c>
      <c r="L39">
        <v>2182.2620098396437</v>
      </c>
      <c r="M39">
        <v>4500.6382855397242</v>
      </c>
      <c r="N39">
        <v>9137.3906534585403</v>
      </c>
      <c r="O39">
        <v>18410.895313023124</v>
      </c>
      <c r="R39">
        <f t="shared" si="2"/>
        <v>38</v>
      </c>
      <c r="S39">
        <v>3.2640796685885931E-2</v>
      </c>
      <c r="T39">
        <v>3.3118966516965331E-2</v>
      </c>
      <c r="U39">
        <v>3.3293547058004913E-2</v>
      </c>
      <c r="V39">
        <v>3.3383986422090617E-2</v>
      </c>
      <c r="W39">
        <v>3.3430025856917567E-2</v>
      </c>
      <c r="AA39">
        <v>-8708.6234000000004</v>
      </c>
      <c r="AB39">
        <v>-8708.6234000000004</v>
      </c>
      <c r="AC39">
        <v>-8708.6234000000004</v>
      </c>
      <c r="AD39">
        <v>-8708.6234000000004</v>
      </c>
      <c r="AE39">
        <v>-8708.6234000000004</v>
      </c>
    </row>
    <row r="40" spans="2:31" x14ac:dyDescent="0.25">
      <c r="B40">
        <f t="shared" si="0"/>
        <v>39</v>
      </c>
      <c r="C40">
        <v>16695.3197388103</v>
      </c>
      <c r="D40">
        <v>45786.41677212403</v>
      </c>
      <c r="E40">
        <v>94271.579404178032</v>
      </c>
      <c r="F40">
        <v>191241.90456898324</v>
      </c>
      <c r="G40">
        <v>385182.55485693994</v>
      </c>
      <c r="J40">
        <f t="shared" si="1"/>
        <v>39</v>
      </c>
      <c r="K40">
        <v>834.76659633472445</v>
      </c>
      <c r="L40">
        <v>2289.3210646273656</v>
      </c>
      <c r="M40">
        <v>4713.5800937357126</v>
      </c>
      <c r="N40">
        <v>9562.0979792979197</v>
      </c>
      <c r="O40">
        <v>19259.13367800042</v>
      </c>
      <c r="R40">
        <f t="shared" si="2"/>
        <v>39</v>
      </c>
      <c r="S40">
        <v>3.2814571134095916E-2</v>
      </c>
      <c r="T40">
        <v>3.3300449272527288E-2</v>
      </c>
      <c r="U40">
        <v>3.3477474207202151E-2</v>
      </c>
      <c r="V40">
        <v>3.356910239609201E-2</v>
      </c>
      <c r="W40">
        <v>3.3615726747721286E-2</v>
      </c>
      <c r="AA40">
        <v>-8608.1594000000005</v>
      </c>
      <c r="AB40">
        <v>-8608.1594000000005</v>
      </c>
      <c r="AC40">
        <v>-8608.1594000000005</v>
      </c>
      <c r="AD40">
        <v>-8608.1594000000005</v>
      </c>
      <c r="AE40">
        <v>-8608.1594000000005</v>
      </c>
    </row>
    <row r="41" spans="2:31" x14ac:dyDescent="0.25">
      <c r="B41">
        <f t="shared" si="0"/>
        <v>40</v>
      </c>
      <c r="C41">
        <v>17606.862847166463</v>
      </c>
      <c r="D41">
        <v>48028.437856032877</v>
      </c>
      <c r="E41">
        <v>98731.063733238654</v>
      </c>
      <c r="F41">
        <v>200136.31539332791</v>
      </c>
      <c r="G41">
        <v>402946.81867360364</v>
      </c>
      <c r="J41">
        <f t="shared" si="1"/>
        <v>40</v>
      </c>
      <c r="K41">
        <v>880.34371636562719</v>
      </c>
      <c r="L41">
        <v>2401.4221486284805</v>
      </c>
      <c r="M41">
        <v>4936.5543564768159</v>
      </c>
      <c r="N41">
        <v>10006.818609497976</v>
      </c>
      <c r="O41">
        <v>20147.347046720563</v>
      </c>
      <c r="R41">
        <f t="shared" si="2"/>
        <v>40</v>
      </c>
      <c r="S41">
        <v>3.3001177930750414E-2</v>
      </c>
      <c r="T41">
        <v>3.3495210556014232E-2</v>
      </c>
      <c r="U41">
        <v>3.367483273990568E-2</v>
      </c>
      <c r="V41">
        <v>3.3767727206555964E-2</v>
      </c>
      <c r="W41">
        <v>3.3814975490819021E-2</v>
      </c>
      <c r="AA41">
        <v>-8505.3439999999991</v>
      </c>
      <c r="AB41">
        <v>-8505.3439999999991</v>
      </c>
      <c r="AC41">
        <v>-8505.3439999999991</v>
      </c>
      <c r="AD41">
        <v>-8505.3439999999991</v>
      </c>
      <c r="AE41">
        <v>-8505.3439999999991</v>
      </c>
    </row>
    <row r="42" spans="2:31" x14ac:dyDescent="0.25">
      <c r="B42">
        <f t="shared" si="0"/>
        <v>41</v>
      </c>
      <c r="C42">
        <v>18561.243739664747</v>
      </c>
      <c r="D42">
        <v>50376.033274804577</v>
      </c>
      <c r="E42">
        <v>103400.6833146897</v>
      </c>
      <c r="F42">
        <v>209449.98330493007</v>
      </c>
      <c r="G42">
        <v>421548.58324720809</v>
      </c>
      <c r="J42">
        <f t="shared" si="1"/>
        <v>41</v>
      </c>
      <c r="K42">
        <v>928.06272606375569</v>
      </c>
      <c r="L42">
        <v>2518.8019499671209</v>
      </c>
      <c r="M42">
        <v>5170.035383130511</v>
      </c>
      <c r="N42">
        <v>10472.502096331737</v>
      </c>
      <c r="O42">
        <v>21077.435457395157</v>
      </c>
      <c r="R42">
        <f t="shared" si="2"/>
        <v>41</v>
      </c>
      <c r="S42">
        <v>3.3201811156534866E-2</v>
      </c>
      <c r="T42">
        <v>3.3704499879035676E-2</v>
      </c>
      <c r="U42">
        <v>3.3886893018072017E-2</v>
      </c>
      <c r="V42">
        <v>3.3981142148919341E-2</v>
      </c>
      <c r="W42">
        <v>3.4029058982165905E-2</v>
      </c>
      <c r="AA42">
        <v>-8400.1087000000007</v>
      </c>
      <c r="AB42">
        <v>-8400.1087000000007</v>
      </c>
      <c r="AC42">
        <v>-8400.1087000000007</v>
      </c>
      <c r="AD42">
        <v>-8400.1087000000007</v>
      </c>
      <c r="AE42">
        <v>-8400.1087000000007</v>
      </c>
    </row>
    <row r="43" spans="2:31" x14ac:dyDescent="0.25">
      <c r="B43">
        <f t="shared" si="0"/>
        <v>42</v>
      </c>
      <c r="C43">
        <v>19560.558938156035</v>
      </c>
      <c r="D43">
        <v>52834.263866305082</v>
      </c>
      <c r="E43">
        <v>108290.43951469318</v>
      </c>
      <c r="F43">
        <v>219202.79072637009</v>
      </c>
      <c r="G43">
        <v>441027.49311313103</v>
      </c>
      <c r="J43">
        <f t="shared" si="1"/>
        <v>42</v>
      </c>
      <c r="K43">
        <v>978.02845252300176</v>
      </c>
      <c r="L43">
        <v>2641.7135100715532</v>
      </c>
      <c r="M43">
        <v>5414.5232417984516</v>
      </c>
      <c r="N43">
        <v>10960.142560955486</v>
      </c>
      <c r="O43">
        <v>22051.381137222052</v>
      </c>
      <c r="R43">
        <f t="shared" si="2"/>
        <v>42</v>
      </c>
      <c r="S43">
        <v>3.341791687163842E-2</v>
      </c>
      <c r="T43">
        <v>3.3929764289084341E-2</v>
      </c>
      <c r="U43">
        <v>3.4115099349979472E-2</v>
      </c>
      <c r="V43">
        <v>3.4210789483510862E-2</v>
      </c>
      <c r="W43">
        <v>3.4259418276725517E-2</v>
      </c>
      <c r="AA43">
        <v>-8292.4974999999995</v>
      </c>
      <c r="AB43">
        <v>-8292.4974999999995</v>
      </c>
      <c r="AC43">
        <v>-8292.4974999999995</v>
      </c>
      <c r="AD43">
        <v>-8292.4974999999995</v>
      </c>
      <c r="AE43">
        <v>-8292.4974999999995</v>
      </c>
    </row>
    <row r="44" spans="2:31" x14ac:dyDescent="0.25">
      <c r="B44">
        <f t="shared" si="0"/>
        <v>43</v>
      </c>
      <c r="C44">
        <v>20606.838254173017</v>
      </c>
      <c r="D44">
        <v>55408.233502441384</v>
      </c>
      <c r="E44">
        <v>113410.559636565</v>
      </c>
      <c r="F44">
        <v>229415.21182400815</v>
      </c>
      <c r="G44">
        <v>461424.51616389118</v>
      </c>
      <c r="J44">
        <f t="shared" si="1"/>
        <v>43</v>
      </c>
      <c r="K44">
        <v>1030.3423848212478</v>
      </c>
      <c r="L44">
        <v>2770.4120234722068</v>
      </c>
      <c r="M44">
        <v>5670.5292984747211</v>
      </c>
      <c r="N44">
        <v>11470.763712682936</v>
      </c>
      <c r="O44">
        <v>23071.232482274063</v>
      </c>
      <c r="R44">
        <f t="shared" si="2"/>
        <v>43</v>
      </c>
      <c r="S44">
        <v>3.365098943254452E-2</v>
      </c>
      <c r="T44">
        <v>3.417256084741771E-2</v>
      </c>
      <c r="U44">
        <v>3.4361032142218306E-2</v>
      </c>
      <c r="V44">
        <v>3.4458261810823787E-2</v>
      </c>
      <c r="W44">
        <v>3.4507652209139206E-2</v>
      </c>
      <c r="AA44">
        <v>-8182.3909999999996</v>
      </c>
      <c r="AB44">
        <v>-8182.3909999999996</v>
      </c>
      <c r="AC44">
        <v>-8182.3909999999996</v>
      </c>
      <c r="AD44">
        <v>-8182.3909999999996</v>
      </c>
      <c r="AE44">
        <v>-8182.3909999999996</v>
      </c>
    </row>
    <row r="45" spans="2:31" x14ac:dyDescent="0.25">
      <c r="B45">
        <f t="shared" si="0"/>
        <v>44</v>
      </c>
      <c r="C45">
        <v>21702.331570538659</v>
      </c>
      <c r="D45">
        <v>58103.370667385607</v>
      </c>
      <c r="E45">
        <v>118771.7698349249</v>
      </c>
      <c r="F45">
        <v>240108.56809319972</v>
      </c>
      <c r="G45">
        <v>482782.16457623313</v>
      </c>
      <c r="J45">
        <f t="shared" si="1"/>
        <v>44</v>
      </c>
      <c r="K45">
        <v>1085.1170180653207</v>
      </c>
      <c r="L45">
        <v>2905.1689139871014</v>
      </c>
      <c r="M45">
        <v>5938.5898608220741</v>
      </c>
      <c r="N45">
        <v>12005.431626602949</v>
      </c>
      <c r="O45">
        <v>24139.115102354786</v>
      </c>
      <c r="R45">
        <f t="shared" si="2"/>
        <v>44</v>
      </c>
      <c r="S45">
        <v>3.3902833009821887E-2</v>
      </c>
      <c r="T45">
        <v>3.4434691347520863E-2</v>
      </c>
      <c r="U45">
        <v>3.4626488894618168E-2</v>
      </c>
      <c r="V45">
        <v>3.4725353719907481E-2</v>
      </c>
      <c r="W45">
        <v>3.4775553709949669E-2</v>
      </c>
      <c r="AA45">
        <v>-8069.8261000000002</v>
      </c>
      <c r="AB45">
        <v>-8069.8261000000002</v>
      </c>
      <c r="AC45">
        <v>-8069.8261000000002</v>
      </c>
      <c r="AD45">
        <v>-8069.8261000000002</v>
      </c>
      <c r="AE45">
        <v>-8069.8261000000002</v>
      </c>
    </row>
    <row r="46" spans="2:31" x14ac:dyDescent="0.25">
      <c r="B46">
        <f t="shared" si="0"/>
        <v>45</v>
      </c>
      <c r="C46">
        <v>22849.201461738663</v>
      </c>
      <c r="D46">
        <v>60925.113336679184</v>
      </c>
      <c r="E46">
        <v>124384.96708432399</v>
      </c>
      <c r="F46">
        <v>251304.67450670921</v>
      </c>
      <c r="G46">
        <v>505144.08931947692</v>
      </c>
      <c r="J46">
        <f t="shared" si="1"/>
        <v>45</v>
      </c>
      <c r="K46">
        <v>1142.4604794244078</v>
      </c>
      <c r="L46">
        <v>3046.256081456464</v>
      </c>
      <c r="M46">
        <v>6219.2497786359454</v>
      </c>
      <c r="N46">
        <v>12565.237052749726</v>
      </c>
      <c r="O46">
        <v>25257.211548193591</v>
      </c>
      <c r="R46">
        <f t="shared" si="2"/>
        <v>45</v>
      </c>
      <c r="S46">
        <v>3.4175324909218041E-2</v>
      </c>
      <c r="T46">
        <v>3.4718102919814475E-2</v>
      </c>
      <c r="U46">
        <v>3.4913442483658574E-2</v>
      </c>
      <c r="V46">
        <v>3.5014051486252029E-2</v>
      </c>
      <c r="W46">
        <v>3.5065115892267684E-2</v>
      </c>
      <c r="AA46">
        <v>-7954.7533999999996</v>
      </c>
      <c r="AB46">
        <v>-7954.7533999999996</v>
      </c>
      <c r="AC46">
        <v>-7954.7533999999996</v>
      </c>
      <c r="AD46">
        <v>-7954.7533999999996</v>
      </c>
      <c r="AE46">
        <v>-7954.7533999999996</v>
      </c>
    </row>
    <row r="47" spans="2:31" x14ac:dyDescent="0.25">
      <c r="B47">
        <f t="shared" si="0"/>
        <v>46</v>
      </c>
      <c r="C47">
        <v>24049.830669177492</v>
      </c>
      <c r="D47">
        <v>63879.205608156022</v>
      </c>
      <c r="E47">
        <v>130261.49774472503</v>
      </c>
      <c r="F47">
        <v>263026.08194861561</v>
      </c>
      <c r="G47">
        <v>528555.25032580481</v>
      </c>
      <c r="J47">
        <f t="shared" si="1"/>
        <v>46</v>
      </c>
      <c r="K47">
        <v>1202.4919068782328</v>
      </c>
      <c r="L47">
        <v>3193.9607304890815</v>
      </c>
      <c r="M47">
        <v>6513.0763700545358</v>
      </c>
      <c r="N47">
        <v>13151.307536090317</v>
      </c>
      <c r="O47">
        <v>26427.769818198867</v>
      </c>
      <c r="R47">
        <f t="shared" si="2"/>
        <v>46</v>
      </c>
      <c r="S47">
        <v>3.4470724596659785E-2</v>
      </c>
      <c r="T47">
        <v>3.5025046330829701E-2</v>
      </c>
      <c r="U47">
        <v>3.5224136713106535E-2</v>
      </c>
      <c r="V47">
        <v>3.532659455762821E-2</v>
      </c>
      <c r="W47">
        <v>3.5378575794774658E-2</v>
      </c>
      <c r="AA47">
        <v>-7837.1754000000001</v>
      </c>
      <c r="AB47">
        <v>-7837.1754000000001</v>
      </c>
      <c r="AC47">
        <v>-7837.1754000000001</v>
      </c>
      <c r="AD47">
        <v>-7837.1754000000001</v>
      </c>
      <c r="AE47">
        <v>-7837.1754000000001</v>
      </c>
    </row>
    <row r="48" spans="2:31" x14ac:dyDescent="0.25">
      <c r="B48">
        <f t="shared" si="0"/>
        <v>47</v>
      </c>
      <c r="C48">
        <v>25306.484239606787</v>
      </c>
      <c r="D48">
        <v>66971.345276313979</v>
      </c>
      <c r="E48">
        <v>136412.78085383921</v>
      </c>
      <c r="F48">
        <v>275295.6519432487</v>
      </c>
      <c r="G48">
        <v>553061.39409288275</v>
      </c>
      <c r="J48">
        <f t="shared" si="1"/>
        <v>47</v>
      </c>
      <c r="K48">
        <v>1265.3245511269124</v>
      </c>
      <c r="L48">
        <v>3348.5677520369209</v>
      </c>
      <c r="M48">
        <v>6820.6405883254192</v>
      </c>
      <c r="N48">
        <v>13764.786154781235</v>
      </c>
      <c r="O48">
        <v>27653.077240510145</v>
      </c>
      <c r="R48">
        <f t="shared" si="2"/>
        <v>47</v>
      </c>
      <c r="S48">
        <v>3.479139655073249E-2</v>
      </c>
      <c r="T48">
        <v>3.53579618611779E-2</v>
      </c>
      <c r="U48">
        <v>3.556103956130463E-2</v>
      </c>
      <c r="V48">
        <v>3.5665465278529318E-2</v>
      </c>
      <c r="W48">
        <v>3.571842308082096E-2</v>
      </c>
      <c r="AA48">
        <v>-7717.0294999999996</v>
      </c>
      <c r="AB48">
        <v>-7717.0294999999996</v>
      </c>
      <c r="AC48">
        <v>-7717.0294999999996</v>
      </c>
      <c r="AD48">
        <v>-7717.0294999999996</v>
      </c>
      <c r="AE48">
        <v>-7717.0294999999996</v>
      </c>
    </row>
    <row r="49" spans="2:31" x14ac:dyDescent="0.25">
      <c r="B49">
        <f t="shared" si="0"/>
        <v>48</v>
      </c>
      <c r="C49">
        <v>26621.638695968555</v>
      </c>
      <c r="D49">
        <v>70207.493964914262</v>
      </c>
      <c r="E49">
        <v>142850.58653803763</v>
      </c>
      <c r="F49">
        <v>288136.7716220463</v>
      </c>
      <c r="G49">
        <v>578709.14176223497</v>
      </c>
      <c r="J49">
        <f t="shared" si="1"/>
        <v>48</v>
      </c>
      <c r="K49">
        <v>1331.0822391561233</v>
      </c>
      <c r="L49">
        <v>3510.3752271404228</v>
      </c>
      <c r="M49">
        <v>7142.5309401703707</v>
      </c>
      <c r="N49">
        <v>14406.842266660708</v>
      </c>
      <c r="O49">
        <v>28935.464875121485</v>
      </c>
      <c r="R49">
        <f t="shared" si="2"/>
        <v>48</v>
      </c>
      <c r="S49">
        <v>3.5140176987509486E-2</v>
      </c>
      <c r="T49">
        <v>3.5719665726260619E-2</v>
      </c>
      <c r="U49">
        <v>3.5926955779445269E-2</v>
      </c>
      <c r="V49">
        <v>3.6033461649459975E-2</v>
      </c>
      <c r="W49">
        <v>3.6087452107972151E-2</v>
      </c>
      <c r="AA49">
        <v>-7594.4201000000003</v>
      </c>
      <c r="AB49">
        <v>-7594.4201000000003</v>
      </c>
      <c r="AC49">
        <v>-7594.4201000000003</v>
      </c>
      <c r="AD49">
        <v>-7594.4201000000003</v>
      </c>
      <c r="AE49">
        <v>-7594.4201000000003</v>
      </c>
    </row>
    <row r="50" spans="2:31" x14ac:dyDescent="0.25">
      <c r="B50">
        <f t="shared" si="0"/>
        <v>49</v>
      </c>
      <c r="C50">
        <v>27997.608723407466</v>
      </c>
      <c r="D50">
        <v>73593.479478195732</v>
      </c>
      <c r="E50">
        <v>149586.59779667071</v>
      </c>
      <c r="F50">
        <v>301572.83437476284</v>
      </c>
      <c r="G50">
        <v>605545.30750448862</v>
      </c>
      <c r="J50">
        <f t="shared" si="1"/>
        <v>49</v>
      </c>
      <c r="K50">
        <v>1399.8807034747078</v>
      </c>
      <c r="L50">
        <v>3679.6745474283816</v>
      </c>
      <c r="M50">
        <v>7479.3315772803617</v>
      </c>
      <c r="N50">
        <v>15078.645543837512</v>
      </c>
      <c r="O50">
        <v>30277.273435078911</v>
      </c>
      <c r="R50">
        <f t="shared" si="2"/>
        <v>49</v>
      </c>
      <c r="S50">
        <v>3.5520045936205058E-2</v>
      </c>
      <c r="T50">
        <v>3.6113216816528793E-2</v>
      </c>
      <c r="U50">
        <v>3.6324972832949776E-2</v>
      </c>
      <c r="V50">
        <v>3.6433685912446778E-2</v>
      </c>
      <c r="W50">
        <v>3.6488772635136613E-2</v>
      </c>
      <c r="AA50">
        <v>-7469.3995999999997</v>
      </c>
      <c r="AB50">
        <v>-7469.3995999999997</v>
      </c>
      <c r="AC50">
        <v>-7469.3995999999997</v>
      </c>
      <c r="AD50">
        <v>-7469.3995999999997</v>
      </c>
      <c r="AE50">
        <v>-7469.3995999999997</v>
      </c>
    </row>
    <row r="51" spans="2:31" x14ac:dyDescent="0.25">
      <c r="B51">
        <f t="shared" si="0"/>
        <v>50</v>
      </c>
      <c r="C51">
        <v>29436.898924648587</v>
      </c>
      <c r="D51">
        <v>77135.316948547013</v>
      </c>
      <c r="E51">
        <v>156632.68064592339</v>
      </c>
      <c r="F51">
        <v>315627.40798504686</v>
      </c>
      <c r="G51">
        <v>633616.86263814732</v>
      </c>
      <c r="J51">
        <f t="shared" si="1"/>
        <v>50</v>
      </c>
      <c r="K51">
        <v>1471.8451749713931</v>
      </c>
      <c r="L51">
        <v>3856.7664695271378</v>
      </c>
      <c r="M51">
        <v>7831.6358011743578</v>
      </c>
      <c r="N51">
        <v>15781.374377410219</v>
      </c>
      <c r="O51">
        <v>31680.851490527275</v>
      </c>
      <c r="R51">
        <f t="shared" si="2"/>
        <v>50</v>
      </c>
      <c r="S51">
        <v>3.5934563795474661E-2</v>
      </c>
      <c r="T51">
        <v>3.6542135992772673E-2</v>
      </c>
      <c r="U51">
        <v>3.6758592644670518E-2</v>
      </c>
      <c r="V51">
        <v>3.6869629315562813E-2</v>
      </c>
      <c r="W51">
        <v>3.6925870257980442E-2</v>
      </c>
      <c r="AA51">
        <v>-7341.9502000000002</v>
      </c>
      <c r="AB51">
        <v>-7341.9502000000002</v>
      </c>
      <c r="AC51">
        <v>-7341.9502000000002</v>
      </c>
      <c r="AD51">
        <v>-7341.9502000000002</v>
      </c>
      <c r="AE51">
        <v>-7341.9502000000002</v>
      </c>
    </row>
    <row r="52" spans="2:31" x14ac:dyDescent="0.25">
      <c r="B52">
        <f t="shared" si="0"/>
        <v>51</v>
      </c>
      <c r="C52">
        <v>30941.788974303508</v>
      </c>
      <c r="D52">
        <v>80838.756058203769</v>
      </c>
      <c r="E52">
        <v>164000.36811026989</v>
      </c>
      <c r="F52">
        <v>330323.59216201771</v>
      </c>
      <c r="G52">
        <v>662970.04024170653</v>
      </c>
      <c r="J52">
        <f t="shared" si="1"/>
        <v>51</v>
      </c>
      <c r="K52">
        <v>1547.0896355005316</v>
      </c>
      <c r="L52">
        <v>4041.9384791530028</v>
      </c>
      <c r="M52">
        <v>8200.0202651422005</v>
      </c>
      <c r="N52">
        <v>16516.183756079758</v>
      </c>
      <c r="O52">
        <v>33148.510701123625</v>
      </c>
      <c r="R52">
        <f t="shared" si="2"/>
        <v>51</v>
      </c>
      <c r="S52">
        <v>3.638747782446683E-2</v>
      </c>
      <c r="T52">
        <v>3.7010246489306287E-2</v>
      </c>
      <c r="U52">
        <v>3.7231665778314715E-2</v>
      </c>
      <c r="V52">
        <v>3.734515652171555E-2</v>
      </c>
      <c r="W52">
        <v>3.7402616803799082E-2</v>
      </c>
      <c r="AA52">
        <v>-7212.0646999999999</v>
      </c>
      <c r="AB52">
        <v>-7212.0646999999999</v>
      </c>
      <c r="AC52">
        <v>-7212.0646999999999</v>
      </c>
      <c r="AD52">
        <v>-7212.0646999999999</v>
      </c>
      <c r="AE52">
        <v>-7212.0646999999999</v>
      </c>
    </row>
    <row r="53" spans="2:31" x14ac:dyDescent="0.25">
      <c r="B53">
        <f t="shared" si="0"/>
        <v>52</v>
      </c>
      <c r="C53">
        <v>32514.70878327328</v>
      </c>
      <c r="D53">
        <v>84709.609738139101</v>
      </c>
      <c r="E53">
        <v>171701.11148825494</v>
      </c>
      <c r="F53">
        <v>345684.11493919214</v>
      </c>
      <c r="G53">
        <v>693650.12181856181</v>
      </c>
      <c r="J53">
        <f t="shared" si="1"/>
        <v>52</v>
      </c>
      <c r="K53">
        <v>1625.7355812624373</v>
      </c>
      <c r="L53">
        <v>4235.4812229921517</v>
      </c>
      <c r="M53">
        <v>8585.0575351162115</v>
      </c>
      <c r="N53">
        <v>17284.210084003978</v>
      </c>
      <c r="O53">
        <v>34682.515147374477</v>
      </c>
      <c r="R53">
        <f t="shared" si="2"/>
        <v>52</v>
      </c>
      <c r="S53">
        <v>3.6883242330969734E-2</v>
      </c>
      <c r="T53">
        <v>3.7521930172026652E-2</v>
      </c>
      <c r="U53">
        <v>3.7748542946660191E-2</v>
      </c>
      <c r="V53">
        <v>3.7864601220477079E-2</v>
      </c>
      <c r="W53">
        <v>3.7923337074762253E-2</v>
      </c>
      <c r="AA53">
        <v>-7079.7435999999998</v>
      </c>
      <c r="AB53">
        <v>-7079.7435999999998</v>
      </c>
      <c r="AC53">
        <v>-7079.7435999999998</v>
      </c>
      <c r="AD53">
        <v>-7079.7435999999998</v>
      </c>
      <c r="AE53">
        <v>-7079.7435999999998</v>
      </c>
    </row>
    <row r="54" spans="2:31" x14ac:dyDescent="0.25">
      <c r="B54">
        <f t="shared" si="0"/>
        <v>53</v>
      </c>
      <c r="C54">
        <v>34157.774776799488</v>
      </c>
      <c r="D54">
        <v>88753.234178791463</v>
      </c>
      <c r="E54">
        <v>179745.66657475897</v>
      </c>
      <c r="F54">
        <v>361730.53132054745</v>
      </c>
      <c r="G54">
        <v>725700.26079096051</v>
      </c>
      <c r="J54">
        <f t="shared" si="1"/>
        <v>53</v>
      </c>
      <c r="K54">
        <v>1707.8888315219374</v>
      </c>
      <c r="L54">
        <v>4437.6625122851401</v>
      </c>
      <c r="M54">
        <v>8987.2854031313327</v>
      </c>
      <c r="N54">
        <v>18086.531115134596</v>
      </c>
      <c r="O54">
        <v>36285.022507181624</v>
      </c>
      <c r="R54">
        <f t="shared" si="2"/>
        <v>53</v>
      </c>
      <c r="S54">
        <v>3.7426537443856711E-2</v>
      </c>
      <c r="T54">
        <v>3.8081929415787696E-2</v>
      </c>
      <c r="U54">
        <v>3.8313988818493128E-2</v>
      </c>
      <c r="V54">
        <v>3.843273957557547E-2</v>
      </c>
      <c r="W54">
        <v>3.8492813075178933E-2</v>
      </c>
      <c r="AA54">
        <v>-6945.0875999999998</v>
      </c>
      <c r="AB54">
        <v>-6945.0875999999998</v>
      </c>
      <c r="AC54">
        <v>-6945.0875999999998</v>
      </c>
      <c r="AD54">
        <v>-6945.0875999999998</v>
      </c>
      <c r="AE54">
        <v>-6945.0875999999998</v>
      </c>
    </row>
    <row r="55" spans="2:31" x14ac:dyDescent="0.25">
      <c r="B55">
        <f t="shared" si="0"/>
        <v>54</v>
      </c>
      <c r="C55">
        <v>35873.189683287084</v>
      </c>
      <c r="D55">
        <v>92974.860892193639</v>
      </c>
      <c r="E55">
        <v>188144.31329433271</v>
      </c>
      <c r="F55">
        <v>378483.21805546968</v>
      </c>
      <c r="G55">
        <v>759161.02755790832</v>
      </c>
      <c r="J55">
        <f t="shared" si="1"/>
        <v>54</v>
      </c>
      <c r="K55">
        <v>1793.6599031062797</v>
      </c>
      <c r="L55">
        <v>4648.7439228049479</v>
      </c>
      <c r="M55">
        <v>9407.2178665200481</v>
      </c>
      <c r="N55">
        <v>18924.165689616813</v>
      </c>
      <c r="O55">
        <v>37958.061306230724</v>
      </c>
      <c r="R55">
        <f t="shared" si="2"/>
        <v>54</v>
      </c>
      <c r="S55">
        <v>3.802288914275298E-2</v>
      </c>
      <c r="T55">
        <v>3.8695641913766732E-2</v>
      </c>
      <c r="U55">
        <v>3.8933350332843064E-2</v>
      </c>
      <c r="V55">
        <v>3.9054891401204328E-2</v>
      </c>
      <c r="W55">
        <v>3.9116350605372441E-2</v>
      </c>
      <c r="AA55">
        <v>-6808.2438000000002</v>
      </c>
      <c r="AB55">
        <v>-6808.2438000000002</v>
      </c>
      <c r="AC55">
        <v>-6808.2438000000002</v>
      </c>
      <c r="AD55">
        <v>-6808.2438000000002</v>
      </c>
      <c r="AE55">
        <v>-6808.2438000000002</v>
      </c>
    </row>
    <row r="56" spans="2:31" x14ac:dyDescent="0.25">
      <c r="B56">
        <f t="shared" si="0"/>
        <v>55</v>
      </c>
      <c r="C56">
        <v>37662.720126262371</v>
      </c>
      <c r="D56">
        <v>97378.995397394596</v>
      </c>
      <c r="E56">
        <v>196906.12095568303</v>
      </c>
      <c r="F56">
        <v>395960.37203220912</v>
      </c>
      <c r="G56">
        <v>794068.87416674581</v>
      </c>
      <c r="J56">
        <f t="shared" si="1"/>
        <v>55</v>
      </c>
      <c r="K56">
        <v>1883.1362296765074</v>
      </c>
      <c r="L56">
        <v>4868.9507321637066</v>
      </c>
      <c r="M56">
        <v>9845.3083929342101</v>
      </c>
      <c r="N56">
        <v>19798.023655520054</v>
      </c>
      <c r="O56">
        <v>39703.454153435072</v>
      </c>
      <c r="R56">
        <f t="shared" si="2"/>
        <v>55</v>
      </c>
      <c r="S56">
        <v>3.8678058443214036E-2</v>
      </c>
      <c r="T56">
        <v>3.9368863085657457E-2</v>
      </c>
      <c r="U56">
        <v>3.9612433904240296E-2</v>
      </c>
      <c r="V56">
        <v>3.9736868840601902E-2</v>
      </c>
      <c r="W56">
        <v>3.9799764737130872E-2</v>
      </c>
      <c r="AA56">
        <v>-6669.2525999999998</v>
      </c>
      <c r="AB56">
        <v>-6669.2525999999998</v>
      </c>
      <c r="AC56">
        <v>-6669.2525999999998</v>
      </c>
      <c r="AD56">
        <v>-6669.2525999999998</v>
      </c>
      <c r="AE56">
        <v>-6669.2525999999998</v>
      </c>
    </row>
    <row r="57" spans="2:31" x14ac:dyDescent="0.25">
      <c r="B57">
        <f t="shared" si="0"/>
        <v>56</v>
      </c>
      <c r="C57">
        <v>39528.123962560014</v>
      </c>
      <c r="D57">
        <v>101969.74859339812</v>
      </c>
      <c r="E57">
        <v>206039.12285794175</v>
      </c>
      <c r="F57">
        <v>414177.87134994433</v>
      </c>
      <c r="G57">
        <v>830455.36831676646</v>
      </c>
      <c r="J57">
        <f t="shared" si="1"/>
        <v>56</v>
      </c>
      <c r="K57">
        <v>1976.4062828471506</v>
      </c>
      <c r="L57">
        <v>5098.4884852756804</v>
      </c>
      <c r="M57">
        <v>10301.9586480828</v>
      </c>
      <c r="N57">
        <v>20708.898919831146</v>
      </c>
      <c r="O57">
        <v>41522.779438368278</v>
      </c>
      <c r="R57">
        <f t="shared" si="2"/>
        <v>56</v>
      </c>
      <c r="S57">
        <v>3.9398783166394891E-2</v>
      </c>
      <c r="T57">
        <v>4.0108115192495353E-2</v>
      </c>
      <c r="U57">
        <v>4.0357680345223468E-2</v>
      </c>
      <c r="V57">
        <v>4.0485069878791968E-2</v>
      </c>
      <c r="W57">
        <v>4.0549431501560651E-2</v>
      </c>
      <c r="AA57">
        <v>-6528.2992000000004</v>
      </c>
      <c r="AB57">
        <v>-6528.2992000000004</v>
      </c>
      <c r="AC57">
        <v>-6528.2992000000004</v>
      </c>
      <c r="AD57">
        <v>-6528.2992000000004</v>
      </c>
      <c r="AE57">
        <v>-6528.2992000000004</v>
      </c>
    </row>
    <row r="58" spans="2:31" x14ac:dyDescent="0.25">
      <c r="B58">
        <f t="shared" si="0"/>
        <v>57</v>
      </c>
      <c r="C58">
        <v>41470.560369524705</v>
      </c>
      <c r="D58">
        <v>106750.13879062407</v>
      </c>
      <c r="E58">
        <v>215549.43604976663</v>
      </c>
      <c r="F58">
        <v>433148.0305339914</v>
      </c>
      <c r="G58">
        <v>868345.21177102288</v>
      </c>
      <c r="J58">
        <f t="shared" si="1"/>
        <v>57</v>
      </c>
      <c r="K58">
        <v>2073.52817268746</v>
      </c>
      <c r="L58">
        <v>5337.508098901395</v>
      </c>
      <c r="M58">
        <v>10777.474485909508</v>
      </c>
      <c r="N58">
        <v>21657.407211125712</v>
      </c>
      <c r="O58">
        <v>43417.26158427773</v>
      </c>
      <c r="R58">
        <f t="shared" si="2"/>
        <v>57</v>
      </c>
      <c r="S58">
        <v>4.019199065875001E-2</v>
      </c>
      <c r="T58">
        <v>4.0920294632173393E-2</v>
      </c>
      <c r="U58">
        <v>4.117597620217972E-2</v>
      </c>
      <c r="V58">
        <v>4.1306376242224108E-2</v>
      </c>
      <c r="W58">
        <v>4.1372227322890032E-2</v>
      </c>
      <c r="AA58">
        <v>-6385.5230000000001</v>
      </c>
      <c r="AB58">
        <v>-6385.5230000000001</v>
      </c>
      <c r="AC58">
        <v>-6385.5230000000001</v>
      </c>
      <c r="AD58">
        <v>-6385.5230000000001</v>
      </c>
      <c r="AE58">
        <v>-6385.5230000000001</v>
      </c>
    </row>
    <row r="59" spans="2:31" x14ac:dyDescent="0.25">
      <c r="B59">
        <f t="shared" si="0"/>
        <v>58</v>
      </c>
      <c r="C59">
        <v>43491.044358746163</v>
      </c>
      <c r="D59">
        <v>111722.42044278242</v>
      </c>
      <c r="E59">
        <v>225441.37855218319</v>
      </c>
      <c r="F59">
        <v>452879.29647349264</v>
      </c>
      <c r="G59">
        <v>907755.13231470576</v>
      </c>
      <c r="J59">
        <f t="shared" si="1"/>
        <v>58</v>
      </c>
      <c r="K59">
        <v>2174.552445947571</v>
      </c>
      <c r="L59">
        <v>5586.1222950683441</v>
      </c>
      <c r="M59">
        <v>11272.069174747623</v>
      </c>
      <c r="N59">
        <v>22643.96533935843</v>
      </c>
      <c r="O59">
        <v>45387.757666594116</v>
      </c>
      <c r="R59">
        <f t="shared" si="2"/>
        <v>58</v>
      </c>
      <c r="S59">
        <v>4.1065644699224357E-2</v>
      </c>
      <c r="T59">
        <v>4.1813020168391279E-2</v>
      </c>
      <c r="U59">
        <v>4.2074809430752591E-2</v>
      </c>
      <c r="V59">
        <v>4.2208209311633382E-2</v>
      </c>
      <c r="W59">
        <v>4.2275548444303368E-2</v>
      </c>
      <c r="AA59">
        <v>-6240.8730999999998</v>
      </c>
      <c r="AB59">
        <v>-6240.8730999999998</v>
      </c>
      <c r="AC59">
        <v>-6240.8730999999998</v>
      </c>
      <c r="AD59">
        <v>-6240.8730999999998</v>
      </c>
      <c r="AE59">
        <v>-6240.8730999999998</v>
      </c>
    </row>
    <row r="60" spans="2:31" x14ac:dyDescent="0.25">
      <c r="B60">
        <f t="shared" si="0"/>
        <v>59</v>
      </c>
      <c r="C60">
        <v>45589.780848375973</v>
      </c>
      <c r="D60">
        <v>116887.27499324808</v>
      </c>
      <c r="E60">
        <v>235716.42970519359</v>
      </c>
      <c r="F60">
        <v>473374.74102692748</v>
      </c>
      <c r="G60">
        <v>948691.36366913479</v>
      </c>
      <c r="J60">
        <f t="shared" si="1"/>
        <v>59</v>
      </c>
      <c r="K60">
        <v>2279.4893494713688</v>
      </c>
      <c r="L60">
        <v>5844.3651461814588</v>
      </c>
      <c r="M60">
        <v>11785.82174902421</v>
      </c>
      <c r="N60">
        <v>23668.737597600208</v>
      </c>
      <c r="O60">
        <v>47434.569292998174</v>
      </c>
      <c r="R60">
        <f t="shared" si="2"/>
        <v>59</v>
      </c>
      <c r="S60">
        <v>4.2027710494905168E-2</v>
      </c>
      <c r="T60">
        <v>4.2794126741339422E-2</v>
      </c>
      <c r="U60">
        <v>4.3061976835150562E-2</v>
      </c>
      <c r="V60">
        <v>4.3198344420659618E-2</v>
      </c>
      <c r="W60">
        <v>4.3267150695422751E-2</v>
      </c>
      <c r="AA60">
        <v>-6094.3262999999997</v>
      </c>
      <c r="AB60">
        <v>-6094.3262999999997</v>
      </c>
      <c r="AC60">
        <v>-6094.3262999999997</v>
      </c>
      <c r="AD60">
        <v>-6094.3262999999997</v>
      </c>
      <c r="AE60">
        <v>-6094.3262999999997</v>
      </c>
    </row>
    <row r="61" spans="2:31" x14ac:dyDescent="0.25">
      <c r="B61">
        <f t="shared" si="0"/>
        <v>60</v>
      </c>
      <c r="C61">
        <v>47766.65455675561</v>
      </c>
      <c r="D61">
        <v>122244.13983284459</v>
      </c>
      <c r="E61">
        <v>246373.28239914472</v>
      </c>
      <c r="F61">
        <v>494631.56752932828</v>
      </c>
      <c r="G61">
        <v>991148.13778857328</v>
      </c>
      <c r="J61">
        <f t="shared" si="1"/>
        <v>60</v>
      </c>
      <c r="K61">
        <v>2388.3331174372142</v>
      </c>
      <c r="L61">
        <v>6112.2071226421103</v>
      </c>
      <c r="M61">
        <v>12318.664401051123</v>
      </c>
      <c r="N61">
        <v>24731.578954553697</v>
      </c>
      <c r="O61">
        <v>49557.408060017973</v>
      </c>
      <c r="R61">
        <f t="shared" si="2"/>
        <v>60</v>
      </c>
      <c r="S61">
        <v>4.308711504209306E-2</v>
      </c>
      <c r="T61">
        <v>4.3871997732047197E-2</v>
      </c>
      <c r="U61">
        <v>4.4145668111548186E-2</v>
      </c>
      <c r="V61">
        <v>4.4284871135218618E-2</v>
      </c>
      <c r="W61">
        <v>4.4355075803258259E-2</v>
      </c>
      <c r="AA61">
        <v>-5945.9960000000001</v>
      </c>
      <c r="AB61">
        <v>-5945.9960000000001</v>
      </c>
      <c r="AC61">
        <v>-5945.9960000000001</v>
      </c>
      <c r="AD61">
        <v>-5945.9960000000001</v>
      </c>
      <c r="AE61">
        <v>-5945.9960000000001</v>
      </c>
    </row>
    <row r="62" spans="2:31" x14ac:dyDescent="0.25">
      <c r="B62">
        <f t="shared" si="0"/>
        <v>61</v>
      </c>
      <c r="C62">
        <v>50020.476245211838</v>
      </c>
      <c r="D62">
        <v>127790.28217932116</v>
      </c>
      <c r="E62">
        <v>257406.62595136181</v>
      </c>
      <c r="F62">
        <v>516639.31349333975</v>
      </c>
      <c r="G62">
        <v>1035104.6885763191</v>
      </c>
      <c r="J62">
        <f t="shared" si="1"/>
        <v>61</v>
      </c>
      <c r="K62">
        <v>2501.0242878834833</v>
      </c>
      <c r="L62">
        <v>6389.5142504815885</v>
      </c>
      <c r="M62">
        <v>12870.331596265314</v>
      </c>
      <c r="N62">
        <v>25831.966284989263</v>
      </c>
      <c r="O62">
        <v>51755.235661118058</v>
      </c>
      <c r="R62">
        <f t="shared" si="2"/>
        <v>61</v>
      </c>
      <c r="S62">
        <v>4.4252325481241694E-2</v>
      </c>
      <c r="T62">
        <v>4.5054829839985766E-2</v>
      </c>
      <c r="U62">
        <v>4.5333981639094967E-2</v>
      </c>
      <c r="V62">
        <v>4.5475841930511907E-2</v>
      </c>
      <c r="W62">
        <v>4.5547353341661267E-2</v>
      </c>
      <c r="AA62">
        <v>-5796.3015999999998</v>
      </c>
      <c r="AB62">
        <v>-5796.3015999999998</v>
      </c>
      <c r="AC62">
        <v>-5796.3015999999998</v>
      </c>
      <c r="AD62">
        <v>-5796.3015999999998</v>
      </c>
      <c r="AE62">
        <v>-5796.3015999999998</v>
      </c>
    </row>
    <row r="63" spans="2:31" x14ac:dyDescent="0.25">
      <c r="B63">
        <f t="shared" si="0"/>
        <v>62</v>
      </c>
      <c r="C63">
        <v>52349.520824752704</v>
      </c>
      <c r="D63">
        <v>133521.14056724796</v>
      </c>
      <c r="E63">
        <v>268807.17346560437</v>
      </c>
      <c r="F63">
        <v>539379.23926050914</v>
      </c>
      <c r="G63">
        <v>1080523.3708494841</v>
      </c>
      <c r="J63">
        <f t="shared" si="1"/>
        <v>62</v>
      </c>
      <c r="K63">
        <v>2617.4760901782865</v>
      </c>
      <c r="L63">
        <v>6676.0571801982005</v>
      </c>
      <c r="M63">
        <v>13440.358989174361</v>
      </c>
      <c r="N63">
        <v>26968.962604720029</v>
      </c>
      <c r="O63">
        <v>54026.169834699715</v>
      </c>
      <c r="R63">
        <f t="shared" si="2"/>
        <v>62</v>
      </c>
      <c r="S63">
        <v>4.5532408647145362E-2</v>
      </c>
      <c r="T63">
        <v>4.6350888854086447E-2</v>
      </c>
      <c r="U63">
        <v>4.6634904273470612E-2</v>
      </c>
      <c r="V63">
        <v>4.6779099910611244E-2</v>
      </c>
      <c r="W63">
        <v>4.6851753828839549E-2</v>
      </c>
      <c r="AA63">
        <v>-5645.2415000000001</v>
      </c>
      <c r="AB63">
        <v>-5645.2415000000001</v>
      </c>
      <c r="AC63">
        <v>-5645.2415000000001</v>
      </c>
      <c r="AD63">
        <v>-5645.2415000000001</v>
      </c>
      <c r="AE63">
        <v>-5645.2415000000001</v>
      </c>
    </row>
    <row r="64" spans="2:31" x14ac:dyDescent="0.25">
      <c r="B64">
        <f t="shared" si="0"/>
        <v>63</v>
      </c>
      <c r="C64">
        <v>54750.680593063407</v>
      </c>
      <c r="D64">
        <v>139429.2783253357</v>
      </c>
      <c r="E64">
        <v>280560.27454094583</v>
      </c>
      <c r="F64">
        <v>562822.26697064796</v>
      </c>
      <c r="G64">
        <v>1127346.2518293539</v>
      </c>
      <c r="J64">
        <f t="shared" si="1"/>
        <v>63</v>
      </c>
      <c r="K64">
        <v>2737.5340853305825</v>
      </c>
      <c r="L64">
        <v>6971.46407780546</v>
      </c>
      <c r="M64">
        <v>14028.014058915724</v>
      </c>
      <c r="N64">
        <v>28141.11401914712</v>
      </c>
      <c r="O64">
        <v>56367.313938693376</v>
      </c>
      <c r="R64">
        <f t="shared" si="2"/>
        <v>63</v>
      </c>
      <c r="S64">
        <v>4.6935069335099833E-2</v>
      </c>
      <c r="T64">
        <v>4.7767417063402373E-2</v>
      </c>
      <c r="U64">
        <v>4.8055528616360643E-2</v>
      </c>
      <c r="V64">
        <v>4.8201663499208847E-2</v>
      </c>
      <c r="W64">
        <v>4.8275258785114517E-2</v>
      </c>
      <c r="AA64">
        <v>-5492.4920000000002</v>
      </c>
      <c r="AB64">
        <v>-5492.4920000000002</v>
      </c>
      <c r="AC64">
        <v>-5492.4920000000002</v>
      </c>
      <c r="AD64">
        <v>-5492.4920000000002</v>
      </c>
      <c r="AE64">
        <v>-5492.4920000000002</v>
      </c>
    </row>
    <row r="65" spans="2:32" x14ac:dyDescent="0.25">
      <c r="B65">
        <f t="shared" si="0"/>
        <v>64</v>
      </c>
      <c r="C65">
        <v>57220.073888036619</v>
      </c>
      <c r="D65">
        <v>145504.78561050177</v>
      </c>
      <c r="E65">
        <v>292645.9718106424</v>
      </c>
      <c r="F65">
        <v>586928.34420967964</v>
      </c>
      <c r="G65">
        <v>1175493.0890071732</v>
      </c>
      <c r="J65">
        <f t="shared" si="1"/>
        <v>64</v>
      </c>
      <c r="K65">
        <v>2861.003756173799</v>
      </c>
      <c r="L65">
        <v>7275.2394505723787</v>
      </c>
      <c r="M65">
        <v>14632.298936117964</v>
      </c>
      <c r="N65">
        <v>29346.417905604932</v>
      </c>
      <c r="O65">
        <v>58774.655843829969</v>
      </c>
      <c r="R65">
        <f t="shared" si="2"/>
        <v>64</v>
      </c>
      <c r="S65">
        <v>4.846779568394699E-2</v>
      </c>
      <c r="T65">
        <v>4.931079895854773E-2</v>
      </c>
      <c r="U65">
        <v>4.9601857788270198E-2</v>
      </c>
      <c r="V65">
        <v>4.9749342782056782E-2</v>
      </c>
      <c r="W65">
        <v>4.982358119327257E-2</v>
      </c>
      <c r="AA65">
        <v>-5338.1817000000001</v>
      </c>
      <c r="AB65">
        <v>-5338.1817000000001</v>
      </c>
      <c r="AC65">
        <v>-5338.1817000000001</v>
      </c>
      <c r="AD65">
        <v>-5338.1817000000001</v>
      </c>
      <c r="AE65">
        <v>-5338.1817000000001</v>
      </c>
    </row>
    <row r="66" spans="2:32" x14ac:dyDescent="0.25">
      <c r="B66">
        <f t="shared" si="0"/>
        <v>65</v>
      </c>
      <c r="C66">
        <v>59752.101564254473</v>
      </c>
      <c r="D66">
        <v>151734.128545599</v>
      </c>
      <c r="E66">
        <v>305037.50684469065</v>
      </c>
      <c r="F66">
        <v>611644.2634418814</v>
      </c>
      <c r="G66">
        <v>1224857.7766358054</v>
      </c>
      <c r="J66">
        <f t="shared" si="1"/>
        <v>65</v>
      </c>
      <c r="K66">
        <v>2987.6051451741223</v>
      </c>
      <c r="L66">
        <v>7586.7066040365607</v>
      </c>
      <c r="M66">
        <v>15251.875698143034</v>
      </c>
      <c r="N66">
        <v>30582.213885096484</v>
      </c>
      <c r="O66">
        <v>61242.890258421889</v>
      </c>
      <c r="R66">
        <f t="shared" si="2"/>
        <v>65</v>
      </c>
      <c r="S66">
        <v>5.0135160355465169E-2</v>
      </c>
      <c r="T66">
        <v>5.0984993580230231E-2</v>
      </c>
      <c r="U66">
        <v>5.1277654735449651E-2</v>
      </c>
      <c r="V66">
        <v>5.1425804491779692E-2</v>
      </c>
      <c r="W66">
        <v>5.1500340162920155E-2</v>
      </c>
      <c r="AA66">
        <v>-5182.2268999999997</v>
      </c>
      <c r="AB66">
        <v>-5182.2268999999997</v>
      </c>
      <c r="AC66">
        <v>-5182.2268999999997</v>
      </c>
      <c r="AD66">
        <v>-5182.2268999999997</v>
      </c>
      <c r="AE66">
        <v>-5182.2268999999997</v>
      </c>
    </row>
    <row r="69" spans="2:32" x14ac:dyDescent="0.25">
      <c r="B69" t="s">
        <v>46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47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48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2:32" x14ac:dyDescent="0.25">
      <c r="B70">
        <v>26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J70">
        <v>26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R70">
        <v>26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AA70">
        <v>-5174.8482999999997</v>
      </c>
      <c r="AB70">
        <v>-5174.8482999999997</v>
      </c>
      <c r="AC70">
        <v>-5174.8482999999997</v>
      </c>
      <c r="AD70">
        <v>-5174.8482999999997</v>
      </c>
      <c r="AE70">
        <v>-5174.8482999999997</v>
      </c>
      <c r="AF70">
        <v>-5174.8482999999997</v>
      </c>
    </row>
    <row r="71" spans="2:32" x14ac:dyDescent="0.25">
      <c r="B71">
        <v>27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J71">
        <v>27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R71">
        <v>27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AA71">
        <v>-5173.6036999999997</v>
      </c>
      <c r="AB71">
        <v>-5173.6036999999997</v>
      </c>
      <c r="AC71">
        <v>-5173.6036999999997</v>
      </c>
      <c r="AD71">
        <v>-5173.6036999999997</v>
      </c>
      <c r="AE71">
        <v>-5173.6036999999997</v>
      </c>
      <c r="AF71">
        <v>-5173.6036999999997</v>
      </c>
    </row>
    <row r="72" spans="2:32" x14ac:dyDescent="0.25">
      <c r="B72">
        <v>28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J72">
        <v>28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R72">
        <v>28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AA72">
        <v>-5172.1755999999996</v>
      </c>
      <c r="AB72">
        <v>-5172.1755999999996</v>
      </c>
      <c r="AC72">
        <v>-5172.1755999999996</v>
      </c>
      <c r="AD72">
        <v>-5172.1755999999996</v>
      </c>
      <c r="AE72">
        <v>-5172.1755999999996</v>
      </c>
      <c r="AF72">
        <v>-5172.1755999999996</v>
      </c>
    </row>
    <row r="73" spans="2:32" x14ac:dyDescent="0.25">
      <c r="B73">
        <v>29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J73">
        <v>29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R73">
        <v>29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AA73">
        <v>-5170.5482000000002</v>
      </c>
      <c r="AB73">
        <v>-5170.5482000000002</v>
      </c>
      <c r="AC73">
        <v>-5170.5482000000002</v>
      </c>
      <c r="AD73">
        <v>-5170.5482000000002</v>
      </c>
      <c r="AE73">
        <v>-5170.5482000000002</v>
      </c>
      <c r="AF73">
        <v>-5170.5482000000002</v>
      </c>
    </row>
    <row r="74" spans="2:32" x14ac:dyDescent="0.25">
      <c r="B74">
        <v>30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J74">
        <v>30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R74">
        <v>30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AA74">
        <v>-5168.6908999999996</v>
      </c>
      <c r="AB74">
        <v>-5168.6908999999996</v>
      </c>
      <c r="AC74">
        <v>-5168.6908999999996</v>
      </c>
      <c r="AD74">
        <v>-5168.6908999999996</v>
      </c>
      <c r="AE74">
        <v>-5168.6908999999996</v>
      </c>
      <c r="AF74">
        <v>-5168.6908999999996</v>
      </c>
    </row>
    <row r="75" spans="2:32" x14ac:dyDescent="0.25">
      <c r="B75">
        <v>31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J75">
        <v>31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R75">
        <v>31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AA75">
        <v>-5166.5891000000001</v>
      </c>
      <c r="AB75">
        <v>-5166.5891000000001</v>
      </c>
      <c r="AC75">
        <v>-5166.5891000000001</v>
      </c>
      <c r="AD75">
        <v>-5166.5891000000001</v>
      </c>
      <c r="AE75">
        <v>-5166.5891000000001</v>
      </c>
      <c r="AF75">
        <v>-5166.5891000000001</v>
      </c>
    </row>
    <row r="76" spans="2:32" x14ac:dyDescent="0.25">
      <c r="B76">
        <v>32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J76">
        <v>32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R76">
        <v>32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AA76">
        <v>-5164.2407000000003</v>
      </c>
      <c r="AB76">
        <v>-5164.2407000000003</v>
      </c>
      <c r="AC76">
        <v>-5164.2407000000003</v>
      </c>
      <c r="AD76">
        <v>-5164.2407000000003</v>
      </c>
      <c r="AE76">
        <v>-5164.2407000000003</v>
      </c>
      <c r="AF76">
        <v>-5164.2407000000003</v>
      </c>
    </row>
    <row r="77" spans="2:32" x14ac:dyDescent="0.25">
      <c r="B77">
        <v>33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J77">
        <v>33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R77">
        <v>33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AA77">
        <v>-5161.6318000000001</v>
      </c>
      <c r="AB77">
        <v>-5161.6318000000001</v>
      </c>
      <c r="AC77">
        <v>-5161.6318000000001</v>
      </c>
      <c r="AD77">
        <v>-5161.6318000000001</v>
      </c>
      <c r="AE77">
        <v>-5161.6318000000001</v>
      </c>
      <c r="AF77">
        <v>-5161.6318000000001</v>
      </c>
    </row>
    <row r="78" spans="2:32" x14ac:dyDescent="0.25">
      <c r="B78">
        <v>34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J78">
        <v>34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R78">
        <v>34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AA78">
        <v>-5158.7194</v>
      </c>
      <c r="AB78">
        <v>-5158.7194</v>
      </c>
      <c r="AC78">
        <v>-5158.7194</v>
      </c>
      <c r="AD78">
        <v>-5158.7194</v>
      </c>
      <c r="AE78">
        <v>-5158.7194</v>
      </c>
      <c r="AF78">
        <v>-5158.7194</v>
      </c>
    </row>
    <row r="79" spans="2:32" x14ac:dyDescent="0.25">
      <c r="B79">
        <v>35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J79">
        <v>35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R79">
        <v>35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AA79">
        <v>-5155.4901</v>
      </c>
      <c r="AB79">
        <v>-5155.4901</v>
      </c>
      <c r="AC79">
        <v>-5155.4901</v>
      </c>
      <c r="AD79">
        <v>-5155.4901</v>
      </c>
      <c r="AE79">
        <v>-5155.4901</v>
      </c>
      <c r="AF79">
        <v>-5155.4901</v>
      </c>
    </row>
    <row r="80" spans="2:32" x14ac:dyDescent="0.25">
      <c r="B80">
        <v>36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J80">
        <v>36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R80">
        <v>36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AA80">
        <v>-5151.8950999999997</v>
      </c>
      <c r="AB80">
        <v>-5151.8950999999997</v>
      </c>
      <c r="AC80">
        <v>-5151.8950999999997</v>
      </c>
      <c r="AD80">
        <v>-5151.8950999999997</v>
      </c>
      <c r="AE80">
        <v>-5151.8950999999997</v>
      </c>
      <c r="AF80">
        <v>-5151.8950999999997</v>
      </c>
    </row>
    <row r="81" spans="2:32" x14ac:dyDescent="0.25">
      <c r="B81">
        <v>37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J81">
        <v>37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R81">
        <v>37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AA81">
        <v>-5147.9106000000002</v>
      </c>
      <c r="AB81">
        <v>-5147.9106000000002</v>
      </c>
      <c r="AC81">
        <v>-5147.9106000000002</v>
      </c>
      <c r="AD81">
        <v>-5147.9106000000002</v>
      </c>
      <c r="AE81">
        <v>-5147.9106000000002</v>
      </c>
      <c r="AF81">
        <v>-5147.9106000000002</v>
      </c>
    </row>
    <row r="82" spans="2:32" x14ac:dyDescent="0.25">
      <c r="B82">
        <v>38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J82">
        <v>38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R82">
        <v>38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AA82">
        <v>-5143.5393999999997</v>
      </c>
      <c r="AB82">
        <v>-5143.5393999999997</v>
      </c>
      <c r="AC82">
        <v>-5143.5393999999997</v>
      </c>
      <c r="AD82">
        <v>-5143.5393999999997</v>
      </c>
      <c r="AE82">
        <v>-5143.5393999999997</v>
      </c>
      <c r="AF82">
        <v>-5143.5393999999997</v>
      </c>
    </row>
    <row r="83" spans="2:32" x14ac:dyDescent="0.25">
      <c r="B83">
        <v>39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J83">
        <v>39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R83">
        <v>39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AA83">
        <v>-5138.76</v>
      </c>
      <c r="AB83">
        <v>-5138.76</v>
      </c>
      <c r="AC83">
        <v>-5138.76</v>
      </c>
      <c r="AD83">
        <v>-5138.76</v>
      </c>
      <c r="AE83">
        <v>-5138.76</v>
      </c>
      <c r="AF83">
        <v>-5138.76</v>
      </c>
    </row>
    <row r="84" spans="2:32" x14ac:dyDescent="0.25">
      <c r="B84">
        <v>40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J84">
        <v>40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R84">
        <v>40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AA84">
        <v>-5133.5084999999999</v>
      </c>
      <c r="AB84">
        <v>-5133.5084999999999</v>
      </c>
      <c r="AC84">
        <v>-5133.5084999999999</v>
      </c>
      <c r="AD84">
        <v>-5133.5084999999999</v>
      </c>
      <c r="AE84">
        <v>-5133.5084999999999</v>
      </c>
      <c r="AF84">
        <v>-5133.5084999999999</v>
      </c>
    </row>
    <row r="85" spans="2:32" x14ac:dyDescent="0.25">
      <c r="B85">
        <v>41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J85">
        <v>41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R85">
        <v>41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AA85">
        <v>-5127.7236000000003</v>
      </c>
      <c r="AB85">
        <v>-5127.7236000000003</v>
      </c>
      <c r="AC85">
        <v>-5127.7236000000003</v>
      </c>
      <c r="AD85">
        <v>-5127.7236000000003</v>
      </c>
      <c r="AE85">
        <v>-5127.7236000000003</v>
      </c>
      <c r="AF85">
        <v>-5127.7236000000003</v>
      </c>
    </row>
    <row r="86" spans="2:32" x14ac:dyDescent="0.25">
      <c r="B86">
        <v>42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J86">
        <v>42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R86">
        <v>42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AA86">
        <v>-5121.3726999999999</v>
      </c>
      <c r="AB86">
        <v>-5121.3726999999999</v>
      </c>
      <c r="AC86">
        <v>-5121.3726999999999</v>
      </c>
      <c r="AD86">
        <v>-5121.3726999999999</v>
      </c>
      <c r="AE86">
        <v>-5121.3726999999999</v>
      </c>
      <c r="AF86">
        <v>-5121.3726999999999</v>
      </c>
    </row>
    <row r="87" spans="2:32" x14ac:dyDescent="0.25">
      <c r="B87">
        <v>43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J87">
        <v>43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R87">
        <v>43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AA87">
        <v>-5114.3449000000001</v>
      </c>
      <c r="AB87">
        <v>-5114.3449000000001</v>
      </c>
      <c r="AC87">
        <v>-5114.3449000000001</v>
      </c>
      <c r="AD87">
        <v>-5114.3449000000001</v>
      </c>
      <c r="AE87">
        <v>-5114.3449000000001</v>
      </c>
      <c r="AF87">
        <v>-5114.3449000000001</v>
      </c>
    </row>
    <row r="88" spans="2:32" x14ac:dyDescent="0.25">
      <c r="B88">
        <v>44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J88">
        <v>44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R88">
        <v>44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AA88">
        <v>-5106.5976000000001</v>
      </c>
      <c r="AB88">
        <v>-5106.5976000000001</v>
      </c>
      <c r="AC88">
        <v>-5106.5976000000001</v>
      </c>
      <c r="AD88">
        <v>-5106.5976000000001</v>
      </c>
      <c r="AE88">
        <v>-5106.5976000000001</v>
      </c>
      <c r="AF88">
        <v>-5106.5976000000001</v>
      </c>
    </row>
    <row r="89" spans="2:32" x14ac:dyDescent="0.25">
      <c r="B89">
        <v>45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J89">
        <v>45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R89">
        <v>45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AA89">
        <v>-5098.0524999999998</v>
      </c>
      <c r="AB89">
        <v>-5098.0524999999998</v>
      </c>
      <c r="AC89">
        <v>-5098.0524999999998</v>
      </c>
      <c r="AD89">
        <v>-5098.0524999999998</v>
      </c>
      <c r="AE89">
        <v>-5098.0524999999998</v>
      </c>
      <c r="AF89">
        <v>-5098.0524999999998</v>
      </c>
    </row>
    <row r="90" spans="2:32" x14ac:dyDescent="0.25">
      <c r="B90">
        <v>46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J90">
        <v>46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R90">
        <v>46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AA90">
        <v>-5088.6378000000004</v>
      </c>
      <c r="AB90">
        <v>-5088.6378000000004</v>
      </c>
      <c r="AC90">
        <v>-5088.6378000000004</v>
      </c>
      <c r="AD90">
        <v>-5088.6378000000004</v>
      </c>
      <c r="AE90">
        <v>-5088.6378000000004</v>
      </c>
      <c r="AF90">
        <v>-5088.6378000000004</v>
      </c>
    </row>
    <row r="91" spans="2:32" x14ac:dyDescent="0.25">
      <c r="B91">
        <v>47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J91">
        <v>47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R91">
        <v>47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AA91">
        <v>-5078.2593999999999</v>
      </c>
      <c r="AB91">
        <v>-5078.2593999999999</v>
      </c>
      <c r="AC91">
        <v>-5078.2593999999999</v>
      </c>
      <c r="AD91">
        <v>-5078.2593999999999</v>
      </c>
      <c r="AE91">
        <v>-5078.2593999999999</v>
      </c>
      <c r="AF91">
        <v>-5078.2593999999999</v>
      </c>
    </row>
    <row r="92" spans="2:32" x14ac:dyDescent="0.25">
      <c r="B92">
        <v>48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J92">
        <v>48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R92">
        <v>48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AA92">
        <v>-5066.8732</v>
      </c>
      <c r="AB92">
        <v>-5066.8732</v>
      </c>
      <c r="AC92">
        <v>-5066.8732</v>
      </c>
      <c r="AD92">
        <v>-5066.8732</v>
      </c>
      <c r="AE92">
        <v>-5066.8732</v>
      </c>
      <c r="AF92">
        <v>-5066.8732</v>
      </c>
    </row>
    <row r="93" spans="2:32" x14ac:dyDescent="0.25">
      <c r="B93">
        <v>49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J93">
        <v>49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R93">
        <v>49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AA93">
        <v>-5054.4124000000002</v>
      </c>
      <c r="AB93">
        <v>-5054.4124000000002</v>
      </c>
      <c r="AC93">
        <v>-5054.4124000000002</v>
      </c>
      <c r="AD93">
        <v>-5054.4124000000002</v>
      </c>
      <c r="AE93">
        <v>-5054.4124000000002</v>
      </c>
      <c r="AF93">
        <v>-5054.4124000000002</v>
      </c>
    </row>
    <row r="94" spans="2:32" x14ac:dyDescent="0.25">
      <c r="B94">
        <v>50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J94">
        <v>50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R94">
        <v>50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AA94">
        <v>-5040.7671</v>
      </c>
      <c r="AB94">
        <v>-5040.7671</v>
      </c>
      <c r="AC94">
        <v>-5040.7671</v>
      </c>
      <c r="AD94">
        <v>-5040.7671</v>
      </c>
      <c r="AE94">
        <v>-5040.7671</v>
      </c>
      <c r="AF94">
        <v>-5040.7671</v>
      </c>
    </row>
    <row r="95" spans="2:32" x14ac:dyDescent="0.25">
      <c r="B95">
        <v>51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J95">
        <v>51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R95">
        <v>51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AA95">
        <v>-5025.8329000000003</v>
      </c>
      <c r="AB95">
        <v>-5025.8329000000003</v>
      </c>
      <c r="AC95">
        <v>-5025.8329000000003</v>
      </c>
      <c r="AD95">
        <v>-5025.8329000000003</v>
      </c>
      <c r="AE95">
        <v>-5025.8329000000003</v>
      </c>
      <c r="AF95">
        <v>-5025.8329000000003</v>
      </c>
    </row>
    <row r="96" spans="2:32" x14ac:dyDescent="0.25">
      <c r="B96">
        <v>52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J96">
        <v>52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R96">
        <v>52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AA96">
        <v>-5009.4771000000001</v>
      </c>
      <c r="AB96">
        <v>-5009.4771000000001</v>
      </c>
      <c r="AC96">
        <v>-5009.4771000000001</v>
      </c>
      <c r="AD96">
        <v>-5009.4771000000001</v>
      </c>
      <c r="AE96">
        <v>-5009.4771000000001</v>
      </c>
      <c r="AF96">
        <v>-5009.4771000000001</v>
      </c>
    </row>
    <row r="97" spans="2:32" x14ac:dyDescent="0.25">
      <c r="B97">
        <v>53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J97">
        <v>53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R97">
        <v>53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AA97">
        <v>-4991.6184000000003</v>
      </c>
      <c r="AB97">
        <v>-4991.6184000000003</v>
      </c>
      <c r="AC97">
        <v>-4991.6184000000003</v>
      </c>
      <c r="AD97">
        <v>-4991.6184000000003</v>
      </c>
      <c r="AE97">
        <v>-4991.6184000000003</v>
      </c>
      <c r="AF97">
        <v>-4991.6184000000003</v>
      </c>
    </row>
    <row r="98" spans="2:32" x14ac:dyDescent="0.25">
      <c r="B98">
        <v>54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J98">
        <v>54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R98">
        <v>54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AA98">
        <v>-4972.1588000000002</v>
      </c>
      <c r="AB98">
        <v>-4972.1588000000002</v>
      </c>
      <c r="AC98">
        <v>-4972.1588000000002</v>
      </c>
      <c r="AD98">
        <v>-4972.1588000000002</v>
      </c>
      <c r="AE98">
        <v>-4972.1588000000002</v>
      </c>
      <c r="AF98">
        <v>-4972.1588000000002</v>
      </c>
    </row>
    <row r="99" spans="2:32" x14ac:dyDescent="0.25">
      <c r="B99">
        <v>55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J99">
        <v>55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R99">
        <v>55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AA99">
        <v>-4950.9426000000003</v>
      </c>
      <c r="AB99">
        <v>-4950.9426000000003</v>
      </c>
      <c r="AC99">
        <v>-4950.9426000000003</v>
      </c>
      <c r="AD99">
        <v>-4950.9426000000003</v>
      </c>
      <c r="AE99">
        <v>-4950.9426000000003</v>
      </c>
      <c r="AF99">
        <v>-4950.9426000000003</v>
      </c>
    </row>
    <row r="100" spans="2:32" x14ac:dyDescent="0.25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</row>
    <row r="102" spans="2:32" x14ac:dyDescent="0.25">
      <c r="B102" t="s">
        <v>46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32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48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2:32" x14ac:dyDescent="0.25">
      <c r="B103">
        <v>35</v>
      </c>
      <c r="C103">
        <v>1</v>
      </c>
      <c r="D103">
        <v>1</v>
      </c>
      <c r="E103">
        <v>1</v>
      </c>
      <c r="F103">
        <v>1</v>
      </c>
      <c r="G103">
        <v>1</v>
      </c>
      <c r="J103">
        <v>35</v>
      </c>
      <c r="K103">
        <v>1</v>
      </c>
      <c r="L103">
        <v>1</v>
      </c>
      <c r="M103">
        <v>1</v>
      </c>
      <c r="N103">
        <v>1</v>
      </c>
      <c r="O103">
        <v>1</v>
      </c>
      <c r="R103">
        <v>35</v>
      </c>
      <c r="S103">
        <v>1</v>
      </c>
      <c r="T103">
        <v>1</v>
      </c>
      <c r="U103">
        <v>1</v>
      </c>
      <c r="V103">
        <v>1</v>
      </c>
      <c r="W103">
        <v>1</v>
      </c>
      <c r="AA103">
        <v>-8996.1419000000005</v>
      </c>
      <c r="AB103">
        <v>-8996.1419000000005</v>
      </c>
      <c r="AC103">
        <v>-8996.1419000000005</v>
      </c>
      <c r="AD103">
        <v>-8996.1419000000005</v>
      </c>
      <c r="AE103">
        <v>-8996.1419000000005</v>
      </c>
    </row>
    <row r="104" spans="2:32" x14ac:dyDescent="0.25">
      <c r="B104">
        <f t="shared" ref="B104:B133" si="3">B103+1</f>
        <v>36</v>
      </c>
      <c r="C104">
        <v>1</v>
      </c>
      <c r="D104">
        <v>1</v>
      </c>
      <c r="E104">
        <v>1</v>
      </c>
      <c r="F104">
        <v>1</v>
      </c>
      <c r="G104">
        <v>1</v>
      </c>
      <c r="J104">
        <f t="shared" ref="J104:J133" si="4">J103+1</f>
        <v>36</v>
      </c>
      <c r="K104">
        <v>1</v>
      </c>
      <c r="L104">
        <v>1</v>
      </c>
      <c r="M104">
        <v>1</v>
      </c>
      <c r="N104">
        <v>1</v>
      </c>
      <c r="O104">
        <v>1</v>
      </c>
      <c r="R104">
        <f t="shared" ref="R104:R133" si="5">R103+1</f>
        <v>36</v>
      </c>
      <c r="S104">
        <v>1</v>
      </c>
      <c r="T104">
        <v>1</v>
      </c>
      <c r="U104">
        <v>1</v>
      </c>
      <c r="V104">
        <v>1</v>
      </c>
      <c r="W104">
        <v>1</v>
      </c>
      <c r="AA104">
        <v>-8902.6679999999997</v>
      </c>
      <c r="AB104">
        <v>-8902.6679999999997</v>
      </c>
      <c r="AC104">
        <v>-8902.6679999999997</v>
      </c>
      <c r="AD104">
        <v>-8902.6679999999997</v>
      </c>
      <c r="AE104">
        <v>-8902.6679999999997</v>
      </c>
    </row>
    <row r="105" spans="2:32" x14ac:dyDescent="0.25">
      <c r="B105">
        <f t="shared" si="3"/>
        <v>37</v>
      </c>
      <c r="C105">
        <v>1</v>
      </c>
      <c r="D105">
        <v>1</v>
      </c>
      <c r="E105">
        <v>1</v>
      </c>
      <c r="F105">
        <v>1</v>
      </c>
      <c r="G105">
        <v>1</v>
      </c>
      <c r="J105">
        <f t="shared" si="4"/>
        <v>37</v>
      </c>
      <c r="K105">
        <v>1</v>
      </c>
      <c r="L105">
        <v>1</v>
      </c>
      <c r="M105">
        <v>1</v>
      </c>
      <c r="N105">
        <v>1</v>
      </c>
      <c r="O105">
        <v>1</v>
      </c>
      <c r="R105">
        <f t="shared" si="5"/>
        <v>37</v>
      </c>
      <c r="S105">
        <v>1</v>
      </c>
      <c r="T105">
        <v>1</v>
      </c>
      <c r="U105">
        <v>1</v>
      </c>
      <c r="V105">
        <v>1</v>
      </c>
      <c r="W105">
        <v>1</v>
      </c>
      <c r="AA105">
        <v>-8806.7960000000003</v>
      </c>
      <c r="AB105">
        <v>-8806.7960000000003</v>
      </c>
      <c r="AC105">
        <v>-8806.7960000000003</v>
      </c>
      <c r="AD105">
        <v>-8806.7960000000003</v>
      </c>
      <c r="AE105">
        <v>-8806.7960000000003</v>
      </c>
    </row>
    <row r="106" spans="2:32" x14ac:dyDescent="0.25">
      <c r="B106">
        <f t="shared" si="3"/>
        <v>38</v>
      </c>
      <c r="C106">
        <v>1</v>
      </c>
      <c r="D106">
        <v>1</v>
      </c>
      <c r="E106">
        <v>1</v>
      </c>
      <c r="F106">
        <v>1</v>
      </c>
      <c r="G106">
        <v>1</v>
      </c>
      <c r="J106">
        <f t="shared" si="4"/>
        <v>38</v>
      </c>
      <c r="K106">
        <v>1</v>
      </c>
      <c r="L106">
        <v>1</v>
      </c>
      <c r="M106">
        <v>1</v>
      </c>
      <c r="N106">
        <v>1</v>
      </c>
      <c r="O106">
        <v>1</v>
      </c>
      <c r="R106">
        <f t="shared" si="5"/>
        <v>38</v>
      </c>
      <c r="S106">
        <v>1</v>
      </c>
      <c r="T106">
        <v>1</v>
      </c>
      <c r="U106">
        <v>1</v>
      </c>
      <c r="V106">
        <v>1</v>
      </c>
      <c r="W106">
        <v>1</v>
      </c>
      <c r="AA106">
        <v>-8708.6234000000004</v>
      </c>
      <c r="AB106">
        <v>-8708.6234000000004</v>
      </c>
      <c r="AC106">
        <v>-8708.6234000000004</v>
      </c>
      <c r="AD106">
        <v>-8708.6234000000004</v>
      </c>
      <c r="AE106">
        <v>-8708.6234000000004</v>
      </c>
    </row>
    <row r="107" spans="2:32" x14ac:dyDescent="0.25">
      <c r="B107">
        <f t="shared" si="3"/>
        <v>39</v>
      </c>
      <c r="C107">
        <v>1</v>
      </c>
      <c r="D107">
        <v>1</v>
      </c>
      <c r="E107">
        <v>1</v>
      </c>
      <c r="F107">
        <v>1</v>
      </c>
      <c r="G107">
        <v>1</v>
      </c>
      <c r="J107">
        <f t="shared" si="4"/>
        <v>39</v>
      </c>
      <c r="K107">
        <v>1</v>
      </c>
      <c r="L107">
        <v>1</v>
      </c>
      <c r="M107">
        <v>1</v>
      </c>
      <c r="N107">
        <v>1</v>
      </c>
      <c r="O107">
        <v>1</v>
      </c>
      <c r="R107">
        <f t="shared" si="5"/>
        <v>39</v>
      </c>
      <c r="S107">
        <v>1</v>
      </c>
      <c r="T107">
        <v>1</v>
      </c>
      <c r="U107">
        <v>1</v>
      </c>
      <c r="V107">
        <v>1</v>
      </c>
      <c r="W107">
        <v>1</v>
      </c>
      <c r="AA107">
        <v>-8608.1594000000005</v>
      </c>
      <c r="AB107">
        <v>-8608.1594000000005</v>
      </c>
      <c r="AC107">
        <v>-8608.1594000000005</v>
      </c>
      <c r="AD107">
        <v>-8608.1594000000005</v>
      </c>
      <c r="AE107">
        <v>-8608.1594000000005</v>
      </c>
    </row>
    <row r="108" spans="2:32" x14ac:dyDescent="0.25">
      <c r="B108">
        <f t="shared" si="3"/>
        <v>40</v>
      </c>
      <c r="C108">
        <v>1</v>
      </c>
      <c r="D108">
        <v>1</v>
      </c>
      <c r="E108">
        <v>1</v>
      </c>
      <c r="F108">
        <v>1</v>
      </c>
      <c r="G108">
        <v>1</v>
      </c>
      <c r="J108">
        <f t="shared" si="4"/>
        <v>40</v>
      </c>
      <c r="K108">
        <v>1</v>
      </c>
      <c r="L108">
        <v>1</v>
      </c>
      <c r="M108">
        <v>1</v>
      </c>
      <c r="N108">
        <v>1</v>
      </c>
      <c r="O108">
        <v>1</v>
      </c>
      <c r="R108">
        <f t="shared" si="5"/>
        <v>40</v>
      </c>
      <c r="S108">
        <v>1</v>
      </c>
      <c r="T108">
        <v>1</v>
      </c>
      <c r="U108">
        <v>1</v>
      </c>
      <c r="V108">
        <v>1</v>
      </c>
      <c r="W108">
        <v>1</v>
      </c>
      <c r="AA108">
        <v>-8505.3439999999991</v>
      </c>
      <c r="AB108">
        <v>-8505.3439999999991</v>
      </c>
      <c r="AC108">
        <v>-8505.3439999999991</v>
      </c>
      <c r="AD108">
        <v>-8505.3439999999991</v>
      </c>
      <c r="AE108">
        <v>-8505.3439999999991</v>
      </c>
    </row>
    <row r="109" spans="2:32" x14ac:dyDescent="0.25">
      <c r="B109">
        <f t="shared" si="3"/>
        <v>41</v>
      </c>
      <c r="C109">
        <v>1</v>
      </c>
      <c r="D109">
        <v>1</v>
      </c>
      <c r="E109">
        <v>1</v>
      </c>
      <c r="F109">
        <v>1</v>
      </c>
      <c r="G109">
        <v>1</v>
      </c>
      <c r="J109">
        <f t="shared" si="4"/>
        <v>41</v>
      </c>
      <c r="K109">
        <v>1</v>
      </c>
      <c r="L109">
        <v>1</v>
      </c>
      <c r="M109">
        <v>1</v>
      </c>
      <c r="N109">
        <v>1</v>
      </c>
      <c r="O109">
        <v>1</v>
      </c>
      <c r="R109">
        <f t="shared" si="5"/>
        <v>41</v>
      </c>
      <c r="S109">
        <v>1</v>
      </c>
      <c r="T109">
        <v>1</v>
      </c>
      <c r="U109">
        <v>1</v>
      </c>
      <c r="V109">
        <v>1</v>
      </c>
      <c r="W109">
        <v>1</v>
      </c>
      <c r="AA109">
        <v>-8400.1087000000007</v>
      </c>
      <c r="AB109">
        <v>-8400.1087000000007</v>
      </c>
      <c r="AC109">
        <v>-8400.1087000000007</v>
      </c>
      <c r="AD109">
        <v>-8400.1087000000007</v>
      </c>
      <c r="AE109">
        <v>-8400.1087000000007</v>
      </c>
    </row>
    <row r="110" spans="2:32" x14ac:dyDescent="0.25">
      <c r="B110">
        <f t="shared" si="3"/>
        <v>42</v>
      </c>
      <c r="C110">
        <v>1</v>
      </c>
      <c r="D110">
        <v>1</v>
      </c>
      <c r="E110">
        <v>1</v>
      </c>
      <c r="F110">
        <v>1</v>
      </c>
      <c r="G110">
        <v>1</v>
      </c>
      <c r="J110">
        <f t="shared" si="4"/>
        <v>42</v>
      </c>
      <c r="K110">
        <v>1</v>
      </c>
      <c r="L110">
        <v>1</v>
      </c>
      <c r="M110">
        <v>1</v>
      </c>
      <c r="N110">
        <v>1</v>
      </c>
      <c r="O110">
        <v>1</v>
      </c>
      <c r="R110">
        <f t="shared" si="5"/>
        <v>42</v>
      </c>
      <c r="S110">
        <v>1</v>
      </c>
      <c r="T110">
        <v>1</v>
      </c>
      <c r="U110">
        <v>1</v>
      </c>
      <c r="V110">
        <v>1</v>
      </c>
      <c r="W110">
        <v>1</v>
      </c>
      <c r="AA110">
        <v>-8292.4974999999995</v>
      </c>
      <c r="AB110">
        <v>-8292.4974999999995</v>
      </c>
      <c r="AC110">
        <v>-8292.4974999999995</v>
      </c>
      <c r="AD110">
        <v>-8292.4974999999995</v>
      </c>
      <c r="AE110">
        <v>-8292.4974999999995</v>
      </c>
    </row>
    <row r="111" spans="2:32" x14ac:dyDescent="0.25">
      <c r="B111">
        <f t="shared" si="3"/>
        <v>43</v>
      </c>
      <c r="C111">
        <v>1</v>
      </c>
      <c r="D111">
        <v>1</v>
      </c>
      <c r="E111">
        <v>1</v>
      </c>
      <c r="F111">
        <v>1</v>
      </c>
      <c r="G111">
        <v>1</v>
      </c>
      <c r="J111">
        <f t="shared" si="4"/>
        <v>43</v>
      </c>
      <c r="K111">
        <v>1</v>
      </c>
      <c r="L111">
        <v>1</v>
      </c>
      <c r="M111">
        <v>1</v>
      </c>
      <c r="N111">
        <v>1</v>
      </c>
      <c r="O111">
        <v>1</v>
      </c>
      <c r="R111">
        <f t="shared" si="5"/>
        <v>43</v>
      </c>
      <c r="S111">
        <v>1</v>
      </c>
      <c r="T111">
        <v>1</v>
      </c>
      <c r="U111">
        <v>1</v>
      </c>
      <c r="V111">
        <v>1</v>
      </c>
      <c r="W111">
        <v>1</v>
      </c>
      <c r="AA111">
        <v>-8182.3909999999996</v>
      </c>
      <c r="AB111">
        <v>-8182.3909999999996</v>
      </c>
      <c r="AC111">
        <v>-8182.3909999999996</v>
      </c>
      <c r="AD111">
        <v>-8182.3909999999996</v>
      </c>
      <c r="AE111">
        <v>-8182.3909999999996</v>
      </c>
    </row>
    <row r="112" spans="2:32" x14ac:dyDescent="0.25">
      <c r="B112">
        <f t="shared" si="3"/>
        <v>44</v>
      </c>
      <c r="C112">
        <v>1</v>
      </c>
      <c r="D112">
        <v>1</v>
      </c>
      <c r="E112">
        <v>1</v>
      </c>
      <c r="F112">
        <v>1</v>
      </c>
      <c r="G112">
        <v>1</v>
      </c>
      <c r="J112">
        <f t="shared" si="4"/>
        <v>44</v>
      </c>
      <c r="K112">
        <v>1</v>
      </c>
      <c r="L112">
        <v>1</v>
      </c>
      <c r="M112">
        <v>1</v>
      </c>
      <c r="N112">
        <v>1</v>
      </c>
      <c r="O112">
        <v>1</v>
      </c>
      <c r="R112">
        <f t="shared" si="5"/>
        <v>44</v>
      </c>
      <c r="S112">
        <v>1</v>
      </c>
      <c r="T112">
        <v>1</v>
      </c>
      <c r="U112">
        <v>1</v>
      </c>
      <c r="V112">
        <v>1</v>
      </c>
      <c r="W112">
        <v>1</v>
      </c>
      <c r="AA112">
        <v>-8069.8261000000002</v>
      </c>
      <c r="AB112">
        <v>-8069.8261000000002</v>
      </c>
      <c r="AC112">
        <v>-8069.8261000000002</v>
      </c>
      <c r="AD112">
        <v>-8069.8261000000002</v>
      </c>
      <c r="AE112">
        <v>-8069.8261000000002</v>
      </c>
    </row>
    <row r="113" spans="2:31" x14ac:dyDescent="0.25">
      <c r="B113">
        <f t="shared" si="3"/>
        <v>45</v>
      </c>
      <c r="C113">
        <v>1</v>
      </c>
      <c r="D113">
        <v>1</v>
      </c>
      <c r="E113">
        <v>1</v>
      </c>
      <c r="F113">
        <v>1</v>
      </c>
      <c r="G113">
        <v>1</v>
      </c>
      <c r="J113">
        <f t="shared" si="4"/>
        <v>45</v>
      </c>
      <c r="K113">
        <v>1</v>
      </c>
      <c r="L113">
        <v>1</v>
      </c>
      <c r="M113">
        <v>1</v>
      </c>
      <c r="N113">
        <v>1</v>
      </c>
      <c r="O113">
        <v>1</v>
      </c>
      <c r="R113">
        <f t="shared" si="5"/>
        <v>45</v>
      </c>
      <c r="S113">
        <v>1</v>
      </c>
      <c r="T113">
        <v>1</v>
      </c>
      <c r="U113">
        <v>1</v>
      </c>
      <c r="V113">
        <v>1</v>
      </c>
      <c r="W113">
        <v>1</v>
      </c>
      <c r="AA113">
        <v>-7954.7533999999996</v>
      </c>
      <c r="AB113">
        <v>-7954.7533999999996</v>
      </c>
      <c r="AC113">
        <v>-7954.7533999999996</v>
      </c>
      <c r="AD113">
        <v>-7954.7533999999996</v>
      </c>
      <c r="AE113">
        <v>-7954.7533999999996</v>
      </c>
    </row>
    <row r="114" spans="2:31" x14ac:dyDescent="0.25">
      <c r="B114">
        <f t="shared" si="3"/>
        <v>46</v>
      </c>
      <c r="C114">
        <v>1</v>
      </c>
      <c r="D114">
        <v>1</v>
      </c>
      <c r="E114">
        <v>1</v>
      </c>
      <c r="F114">
        <v>1</v>
      </c>
      <c r="G114">
        <v>1</v>
      </c>
      <c r="J114">
        <f t="shared" si="4"/>
        <v>46</v>
      </c>
      <c r="K114">
        <v>1</v>
      </c>
      <c r="L114">
        <v>1</v>
      </c>
      <c r="M114">
        <v>1</v>
      </c>
      <c r="N114">
        <v>1</v>
      </c>
      <c r="O114">
        <v>1</v>
      </c>
      <c r="R114">
        <f t="shared" si="5"/>
        <v>46</v>
      </c>
      <c r="S114">
        <v>1</v>
      </c>
      <c r="T114">
        <v>1</v>
      </c>
      <c r="U114">
        <v>1</v>
      </c>
      <c r="V114">
        <v>1</v>
      </c>
      <c r="W114">
        <v>1</v>
      </c>
      <c r="AA114">
        <v>-7837.1754000000001</v>
      </c>
      <c r="AB114">
        <v>-7837.1754000000001</v>
      </c>
      <c r="AC114">
        <v>-7837.1754000000001</v>
      </c>
      <c r="AD114">
        <v>-7837.1754000000001</v>
      </c>
      <c r="AE114">
        <v>-7837.1754000000001</v>
      </c>
    </row>
    <row r="115" spans="2:31" x14ac:dyDescent="0.25">
      <c r="B115">
        <f t="shared" si="3"/>
        <v>47</v>
      </c>
      <c r="C115">
        <v>1</v>
      </c>
      <c r="D115">
        <v>1</v>
      </c>
      <c r="E115">
        <v>1</v>
      </c>
      <c r="F115">
        <v>1</v>
      </c>
      <c r="G115">
        <v>1</v>
      </c>
      <c r="J115">
        <f t="shared" si="4"/>
        <v>47</v>
      </c>
      <c r="K115">
        <v>1</v>
      </c>
      <c r="L115">
        <v>1</v>
      </c>
      <c r="M115">
        <v>1</v>
      </c>
      <c r="N115">
        <v>1</v>
      </c>
      <c r="O115">
        <v>1</v>
      </c>
      <c r="R115">
        <f t="shared" si="5"/>
        <v>47</v>
      </c>
      <c r="S115">
        <v>1</v>
      </c>
      <c r="T115">
        <v>1</v>
      </c>
      <c r="U115">
        <v>1</v>
      </c>
      <c r="V115">
        <v>1</v>
      </c>
      <c r="W115">
        <v>1</v>
      </c>
      <c r="AA115">
        <v>-7717.0294999999996</v>
      </c>
      <c r="AB115">
        <v>-7717.0294999999996</v>
      </c>
      <c r="AC115">
        <v>-7717.0294999999996</v>
      </c>
      <c r="AD115">
        <v>-7717.0294999999996</v>
      </c>
      <c r="AE115">
        <v>-7717.0294999999996</v>
      </c>
    </row>
    <row r="116" spans="2:31" x14ac:dyDescent="0.25">
      <c r="B116">
        <f t="shared" si="3"/>
        <v>48</v>
      </c>
      <c r="C116">
        <v>1</v>
      </c>
      <c r="D116">
        <v>1</v>
      </c>
      <c r="E116">
        <v>1</v>
      </c>
      <c r="F116">
        <v>1</v>
      </c>
      <c r="G116">
        <v>1</v>
      </c>
      <c r="J116">
        <f t="shared" si="4"/>
        <v>48</v>
      </c>
      <c r="K116">
        <v>1</v>
      </c>
      <c r="L116">
        <v>1</v>
      </c>
      <c r="M116">
        <v>1</v>
      </c>
      <c r="N116">
        <v>1</v>
      </c>
      <c r="O116">
        <v>1</v>
      </c>
      <c r="R116">
        <f t="shared" si="5"/>
        <v>48</v>
      </c>
      <c r="S116">
        <v>1</v>
      </c>
      <c r="T116">
        <v>1</v>
      </c>
      <c r="U116">
        <v>1</v>
      </c>
      <c r="V116">
        <v>1</v>
      </c>
      <c r="W116">
        <v>1</v>
      </c>
      <c r="AA116">
        <v>-7594.4201000000003</v>
      </c>
      <c r="AB116">
        <v>-7594.4201000000003</v>
      </c>
      <c r="AC116">
        <v>-7594.4201000000003</v>
      </c>
      <c r="AD116">
        <v>-7594.4201000000003</v>
      </c>
      <c r="AE116">
        <v>-7594.4201000000003</v>
      </c>
    </row>
    <row r="117" spans="2:31" x14ac:dyDescent="0.25">
      <c r="B117">
        <f t="shared" si="3"/>
        <v>49</v>
      </c>
      <c r="C117">
        <v>1</v>
      </c>
      <c r="D117">
        <v>1</v>
      </c>
      <c r="E117">
        <v>1</v>
      </c>
      <c r="F117">
        <v>1</v>
      </c>
      <c r="G117">
        <v>1</v>
      </c>
      <c r="J117">
        <f t="shared" si="4"/>
        <v>49</v>
      </c>
      <c r="K117">
        <v>1</v>
      </c>
      <c r="L117">
        <v>1</v>
      </c>
      <c r="M117">
        <v>1</v>
      </c>
      <c r="N117">
        <v>1</v>
      </c>
      <c r="O117">
        <v>1</v>
      </c>
      <c r="R117">
        <f t="shared" si="5"/>
        <v>49</v>
      </c>
      <c r="S117">
        <v>1</v>
      </c>
      <c r="T117">
        <v>1</v>
      </c>
      <c r="U117">
        <v>1</v>
      </c>
      <c r="V117">
        <v>1</v>
      </c>
      <c r="W117">
        <v>1</v>
      </c>
      <c r="AA117">
        <v>-7469.3995999999997</v>
      </c>
      <c r="AB117">
        <v>-7469.3995999999997</v>
      </c>
      <c r="AC117">
        <v>-7469.3995999999997</v>
      </c>
      <c r="AD117">
        <v>-7469.3995999999997</v>
      </c>
      <c r="AE117">
        <v>-7469.3995999999997</v>
      </c>
    </row>
    <row r="118" spans="2:31" x14ac:dyDescent="0.25">
      <c r="B118">
        <f t="shared" si="3"/>
        <v>50</v>
      </c>
      <c r="C118">
        <v>1</v>
      </c>
      <c r="D118">
        <v>1</v>
      </c>
      <c r="E118">
        <v>1</v>
      </c>
      <c r="F118">
        <v>1</v>
      </c>
      <c r="G118">
        <v>1</v>
      </c>
      <c r="J118">
        <f t="shared" si="4"/>
        <v>50</v>
      </c>
      <c r="K118">
        <v>1</v>
      </c>
      <c r="L118">
        <v>1</v>
      </c>
      <c r="M118">
        <v>1</v>
      </c>
      <c r="N118">
        <v>1</v>
      </c>
      <c r="O118">
        <v>1</v>
      </c>
      <c r="R118">
        <f t="shared" si="5"/>
        <v>50</v>
      </c>
      <c r="S118">
        <v>1</v>
      </c>
      <c r="T118">
        <v>1</v>
      </c>
      <c r="U118">
        <v>1</v>
      </c>
      <c r="V118">
        <v>1</v>
      </c>
      <c r="W118">
        <v>1</v>
      </c>
      <c r="AA118">
        <v>-7341.9502000000002</v>
      </c>
      <c r="AB118">
        <v>-7341.9502000000002</v>
      </c>
      <c r="AC118">
        <v>-7341.9502000000002</v>
      </c>
      <c r="AD118">
        <v>-7341.9502000000002</v>
      </c>
      <c r="AE118">
        <v>-7341.9502000000002</v>
      </c>
    </row>
    <row r="119" spans="2:31" x14ac:dyDescent="0.25">
      <c r="B119">
        <f t="shared" si="3"/>
        <v>51</v>
      </c>
      <c r="C119">
        <v>1</v>
      </c>
      <c r="D119">
        <v>1</v>
      </c>
      <c r="E119">
        <v>1</v>
      </c>
      <c r="F119">
        <v>1</v>
      </c>
      <c r="G119">
        <v>1</v>
      </c>
      <c r="J119">
        <f t="shared" si="4"/>
        <v>51</v>
      </c>
      <c r="K119">
        <v>1</v>
      </c>
      <c r="L119">
        <v>1</v>
      </c>
      <c r="M119">
        <v>1</v>
      </c>
      <c r="N119">
        <v>1</v>
      </c>
      <c r="O119">
        <v>1</v>
      </c>
      <c r="R119">
        <f t="shared" si="5"/>
        <v>51</v>
      </c>
      <c r="S119">
        <v>1</v>
      </c>
      <c r="T119">
        <v>1</v>
      </c>
      <c r="U119">
        <v>1</v>
      </c>
      <c r="V119">
        <v>1</v>
      </c>
      <c r="W119">
        <v>1</v>
      </c>
      <c r="AA119">
        <v>-7212.0646999999999</v>
      </c>
      <c r="AB119">
        <v>-7212.0646999999999</v>
      </c>
      <c r="AC119">
        <v>-7212.0646999999999</v>
      </c>
      <c r="AD119">
        <v>-7212.0646999999999</v>
      </c>
      <c r="AE119">
        <v>-7212.0646999999999</v>
      </c>
    </row>
    <row r="120" spans="2:31" x14ac:dyDescent="0.25">
      <c r="B120">
        <f t="shared" si="3"/>
        <v>52</v>
      </c>
      <c r="C120">
        <v>1</v>
      </c>
      <c r="D120">
        <v>1</v>
      </c>
      <c r="E120">
        <v>1</v>
      </c>
      <c r="F120">
        <v>1</v>
      </c>
      <c r="G120">
        <v>1</v>
      </c>
      <c r="J120">
        <f t="shared" si="4"/>
        <v>52</v>
      </c>
      <c r="K120">
        <v>1</v>
      </c>
      <c r="L120">
        <v>1</v>
      </c>
      <c r="M120">
        <v>1</v>
      </c>
      <c r="N120">
        <v>1</v>
      </c>
      <c r="O120">
        <v>1</v>
      </c>
      <c r="R120">
        <f t="shared" si="5"/>
        <v>52</v>
      </c>
      <c r="S120">
        <v>1</v>
      </c>
      <c r="T120">
        <v>1</v>
      </c>
      <c r="U120">
        <v>1</v>
      </c>
      <c r="V120">
        <v>1</v>
      </c>
      <c r="W120">
        <v>1</v>
      </c>
      <c r="AA120">
        <v>-7079.7435999999998</v>
      </c>
      <c r="AB120">
        <v>-7079.7435999999998</v>
      </c>
      <c r="AC120">
        <v>-7079.7435999999998</v>
      </c>
      <c r="AD120">
        <v>-7079.7435999999998</v>
      </c>
      <c r="AE120">
        <v>-7079.7435999999998</v>
      </c>
    </row>
    <row r="121" spans="2:31" x14ac:dyDescent="0.25">
      <c r="B121">
        <f t="shared" si="3"/>
        <v>53</v>
      </c>
      <c r="C121">
        <v>1</v>
      </c>
      <c r="D121">
        <v>1</v>
      </c>
      <c r="E121">
        <v>1</v>
      </c>
      <c r="F121">
        <v>1</v>
      </c>
      <c r="G121">
        <v>1</v>
      </c>
      <c r="J121">
        <f t="shared" si="4"/>
        <v>53</v>
      </c>
      <c r="K121">
        <v>1</v>
      </c>
      <c r="L121">
        <v>1</v>
      </c>
      <c r="M121">
        <v>1</v>
      </c>
      <c r="N121">
        <v>1</v>
      </c>
      <c r="O121">
        <v>1</v>
      </c>
      <c r="R121">
        <f t="shared" si="5"/>
        <v>53</v>
      </c>
      <c r="S121">
        <v>1</v>
      </c>
      <c r="T121">
        <v>1</v>
      </c>
      <c r="U121">
        <v>1</v>
      </c>
      <c r="V121">
        <v>1</v>
      </c>
      <c r="W121">
        <v>1</v>
      </c>
      <c r="AA121">
        <v>-6945.0875999999998</v>
      </c>
      <c r="AB121">
        <v>-6945.0875999999998</v>
      </c>
      <c r="AC121">
        <v>-6945.0875999999998</v>
      </c>
      <c r="AD121">
        <v>-6945.0875999999998</v>
      </c>
      <c r="AE121">
        <v>-6945.0875999999998</v>
      </c>
    </row>
    <row r="122" spans="2:31" x14ac:dyDescent="0.25">
      <c r="B122">
        <f t="shared" si="3"/>
        <v>54</v>
      </c>
      <c r="C122">
        <v>1</v>
      </c>
      <c r="D122">
        <v>1</v>
      </c>
      <c r="E122">
        <v>1</v>
      </c>
      <c r="F122">
        <v>1</v>
      </c>
      <c r="G122">
        <v>1</v>
      </c>
      <c r="J122">
        <f t="shared" si="4"/>
        <v>54</v>
      </c>
      <c r="K122">
        <v>1</v>
      </c>
      <c r="L122">
        <v>1</v>
      </c>
      <c r="M122">
        <v>1</v>
      </c>
      <c r="N122">
        <v>1</v>
      </c>
      <c r="O122">
        <v>1</v>
      </c>
      <c r="R122">
        <f t="shared" si="5"/>
        <v>54</v>
      </c>
      <c r="S122">
        <v>1</v>
      </c>
      <c r="T122">
        <v>1</v>
      </c>
      <c r="U122">
        <v>1</v>
      </c>
      <c r="V122">
        <v>1</v>
      </c>
      <c r="W122">
        <v>1</v>
      </c>
      <c r="AA122">
        <v>-6808.2438000000002</v>
      </c>
      <c r="AB122">
        <v>-6808.2438000000002</v>
      </c>
      <c r="AC122">
        <v>-6808.2438000000002</v>
      </c>
      <c r="AD122">
        <v>-6808.2438000000002</v>
      </c>
      <c r="AE122">
        <v>-6808.2438000000002</v>
      </c>
    </row>
    <row r="123" spans="2:31" x14ac:dyDescent="0.25">
      <c r="B123">
        <f t="shared" si="3"/>
        <v>55</v>
      </c>
      <c r="C123">
        <v>1</v>
      </c>
      <c r="D123">
        <v>1</v>
      </c>
      <c r="E123">
        <v>1</v>
      </c>
      <c r="F123">
        <v>1</v>
      </c>
      <c r="G123">
        <v>1</v>
      </c>
      <c r="J123">
        <f t="shared" si="4"/>
        <v>55</v>
      </c>
      <c r="K123">
        <v>1</v>
      </c>
      <c r="L123">
        <v>1</v>
      </c>
      <c r="M123">
        <v>1</v>
      </c>
      <c r="N123">
        <v>1</v>
      </c>
      <c r="O123">
        <v>1</v>
      </c>
      <c r="R123">
        <f t="shared" si="5"/>
        <v>55</v>
      </c>
      <c r="S123">
        <v>1</v>
      </c>
      <c r="T123">
        <v>1</v>
      </c>
      <c r="U123">
        <v>1</v>
      </c>
      <c r="V123">
        <v>1</v>
      </c>
      <c r="W123">
        <v>1</v>
      </c>
      <c r="AA123">
        <v>-6669.2525999999998</v>
      </c>
      <c r="AB123">
        <v>-6669.2525999999998</v>
      </c>
      <c r="AC123">
        <v>-6669.2525999999998</v>
      </c>
      <c r="AD123">
        <v>-6669.2525999999998</v>
      </c>
      <c r="AE123">
        <v>-6669.2525999999998</v>
      </c>
    </row>
    <row r="124" spans="2:31" x14ac:dyDescent="0.25">
      <c r="B124">
        <f t="shared" si="3"/>
        <v>56</v>
      </c>
      <c r="C124">
        <v>1</v>
      </c>
      <c r="D124">
        <v>1</v>
      </c>
      <c r="E124">
        <v>1</v>
      </c>
      <c r="F124">
        <v>1</v>
      </c>
      <c r="G124">
        <v>1</v>
      </c>
      <c r="J124">
        <f t="shared" si="4"/>
        <v>56</v>
      </c>
      <c r="K124">
        <v>1</v>
      </c>
      <c r="L124">
        <v>1</v>
      </c>
      <c r="M124">
        <v>1</v>
      </c>
      <c r="N124">
        <v>1</v>
      </c>
      <c r="O124">
        <v>1</v>
      </c>
      <c r="R124">
        <f t="shared" si="5"/>
        <v>56</v>
      </c>
      <c r="S124">
        <v>1</v>
      </c>
      <c r="T124">
        <v>1</v>
      </c>
      <c r="U124">
        <v>1</v>
      </c>
      <c r="V124">
        <v>1</v>
      </c>
      <c r="W124">
        <v>1</v>
      </c>
      <c r="AA124">
        <v>-6528.2992000000004</v>
      </c>
      <c r="AB124">
        <v>-6528.2992000000004</v>
      </c>
      <c r="AC124">
        <v>-6528.2992000000004</v>
      </c>
      <c r="AD124">
        <v>-6528.2992000000004</v>
      </c>
      <c r="AE124">
        <v>-6528.2992000000004</v>
      </c>
    </row>
    <row r="125" spans="2:31" x14ac:dyDescent="0.25">
      <c r="B125">
        <f t="shared" si="3"/>
        <v>57</v>
      </c>
      <c r="C125">
        <v>1</v>
      </c>
      <c r="D125">
        <v>1</v>
      </c>
      <c r="E125">
        <v>1</v>
      </c>
      <c r="F125">
        <v>1</v>
      </c>
      <c r="G125">
        <v>1</v>
      </c>
      <c r="J125">
        <f t="shared" si="4"/>
        <v>57</v>
      </c>
      <c r="K125">
        <v>1</v>
      </c>
      <c r="L125">
        <v>1</v>
      </c>
      <c r="M125">
        <v>1</v>
      </c>
      <c r="N125">
        <v>1</v>
      </c>
      <c r="O125">
        <v>1</v>
      </c>
      <c r="R125">
        <f t="shared" si="5"/>
        <v>57</v>
      </c>
      <c r="S125">
        <v>1</v>
      </c>
      <c r="T125">
        <v>1</v>
      </c>
      <c r="U125">
        <v>1</v>
      </c>
      <c r="V125">
        <v>1</v>
      </c>
      <c r="W125">
        <v>1</v>
      </c>
      <c r="AA125">
        <v>-6385.5230000000001</v>
      </c>
      <c r="AB125">
        <v>-6385.5230000000001</v>
      </c>
      <c r="AC125">
        <v>-6385.5230000000001</v>
      </c>
      <c r="AD125">
        <v>-6385.5230000000001</v>
      </c>
      <c r="AE125">
        <v>-6385.5230000000001</v>
      </c>
    </row>
    <row r="126" spans="2:31" x14ac:dyDescent="0.25">
      <c r="B126">
        <f t="shared" si="3"/>
        <v>58</v>
      </c>
      <c r="C126">
        <v>1</v>
      </c>
      <c r="D126">
        <v>1</v>
      </c>
      <c r="E126">
        <v>1</v>
      </c>
      <c r="F126">
        <v>1</v>
      </c>
      <c r="G126">
        <v>1</v>
      </c>
      <c r="J126">
        <f t="shared" si="4"/>
        <v>58</v>
      </c>
      <c r="K126">
        <v>1</v>
      </c>
      <c r="L126">
        <v>1</v>
      </c>
      <c r="M126">
        <v>1</v>
      </c>
      <c r="N126">
        <v>1</v>
      </c>
      <c r="O126">
        <v>1</v>
      </c>
      <c r="R126">
        <f t="shared" si="5"/>
        <v>58</v>
      </c>
      <c r="S126">
        <v>1</v>
      </c>
      <c r="T126">
        <v>1</v>
      </c>
      <c r="U126">
        <v>1</v>
      </c>
      <c r="V126">
        <v>1</v>
      </c>
      <c r="W126">
        <v>1</v>
      </c>
      <c r="AA126">
        <v>-6240.8730999999998</v>
      </c>
      <c r="AB126">
        <v>-6240.8730999999998</v>
      </c>
      <c r="AC126">
        <v>-6240.8730999999998</v>
      </c>
      <c r="AD126">
        <v>-6240.8730999999998</v>
      </c>
      <c r="AE126">
        <v>-6240.8730999999998</v>
      </c>
    </row>
    <row r="127" spans="2:31" x14ac:dyDescent="0.25">
      <c r="B127">
        <f t="shared" si="3"/>
        <v>59</v>
      </c>
      <c r="C127">
        <v>1</v>
      </c>
      <c r="D127">
        <v>1</v>
      </c>
      <c r="E127">
        <v>1</v>
      </c>
      <c r="F127">
        <v>1</v>
      </c>
      <c r="G127">
        <v>1</v>
      </c>
      <c r="J127">
        <f t="shared" si="4"/>
        <v>59</v>
      </c>
      <c r="K127">
        <v>1</v>
      </c>
      <c r="L127">
        <v>1</v>
      </c>
      <c r="M127">
        <v>1</v>
      </c>
      <c r="N127">
        <v>1</v>
      </c>
      <c r="O127">
        <v>1</v>
      </c>
      <c r="R127">
        <f t="shared" si="5"/>
        <v>59</v>
      </c>
      <c r="S127">
        <v>1</v>
      </c>
      <c r="T127">
        <v>1</v>
      </c>
      <c r="U127">
        <v>1</v>
      </c>
      <c r="V127">
        <v>1</v>
      </c>
      <c r="W127">
        <v>1</v>
      </c>
      <c r="AA127">
        <v>-6094.3262999999997</v>
      </c>
      <c r="AB127">
        <v>-6094.3262999999997</v>
      </c>
      <c r="AC127">
        <v>-6094.3262999999997</v>
      </c>
      <c r="AD127">
        <v>-6094.3262999999997</v>
      </c>
      <c r="AE127">
        <v>-6094.3262999999997</v>
      </c>
    </row>
    <row r="128" spans="2:31" x14ac:dyDescent="0.25">
      <c r="B128">
        <f t="shared" si="3"/>
        <v>60</v>
      </c>
      <c r="C128">
        <v>1</v>
      </c>
      <c r="D128">
        <v>1</v>
      </c>
      <c r="E128">
        <v>1</v>
      </c>
      <c r="F128">
        <v>1</v>
      </c>
      <c r="G128">
        <v>1</v>
      </c>
      <c r="J128">
        <f t="shared" si="4"/>
        <v>60</v>
      </c>
      <c r="K128">
        <v>1</v>
      </c>
      <c r="L128">
        <v>1</v>
      </c>
      <c r="M128">
        <v>1</v>
      </c>
      <c r="N128">
        <v>1</v>
      </c>
      <c r="O128">
        <v>1</v>
      </c>
      <c r="R128">
        <f t="shared" si="5"/>
        <v>60</v>
      </c>
      <c r="S128">
        <v>1</v>
      </c>
      <c r="T128">
        <v>1</v>
      </c>
      <c r="U128">
        <v>1</v>
      </c>
      <c r="V128">
        <v>1</v>
      </c>
      <c r="W128">
        <v>1</v>
      </c>
      <c r="AA128">
        <v>-5945.9960000000001</v>
      </c>
      <c r="AB128">
        <v>-5945.9960000000001</v>
      </c>
      <c r="AC128">
        <v>-5945.9960000000001</v>
      </c>
      <c r="AD128">
        <v>-5945.9960000000001</v>
      </c>
      <c r="AE128">
        <v>-5945.9960000000001</v>
      </c>
    </row>
    <row r="129" spans="2:32" x14ac:dyDescent="0.25">
      <c r="B129">
        <f t="shared" si="3"/>
        <v>61</v>
      </c>
      <c r="C129">
        <v>1</v>
      </c>
      <c r="D129">
        <v>1</v>
      </c>
      <c r="E129">
        <v>1</v>
      </c>
      <c r="F129">
        <v>1</v>
      </c>
      <c r="G129">
        <v>1</v>
      </c>
      <c r="J129">
        <f t="shared" si="4"/>
        <v>61</v>
      </c>
      <c r="K129">
        <v>1</v>
      </c>
      <c r="L129">
        <v>1</v>
      </c>
      <c r="M129">
        <v>1</v>
      </c>
      <c r="N129">
        <v>1</v>
      </c>
      <c r="O129">
        <v>1</v>
      </c>
      <c r="R129">
        <f t="shared" si="5"/>
        <v>61</v>
      </c>
      <c r="S129">
        <v>1</v>
      </c>
      <c r="T129">
        <v>1</v>
      </c>
      <c r="U129">
        <v>1</v>
      </c>
      <c r="V129">
        <v>1</v>
      </c>
      <c r="W129">
        <v>1</v>
      </c>
      <c r="AA129">
        <v>-5796.3015999999998</v>
      </c>
      <c r="AB129">
        <v>-5796.3015999999998</v>
      </c>
      <c r="AC129">
        <v>-5796.3015999999998</v>
      </c>
      <c r="AD129">
        <v>-5796.3015999999998</v>
      </c>
      <c r="AE129">
        <v>-5796.3015999999998</v>
      </c>
    </row>
    <row r="130" spans="2:32" x14ac:dyDescent="0.25">
      <c r="B130">
        <f t="shared" si="3"/>
        <v>62</v>
      </c>
      <c r="C130">
        <v>1</v>
      </c>
      <c r="D130">
        <v>1</v>
      </c>
      <c r="E130">
        <v>1</v>
      </c>
      <c r="F130">
        <v>1</v>
      </c>
      <c r="G130">
        <v>1</v>
      </c>
      <c r="J130">
        <f t="shared" si="4"/>
        <v>62</v>
      </c>
      <c r="K130">
        <v>1</v>
      </c>
      <c r="L130">
        <v>1</v>
      </c>
      <c r="M130">
        <v>1</v>
      </c>
      <c r="N130">
        <v>1</v>
      </c>
      <c r="O130">
        <v>1</v>
      </c>
      <c r="R130">
        <f t="shared" si="5"/>
        <v>62</v>
      </c>
      <c r="S130">
        <v>1</v>
      </c>
      <c r="T130">
        <v>1</v>
      </c>
      <c r="U130">
        <v>1</v>
      </c>
      <c r="V130">
        <v>1</v>
      </c>
      <c r="W130">
        <v>1</v>
      </c>
      <c r="AA130">
        <v>-5645.2415000000001</v>
      </c>
      <c r="AB130">
        <v>-5645.2415000000001</v>
      </c>
      <c r="AC130">
        <v>-5645.2415000000001</v>
      </c>
      <c r="AD130">
        <v>-5645.2415000000001</v>
      </c>
      <c r="AE130">
        <v>-5645.2415000000001</v>
      </c>
    </row>
    <row r="131" spans="2:32" x14ac:dyDescent="0.25">
      <c r="B131">
        <f t="shared" si="3"/>
        <v>63</v>
      </c>
      <c r="C131">
        <v>1</v>
      </c>
      <c r="D131">
        <v>1</v>
      </c>
      <c r="E131">
        <v>1</v>
      </c>
      <c r="F131">
        <v>1</v>
      </c>
      <c r="G131">
        <v>1</v>
      </c>
      <c r="J131">
        <f t="shared" si="4"/>
        <v>63</v>
      </c>
      <c r="K131">
        <v>1</v>
      </c>
      <c r="L131">
        <v>1</v>
      </c>
      <c r="M131">
        <v>1</v>
      </c>
      <c r="N131">
        <v>1</v>
      </c>
      <c r="O131">
        <v>1</v>
      </c>
      <c r="R131">
        <f t="shared" si="5"/>
        <v>63</v>
      </c>
      <c r="S131">
        <v>1</v>
      </c>
      <c r="T131">
        <v>1</v>
      </c>
      <c r="U131">
        <v>1</v>
      </c>
      <c r="V131">
        <v>1</v>
      </c>
      <c r="W131">
        <v>1</v>
      </c>
      <c r="AA131">
        <v>-5492.4920000000002</v>
      </c>
      <c r="AB131">
        <v>-5492.4920000000002</v>
      </c>
      <c r="AC131">
        <v>-5492.4920000000002</v>
      </c>
      <c r="AD131">
        <v>-5492.4920000000002</v>
      </c>
      <c r="AE131">
        <v>-5492.4920000000002</v>
      </c>
    </row>
    <row r="132" spans="2:32" x14ac:dyDescent="0.25">
      <c r="B132">
        <f t="shared" si="3"/>
        <v>64</v>
      </c>
      <c r="C132">
        <v>1</v>
      </c>
      <c r="D132">
        <v>1</v>
      </c>
      <c r="E132">
        <v>1</v>
      </c>
      <c r="F132">
        <v>1</v>
      </c>
      <c r="G132">
        <v>1</v>
      </c>
      <c r="J132">
        <f t="shared" si="4"/>
        <v>64</v>
      </c>
      <c r="K132">
        <v>1</v>
      </c>
      <c r="L132">
        <v>1</v>
      </c>
      <c r="M132">
        <v>1</v>
      </c>
      <c r="N132">
        <v>1</v>
      </c>
      <c r="O132">
        <v>1</v>
      </c>
      <c r="R132">
        <f t="shared" si="5"/>
        <v>64</v>
      </c>
      <c r="S132">
        <v>1</v>
      </c>
      <c r="T132">
        <v>1</v>
      </c>
      <c r="U132">
        <v>1</v>
      </c>
      <c r="V132">
        <v>1</v>
      </c>
      <c r="W132">
        <v>1</v>
      </c>
      <c r="AA132">
        <v>-5338.1817000000001</v>
      </c>
      <c r="AB132">
        <v>-5338.1817000000001</v>
      </c>
      <c r="AC132">
        <v>-5338.1817000000001</v>
      </c>
      <c r="AD132">
        <v>-5338.1817000000001</v>
      </c>
      <c r="AE132">
        <v>-5338.1817000000001</v>
      </c>
    </row>
    <row r="133" spans="2:32" x14ac:dyDescent="0.25">
      <c r="B133">
        <f t="shared" si="3"/>
        <v>65</v>
      </c>
      <c r="C133">
        <v>1</v>
      </c>
      <c r="D133">
        <v>1</v>
      </c>
      <c r="E133">
        <v>1</v>
      </c>
      <c r="F133">
        <v>1</v>
      </c>
      <c r="G133">
        <v>1</v>
      </c>
      <c r="J133">
        <f t="shared" si="4"/>
        <v>65</v>
      </c>
      <c r="K133">
        <v>1</v>
      </c>
      <c r="L133">
        <v>1</v>
      </c>
      <c r="M133">
        <v>1</v>
      </c>
      <c r="N133">
        <v>1</v>
      </c>
      <c r="O133">
        <v>1</v>
      </c>
      <c r="R133">
        <f t="shared" si="5"/>
        <v>65</v>
      </c>
      <c r="S133">
        <v>1</v>
      </c>
      <c r="T133">
        <v>1</v>
      </c>
      <c r="U133">
        <v>1</v>
      </c>
      <c r="V133">
        <v>1</v>
      </c>
      <c r="W133">
        <v>1</v>
      </c>
      <c r="AA133">
        <v>-5182.2268999999997</v>
      </c>
      <c r="AB133">
        <v>-5182.2268999999997</v>
      </c>
      <c r="AC133">
        <v>-5182.2268999999997</v>
      </c>
      <c r="AD133">
        <v>-5182.2268999999997</v>
      </c>
      <c r="AE133">
        <v>-5182.2268999999997</v>
      </c>
    </row>
    <row r="136" spans="2:32" x14ac:dyDescent="0.25">
      <c r="B136" t="s">
        <v>46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47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48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2:32" x14ac:dyDescent="0.25">
      <c r="B137">
        <v>26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J137">
        <v>26</v>
      </c>
      <c r="K137">
        <v>1</v>
      </c>
      <c r="L137">
        <v>1</v>
      </c>
      <c r="M137">
        <v>1</v>
      </c>
      <c r="N137">
        <v>1</v>
      </c>
      <c r="O137">
        <v>1</v>
      </c>
      <c r="P137">
        <v>1</v>
      </c>
      <c r="R137">
        <v>26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AA137">
        <v>-5174.8482999999997</v>
      </c>
      <c r="AB137">
        <v>-5174.8482999999997</v>
      </c>
      <c r="AC137">
        <v>-5174.8482999999997</v>
      </c>
      <c r="AD137">
        <v>-5174.8482999999997</v>
      </c>
      <c r="AE137">
        <v>-5174.8482999999997</v>
      </c>
      <c r="AF137">
        <v>-5174.8482999999997</v>
      </c>
    </row>
    <row r="138" spans="2:32" x14ac:dyDescent="0.25">
      <c r="B138">
        <v>27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J138">
        <v>27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R138">
        <v>27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AA138">
        <v>-5173.6036999999997</v>
      </c>
      <c r="AB138">
        <v>-5173.6036999999997</v>
      </c>
      <c r="AC138">
        <v>-5173.6036999999997</v>
      </c>
      <c r="AD138">
        <v>-5173.6036999999997</v>
      </c>
      <c r="AE138">
        <v>-5173.6036999999997</v>
      </c>
      <c r="AF138">
        <v>-5173.6036999999997</v>
      </c>
    </row>
    <row r="139" spans="2:32" x14ac:dyDescent="0.25">
      <c r="B139">
        <v>28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J139">
        <v>28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R139">
        <v>28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AA139">
        <v>-5172.1755999999996</v>
      </c>
      <c r="AB139">
        <v>-5172.1755999999996</v>
      </c>
      <c r="AC139">
        <v>-5172.1755999999996</v>
      </c>
      <c r="AD139">
        <v>-5172.1755999999996</v>
      </c>
      <c r="AE139">
        <v>-5172.1755999999996</v>
      </c>
      <c r="AF139">
        <v>-5172.1755999999996</v>
      </c>
    </row>
    <row r="140" spans="2:32" x14ac:dyDescent="0.25">
      <c r="B140">
        <v>29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J140">
        <v>29</v>
      </c>
      <c r="K140">
        <v>1</v>
      </c>
      <c r="L140">
        <v>1</v>
      </c>
      <c r="M140">
        <v>1</v>
      </c>
      <c r="N140">
        <v>1</v>
      </c>
      <c r="O140">
        <v>1</v>
      </c>
      <c r="P140">
        <v>1</v>
      </c>
      <c r="R140">
        <v>29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AA140">
        <v>-5170.5482000000002</v>
      </c>
      <c r="AB140">
        <v>-5170.5482000000002</v>
      </c>
      <c r="AC140">
        <v>-5170.5482000000002</v>
      </c>
      <c r="AD140">
        <v>-5170.5482000000002</v>
      </c>
      <c r="AE140">
        <v>-5170.5482000000002</v>
      </c>
      <c r="AF140">
        <v>-5170.5482000000002</v>
      </c>
    </row>
    <row r="141" spans="2:32" x14ac:dyDescent="0.25">
      <c r="B141">
        <v>30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J141">
        <v>30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R141">
        <v>30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AA141">
        <v>-5168.6908999999996</v>
      </c>
      <c r="AB141">
        <v>-5168.6908999999996</v>
      </c>
      <c r="AC141">
        <v>-5168.6908999999996</v>
      </c>
      <c r="AD141">
        <v>-5168.6908999999996</v>
      </c>
      <c r="AE141">
        <v>-5168.6908999999996</v>
      </c>
      <c r="AF141">
        <v>-5168.6908999999996</v>
      </c>
    </row>
    <row r="142" spans="2:32" x14ac:dyDescent="0.25">
      <c r="B142">
        <v>31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J142">
        <v>31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R142">
        <v>31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AA142">
        <v>-5166.5891000000001</v>
      </c>
      <c r="AB142">
        <v>-5166.5891000000001</v>
      </c>
      <c r="AC142">
        <v>-5166.5891000000001</v>
      </c>
      <c r="AD142">
        <v>-5166.5891000000001</v>
      </c>
      <c r="AE142">
        <v>-5166.5891000000001</v>
      </c>
      <c r="AF142">
        <v>-5166.5891000000001</v>
      </c>
    </row>
    <row r="143" spans="2:32" x14ac:dyDescent="0.25">
      <c r="B143">
        <v>32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J143">
        <v>32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R143">
        <v>32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AA143">
        <v>-5164.2407000000003</v>
      </c>
      <c r="AB143">
        <v>-5164.2407000000003</v>
      </c>
      <c r="AC143">
        <v>-5164.2407000000003</v>
      </c>
      <c r="AD143">
        <v>-5164.2407000000003</v>
      </c>
      <c r="AE143">
        <v>-5164.2407000000003</v>
      </c>
      <c r="AF143">
        <v>-5164.2407000000003</v>
      </c>
    </row>
    <row r="144" spans="2:32" x14ac:dyDescent="0.25">
      <c r="B144">
        <v>33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J144">
        <v>33</v>
      </c>
      <c r="K144">
        <v>1</v>
      </c>
      <c r="L144">
        <v>1</v>
      </c>
      <c r="M144">
        <v>1</v>
      </c>
      <c r="N144">
        <v>1</v>
      </c>
      <c r="O144">
        <v>1</v>
      </c>
      <c r="P144">
        <v>1</v>
      </c>
      <c r="R144">
        <v>33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AA144">
        <v>-5161.6318000000001</v>
      </c>
      <c r="AB144">
        <v>-5161.6318000000001</v>
      </c>
      <c r="AC144">
        <v>-5161.6318000000001</v>
      </c>
      <c r="AD144">
        <v>-5161.6318000000001</v>
      </c>
      <c r="AE144">
        <v>-5161.6318000000001</v>
      </c>
      <c r="AF144">
        <v>-5161.6318000000001</v>
      </c>
    </row>
    <row r="145" spans="2:32" x14ac:dyDescent="0.25">
      <c r="B145">
        <v>34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J145">
        <v>34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R145">
        <v>34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AA145">
        <v>-5158.7194</v>
      </c>
      <c r="AB145">
        <v>-5158.7194</v>
      </c>
      <c r="AC145">
        <v>-5158.7194</v>
      </c>
      <c r="AD145">
        <v>-5158.7194</v>
      </c>
      <c r="AE145">
        <v>-5158.7194</v>
      </c>
      <c r="AF145">
        <v>-5158.7194</v>
      </c>
    </row>
    <row r="146" spans="2:32" x14ac:dyDescent="0.25">
      <c r="B146">
        <v>35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J146">
        <v>35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R146">
        <v>35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AA146">
        <v>-5155.4901</v>
      </c>
      <c r="AB146">
        <v>-5155.4901</v>
      </c>
      <c r="AC146">
        <v>-5155.4901</v>
      </c>
      <c r="AD146">
        <v>-5155.4901</v>
      </c>
      <c r="AE146">
        <v>-5155.4901</v>
      </c>
      <c r="AF146">
        <v>-5155.4901</v>
      </c>
    </row>
    <row r="147" spans="2:32" x14ac:dyDescent="0.25">
      <c r="B147">
        <v>36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J147">
        <v>36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R147">
        <v>36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AA147">
        <v>-5151.8950999999997</v>
      </c>
      <c r="AB147">
        <v>-5151.8950999999997</v>
      </c>
      <c r="AC147">
        <v>-5151.8950999999997</v>
      </c>
      <c r="AD147">
        <v>-5151.8950999999997</v>
      </c>
      <c r="AE147">
        <v>-5151.8950999999997</v>
      </c>
      <c r="AF147">
        <v>-5151.8950999999997</v>
      </c>
    </row>
    <row r="148" spans="2:32" x14ac:dyDescent="0.25">
      <c r="B148">
        <v>37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  <c r="J148">
        <v>37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R148">
        <v>37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AA148">
        <v>-5147.9106000000002</v>
      </c>
      <c r="AB148">
        <v>-5147.9106000000002</v>
      </c>
      <c r="AC148">
        <v>-5147.9106000000002</v>
      </c>
      <c r="AD148">
        <v>-5147.9106000000002</v>
      </c>
      <c r="AE148">
        <v>-5147.9106000000002</v>
      </c>
      <c r="AF148">
        <v>-5147.9106000000002</v>
      </c>
    </row>
    <row r="149" spans="2:32" x14ac:dyDescent="0.25">
      <c r="B149">
        <v>38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J149">
        <v>38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R149">
        <v>38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AA149">
        <v>-5143.5393999999997</v>
      </c>
      <c r="AB149">
        <v>-5143.5393999999997</v>
      </c>
      <c r="AC149">
        <v>-5143.5393999999997</v>
      </c>
      <c r="AD149">
        <v>-5143.5393999999997</v>
      </c>
      <c r="AE149">
        <v>-5143.5393999999997</v>
      </c>
      <c r="AF149">
        <v>-5143.5393999999997</v>
      </c>
    </row>
    <row r="150" spans="2:32" x14ac:dyDescent="0.25">
      <c r="B150">
        <v>39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J150">
        <v>39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R150">
        <v>39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AA150">
        <v>-5138.76</v>
      </c>
      <c r="AB150">
        <v>-5138.76</v>
      </c>
      <c r="AC150">
        <v>-5138.76</v>
      </c>
      <c r="AD150">
        <v>-5138.76</v>
      </c>
      <c r="AE150">
        <v>-5138.76</v>
      </c>
      <c r="AF150">
        <v>-5138.76</v>
      </c>
    </row>
    <row r="151" spans="2:32" x14ac:dyDescent="0.25">
      <c r="B151">
        <v>40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J151">
        <v>40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R151">
        <v>40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AA151">
        <v>-5133.5084999999999</v>
      </c>
      <c r="AB151">
        <v>-5133.5084999999999</v>
      </c>
      <c r="AC151">
        <v>-5133.5084999999999</v>
      </c>
      <c r="AD151">
        <v>-5133.5084999999999</v>
      </c>
      <c r="AE151">
        <v>-5133.5084999999999</v>
      </c>
      <c r="AF151">
        <v>-5133.5084999999999</v>
      </c>
    </row>
    <row r="152" spans="2:32" x14ac:dyDescent="0.25">
      <c r="B152">
        <v>41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J152">
        <v>41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R152">
        <v>41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AA152">
        <v>-5127.7236000000003</v>
      </c>
      <c r="AB152">
        <v>-5127.7236000000003</v>
      </c>
      <c r="AC152">
        <v>-5127.7236000000003</v>
      </c>
      <c r="AD152">
        <v>-5127.7236000000003</v>
      </c>
      <c r="AE152">
        <v>-5127.7236000000003</v>
      </c>
      <c r="AF152">
        <v>-5127.7236000000003</v>
      </c>
    </row>
    <row r="153" spans="2:32" x14ac:dyDescent="0.25">
      <c r="B153">
        <v>42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J153">
        <v>42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R153">
        <v>42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AA153">
        <v>-5121.3726999999999</v>
      </c>
      <c r="AB153">
        <v>-5121.3726999999999</v>
      </c>
      <c r="AC153">
        <v>-5121.3726999999999</v>
      </c>
      <c r="AD153">
        <v>-5121.3726999999999</v>
      </c>
      <c r="AE153">
        <v>-5121.3726999999999</v>
      </c>
      <c r="AF153">
        <v>-5121.3726999999999</v>
      </c>
    </row>
    <row r="154" spans="2:32" x14ac:dyDescent="0.25">
      <c r="B154">
        <v>43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J154">
        <v>43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R154">
        <v>43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AA154">
        <v>-5114.3449000000001</v>
      </c>
      <c r="AB154">
        <v>-5114.3449000000001</v>
      </c>
      <c r="AC154">
        <v>-5114.3449000000001</v>
      </c>
      <c r="AD154">
        <v>-5114.3449000000001</v>
      </c>
      <c r="AE154">
        <v>-5114.3449000000001</v>
      </c>
      <c r="AF154">
        <v>-5114.3449000000001</v>
      </c>
    </row>
    <row r="155" spans="2:32" x14ac:dyDescent="0.25">
      <c r="B155">
        <v>44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J155">
        <v>44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R155">
        <v>44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AA155">
        <v>-5106.5976000000001</v>
      </c>
      <c r="AB155">
        <v>-5106.5976000000001</v>
      </c>
      <c r="AC155">
        <v>-5106.5976000000001</v>
      </c>
      <c r="AD155">
        <v>-5106.5976000000001</v>
      </c>
      <c r="AE155">
        <v>-5106.5976000000001</v>
      </c>
      <c r="AF155">
        <v>-5106.5976000000001</v>
      </c>
    </row>
    <row r="156" spans="2:32" x14ac:dyDescent="0.25">
      <c r="B156">
        <v>45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J156">
        <v>45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1</v>
      </c>
      <c r="R156">
        <v>45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AA156">
        <v>-5098.0524999999998</v>
      </c>
      <c r="AB156">
        <v>-5098.0524999999998</v>
      </c>
      <c r="AC156">
        <v>-5098.0524999999998</v>
      </c>
      <c r="AD156">
        <v>-5098.0524999999998</v>
      </c>
      <c r="AE156">
        <v>-5098.0524999999998</v>
      </c>
      <c r="AF156">
        <v>-5098.0524999999998</v>
      </c>
    </row>
    <row r="157" spans="2:32" x14ac:dyDescent="0.25">
      <c r="B157">
        <v>46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J157">
        <v>46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R157">
        <v>46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AA157">
        <v>-5088.6378000000004</v>
      </c>
      <c r="AB157">
        <v>-5088.6378000000004</v>
      </c>
      <c r="AC157">
        <v>-5088.6378000000004</v>
      </c>
      <c r="AD157">
        <v>-5088.6378000000004</v>
      </c>
      <c r="AE157">
        <v>-5088.6378000000004</v>
      </c>
      <c r="AF157">
        <v>-5088.6378000000004</v>
      </c>
    </row>
    <row r="158" spans="2:32" x14ac:dyDescent="0.25">
      <c r="B158">
        <v>47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J158">
        <v>47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R158">
        <v>47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AA158">
        <v>-5078.2593999999999</v>
      </c>
      <c r="AB158">
        <v>-5078.2593999999999</v>
      </c>
      <c r="AC158">
        <v>-5078.2593999999999</v>
      </c>
      <c r="AD158">
        <v>-5078.2593999999999</v>
      </c>
      <c r="AE158">
        <v>-5078.2593999999999</v>
      </c>
      <c r="AF158">
        <v>-5078.2593999999999</v>
      </c>
    </row>
    <row r="159" spans="2:32" x14ac:dyDescent="0.25">
      <c r="B159">
        <v>48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J159">
        <v>48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R159">
        <v>48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AA159">
        <v>-5066.8732</v>
      </c>
      <c r="AB159">
        <v>-5066.8732</v>
      </c>
      <c r="AC159">
        <v>-5066.8732</v>
      </c>
      <c r="AD159">
        <v>-5066.8732</v>
      </c>
      <c r="AE159">
        <v>-5066.8732</v>
      </c>
      <c r="AF159">
        <v>-5066.8732</v>
      </c>
    </row>
    <row r="160" spans="2:32" x14ac:dyDescent="0.25">
      <c r="B160">
        <v>49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J160">
        <v>49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R160">
        <v>49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AA160">
        <v>-5054.4124000000002</v>
      </c>
      <c r="AB160">
        <v>-5054.4124000000002</v>
      </c>
      <c r="AC160">
        <v>-5054.4124000000002</v>
      </c>
      <c r="AD160">
        <v>-5054.4124000000002</v>
      </c>
      <c r="AE160">
        <v>-5054.4124000000002</v>
      </c>
      <c r="AF160">
        <v>-5054.4124000000002</v>
      </c>
    </row>
    <row r="161" spans="2:32" x14ac:dyDescent="0.25">
      <c r="B161">
        <v>50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J161">
        <v>50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R161">
        <v>50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AA161">
        <v>-5040.7671</v>
      </c>
      <c r="AB161">
        <v>-5040.7671</v>
      </c>
      <c r="AC161">
        <v>-5040.7671</v>
      </c>
      <c r="AD161">
        <v>-5040.7671</v>
      </c>
      <c r="AE161">
        <v>-5040.7671</v>
      </c>
      <c r="AF161">
        <v>-5040.7671</v>
      </c>
    </row>
    <row r="162" spans="2:32" x14ac:dyDescent="0.25">
      <c r="B162">
        <v>51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J162">
        <v>51</v>
      </c>
      <c r="K162">
        <v>1</v>
      </c>
      <c r="L162">
        <v>1</v>
      </c>
      <c r="M162">
        <v>1</v>
      </c>
      <c r="N162">
        <v>1</v>
      </c>
      <c r="O162">
        <v>1</v>
      </c>
      <c r="P162">
        <v>1</v>
      </c>
      <c r="R162">
        <v>51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AA162">
        <v>-5025.8329000000003</v>
      </c>
      <c r="AB162">
        <v>-5025.8329000000003</v>
      </c>
      <c r="AC162">
        <v>-5025.8329000000003</v>
      </c>
      <c r="AD162">
        <v>-5025.8329000000003</v>
      </c>
      <c r="AE162">
        <v>-5025.8329000000003</v>
      </c>
      <c r="AF162">
        <v>-5025.8329000000003</v>
      </c>
    </row>
    <row r="163" spans="2:32" x14ac:dyDescent="0.25">
      <c r="B163">
        <v>52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J163">
        <v>52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R163">
        <v>52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AA163">
        <v>-5009.4771000000001</v>
      </c>
      <c r="AB163">
        <v>-5009.4771000000001</v>
      </c>
      <c r="AC163">
        <v>-5009.4771000000001</v>
      </c>
      <c r="AD163">
        <v>-5009.4771000000001</v>
      </c>
      <c r="AE163">
        <v>-5009.4771000000001</v>
      </c>
      <c r="AF163">
        <v>-5009.4771000000001</v>
      </c>
    </row>
    <row r="164" spans="2:32" x14ac:dyDescent="0.25">
      <c r="B164">
        <v>53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J164">
        <v>53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R164">
        <v>53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AA164">
        <v>-4991.6184000000003</v>
      </c>
      <c r="AB164">
        <v>-4991.6184000000003</v>
      </c>
      <c r="AC164">
        <v>-4991.6184000000003</v>
      </c>
      <c r="AD164">
        <v>-4991.6184000000003</v>
      </c>
      <c r="AE164">
        <v>-4991.6184000000003</v>
      </c>
      <c r="AF164">
        <v>-4991.6184000000003</v>
      </c>
    </row>
    <row r="165" spans="2:32" x14ac:dyDescent="0.25">
      <c r="B165">
        <v>54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J165">
        <v>54</v>
      </c>
      <c r="K165">
        <v>1</v>
      </c>
      <c r="L165">
        <v>1</v>
      </c>
      <c r="M165">
        <v>1</v>
      </c>
      <c r="N165">
        <v>1</v>
      </c>
      <c r="O165">
        <v>1</v>
      </c>
      <c r="P165">
        <v>1</v>
      </c>
      <c r="R165">
        <v>54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AA165">
        <v>-4972.1588000000002</v>
      </c>
      <c r="AB165">
        <v>-4972.1588000000002</v>
      </c>
      <c r="AC165">
        <v>-4972.1588000000002</v>
      </c>
      <c r="AD165">
        <v>-4972.1588000000002</v>
      </c>
      <c r="AE165">
        <v>-4972.1588000000002</v>
      </c>
      <c r="AF165">
        <v>-4972.1588000000002</v>
      </c>
    </row>
    <row r="166" spans="2:32" x14ac:dyDescent="0.25">
      <c r="B166">
        <v>55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J166">
        <v>55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R166">
        <v>55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AA166">
        <v>-4950.9426000000003</v>
      </c>
      <c r="AB166">
        <v>-4950.9426000000003</v>
      </c>
      <c r="AC166">
        <v>-4950.9426000000003</v>
      </c>
      <c r="AD166">
        <v>-4950.9426000000003</v>
      </c>
      <c r="AE166">
        <v>-4950.9426000000003</v>
      </c>
      <c r="AF166">
        <v>-4950.9426000000003</v>
      </c>
    </row>
    <row r="169" spans="2:32" x14ac:dyDescent="0.25">
      <c r="B169" t="s">
        <v>46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32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48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2:32" x14ac:dyDescent="0.25">
      <c r="B170">
        <v>35</v>
      </c>
      <c r="C170">
        <v>1</v>
      </c>
      <c r="D170">
        <v>1</v>
      </c>
      <c r="E170">
        <v>1</v>
      </c>
      <c r="F170">
        <v>1</v>
      </c>
      <c r="G170">
        <v>1</v>
      </c>
      <c r="J170">
        <v>35</v>
      </c>
      <c r="K170">
        <v>1</v>
      </c>
      <c r="L170">
        <v>1</v>
      </c>
      <c r="M170">
        <v>1</v>
      </c>
      <c r="N170">
        <v>1</v>
      </c>
      <c r="O170">
        <v>1</v>
      </c>
      <c r="R170">
        <v>35</v>
      </c>
      <c r="S170">
        <v>1</v>
      </c>
      <c r="T170">
        <v>1</v>
      </c>
      <c r="U170">
        <v>1</v>
      </c>
      <c r="V170">
        <v>1</v>
      </c>
      <c r="W170">
        <v>1</v>
      </c>
      <c r="AA170">
        <v>-8996.1419000000005</v>
      </c>
      <c r="AB170">
        <v>-8996.1419000000005</v>
      </c>
      <c r="AC170">
        <v>-8996.1419000000005</v>
      </c>
      <c r="AD170">
        <v>-8996.1419000000005</v>
      </c>
      <c r="AE170">
        <v>-8996.1419000000005</v>
      </c>
      <c r="AF170">
        <v>-759112.79520000005</v>
      </c>
    </row>
    <row r="171" spans="2:32" x14ac:dyDescent="0.25">
      <c r="B171">
        <f t="shared" ref="B171:B200" si="6">B170+1</f>
        <v>36</v>
      </c>
      <c r="C171">
        <v>1</v>
      </c>
      <c r="D171">
        <v>1</v>
      </c>
      <c r="E171">
        <v>1</v>
      </c>
      <c r="F171">
        <v>1</v>
      </c>
      <c r="G171">
        <v>1</v>
      </c>
      <c r="J171">
        <f t="shared" ref="J171:J200" si="7">J170+1</f>
        <v>36</v>
      </c>
      <c r="K171">
        <v>1</v>
      </c>
      <c r="L171">
        <v>1</v>
      </c>
      <c r="M171">
        <v>1</v>
      </c>
      <c r="N171">
        <v>1</v>
      </c>
      <c r="O171">
        <v>1</v>
      </c>
      <c r="R171">
        <f t="shared" ref="R171:R200" si="8">R170+1</f>
        <v>36</v>
      </c>
      <c r="S171">
        <v>1</v>
      </c>
      <c r="T171">
        <v>1</v>
      </c>
      <c r="U171">
        <v>1</v>
      </c>
      <c r="V171">
        <v>1</v>
      </c>
      <c r="W171">
        <v>1</v>
      </c>
      <c r="AA171">
        <v>-8902.6679999999997</v>
      </c>
      <c r="AB171">
        <v>-8902.6679999999997</v>
      </c>
      <c r="AC171">
        <v>-8902.6679999999997</v>
      </c>
      <c r="AD171">
        <v>-8902.6679999999997</v>
      </c>
      <c r="AE171">
        <v>-8902.6679999999997</v>
      </c>
      <c r="AF171">
        <v>-737070.86179999996</v>
      </c>
    </row>
    <row r="172" spans="2:32" x14ac:dyDescent="0.25">
      <c r="B172">
        <f t="shared" si="6"/>
        <v>37</v>
      </c>
      <c r="C172">
        <v>1</v>
      </c>
      <c r="D172">
        <v>1</v>
      </c>
      <c r="E172">
        <v>1</v>
      </c>
      <c r="F172">
        <v>1</v>
      </c>
      <c r="G172">
        <v>1</v>
      </c>
      <c r="J172">
        <f t="shared" si="7"/>
        <v>37</v>
      </c>
      <c r="K172">
        <v>1</v>
      </c>
      <c r="L172">
        <v>1</v>
      </c>
      <c r="M172">
        <v>1</v>
      </c>
      <c r="N172">
        <v>1</v>
      </c>
      <c r="O172">
        <v>1</v>
      </c>
      <c r="R172">
        <f t="shared" si="8"/>
        <v>37</v>
      </c>
      <c r="S172">
        <v>1</v>
      </c>
      <c r="T172">
        <v>1</v>
      </c>
      <c r="U172">
        <v>1</v>
      </c>
      <c r="V172">
        <v>1</v>
      </c>
      <c r="W172">
        <v>1</v>
      </c>
      <c r="AA172">
        <v>-8806.7960000000003</v>
      </c>
      <c r="AB172">
        <v>-8806.7960000000003</v>
      </c>
      <c r="AC172">
        <v>-8806.7960000000003</v>
      </c>
      <c r="AD172">
        <v>-8806.7960000000003</v>
      </c>
      <c r="AE172">
        <v>-8806.7960000000003</v>
      </c>
      <c r="AF172">
        <v>-765978.91940000001</v>
      </c>
    </row>
    <row r="173" spans="2:32" x14ac:dyDescent="0.25">
      <c r="B173">
        <f t="shared" si="6"/>
        <v>38</v>
      </c>
      <c r="C173">
        <v>1</v>
      </c>
      <c r="D173">
        <v>1</v>
      </c>
      <c r="E173">
        <v>1</v>
      </c>
      <c r="F173">
        <v>1</v>
      </c>
      <c r="G173">
        <v>1</v>
      </c>
      <c r="J173">
        <f t="shared" si="7"/>
        <v>38</v>
      </c>
      <c r="K173">
        <v>1</v>
      </c>
      <c r="L173">
        <v>1</v>
      </c>
      <c r="M173">
        <v>1</v>
      </c>
      <c r="N173">
        <v>1</v>
      </c>
      <c r="O173">
        <v>1</v>
      </c>
      <c r="R173">
        <f t="shared" si="8"/>
        <v>38</v>
      </c>
      <c r="S173">
        <v>1</v>
      </c>
      <c r="T173">
        <v>1</v>
      </c>
      <c r="U173">
        <v>1</v>
      </c>
      <c r="V173">
        <v>1</v>
      </c>
      <c r="W173">
        <v>1</v>
      </c>
      <c r="AA173">
        <v>-8708.6234000000004</v>
      </c>
      <c r="AB173">
        <v>-8708.6234000000004</v>
      </c>
      <c r="AC173">
        <v>-8708.6234000000004</v>
      </c>
      <c r="AD173">
        <v>-8708.6234000000004</v>
      </c>
      <c r="AE173">
        <v>-8708.6234000000004</v>
      </c>
      <c r="AF173">
        <v>-783780.576</v>
      </c>
    </row>
    <row r="174" spans="2:32" x14ac:dyDescent="0.25">
      <c r="B174">
        <f t="shared" si="6"/>
        <v>39</v>
      </c>
      <c r="C174">
        <v>1</v>
      </c>
      <c r="D174">
        <v>1</v>
      </c>
      <c r="E174">
        <v>1</v>
      </c>
      <c r="F174">
        <v>1</v>
      </c>
      <c r="G174">
        <v>1</v>
      </c>
      <c r="J174">
        <f t="shared" si="7"/>
        <v>39</v>
      </c>
      <c r="K174">
        <v>1</v>
      </c>
      <c r="L174">
        <v>1</v>
      </c>
      <c r="M174">
        <v>1</v>
      </c>
      <c r="N174">
        <v>1</v>
      </c>
      <c r="O174">
        <v>1</v>
      </c>
      <c r="R174">
        <f t="shared" si="8"/>
        <v>39</v>
      </c>
      <c r="S174">
        <v>1</v>
      </c>
      <c r="T174">
        <v>1</v>
      </c>
      <c r="U174">
        <v>1</v>
      </c>
      <c r="V174">
        <v>1</v>
      </c>
      <c r="W174">
        <v>1</v>
      </c>
      <c r="AA174">
        <v>-8608.1594000000005</v>
      </c>
      <c r="AB174">
        <v>-8608.1594000000005</v>
      </c>
      <c r="AC174">
        <v>-8608.1594000000005</v>
      </c>
      <c r="AD174">
        <v>-8608.1594000000005</v>
      </c>
      <c r="AE174">
        <v>-8608.1594000000005</v>
      </c>
      <c r="AF174">
        <v>-769662.22069999995</v>
      </c>
    </row>
    <row r="175" spans="2:32" x14ac:dyDescent="0.25">
      <c r="B175">
        <f t="shared" si="6"/>
        <v>40</v>
      </c>
      <c r="C175">
        <v>1</v>
      </c>
      <c r="D175">
        <v>1</v>
      </c>
      <c r="E175">
        <v>1</v>
      </c>
      <c r="F175">
        <v>1</v>
      </c>
      <c r="G175">
        <v>1</v>
      </c>
      <c r="J175">
        <f t="shared" si="7"/>
        <v>40</v>
      </c>
      <c r="K175">
        <v>1</v>
      </c>
      <c r="L175">
        <v>1</v>
      </c>
      <c r="M175">
        <v>1</v>
      </c>
      <c r="N175">
        <v>1</v>
      </c>
      <c r="O175">
        <v>1</v>
      </c>
      <c r="R175">
        <f t="shared" si="8"/>
        <v>40</v>
      </c>
      <c r="S175">
        <v>1</v>
      </c>
      <c r="T175">
        <v>1</v>
      </c>
      <c r="U175">
        <v>1</v>
      </c>
      <c r="V175">
        <v>1</v>
      </c>
      <c r="W175">
        <v>1</v>
      </c>
      <c r="AA175">
        <v>-8505.3439999999991</v>
      </c>
      <c r="AB175">
        <v>-8505.3439999999991</v>
      </c>
      <c r="AC175">
        <v>-8505.3439999999991</v>
      </c>
      <c r="AD175">
        <v>-8505.3439999999991</v>
      </c>
      <c r="AE175">
        <v>-8505.3439999999991</v>
      </c>
      <c r="AF175">
        <v>-798570.41119999997</v>
      </c>
    </row>
    <row r="176" spans="2:32" x14ac:dyDescent="0.25">
      <c r="B176">
        <f t="shared" si="6"/>
        <v>41</v>
      </c>
      <c r="C176">
        <v>1</v>
      </c>
      <c r="D176">
        <v>1</v>
      </c>
      <c r="E176">
        <v>1</v>
      </c>
      <c r="F176">
        <v>1</v>
      </c>
      <c r="G176">
        <v>1</v>
      </c>
      <c r="J176">
        <f t="shared" si="7"/>
        <v>41</v>
      </c>
      <c r="K176">
        <v>1</v>
      </c>
      <c r="L176">
        <v>1</v>
      </c>
      <c r="M176">
        <v>1</v>
      </c>
      <c r="N176">
        <v>1</v>
      </c>
      <c r="O176">
        <v>1</v>
      </c>
      <c r="R176">
        <f t="shared" si="8"/>
        <v>41</v>
      </c>
      <c r="S176">
        <v>1</v>
      </c>
      <c r="T176">
        <v>1</v>
      </c>
      <c r="U176">
        <v>1</v>
      </c>
      <c r="V176">
        <v>1</v>
      </c>
      <c r="W176">
        <v>1</v>
      </c>
      <c r="AA176">
        <v>-8400.1087000000007</v>
      </c>
      <c r="AB176">
        <v>-8400.1087000000007</v>
      </c>
      <c r="AC176">
        <v>-8400.1087000000007</v>
      </c>
      <c r="AD176">
        <v>-8400.1087000000007</v>
      </c>
      <c r="AE176">
        <v>-8400.1087000000007</v>
      </c>
      <c r="AF176">
        <v>-803549.96459999995</v>
      </c>
    </row>
    <row r="177" spans="2:32" x14ac:dyDescent="0.25">
      <c r="B177">
        <f t="shared" si="6"/>
        <v>42</v>
      </c>
      <c r="C177">
        <v>1</v>
      </c>
      <c r="D177">
        <v>1</v>
      </c>
      <c r="E177">
        <v>1</v>
      </c>
      <c r="F177">
        <v>1</v>
      </c>
      <c r="G177">
        <v>1</v>
      </c>
      <c r="J177">
        <f t="shared" si="7"/>
        <v>42</v>
      </c>
      <c r="K177">
        <v>1</v>
      </c>
      <c r="L177">
        <v>1</v>
      </c>
      <c r="M177">
        <v>1</v>
      </c>
      <c r="N177">
        <v>1</v>
      </c>
      <c r="O177">
        <v>1</v>
      </c>
      <c r="R177">
        <f t="shared" si="8"/>
        <v>42</v>
      </c>
      <c r="S177">
        <v>1</v>
      </c>
      <c r="T177">
        <v>1</v>
      </c>
      <c r="U177">
        <v>1</v>
      </c>
      <c r="V177">
        <v>1</v>
      </c>
      <c r="W177">
        <v>1</v>
      </c>
      <c r="AA177">
        <v>-8292.4974999999995</v>
      </c>
      <c r="AB177">
        <v>-8292.4974999999995</v>
      </c>
      <c r="AC177">
        <v>-8292.4974999999995</v>
      </c>
      <c r="AD177">
        <v>-8292.4974999999995</v>
      </c>
      <c r="AE177">
        <v>-8292.4974999999995</v>
      </c>
      <c r="AF177">
        <v>-833551.75890000002</v>
      </c>
    </row>
    <row r="178" spans="2:32" x14ac:dyDescent="0.25">
      <c r="B178">
        <f t="shared" si="6"/>
        <v>43</v>
      </c>
      <c r="C178">
        <v>1</v>
      </c>
      <c r="D178">
        <v>1</v>
      </c>
      <c r="E178">
        <v>1</v>
      </c>
      <c r="F178">
        <v>1</v>
      </c>
      <c r="G178">
        <v>1</v>
      </c>
      <c r="J178">
        <f t="shared" si="7"/>
        <v>43</v>
      </c>
      <c r="K178">
        <v>1</v>
      </c>
      <c r="L178">
        <v>1</v>
      </c>
      <c r="M178">
        <v>1</v>
      </c>
      <c r="N178">
        <v>1</v>
      </c>
      <c r="O178">
        <v>1</v>
      </c>
      <c r="R178">
        <f t="shared" si="8"/>
        <v>43</v>
      </c>
      <c r="S178">
        <v>1</v>
      </c>
      <c r="T178">
        <v>1</v>
      </c>
      <c r="U178">
        <v>1</v>
      </c>
      <c r="V178">
        <v>1</v>
      </c>
      <c r="W178">
        <v>1</v>
      </c>
      <c r="AA178">
        <v>-8182.3909999999996</v>
      </c>
      <c r="AB178">
        <v>-8182.3909999999996</v>
      </c>
      <c r="AC178">
        <v>-8182.3909999999996</v>
      </c>
      <c r="AD178">
        <v>-8182.3909999999996</v>
      </c>
      <c r="AE178">
        <v>-8182.3909999999996</v>
      </c>
      <c r="AF178">
        <v>-844950.93949999998</v>
      </c>
    </row>
    <row r="179" spans="2:32" x14ac:dyDescent="0.25">
      <c r="B179">
        <f t="shared" si="6"/>
        <v>44</v>
      </c>
      <c r="C179">
        <v>1</v>
      </c>
      <c r="D179">
        <v>1</v>
      </c>
      <c r="E179">
        <v>1</v>
      </c>
      <c r="F179">
        <v>1</v>
      </c>
      <c r="G179">
        <v>1</v>
      </c>
      <c r="J179">
        <f t="shared" si="7"/>
        <v>44</v>
      </c>
      <c r="K179">
        <v>1</v>
      </c>
      <c r="L179">
        <v>1</v>
      </c>
      <c r="M179">
        <v>1</v>
      </c>
      <c r="N179">
        <v>1</v>
      </c>
      <c r="O179">
        <v>1</v>
      </c>
      <c r="R179">
        <f t="shared" si="8"/>
        <v>44</v>
      </c>
      <c r="S179">
        <v>1</v>
      </c>
      <c r="T179">
        <v>1</v>
      </c>
      <c r="U179">
        <v>1</v>
      </c>
      <c r="V179">
        <v>1</v>
      </c>
      <c r="W179">
        <v>1</v>
      </c>
      <c r="AA179">
        <v>-8069.8261000000002</v>
      </c>
      <c r="AB179">
        <v>-8069.8261000000002</v>
      </c>
      <c r="AC179">
        <v>-8069.8261000000002</v>
      </c>
      <c r="AD179">
        <v>-8069.8261000000002</v>
      </c>
      <c r="AE179">
        <v>-8069.8261000000002</v>
      </c>
      <c r="AF179">
        <v>-851265.64670000004</v>
      </c>
    </row>
    <row r="180" spans="2:32" x14ac:dyDescent="0.25">
      <c r="B180">
        <f t="shared" si="6"/>
        <v>45</v>
      </c>
      <c r="C180">
        <v>1</v>
      </c>
      <c r="D180">
        <v>1</v>
      </c>
      <c r="E180">
        <v>1</v>
      </c>
      <c r="F180">
        <v>1</v>
      </c>
      <c r="G180">
        <v>1</v>
      </c>
      <c r="J180">
        <f t="shared" si="7"/>
        <v>45</v>
      </c>
      <c r="K180">
        <v>1</v>
      </c>
      <c r="L180">
        <v>1</v>
      </c>
      <c r="M180">
        <v>1</v>
      </c>
      <c r="N180">
        <v>1</v>
      </c>
      <c r="O180">
        <v>1</v>
      </c>
      <c r="R180">
        <f t="shared" si="8"/>
        <v>45</v>
      </c>
      <c r="S180">
        <v>1</v>
      </c>
      <c r="T180">
        <v>1</v>
      </c>
      <c r="U180">
        <v>1</v>
      </c>
      <c r="V180">
        <v>1</v>
      </c>
      <c r="W180">
        <v>1</v>
      </c>
      <c r="AA180">
        <v>-7954.7533999999996</v>
      </c>
      <c r="AB180">
        <v>-7954.7533999999996</v>
      </c>
      <c r="AC180">
        <v>-7954.7533999999996</v>
      </c>
      <c r="AD180">
        <v>-7954.7533999999996</v>
      </c>
      <c r="AE180">
        <v>-7954.7533999999996</v>
      </c>
      <c r="AF180">
        <v>-870649.02139999997</v>
      </c>
    </row>
    <row r="181" spans="2:32" x14ac:dyDescent="0.25">
      <c r="B181">
        <f t="shared" si="6"/>
        <v>46</v>
      </c>
      <c r="C181">
        <v>1</v>
      </c>
      <c r="D181">
        <v>1</v>
      </c>
      <c r="E181">
        <v>1</v>
      </c>
      <c r="F181">
        <v>1</v>
      </c>
      <c r="G181">
        <v>1</v>
      </c>
      <c r="J181">
        <f t="shared" si="7"/>
        <v>46</v>
      </c>
      <c r="K181">
        <v>1</v>
      </c>
      <c r="L181">
        <v>1</v>
      </c>
      <c r="M181">
        <v>1</v>
      </c>
      <c r="N181">
        <v>1</v>
      </c>
      <c r="O181">
        <v>1</v>
      </c>
      <c r="R181">
        <f t="shared" si="8"/>
        <v>46</v>
      </c>
      <c r="S181">
        <v>1</v>
      </c>
      <c r="T181">
        <v>1</v>
      </c>
      <c r="U181">
        <v>1</v>
      </c>
      <c r="V181">
        <v>1</v>
      </c>
      <c r="W181">
        <v>1</v>
      </c>
      <c r="AA181">
        <v>-7837.1754000000001</v>
      </c>
      <c r="AB181">
        <v>-7837.1754000000001</v>
      </c>
      <c r="AC181">
        <v>-7837.1754000000001</v>
      </c>
      <c r="AD181">
        <v>-7837.1754000000001</v>
      </c>
      <c r="AE181">
        <v>-7837.1754000000001</v>
      </c>
      <c r="AF181">
        <v>-892550.54509999999</v>
      </c>
    </row>
    <row r="182" spans="2:32" x14ac:dyDescent="0.25">
      <c r="B182">
        <f t="shared" si="6"/>
        <v>47</v>
      </c>
      <c r="C182">
        <v>1</v>
      </c>
      <c r="D182">
        <v>1</v>
      </c>
      <c r="E182">
        <v>1</v>
      </c>
      <c r="F182">
        <v>1</v>
      </c>
      <c r="G182">
        <v>1</v>
      </c>
      <c r="J182">
        <f t="shared" si="7"/>
        <v>47</v>
      </c>
      <c r="K182">
        <v>1</v>
      </c>
      <c r="L182">
        <v>1</v>
      </c>
      <c r="M182">
        <v>1</v>
      </c>
      <c r="N182">
        <v>1</v>
      </c>
      <c r="O182">
        <v>1</v>
      </c>
      <c r="R182">
        <f t="shared" si="8"/>
        <v>47</v>
      </c>
      <c r="S182">
        <v>1</v>
      </c>
      <c r="T182">
        <v>1</v>
      </c>
      <c r="U182">
        <v>1</v>
      </c>
      <c r="V182">
        <v>1</v>
      </c>
      <c r="W182">
        <v>1</v>
      </c>
      <c r="AA182">
        <v>-7717.0294999999996</v>
      </c>
      <c r="AB182">
        <v>-7717.0294999999996</v>
      </c>
      <c r="AC182">
        <v>-7717.0294999999996</v>
      </c>
      <c r="AD182">
        <v>-7717.0294999999996</v>
      </c>
      <c r="AE182">
        <v>-7717.0294999999996</v>
      </c>
      <c r="AF182">
        <v>-910915.81969999999</v>
      </c>
    </row>
    <row r="183" spans="2:32" x14ac:dyDescent="0.25">
      <c r="B183">
        <f t="shared" si="6"/>
        <v>48</v>
      </c>
      <c r="C183">
        <v>1</v>
      </c>
      <c r="D183">
        <v>1</v>
      </c>
      <c r="E183">
        <v>1</v>
      </c>
      <c r="F183">
        <v>1</v>
      </c>
      <c r="G183">
        <v>1</v>
      </c>
      <c r="J183">
        <f t="shared" si="7"/>
        <v>48</v>
      </c>
      <c r="K183">
        <v>1</v>
      </c>
      <c r="L183">
        <v>1</v>
      </c>
      <c r="M183">
        <v>1</v>
      </c>
      <c r="N183">
        <v>1</v>
      </c>
      <c r="O183">
        <v>1</v>
      </c>
      <c r="R183">
        <f t="shared" si="8"/>
        <v>48</v>
      </c>
      <c r="S183">
        <v>1</v>
      </c>
      <c r="T183">
        <v>1</v>
      </c>
      <c r="U183">
        <v>1</v>
      </c>
      <c r="V183">
        <v>1</v>
      </c>
      <c r="W183">
        <v>1</v>
      </c>
      <c r="AA183">
        <v>-7594.4201000000003</v>
      </c>
      <c r="AB183">
        <v>-7594.4201000000003</v>
      </c>
      <c r="AC183">
        <v>-7594.4201000000003</v>
      </c>
      <c r="AD183">
        <v>-7594.4201000000003</v>
      </c>
      <c r="AE183">
        <v>-7594.4201000000003</v>
      </c>
      <c r="AF183">
        <v>-917891.87360000005</v>
      </c>
    </row>
    <row r="184" spans="2:32" x14ac:dyDescent="0.25">
      <c r="B184">
        <f t="shared" si="6"/>
        <v>49</v>
      </c>
      <c r="C184">
        <v>1</v>
      </c>
      <c r="D184">
        <v>1</v>
      </c>
      <c r="E184">
        <v>1</v>
      </c>
      <c r="F184">
        <v>1</v>
      </c>
      <c r="G184">
        <v>1</v>
      </c>
      <c r="J184">
        <f t="shared" si="7"/>
        <v>49</v>
      </c>
      <c r="K184">
        <v>1</v>
      </c>
      <c r="L184">
        <v>1</v>
      </c>
      <c r="M184">
        <v>1</v>
      </c>
      <c r="N184">
        <v>1</v>
      </c>
      <c r="O184">
        <v>1</v>
      </c>
      <c r="R184">
        <f t="shared" si="8"/>
        <v>49</v>
      </c>
      <c r="S184">
        <v>1</v>
      </c>
      <c r="T184">
        <v>1</v>
      </c>
      <c r="U184">
        <v>1</v>
      </c>
      <c r="V184">
        <v>1</v>
      </c>
      <c r="W184">
        <v>1</v>
      </c>
      <c r="AA184">
        <v>-7469.3995999999997</v>
      </c>
      <c r="AB184">
        <v>-7469.3995999999997</v>
      </c>
      <c r="AC184">
        <v>-7469.3995999999997</v>
      </c>
      <c r="AD184">
        <v>-7469.3995999999997</v>
      </c>
      <c r="AE184">
        <v>-7469.3995999999997</v>
      </c>
      <c r="AF184">
        <v>-944521.72470000002</v>
      </c>
    </row>
    <row r="185" spans="2:32" x14ac:dyDescent="0.25">
      <c r="B185">
        <f t="shared" si="6"/>
        <v>50</v>
      </c>
      <c r="C185">
        <v>1</v>
      </c>
      <c r="D185">
        <v>1</v>
      </c>
      <c r="E185">
        <v>1</v>
      </c>
      <c r="F185">
        <v>1</v>
      </c>
      <c r="G185">
        <v>1</v>
      </c>
      <c r="J185">
        <f t="shared" si="7"/>
        <v>50</v>
      </c>
      <c r="K185">
        <v>1</v>
      </c>
      <c r="L185">
        <v>1</v>
      </c>
      <c r="M185">
        <v>1</v>
      </c>
      <c r="N185">
        <v>1</v>
      </c>
      <c r="O185">
        <v>1</v>
      </c>
      <c r="R185">
        <f t="shared" si="8"/>
        <v>50</v>
      </c>
      <c r="S185">
        <v>1</v>
      </c>
      <c r="T185">
        <v>1</v>
      </c>
      <c r="U185">
        <v>1</v>
      </c>
      <c r="V185">
        <v>1</v>
      </c>
      <c r="W185">
        <v>1</v>
      </c>
      <c r="AA185">
        <v>-7341.9502000000002</v>
      </c>
      <c r="AB185">
        <v>-7341.9502000000002</v>
      </c>
      <c r="AC185">
        <v>-7341.9502000000002</v>
      </c>
      <c r="AD185">
        <v>-7341.9502000000002</v>
      </c>
      <c r="AE185">
        <v>-7341.9502000000002</v>
      </c>
      <c r="AF185">
        <v>-963257.14989999996</v>
      </c>
    </row>
    <row r="186" spans="2:32" x14ac:dyDescent="0.25">
      <c r="B186">
        <f t="shared" si="6"/>
        <v>51</v>
      </c>
      <c r="C186">
        <v>1</v>
      </c>
      <c r="D186">
        <v>1</v>
      </c>
      <c r="E186">
        <v>1</v>
      </c>
      <c r="F186">
        <v>1</v>
      </c>
      <c r="G186">
        <v>1</v>
      </c>
      <c r="J186">
        <f t="shared" si="7"/>
        <v>51</v>
      </c>
      <c r="K186">
        <v>1</v>
      </c>
      <c r="L186">
        <v>1</v>
      </c>
      <c r="M186">
        <v>1</v>
      </c>
      <c r="N186">
        <v>1</v>
      </c>
      <c r="O186">
        <v>1</v>
      </c>
      <c r="R186">
        <f t="shared" si="8"/>
        <v>51</v>
      </c>
      <c r="S186">
        <v>1</v>
      </c>
      <c r="T186">
        <v>1</v>
      </c>
      <c r="U186">
        <v>1</v>
      </c>
      <c r="V186">
        <v>1</v>
      </c>
      <c r="W186">
        <v>1</v>
      </c>
      <c r="AA186">
        <v>-7212.0646999999999</v>
      </c>
      <c r="AB186">
        <v>-7212.0646999999999</v>
      </c>
      <c r="AC186">
        <v>-7212.0646999999999</v>
      </c>
      <c r="AD186">
        <v>-7212.0646999999999</v>
      </c>
      <c r="AE186">
        <v>-7212.0646999999999</v>
      </c>
      <c r="AF186">
        <v>-981592.90729999996</v>
      </c>
    </row>
    <row r="187" spans="2:32" x14ac:dyDescent="0.25">
      <c r="B187">
        <f t="shared" si="6"/>
        <v>52</v>
      </c>
      <c r="C187">
        <v>1</v>
      </c>
      <c r="D187">
        <v>1</v>
      </c>
      <c r="E187">
        <v>1</v>
      </c>
      <c r="F187">
        <v>1</v>
      </c>
      <c r="G187">
        <v>1</v>
      </c>
      <c r="J187">
        <f t="shared" si="7"/>
        <v>52</v>
      </c>
      <c r="K187">
        <v>1</v>
      </c>
      <c r="L187">
        <v>1</v>
      </c>
      <c r="M187">
        <v>1</v>
      </c>
      <c r="N187">
        <v>1</v>
      </c>
      <c r="O187">
        <v>1</v>
      </c>
      <c r="R187">
        <f t="shared" si="8"/>
        <v>52</v>
      </c>
      <c r="S187">
        <v>1</v>
      </c>
      <c r="T187">
        <v>1</v>
      </c>
      <c r="U187">
        <v>1</v>
      </c>
      <c r="V187">
        <v>1</v>
      </c>
      <c r="W187">
        <v>1</v>
      </c>
      <c r="AA187">
        <v>-7079.7435999999998</v>
      </c>
      <c r="AB187">
        <v>-7079.7435999999998</v>
      </c>
      <c r="AC187">
        <v>-7079.7435999999998</v>
      </c>
      <c r="AD187">
        <v>-7079.7435999999998</v>
      </c>
      <c r="AE187">
        <v>-7079.7435999999998</v>
      </c>
      <c r="AF187">
        <v>-998556.10360000003</v>
      </c>
    </row>
    <row r="188" spans="2:32" x14ac:dyDescent="0.25">
      <c r="B188">
        <f t="shared" si="6"/>
        <v>53</v>
      </c>
      <c r="C188">
        <v>1</v>
      </c>
      <c r="D188">
        <v>1</v>
      </c>
      <c r="E188">
        <v>1</v>
      </c>
      <c r="F188">
        <v>1</v>
      </c>
      <c r="G188">
        <v>1</v>
      </c>
      <c r="J188">
        <f t="shared" si="7"/>
        <v>53</v>
      </c>
      <c r="K188">
        <v>1</v>
      </c>
      <c r="L188">
        <v>1</v>
      </c>
      <c r="M188">
        <v>1</v>
      </c>
      <c r="N188">
        <v>1</v>
      </c>
      <c r="O188">
        <v>1</v>
      </c>
      <c r="R188">
        <f t="shared" si="8"/>
        <v>53</v>
      </c>
      <c r="S188">
        <v>1</v>
      </c>
      <c r="T188">
        <v>1</v>
      </c>
      <c r="U188">
        <v>1</v>
      </c>
      <c r="V188">
        <v>1</v>
      </c>
      <c r="W188">
        <v>1</v>
      </c>
      <c r="AA188">
        <v>-6945.0875999999998</v>
      </c>
      <c r="AB188">
        <v>-6945.0875999999998</v>
      </c>
      <c r="AC188">
        <v>-6945.0875999999998</v>
      </c>
      <c r="AD188">
        <v>-6945.0875999999998</v>
      </c>
      <c r="AE188">
        <v>-6945.0875999999998</v>
      </c>
      <c r="AF188">
        <v>-1015461.3278</v>
      </c>
    </row>
    <row r="189" spans="2:32" x14ac:dyDescent="0.25">
      <c r="B189">
        <f t="shared" si="6"/>
        <v>54</v>
      </c>
      <c r="C189">
        <v>1</v>
      </c>
      <c r="D189">
        <v>1</v>
      </c>
      <c r="E189">
        <v>1</v>
      </c>
      <c r="F189">
        <v>1</v>
      </c>
      <c r="G189">
        <v>1</v>
      </c>
      <c r="J189">
        <f t="shared" si="7"/>
        <v>54</v>
      </c>
      <c r="K189">
        <v>1</v>
      </c>
      <c r="L189">
        <v>1</v>
      </c>
      <c r="M189">
        <v>1</v>
      </c>
      <c r="N189">
        <v>1</v>
      </c>
      <c r="O189">
        <v>1</v>
      </c>
      <c r="R189">
        <f t="shared" si="8"/>
        <v>54</v>
      </c>
      <c r="S189">
        <v>1</v>
      </c>
      <c r="T189">
        <v>1</v>
      </c>
      <c r="U189">
        <v>1</v>
      </c>
      <c r="V189">
        <v>1</v>
      </c>
      <c r="W189">
        <v>1</v>
      </c>
      <c r="AA189">
        <v>-6808.2438000000002</v>
      </c>
      <c r="AB189">
        <v>-6808.2438000000002</v>
      </c>
      <c r="AC189">
        <v>-6808.2438000000002</v>
      </c>
      <c r="AD189">
        <v>-6808.2438000000002</v>
      </c>
      <c r="AE189">
        <v>-6808.2438000000002</v>
      </c>
      <c r="AF189">
        <v>-1033869.6813000001</v>
      </c>
    </row>
    <row r="190" spans="2:32" x14ac:dyDescent="0.25">
      <c r="B190">
        <f t="shared" si="6"/>
        <v>55</v>
      </c>
      <c r="C190">
        <v>1</v>
      </c>
      <c r="D190">
        <v>1</v>
      </c>
      <c r="E190">
        <v>1</v>
      </c>
      <c r="F190">
        <v>1</v>
      </c>
      <c r="G190">
        <v>1</v>
      </c>
      <c r="J190">
        <f t="shared" si="7"/>
        <v>55</v>
      </c>
      <c r="K190">
        <v>1</v>
      </c>
      <c r="L190">
        <v>1</v>
      </c>
      <c r="M190">
        <v>1</v>
      </c>
      <c r="N190">
        <v>1</v>
      </c>
      <c r="O190">
        <v>1</v>
      </c>
      <c r="R190">
        <f t="shared" si="8"/>
        <v>55</v>
      </c>
      <c r="S190">
        <v>1</v>
      </c>
      <c r="T190">
        <v>1</v>
      </c>
      <c r="U190">
        <v>1</v>
      </c>
      <c r="V190">
        <v>1</v>
      </c>
      <c r="W190">
        <v>1</v>
      </c>
      <c r="AA190">
        <v>-6669.2525999999998</v>
      </c>
      <c r="AB190">
        <v>-6669.2525999999998</v>
      </c>
      <c r="AC190">
        <v>-6669.2525999999998</v>
      </c>
      <c r="AD190">
        <v>-6669.2525999999998</v>
      </c>
      <c r="AE190">
        <v>-6669.2525999999998</v>
      </c>
      <c r="AF190">
        <v>-1050810.2549999999</v>
      </c>
    </row>
    <row r="191" spans="2:32" x14ac:dyDescent="0.25">
      <c r="B191">
        <f t="shared" si="6"/>
        <v>56</v>
      </c>
      <c r="C191">
        <v>1</v>
      </c>
      <c r="D191">
        <v>1</v>
      </c>
      <c r="E191">
        <v>1</v>
      </c>
      <c r="F191">
        <v>1</v>
      </c>
      <c r="G191">
        <v>1</v>
      </c>
      <c r="J191">
        <f t="shared" si="7"/>
        <v>56</v>
      </c>
      <c r="K191">
        <v>1</v>
      </c>
      <c r="L191">
        <v>1</v>
      </c>
      <c r="M191">
        <v>1</v>
      </c>
      <c r="N191">
        <v>1</v>
      </c>
      <c r="O191">
        <v>1</v>
      </c>
      <c r="R191">
        <f t="shared" si="8"/>
        <v>56</v>
      </c>
      <c r="S191">
        <v>1</v>
      </c>
      <c r="T191">
        <v>1</v>
      </c>
      <c r="U191">
        <v>1</v>
      </c>
      <c r="V191">
        <v>1</v>
      </c>
      <c r="W191">
        <v>1</v>
      </c>
      <c r="AA191">
        <v>-6528.2992000000004</v>
      </c>
      <c r="AB191">
        <v>-6528.2992000000004</v>
      </c>
      <c r="AC191">
        <v>-6528.2992000000004</v>
      </c>
      <c r="AD191">
        <v>-6528.2992000000004</v>
      </c>
      <c r="AE191">
        <v>-6528.2992000000004</v>
      </c>
      <c r="AF191">
        <v>-1073295.8774000001</v>
      </c>
    </row>
    <row r="192" spans="2:32" x14ac:dyDescent="0.25">
      <c r="B192">
        <f t="shared" si="6"/>
        <v>57</v>
      </c>
      <c r="C192">
        <v>1</v>
      </c>
      <c r="D192">
        <v>1</v>
      </c>
      <c r="E192">
        <v>1</v>
      </c>
      <c r="F192">
        <v>1</v>
      </c>
      <c r="G192">
        <v>1</v>
      </c>
      <c r="J192">
        <f t="shared" si="7"/>
        <v>57</v>
      </c>
      <c r="K192">
        <v>1</v>
      </c>
      <c r="L192">
        <v>1</v>
      </c>
      <c r="M192">
        <v>1</v>
      </c>
      <c r="N192">
        <v>1</v>
      </c>
      <c r="O192">
        <v>1</v>
      </c>
      <c r="R192">
        <f t="shared" si="8"/>
        <v>57</v>
      </c>
      <c r="S192">
        <v>1</v>
      </c>
      <c r="T192">
        <v>1</v>
      </c>
      <c r="U192">
        <v>1</v>
      </c>
      <c r="V192">
        <v>1</v>
      </c>
      <c r="W192">
        <v>1</v>
      </c>
      <c r="AA192">
        <v>-6385.5230000000001</v>
      </c>
      <c r="AB192">
        <v>-6385.5230000000001</v>
      </c>
      <c r="AC192">
        <v>-6385.5230000000001</v>
      </c>
      <c r="AD192">
        <v>-6385.5230000000001</v>
      </c>
      <c r="AE192">
        <v>-6385.5230000000001</v>
      </c>
      <c r="AF192">
        <v>-1093242.6832999999</v>
      </c>
    </row>
    <row r="193" spans="2:32" x14ac:dyDescent="0.25">
      <c r="B193">
        <f t="shared" si="6"/>
        <v>58</v>
      </c>
      <c r="C193">
        <v>1</v>
      </c>
      <c r="D193">
        <v>1</v>
      </c>
      <c r="E193">
        <v>1</v>
      </c>
      <c r="F193">
        <v>1</v>
      </c>
      <c r="G193">
        <v>1</v>
      </c>
      <c r="J193">
        <f t="shared" si="7"/>
        <v>58</v>
      </c>
      <c r="K193">
        <v>1</v>
      </c>
      <c r="L193">
        <v>1</v>
      </c>
      <c r="M193">
        <v>1</v>
      </c>
      <c r="N193">
        <v>1</v>
      </c>
      <c r="O193">
        <v>1</v>
      </c>
      <c r="R193">
        <f t="shared" si="8"/>
        <v>58</v>
      </c>
      <c r="S193">
        <v>1</v>
      </c>
      <c r="T193">
        <v>1</v>
      </c>
      <c r="U193">
        <v>1</v>
      </c>
      <c r="V193">
        <v>1</v>
      </c>
      <c r="W193">
        <v>1</v>
      </c>
      <c r="AA193">
        <v>-6240.8730999999998</v>
      </c>
      <c r="AB193">
        <v>-6240.8730999999998</v>
      </c>
      <c r="AC193">
        <v>-6240.8730999999998</v>
      </c>
      <c r="AD193">
        <v>-6240.8730999999998</v>
      </c>
      <c r="AE193">
        <v>-6240.8730999999998</v>
      </c>
      <c r="AF193">
        <v>-1114366.6444000001</v>
      </c>
    </row>
    <row r="194" spans="2:32" x14ac:dyDescent="0.25">
      <c r="B194">
        <f t="shared" si="6"/>
        <v>59</v>
      </c>
      <c r="C194">
        <v>1</v>
      </c>
      <c r="D194">
        <v>1</v>
      </c>
      <c r="E194">
        <v>1</v>
      </c>
      <c r="F194">
        <v>1</v>
      </c>
      <c r="G194">
        <v>1</v>
      </c>
      <c r="J194">
        <f t="shared" si="7"/>
        <v>59</v>
      </c>
      <c r="K194">
        <v>1</v>
      </c>
      <c r="L194">
        <v>1</v>
      </c>
      <c r="M194">
        <v>1</v>
      </c>
      <c r="N194">
        <v>1</v>
      </c>
      <c r="O194">
        <v>1</v>
      </c>
      <c r="R194">
        <f t="shared" si="8"/>
        <v>59</v>
      </c>
      <c r="S194">
        <v>1</v>
      </c>
      <c r="T194">
        <v>1</v>
      </c>
      <c r="U194">
        <v>1</v>
      </c>
      <c r="V194">
        <v>1</v>
      </c>
      <c r="W194">
        <v>1</v>
      </c>
      <c r="AA194">
        <v>-6094.3262999999997</v>
      </c>
      <c r="AB194">
        <v>-6094.3262999999997</v>
      </c>
      <c r="AC194">
        <v>-6094.3262999999997</v>
      </c>
      <c r="AD194">
        <v>-6094.3262999999997</v>
      </c>
      <c r="AE194">
        <v>-6094.3262999999997</v>
      </c>
      <c r="AF194">
        <v>-1136284.0146999999</v>
      </c>
    </row>
    <row r="195" spans="2:32" x14ac:dyDescent="0.25">
      <c r="B195">
        <f t="shared" si="6"/>
        <v>60</v>
      </c>
      <c r="C195">
        <v>1</v>
      </c>
      <c r="D195">
        <v>1</v>
      </c>
      <c r="E195">
        <v>1</v>
      </c>
      <c r="F195">
        <v>1</v>
      </c>
      <c r="G195">
        <v>1</v>
      </c>
      <c r="J195">
        <f t="shared" si="7"/>
        <v>60</v>
      </c>
      <c r="K195">
        <v>1</v>
      </c>
      <c r="L195">
        <v>1</v>
      </c>
      <c r="M195">
        <v>1</v>
      </c>
      <c r="N195">
        <v>1</v>
      </c>
      <c r="O195">
        <v>1</v>
      </c>
      <c r="R195">
        <f t="shared" si="8"/>
        <v>60</v>
      </c>
      <c r="S195">
        <v>1</v>
      </c>
      <c r="T195">
        <v>1</v>
      </c>
      <c r="U195">
        <v>1</v>
      </c>
      <c r="V195">
        <v>1</v>
      </c>
      <c r="W195">
        <v>1</v>
      </c>
      <c r="AA195">
        <v>-5945.9960000000001</v>
      </c>
      <c r="AB195">
        <v>-5945.9960000000001</v>
      </c>
      <c r="AC195">
        <v>-5945.9960000000001</v>
      </c>
      <c r="AD195">
        <v>-5945.9960000000001</v>
      </c>
      <c r="AE195">
        <v>-5945.9960000000001</v>
      </c>
      <c r="AF195">
        <v>-1157801.6717999999</v>
      </c>
    </row>
    <row r="196" spans="2:32" x14ac:dyDescent="0.25">
      <c r="B196">
        <f t="shared" si="6"/>
        <v>61</v>
      </c>
      <c r="C196">
        <v>1</v>
      </c>
      <c r="D196">
        <v>1</v>
      </c>
      <c r="E196">
        <v>1</v>
      </c>
      <c r="F196">
        <v>1</v>
      </c>
      <c r="G196">
        <v>1</v>
      </c>
      <c r="J196">
        <f t="shared" si="7"/>
        <v>61</v>
      </c>
      <c r="K196">
        <v>1</v>
      </c>
      <c r="L196">
        <v>1</v>
      </c>
      <c r="M196">
        <v>1</v>
      </c>
      <c r="N196">
        <v>1</v>
      </c>
      <c r="O196">
        <v>1</v>
      </c>
      <c r="R196">
        <f t="shared" si="8"/>
        <v>61</v>
      </c>
      <c r="S196">
        <v>1</v>
      </c>
      <c r="T196">
        <v>1</v>
      </c>
      <c r="U196">
        <v>1</v>
      </c>
      <c r="V196">
        <v>1</v>
      </c>
      <c r="W196">
        <v>1</v>
      </c>
      <c r="AA196">
        <v>-5796.3015999999998</v>
      </c>
      <c r="AB196">
        <v>-5796.3015999999998</v>
      </c>
      <c r="AC196">
        <v>-5796.3015999999998</v>
      </c>
      <c r="AD196">
        <v>-5796.3015999999998</v>
      </c>
      <c r="AE196">
        <v>-5796.3015999999998</v>
      </c>
      <c r="AF196">
        <v>-1178581.4038</v>
      </c>
    </row>
    <row r="197" spans="2:32" x14ac:dyDescent="0.25">
      <c r="B197">
        <f t="shared" si="6"/>
        <v>62</v>
      </c>
      <c r="C197">
        <v>1</v>
      </c>
      <c r="D197">
        <v>1</v>
      </c>
      <c r="E197">
        <v>1</v>
      </c>
      <c r="F197">
        <v>1</v>
      </c>
      <c r="G197">
        <v>1</v>
      </c>
      <c r="J197">
        <f t="shared" si="7"/>
        <v>62</v>
      </c>
      <c r="K197">
        <v>1</v>
      </c>
      <c r="L197">
        <v>1</v>
      </c>
      <c r="M197">
        <v>1</v>
      </c>
      <c r="N197">
        <v>1</v>
      </c>
      <c r="O197">
        <v>1</v>
      </c>
      <c r="R197">
        <f t="shared" si="8"/>
        <v>62</v>
      </c>
      <c r="S197">
        <v>1</v>
      </c>
      <c r="T197">
        <v>1</v>
      </c>
      <c r="U197">
        <v>1</v>
      </c>
      <c r="V197">
        <v>1</v>
      </c>
      <c r="W197">
        <v>1</v>
      </c>
      <c r="AA197">
        <v>-5645.2415000000001</v>
      </c>
      <c r="AB197">
        <v>-5645.2415000000001</v>
      </c>
      <c r="AC197">
        <v>-5645.2415000000001</v>
      </c>
      <c r="AD197">
        <v>-5645.2415000000001</v>
      </c>
      <c r="AE197">
        <v>-5645.2415000000001</v>
      </c>
      <c r="AF197">
        <v>-1199521.5327000001</v>
      </c>
    </row>
    <row r="198" spans="2:32" x14ac:dyDescent="0.25">
      <c r="B198">
        <f t="shared" si="6"/>
        <v>63</v>
      </c>
      <c r="C198">
        <v>1</v>
      </c>
      <c r="D198">
        <v>1</v>
      </c>
      <c r="E198">
        <v>1</v>
      </c>
      <c r="F198">
        <v>1</v>
      </c>
      <c r="G198">
        <v>1</v>
      </c>
      <c r="J198">
        <f t="shared" si="7"/>
        <v>63</v>
      </c>
      <c r="K198">
        <v>1</v>
      </c>
      <c r="L198">
        <v>1</v>
      </c>
      <c r="M198">
        <v>1</v>
      </c>
      <c r="N198">
        <v>1</v>
      </c>
      <c r="O198">
        <v>1</v>
      </c>
      <c r="R198">
        <f t="shared" si="8"/>
        <v>63</v>
      </c>
      <c r="S198">
        <v>1</v>
      </c>
      <c r="T198">
        <v>1</v>
      </c>
      <c r="U198">
        <v>1</v>
      </c>
      <c r="V198">
        <v>1</v>
      </c>
      <c r="W198">
        <v>1</v>
      </c>
      <c r="AA198">
        <v>-5492.4920000000002</v>
      </c>
      <c r="AB198">
        <v>-5492.4920000000002</v>
      </c>
      <c r="AC198">
        <v>-5492.4920000000002</v>
      </c>
      <c r="AD198">
        <v>-5492.4920000000002</v>
      </c>
      <c r="AE198">
        <v>-5492.4920000000002</v>
      </c>
      <c r="AF198">
        <v>-1220461.6269</v>
      </c>
    </row>
    <row r="199" spans="2:32" x14ac:dyDescent="0.25">
      <c r="B199">
        <f t="shared" si="6"/>
        <v>64</v>
      </c>
      <c r="C199">
        <v>1</v>
      </c>
      <c r="D199">
        <v>1</v>
      </c>
      <c r="E199">
        <v>1</v>
      </c>
      <c r="F199">
        <v>1</v>
      </c>
      <c r="G199">
        <v>1</v>
      </c>
      <c r="J199">
        <f t="shared" si="7"/>
        <v>64</v>
      </c>
      <c r="K199">
        <v>1</v>
      </c>
      <c r="L199">
        <v>1</v>
      </c>
      <c r="M199">
        <v>1</v>
      </c>
      <c r="N199">
        <v>1</v>
      </c>
      <c r="O199">
        <v>1</v>
      </c>
      <c r="R199">
        <f t="shared" si="8"/>
        <v>64</v>
      </c>
      <c r="S199">
        <v>1</v>
      </c>
      <c r="T199">
        <v>1</v>
      </c>
      <c r="U199">
        <v>1</v>
      </c>
      <c r="V199">
        <v>1</v>
      </c>
      <c r="W199">
        <v>1</v>
      </c>
      <c r="AA199">
        <v>-5338.1817000000001</v>
      </c>
      <c r="AB199">
        <v>-5338.1817000000001</v>
      </c>
      <c r="AC199">
        <v>-5338.1817000000001</v>
      </c>
      <c r="AD199">
        <v>-5338.1817000000001</v>
      </c>
      <c r="AE199">
        <v>-5338.1817000000001</v>
      </c>
      <c r="AF199">
        <v>-1240652.2526</v>
      </c>
    </row>
    <row r="200" spans="2:32" x14ac:dyDescent="0.25">
      <c r="B200">
        <f t="shared" si="6"/>
        <v>65</v>
      </c>
      <c r="C200">
        <v>1</v>
      </c>
      <c r="D200">
        <v>1</v>
      </c>
      <c r="E200">
        <v>1</v>
      </c>
      <c r="F200">
        <v>1</v>
      </c>
      <c r="G200">
        <v>1</v>
      </c>
      <c r="J200">
        <f t="shared" si="7"/>
        <v>65</v>
      </c>
      <c r="K200">
        <v>1</v>
      </c>
      <c r="L200">
        <v>1</v>
      </c>
      <c r="M200">
        <v>1</v>
      </c>
      <c r="N200">
        <v>1</v>
      </c>
      <c r="O200">
        <v>1</v>
      </c>
      <c r="R200">
        <f t="shared" si="8"/>
        <v>65</v>
      </c>
      <c r="S200">
        <v>1</v>
      </c>
      <c r="T200">
        <v>1</v>
      </c>
      <c r="U200">
        <v>1</v>
      </c>
      <c r="V200">
        <v>1</v>
      </c>
      <c r="W200">
        <v>1</v>
      </c>
      <c r="AA200">
        <v>-5182.2268999999997</v>
      </c>
      <c r="AB200">
        <v>-5182.2268999999997</v>
      </c>
      <c r="AC200">
        <v>-5182.2268999999997</v>
      </c>
      <c r="AD200">
        <v>-5182.2268999999997</v>
      </c>
      <c r="AE200">
        <v>-5182.2268999999997</v>
      </c>
      <c r="AF200">
        <v>-1260049.8302</v>
      </c>
    </row>
    <row r="203" spans="2:32" x14ac:dyDescent="0.25">
      <c r="B203" t="s">
        <v>46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47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48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2:32" x14ac:dyDescent="0.25">
      <c r="B204">
        <v>26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J204">
        <v>26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R204">
        <v>26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AA204">
        <v>-5174.8482999999997</v>
      </c>
      <c r="AB204">
        <v>-5174.8482999999997</v>
      </c>
      <c r="AC204">
        <v>-5174.8482999999997</v>
      </c>
      <c r="AD204">
        <v>-5174.8482999999997</v>
      </c>
      <c r="AE204">
        <v>-5174.8482999999997</v>
      </c>
      <c r="AF204">
        <v>-5174.8482999999997</v>
      </c>
    </row>
    <row r="205" spans="2:32" x14ac:dyDescent="0.25">
      <c r="B205">
        <v>27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J205">
        <v>27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R205">
        <v>27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AA205">
        <v>-5173.6036999999997</v>
      </c>
      <c r="AB205">
        <v>-5173.6036999999997</v>
      </c>
      <c r="AC205">
        <v>-5173.6036999999997</v>
      </c>
      <c r="AD205">
        <v>-5173.6036999999997</v>
      </c>
      <c r="AE205">
        <v>-5173.6036999999997</v>
      </c>
      <c r="AF205">
        <v>-5173.6036999999997</v>
      </c>
    </row>
    <row r="206" spans="2:32" x14ac:dyDescent="0.25">
      <c r="B206">
        <v>28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J206">
        <v>28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R206">
        <v>28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AA206">
        <v>-5172.1755999999996</v>
      </c>
      <c r="AB206">
        <v>-5172.1755999999996</v>
      </c>
      <c r="AC206">
        <v>-5172.1755999999996</v>
      </c>
      <c r="AD206">
        <v>-5172.1755999999996</v>
      </c>
      <c r="AE206">
        <v>-5172.1755999999996</v>
      </c>
      <c r="AF206">
        <v>-5172.1755999999996</v>
      </c>
    </row>
    <row r="207" spans="2:32" x14ac:dyDescent="0.25">
      <c r="B207">
        <v>29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J207">
        <v>29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R207">
        <v>29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AA207">
        <v>-5170.5482000000002</v>
      </c>
      <c r="AB207">
        <v>-5170.5482000000002</v>
      </c>
      <c r="AC207">
        <v>-5170.5482000000002</v>
      </c>
      <c r="AD207">
        <v>-5170.5482000000002</v>
      </c>
      <c r="AE207">
        <v>-5170.5482000000002</v>
      </c>
      <c r="AF207">
        <v>-5170.5482000000002</v>
      </c>
    </row>
    <row r="208" spans="2:32" x14ac:dyDescent="0.25">
      <c r="B208">
        <v>30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J208">
        <v>30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R208">
        <v>30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AA208">
        <v>-5168.6908999999996</v>
      </c>
      <c r="AB208">
        <v>-5168.6908999999996</v>
      </c>
      <c r="AC208">
        <v>-5168.6908999999996</v>
      </c>
      <c r="AD208">
        <v>-5168.6908999999996</v>
      </c>
      <c r="AE208">
        <v>-5168.6908999999996</v>
      </c>
      <c r="AF208">
        <v>-5168.6908999999996</v>
      </c>
    </row>
    <row r="209" spans="2:32" x14ac:dyDescent="0.25">
      <c r="B209">
        <v>31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J209">
        <v>31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R209">
        <v>31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AA209">
        <v>-5166.5891000000001</v>
      </c>
      <c r="AB209">
        <v>-5166.5891000000001</v>
      </c>
      <c r="AC209">
        <v>-5166.5891000000001</v>
      </c>
      <c r="AD209">
        <v>-5166.5891000000001</v>
      </c>
      <c r="AE209">
        <v>-5166.5891000000001</v>
      </c>
      <c r="AF209">
        <v>-5166.5891000000001</v>
      </c>
    </row>
    <row r="210" spans="2:32" x14ac:dyDescent="0.25">
      <c r="B210">
        <v>32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J210">
        <v>32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R210">
        <v>32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AA210">
        <v>-5164.2407000000003</v>
      </c>
      <c r="AB210">
        <v>-5164.2407000000003</v>
      </c>
      <c r="AC210">
        <v>-5164.2407000000003</v>
      </c>
      <c r="AD210">
        <v>-5164.2407000000003</v>
      </c>
      <c r="AE210">
        <v>-5164.2407000000003</v>
      </c>
      <c r="AF210">
        <v>-5164.2407000000003</v>
      </c>
    </row>
    <row r="211" spans="2:32" x14ac:dyDescent="0.25">
      <c r="B211">
        <v>33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J211">
        <v>33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R211">
        <v>33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AA211">
        <v>-5161.6318000000001</v>
      </c>
      <c r="AB211">
        <v>-5161.6318000000001</v>
      </c>
      <c r="AC211">
        <v>-5161.6318000000001</v>
      </c>
      <c r="AD211">
        <v>-5161.6318000000001</v>
      </c>
      <c r="AE211">
        <v>-5161.6318000000001</v>
      </c>
      <c r="AF211">
        <v>-5161.6318000000001</v>
      </c>
    </row>
    <row r="212" spans="2:32" x14ac:dyDescent="0.25">
      <c r="B212">
        <v>34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J212">
        <v>34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R212">
        <v>34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AA212">
        <v>-5158.7194</v>
      </c>
      <c r="AB212">
        <v>-5158.7194</v>
      </c>
      <c r="AC212">
        <v>-5158.7194</v>
      </c>
      <c r="AD212">
        <v>-5158.7194</v>
      </c>
      <c r="AE212">
        <v>-5158.7194</v>
      </c>
      <c r="AF212">
        <v>-5158.7194</v>
      </c>
    </row>
    <row r="213" spans="2:32" x14ac:dyDescent="0.25">
      <c r="B213">
        <v>35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J213">
        <v>35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R213">
        <v>35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AA213">
        <v>-5155.4901</v>
      </c>
      <c r="AB213">
        <v>-5155.4901</v>
      </c>
      <c r="AC213">
        <v>-5155.4901</v>
      </c>
      <c r="AD213">
        <v>-5155.4901</v>
      </c>
      <c r="AE213">
        <v>-5155.4901</v>
      </c>
      <c r="AF213">
        <v>-5155.4901</v>
      </c>
    </row>
    <row r="214" spans="2:32" x14ac:dyDescent="0.25">
      <c r="B214">
        <v>36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J214">
        <v>36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R214">
        <v>36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AA214">
        <v>-5151.8950999999997</v>
      </c>
      <c r="AB214">
        <v>-5151.8950999999997</v>
      </c>
      <c r="AC214">
        <v>-5151.8950999999997</v>
      </c>
      <c r="AD214">
        <v>-5151.8950999999997</v>
      </c>
      <c r="AE214">
        <v>-5151.8950999999997</v>
      </c>
      <c r="AF214">
        <v>-5151.8950999999997</v>
      </c>
    </row>
    <row r="215" spans="2:32" x14ac:dyDescent="0.25">
      <c r="B215">
        <v>37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J215">
        <v>37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R215">
        <v>37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AA215">
        <v>-5147.9106000000002</v>
      </c>
      <c r="AB215">
        <v>-5147.9106000000002</v>
      </c>
      <c r="AC215">
        <v>-5147.9106000000002</v>
      </c>
      <c r="AD215">
        <v>-5147.9106000000002</v>
      </c>
      <c r="AE215">
        <v>-5147.9106000000002</v>
      </c>
      <c r="AF215">
        <v>-5147.9106000000002</v>
      </c>
    </row>
    <row r="216" spans="2:32" x14ac:dyDescent="0.25">
      <c r="B216">
        <v>38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J216">
        <v>38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R216">
        <v>38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AA216">
        <v>-5143.5393999999997</v>
      </c>
      <c r="AB216">
        <v>-5143.5393999999997</v>
      </c>
      <c r="AC216">
        <v>-5143.5393999999997</v>
      </c>
      <c r="AD216">
        <v>-5143.5393999999997</v>
      </c>
      <c r="AE216">
        <v>-5143.5393999999997</v>
      </c>
      <c r="AF216">
        <v>-5143.5393999999997</v>
      </c>
    </row>
    <row r="217" spans="2:32" x14ac:dyDescent="0.25">
      <c r="B217">
        <v>39</v>
      </c>
      <c r="C217">
        <v>1</v>
      </c>
      <c r="D217">
        <v>1</v>
      </c>
      <c r="E217">
        <v>1</v>
      </c>
      <c r="F217">
        <v>1</v>
      </c>
      <c r="G217">
        <v>1</v>
      </c>
      <c r="H217">
        <v>1</v>
      </c>
      <c r="J217">
        <v>39</v>
      </c>
      <c r="K217">
        <v>1</v>
      </c>
      <c r="L217">
        <v>1</v>
      </c>
      <c r="M217">
        <v>1</v>
      </c>
      <c r="N217">
        <v>1</v>
      </c>
      <c r="O217">
        <v>1</v>
      </c>
      <c r="P217">
        <v>1</v>
      </c>
      <c r="R217">
        <v>39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AA217">
        <v>-5138.76</v>
      </c>
      <c r="AB217">
        <v>-5138.76</v>
      </c>
      <c r="AC217">
        <v>-5138.76</v>
      </c>
      <c r="AD217">
        <v>-5138.76</v>
      </c>
      <c r="AE217">
        <v>-5138.76</v>
      </c>
      <c r="AF217">
        <v>-5138.76</v>
      </c>
    </row>
    <row r="218" spans="2:32" x14ac:dyDescent="0.25">
      <c r="B218">
        <v>40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1</v>
      </c>
      <c r="J218">
        <v>40</v>
      </c>
      <c r="K218">
        <v>1</v>
      </c>
      <c r="L218">
        <v>1</v>
      </c>
      <c r="M218">
        <v>1</v>
      </c>
      <c r="N218">
        <v>1</v>
      </c>
      <c r="O218">
        <v>1</v>
      </c>
      <c r="P218">
        <v>1</v>
      </c>
      <c r="R218">
        <v>40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AA218">
        <v>-5133.5084999999999</v>
      </c>
      <c r="AB218">
        <v>-5133.5084999999999</v>
      </c>
      <c r="AC218">
        <v>-5133.5084999999999</v>
      </c>
      <c r="AD218">
        <v>-5133.5084999999999</v>
      </c>
      <c r="AE218">
        <v>-5133.5084999999999</v>
      </c>
      <c r="AF218">
        <v>-5133.5084999999999</v>
      </c>
    </row>
    <row r="219" spans="2:32" x14ac:dyDescent="0.25">
      <c r="B219">
        <v>41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1</v>
      </c>
      <c r="J219">
        <v>41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R219">
        <v>41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AA219">
        <v>-5127.7236000000003</v>
      </c>
      <c r="AB219">
        <v>-5127.7236000000003</v>
      </c>
      <c r="AC219">
        <v>-5127.7236000000003</v>
      </c>
      <c r="AD219">
        <v>-5127.7236000000003</v>
      </c>
      <c r="AE219">
        <v>-5127.7236000000003</v>
      </c>
      <c r="AF219">
        <v>-5127.7236000000003</v>
      </c>
    </row>
    <row r="220" spans="2:32" x14ac:dyDescent="0.25">
      <c r="B220">
        <v>42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J220">
        <v>42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R220">
        <v>42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AA220">
        <v>-5121.3726999999999</v>
      </c>
      <c r="AB220">
        <v>-5121.3726999999999</v>
      </c>
      <c r="AC220">
        <v>-5121.3726999999999</v>
      </c>
      <c r="AD220">
        <v>-5121.3726999999999</v>
      </c>
      <c r="AE220">
        <v>-5121.3726999999999</v>
      </c>
      <c r="AF220">
        <v>-5121.3726999999999</v>
      </c>
    </row>
    <row r="221" spans="2:32" x14ac:dyDescent="0.25">
      <c r="B221">
        <v>43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J221">
        <v>43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R221">
        <v>43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AA221">
        <v>-5114.3449000000001</v>
      </c>
      <c r="AB221">
        <v>-5114.3449000000001</v>
      </c>
      <c r="AC221">
        <v>-5114.3449000000001</v>
      </c>
      <c r="AD221">
        <v>-5114.3449000000001</v>
      </c>
      <c r="AE221">
        <v>-5114.3449000000001</v>
      </c>
      <c r="AF221">
        <v>-5114.3449000000001</v>
      </c>
    </row>
    <row r="222" spans="2:32" x14ac:dyDescent="0.25">
      <c r="B222">
        <v>44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J222">
        <v>44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R222">
        <v>44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AA222">
        <v>-5106.5976000000001</v>
      </c>
      <c r="AB222">
        <v>-5106.5976000000001</v>
      </c>
      <c r="AC222">
        <v>-5106.5976000000001</v>
      </c>
      <c r="AD222">
        <v>-5106.5976000000001</v>
      </c>
      <c r="AE222">
        <v>-5106.5976000000001</v>
      </c>
      <c r="AF222">
        <v>-5106.5976000000001</v>
      </c>
    </row>
    <row r="223" spans="2:32" x14ac:dyDescent="0.25">
      <c r="B223">
        <v>45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J223">
        <v>45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R223">
        <v>45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AA223">
        <v>-5098.0524999999998</v>
      </c>
      <c r="AB223">
        <v>-5098.0524999999998</v>
      </c>
      <c r="AC223">
        <v>-5098.0524999999998</v>
      </c>
      <c r="AD223">
        <v>-5098.0524999999998</v>
      </c>
      <c r="AE223">
        <v>-5098.0524999999998</v>
      </c>
      <c r="AF223">
        <v>-5098.0524999999998</v>
      </c>
    </row>
    <row r="224" spans="2:32" x14ac:dyDescent="0.25">
      <c r="B224">
        <v>46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1</v>
      </c>
      <c r="J224">
        <v>46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R224">
        <v>46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AA224">
        <v>-5088.6378000000004</v>
      </c>
      <c r="AB224">
        <v>-5088.6378000000004</v>
      </c>
      <c r="AC224">
        <v>-5088.6378000000004</v>
      </c>
      <c r="AD224">
        <v>-5088.6378000000004</v>
      </c>
      <c r="AE224">
        <v>-5088.6378000000004</v>
      </c>
      <c r="AF224">
        <v>-5088.6378000000004</v>
      </c>
    </row>
    <row r="225" spans="2:32" x14ac:dyDescent="0.25">
      <c r="B225">
        <v>47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1</v>
      </c>
      <c r="J225">
        <v>47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R225">
        <v>47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AA225">
        <v>-5078.2593999999999</v>
      </c>
      <c r="AB225">
        <v>-5078.2593999999999</v>
      </c>
      <c r="AC225">
        <v>-5078.2593999999999</v>
      </c>
      <c r="AD225">
        <v>-5078.2593999999999</v>
      </c>
      <c r="AE225">
        <v>-5078.2593999999999</v>
      </c>
      <c r="AF225">
        <v>-5078.2593999999999</v>
      </c>
    </row>
    <row r="226" spans="2:32" x14ac:dyDescent="0.25">
      <c r="B226">
        <v>48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J226">
        <v>48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R226">
        <v>48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AA226">
        <v>-5066.8732</v>
      </c>
      <c r="AB226">
        <v>-5066.8732</v>
      </c>
      <c r="AC226">
        <v>-5066.8732</v>
      </c>
      <c r="AD226">
        <v>-5066.8732</v>
      </c>
      <c r="AE226">
        <v>-5066.8732</v>
      </c>
      <c r="AF226">
        <v>-5066.8732</v>
      </c>
    </row>
    <row r="227" spans="2:32" x14ac:dyDescent="0.25">
      <c r="B227">
        <v>49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J227">
        <v>49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R227">
        <v>49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AA227">
        <v>-5054.4124000000002</v>
      </c>
      <c r="AB227">
        <v>-5054.4124000000002</v>
      </c>
      <c r="AC227">
        <v>-5054.4124000000002</v>
      </c>
      <c r="AD227">
        <v>-5054.4124000000002</v>
      </c>
      <c r="AE227">
        <v>-5054.4124000000002</v>
      </c>
      <c r="AF227">
        <v>-5054.4124000000002</v>
      </c>
    </row>
    <row r="228" spans="2:32" x14ac:dyDescent="0.25">
      <c r="B228">
        <v>50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1</v>
      </c>
      <c r="J228">
        <v>50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R228">
        <v>50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AA228">
        <v>-5040.7671</v>
      </c>
      <c r="AB228">
        <v>-5040.7671</v>
      </c>
      <c r="AC228">
        <v>-5040.7671</v>
      </c>
      <c r="AD228">
        <v>-5040.7671</v>
      </c>
      <c r="AE228">
        <v>-5040.7671</v>
      </c>
      <c r="AF228">
        <v>-5040.7671</v>
      </c>
    </row>
    <row r="229" spans="2:32" x14ac:dyDescent="0.25">
      <c r="B229">
        <v>51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J229">
        <v>51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R229">
        <v>51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AA229">
        <v>-5025.8329000000003</v>
      </c>
      <c r="AB229">
        <v>-5025.8329000000003</v>
      </c>
      <c r="AC229">
        <v>-5025.8329000000003</v>
      </c>
      <c r="AD229">
        <v>-5025.8329000000003</v>
      </c>
      <c r="AE229">
        <v>-5025.8329000000003</v>
      </c>
      <c r="AF229">
        <v>-5025.8329000000003</v>
      </c>
    </row>
    <row r="230" spans="2:32" x14ac:dyDescent="0.25">
      <c r="B230">
        <v>52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1</v>
      </c>
      <c r="J230">
        <v>52</v>
      </c>
      <c r="K230">
        <v>1</v>
      </c>
      <c r="L230">
        <v>1</v>
      </c>
      <c r="M230">
        <v>1</v>
      </c>
      <c r="N230">
        <v>1</v>
      </c>
      <c r="O230">
        <v>1</v>
      </c>
      <c r="P230">
        <v>1</v>
      </c>
      <c r="R230">
        <v>52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AA230">
        <v>-5009.4771000000001</v>
      </c>
      <c r="AB230">
        <v>-5009.4771000000001</v>
      </c>
      <c r="AC230">
        <v>-5009.4771000000001</v>
      </c>
      <c r="AD230">
        <v>-5009.4771000000001</v>
      </c>
      <c r="AE230">
        <v>-5009.4771000000001</v>
      </c>
      <c r="AF230">
        <v>-5009.4771000000001</v>
      </c>
    </row>
    <row r="231" spans="2:32" x14ac:dyDescent="0.25">
      <c r="B231">
        <v>53</v>
      </c>
      <c r="C231">
        <v>1</v>
      </c>
      <c r="D231">
        <v>1</v>
      </c>
      <c r="E231">
        <v>1</v>
      </c>
      <c r="F231">
        <v>1</v>
      </c>
      <c r="G231">
        <v>1</v>
      </c>
      <c r="H231">
        <v>1</v>
      </c>
      <c r="J231">
        <v>53</v>
      </c>
      <c r="K231">
        <v>1</v>
      </c>
      <c r="L231">
        <v>1</v>
      </c>
      <c r="M231">
        <v>1</v>
      </c>
      <c r="N231">
        <v>1</v>
      </c>
      <c r="O231">
        <v>1</v>
      </c>
      <c r="P231">
        <v>1</v>
      </c>
      <c r="R231">
        <v>53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AA231">
        <v>-4991.6184000000003</v>
      </c>
      <c r="AB231">
        <v>-4991.6184000000003</v>
      </c>
      <c r="AC231">
        <v>-4991.6184000000003</v>
      </c>
      <c r="AD231">
        <v>-4991.6184000000003</v>
      </c>
      <c r="AE231">
        <v>-4991.6184000000003</v>
      </c>
      <c r="AF231">
        <v>-4991.6184000000003</v>
      </c>
    </row>
    <row r="232" spans="2:32" x14ac:dyDescent="0.25">
      <c r="B232">
        <v>54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J232">
        <v>54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R232">
        <v>54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AA232">
        <v>-4972.1588000000002</v>
      </c>
      <c r="AB232">
        <v>-4972.1588000000002</v>
      </c>
      <c r="AC232">
        <v>-4972.1588000000002</v>
      </c>
      <c r="AD232">
        <v>-4972.1588000000002</v>
      </c>
      <c r="AE232">
        <v>-4972.1588000000002</v>
      </c>
      <c r="AF232">
        <v>-4972.1588000000002</v>
      </c>
    </row>
    <row r="233" spans="2:32" x14ac:dyDescent="0.25">
      <c r="B233">
        <v>55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J233">
        <v>55</v>
      </c>
      <c r="K233">
        <v>1</v>
      </c>
      <c r="L233">
        <v>1</v>
      </c>
      <c r="M233">
        <v>1</v>
      </c>
      <c r="N233">
        <v>1</v>
      </c>
      <c r="O233">
        <v>1</v>
      </c>
      <c r="P233">
        <v>1</v>
      </c>
      <c r="R233">
        <v>55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AA233">
        <v>-4950.9426000000003</v>
      </c>
      <c r="AB233">
        <v>-4950.9426000000003</v>
      </c>
      <c r="AC233">
        <v>-4950.9426000000003</v>
      </c>
      <c r="AD233">
        <v>-4950.9426000000003</v>
      </c>
      <c r="AE233">
        <v>-4950.9426000000003</v>
      </c>
      <c r="AF233">
        <v>-4950.9426000000003</v>
      </c>
    </row>
    <row r="236" spans="2:32" x14ac:dyDescent="0.25">
      <c r="B236" t="s">
        <v>46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32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48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2:32" x14ac:dyDescent="0.25">
      <c r="B237">
        <v>35</v>
      </c>
      <c r="C237">
        <v>1</v>
      </c>
      <c r="D237">
        <v>1</v>
      </c>
      <c r="E237">
        <v>1</v>
      </c>
      <c r="F237">
        <v>1</v>
      </c>
      <c r="G237">
        <v>1</v>
      </c>
      <c r="J237">
        <v>35</v>
      </c>
      <c r="K237">
        <v>1</v>
      </c>
      <c r="L237">
        <v>1</v>
      </c>
      <c r="M237">
        <v>1</v>
      </c>
      <c r="N237">
        <v>1</v>
      </c>
      <c r="O237">
        <v>1</v>
      </c>
      <c r="R237">
        <v>35</v>
      </c>
      <c r="S237">
        <v>1</v>
      </c>
      <c r="T237">
        <v>1</v>
      </c>
      <c r="U237">
        <v>1</v>
      </c>
      <c r="V237">
        <v>1</v>
      </c>
      <c r="W237">
        <v>1</v>
      </c>
      <c r="AA237">
        <v>-8996.1419000000005</v>
      </c>
      <c r="AB237">
        <v>-8996.1419000000005</v>
      </c>
      <c r="AC237">
        <v>-8996.1419000000005</v>
      </c>
      <c r="AD237">
        <v>-8996.1419000000005</v>
      </c>
      <c r="AE237">
        <v>-8996.1419000000005</v>
      </c>
      <c r="AF237">
        <v>-759112.79520000005</v>
      </c>
    </row>
    <row r="238" spans="2:32" x14ac:dyDescent="0.25">
      <c r="B238">
        <f t="shared" ref="B238:B267" si="9">B237+1</f>
        <v>36</v>
      </c>
      <c r="C238">
        <v>1</v>
      </c>
      <c r="D238">
        <v>1</v>
      </c>
      <c r="E238">
        <v>1</v>
      </c>
      <c r="F238">
        <v>1</v>
      </c>
      <c r="G238">
        <v>1</v>
      </c>
      <c r="J238">
        <f t="shared" ref="J238:J267" si="10">J237+1</f>
        <v>36</v>
      </c>
      <c r="K238">
        <v>1</v>
      </c>
      <c r="L238">
        <v>1</v>
      </c>
      <c r="M238">
        <v>1</v>
      </c>
      <c r="N238">
        <v>1</v>
      </c>
      <c r="O238">
        <v>1</v>
      </c>
      <c r="R238">
        <f t="shared" ref="R238:R267" si="11">R237+1</f>
        <v>36</v>
      </c>
      <c r="S238">
        <v>1</v>
      </c>
      <c r="T238">
        <v>1</v>
      </c>
      <c r="U238">
        <v>1</v>
      </c>
      <c r="V238">
        <v>1</v>
      </c>
      <c r="W238">
        <v>1</v>
      </c>
      <c r="AA238">
        <v>-8902.6679999999997</v>
      </c>
      <c r="AB238">
        <v>-8902.6679999999997</v>
      </c>
      <c r="AC238">
        <v>-8902.6679999999997</v>
      </c>
      <c r="AD238">
        <v>-8902.6679999999997</v>
      </c>
      <c r="AE238">
        <v>-8902.6679999999997</v>
      </c>
      <c r="AF238">
        <v>-737070.86179999996</v>
      </c>
    </row>
    <row r="239" spans="2:32" x14ac:dyDescent="0.25">
      <c r="B239">
        <f t="shared" si="9"/>
        <v>37</v>
      </c>
      <c r="C239">
        <v>1</v>
      </c>
      <c r="D239">
        <v>1</v>
      </c>
      <c r="E239">
        <v>1</v>
      </c>
      <c r="F239">
        <v>1</v>
      </c>
      <c r="G239">
        <v>1</v>
      </c>
      <c r="J239">
        <f t="shared" si="10"/>
        <v>37</v>
      </c>
      <c r="K239">
        <v>1</v>
      </c>
      <c r="L239">
        <v>1</v>
      </c>
      <c r="M239">
        <v>1</v>
      </c>
      <c r="N239">
        <v>1</v>
      </c>
      <c r="O239">
        <v>1</v>
      </c>
      <c r="R239">
        <f t="shared" si="11"/>
        <v>37</v>
      </c>
      <c r="S239">
        <v>1</v>
      </c>
      <c r="T239">
        <v>1</v>
      </c>
      <c r="U239">
        <v>1</v>
      </c>
      <c r="V239">
        <v>1</v>
      </c>
      <c r="W239">
        <v>1</v>
      </c>
      <c r="AA239">
        <v>-8806.7960000000003</v>
      </c>
      <c r="AB239">
        <v>-8806.7960000000003</v>
      </c>
      <c r="AC239">
        <v>-8806.7960000000003</v>
      </c>
      <c r="AD239">
        <v>-8806.7960000000003</v>
      </c>
      <c r="AE239">
        <v>-8806.7960000000003</v>
      </c>
      <c r="AF239">
        <v>-765978.91940000001</v>
      </c>
    </row>
    <row r="240" spans="2:32" x14ac:dyDescent="0.25">
      <c r="B240">
        <f t="shared" si="9"/>
        <v>38</v>
      </c>
      <c r="C240">
        <v>1</v>
      </c>
      <c r="D240">
        <v>1</v>
      </c>
      <c r="E240">
        <v>1</v>
      </c>
      <c r="F240">
        <v>1</v>
      </c>
      <c r="G240">
        <v>1</v>
      </c>
      <c r="J240">
        <f t="shared" si="10"/>
        <v>38</v>
      </c>
      <c r="K240">
        <v>1</v>
      </c>
      <c r="L240">
        <v>1</v>
      </c>
      <c r="M240">
        <v>1</v>
      </c>
      <c r="N240">
        <v>1</v>
      </c>
      <c r="O240">
        <v>1</v>
      </c>
      <c r="R240">
        <f t="shared" si="11"/>
        <v>38</v>
      </c>
      <c r="S240">
        <v>1</v>
      </c>
      <c r="T240">
        <v>1</v>
      </c>
      <c r="U240">
        <v>1</v>
      </c>
      <c r="V240">
        <v>1</v>
      </c>
      <c r="W240">
        <v>1</v>
      </c>
      <c r="AA240">
        <v>-8708.6234000000004</v>
      </c>
      <c r="AB240">
        <v>-8708.6234000000004</v>
      </c>
      <c r="AC240">
        <v>-8708.6234000000004</v>
      </c>
      <c r="AD240">
        <v>-8708.6234000000004</v>
      </c>
      <c r="AE240">
        <v>-8708.6234000000004</v>
      </c>
      <c r="AF240">
        <v>-783780.576</v>
      </c>
    </row>
    <row r="241" spans="2:32" x14ac:dyDescent="0.25">
      <c r="B241">
        <f t="shared" si="9"/>
        <v>39</v>
      </c>
      <c r="C241">
        <v>1</v>
      </c>
      <c r="D241">
        <v>1</v>
      </c>
      <c r="E241">
        <v>1</v>
      </c>
      <c r="F241">
        <v>1</v>
      </c>
      <c r="G241">
        <v>1</v>
      </c>
      <c r="J241">
        <f t="shared" si="10"/>
        <v>39</v>
      </c>
      <c r="K241">
        <v>1</v>
      </c>
      <c r="L241">
        <v>1</v>
      </c>
      <c r="M241">
        <v>1</v>
      </c>
      <c r="N241">
        <v>1</v>
      </c>
      <c r="O241">
        <v>1</v>
      </c>
      <c r="R241">
        <f t="shared" si="11"/>
        <v>39</v>
      </c>
      <c r="S241">
        <v>1</v>
      </c>
      <c r="T241">
        <v>1</v>
      </c>
      <c r="U241">
        <v>1</v>
      </c>
      <c r="V241">
        <v>1</v>
      </c>
      <c r="W241">
        <v>1</v>
      </c>
      <c r="AA241">
        <v>-8608.1594000000005</v>
      </c>
      <c r="AB241">
        <v>-8608.1594000000005</v>
      </c>
      <c r="AC241">
        <v>-8608.1594000000005</v>
      </c>
      <c r="AD241">
        <v>-8608.1594000000005</v>
      </c>
      <c r="AE241">
        <v>-8608.1594000000005</v>
      </c>
      <c r="AF241">
        <v>-769662.22069999995</v>
      </c>
    </row>
    <row r="242" spans="2:32" x14ac:dyDescent="0.25">
      <c r="B242">
        <f t="shared" si="9"/>
        <v>40</v>
      </c>
      <c r="C242">
        <v>1</v>
      </c>
      <c r="D242">
        <v>1</v>
      </c>
      <c r="E242">
        <v>1</v>
      </c>
      <c r="F242">
        <v>1</v>
      </c>
      <c r="G242">
        <v>1</v>
      </c>
      <c r="J242">
        <f t="shared" si="10"/>
        <v>40</v>
      </c>
      <c r="K242">
        <v>1</v>
      </c>
      <c r="L242">
        <v>1</v>
      </c>
      <c r="M242">
        <v>1</v>
      </c>
      <c r="N242">
        <v>1</v>
      </c>
      <c r="O242">
        <v>1</v>
      </c>
      <c r="R242">
        <f t="shared" si="11"/>
        <v>40</v>
      </c>
      <c r="S242">
        <v>1</v>
      </c>
      <c r="T242">
        <v>1</v>
      </c>
      <c r="U242">
        <v>1</v>
      </c>
      <c r="V242">
        <v>1</v>
      </c>
      <c r="W242">
        <v>1</v>
      </c>
      <c r="AA242">
        <v>-8505.3439999999991</v>
      </c>
      <c r="AB242">
        <v>-8505.3439999999991</v>
      </c>
      <c r="AC242">
        <v>-8505.3439999999991</v>
      </c>
      <c r="AD242">
        <v>-8505.3439999999991</v>
      </c>
      <c r="AE242">
        <v>-8505.3439999999991</v>
      </c>
      <c r="AF242">
        <v>-798570.41119999997</v>
      </c>
    </row>
    <row r="243" spans="2:32" x14ac:dyDescent="0.25">
      <c r="B243">
        <f t="shared" si="9"/>
        <v>41</v>
      </c>
      <c r="C243">
        <v>1</v>
      </c>
      <c r="D243">
        <v>1</v>
      </c>
      <c r="E243">
        <v>1</v>
      </c>
      <c r="F243">
        <v>1</v>
      </c>
      <c r="G243">
        <v>1</v>
      </c>
      <c r="J243">
        <f t="shared" si="10"/>
        <v>41</v>
      </c>
      <c r="K243">
        <v>1</v>
      </c>
      <c r="L243">
        <v>1</v>
      </c>
      <c r="M243">
        <v>1</v>
      </c>
      <c r="N243">
        <v>1</v>
      </c>
      <c r="O243">
        <v>1</v>
      </c>
      <c r="R243">
        <f t="shared" si="11"/>
        <v>41</v>
      </c>
      <c r="S243">
        <v>1</v>
      </c>
      <c r="T243">
        <v>1</v>
      </c>
      <c r="U243">
        <v>1</v>
      </c>
      <c r="V243">
        <v>1</v>
      </c>
      <c r="W243">
        <v>1</v>
      </c>
      <c r="AA243">
        <v>-8400.1087000000007</v>
      </c>
      <c r="AB243">
        <v>-8400.1087000000007</v>
      </c>
      <c r="AC243">
        <v>-8400.1087000000007</v>
      </c>
      <c r="AD243">
        <v>-8400.1087000000007</v>
      </c>
      <c r="AE243">
        <v>-8400.1087000000007</v>
      </c>
      <c r="AF243">
        <v>-803549.96459999995</v>
      </c>
    </row>
    <row r="244" spans="2:32" x14ac:dyDescent="0.25">
      <c r="B244">
        <f t="shared" si="9"/>
        <v>42</v>
      </c>
      <c r="C244">
        <v>1</v>
      </c>
      <c r="D244">
        <v>1</v>
      </c>
      <c r="E244">
        <v>1</v>
      </c>
      <c r="F244">
        <v>1</v>
      </c>
      <c r="G244">
        <v>1</v>
      </c>
      <c r="J244">
        <f t="shared" si="10"/>
        <v>42</v>
      </c>
      <c r="K244">
        <v>1</v>
      </c>
      <c r="L244">
        <v>1</v>
      </c>
      <c r="M244">
        <v>1</v>
      </c>
      <c r="N244">
        <v>1</v>
      </c>
      <c r="O244">
        <v>1</v>
      </c>
      <c r="R244">
        <f t="shared" si="11"/>
        <v>42</v>
      </c>
      <c r="S244">
        <v>1</v>
      </c>
      <c r="T244">
        <v>1</v>
      </c>
      <c r="U244">
        <v>1</v>
      </c>
      <c r="V244">
        <v>1</v>
      </c>
      <c r="W244">
        <v>1</v>
      </c>
      <c r="AA244">
        <v>-8292.4974999999995</v>
      </c>
      <c r="AB244">
        <v>-8292.4974999999995</v>
      </c>
      <c r="AC244">
        <v>-8292.4974999999995</v>
      </c>
      <c r="AD244">
        <v>-8292.4974999999995</v>
      </c>
      <c r="AE244">
        <v>-8292.4974999999995</v>
      </c>
      <c r="AF244">
        <v>-833551.75890000002</v>
      </c>
    </row>
    <row r="245" spans="2:32" x14ac:dyDescent="0.25">
      <c r="B245">
        <f t="shared" si="9"/>
        <v>43</v>
      </c>
      <c r="C245">
        <v>1</v>
      </c>
      <c r="D245">
        <v>1</v>
      </c>
      <c r="E245">
        <v>1</v>
      </c>
      <c r="F245">
        <v>1</v>
      </c>
      <c r="G245">
        <v>1</v>
      </c>
      <c r="J245">
        <f t="shared" si="10"/>
        <v>43</v>
      </c>
      <c r="K245">
        <v>1</v>
      </c>
      <c r="L245">
        <v>1</v>
      </c>
      <c r="M245">
        <v>1</v>
      </c>
      <c r="N245">
        <v>1</v>
      </c>
      <c r="O245">
        <v>1</v>
      </c>
      <c r="R245">
        <f t="shared" si="11"/>
        <v>43</v>
      </c>
      <c r="S245">
        <v>1</v>
      </c>
      <c r="T245">
        <v>1</v>
      </c>
      <c r="U245">
        <v>1</v>
      </c>
      <c r="V245">
        <v>1</v>
      </c>
      <c r="W245">
        <v>1</v>
      </c>
      <c r="AA245">
        <v>-8182.3909999999996</v>
      </c>
      <c r="AB245">
        <v>-8182.3909999999996</v>
      </c>
      <c r="AC245">
        <v>-8182.3909999999996</v>
      </c>
      <c r="AD245">
        <v>-8182.3909999999996</v>
      </c>
      <c r="AE245">
        <v>-8182.3909999999996</v>
      </c>
      <c r="AF245">
        <v>-844950.93949999998</v>
      </c>
    </row>
    <row r="246" spans="2:32" x14ac:dyDescent="0.25">
      <c r="B246">
        <f t="shared" si="9"/>
        <v>44</v>
      </c>
      <c r="C246">
        <v>1</v>
      </c>
      <c r="D246">
        <v>1</v>
      </c>
      <c r="E246">
        <v>1</v>
      </c>
      <c r="F246">
        <v>1</v>
      </c>
      <c r="G246">
        <v>1</v>
      </c>
      <c r="J246">
        <f t="shared" si="10"/>
        <v>44</v>
      </c>
      <c r="K246">
        <v>1</v>
      </c>
      <c r="L246">
        <v>1</v>
      </c>
      <c r="M246">
        <v>1</v>
      </c>
      <c r="N246">
        <v>1</v>
      </c>
      <c r="O246">
        <v>1</v>
      </c>
      <c r="R246">
        <f t="shared" si="11"/>
        <v>44</v>
      </c>
      <c r="S246">
        <v>1</v>
      </c>
      <c r="T246">
        <v>1</v>
      </c>
      <c r="U246">
        <v>1</v>
      </c>
      <c r="V246">
        <v>1</v>
      </c>
      <c r="W246">
        <v>1</v>
      </c>
      <c r="AA246">
        <v>-8069.8261000000002</v>
      </c>
      <c r="AB246">
        <v>-8069.8261000000002</v>
      </c>
      <c r="AC246">
        <v>-8069.8261000000002</v>
      </c>
      <c r="AD246">
        <v>-8069.8261000000002</v>
      </c>
      <c r="AE246">
        <v>-8069.8261000000002</v>
      </c>
      <c r="AF246">
        <v>-851265.64670000004</v>
      </c>
    </row>
    <row r="247" spans="2:32" x14ac:dyDescent="0.25">
      <c r="B247">
        <f t="shared" si="9"/>
        <v>45</v>
      </c>
      <c r="C247">
        <v>1</v>
      </c>
      <c r="D247">
        <v>1</v>
      </c>
      <c r="E247">
        <v>1</v>
      </c>
      <c r="F247">
        <v>1</v>
      </c>
      <c r="G247">
        <v>1</v>
      </c>
      <c r="J247">
        <f t="shared" si="10"/>
        <v>45</v>
      </c>
      <c r="K247">
        <v>1</v>
      </c>
      <c r="L247">
        <v>1</v>
      </c>
      <c r="M247">
        <v>1</v>
      </c>
      <c r="N247">
        <v>1</v>
      </c>
      <c r="O247">
        <v>1</v>
      </c>
      <c r="R247">
        <f t="shared" si="11"/>
        <v>45</v>
      </c>
      <c r="S247">
        <v>1</v>
      </c>
      <c r="T247">
        <v>1</v>
      </c>
      <c r="U247">
        <v>1</v>
      </c>
      <c r="V247">
        <v>1</v>
      </c>
      <c r="W247">
        <v>1</v>
      </c>
      <c r="AA247">
        <v>-7954.7533999999996</v>
      </c>
      <c r="AB247">
        <v>-7954.7533999999996</v>
      </c>
      <c r="AC247">
        <v>-7954.7533999999996</v>
      </c>
      <c r="AD247">
        <v>-7954.7533999999996</v>
      </c>
      <c r="AE247">
        <v>-7954.7533999999996</v>
      </c>
      <c r="AF247">
        <v>-870649.02139999997</v>
      </c>
    </row>
    <row r="248" spans="2:32" x14ac:dyDescent="0.25">
      <c r="B248">
        <f t="shared" si="9"/>
        <v>46</v>
      </c>
      <c r="C248">
        <v>1</v>
      </c>
      <c r="D248">
        <v>1</v>
      </c>
      <c r="E248">
        <v>1</v>
      </c>
      <c r="F248">
        <v>1</v>
      </c>
      <c r="G248">
        <v>1</v>
      </c>
      <c r="J248">
        <f t="shared" si="10"/>
        <v>46</v>
      </c>
      <c r="K248">
        <v>1</v>
      </c>
      <c r="L248">
        <v>1</v>
      </c>
      <c r="M248">
        <v>1</v>
      </c>
      <c r="N248">
        <v>1</v>
      </c>
      <c r="O248">
        <v>1</v>
      </c>
      <c r="R248">
        <f t="shared" si="11"/>
        <v>46</v>
      </c>
      <c r="S248">
        <v>1</v>
      </c>
      <c r="T248">
        <v>1</v>
      </c>
      <c r="U248">
        <v>1</v>
      </c>
      <c r="V248">
        <v>1</v>
      </c>
      <c r="W248">
        <v>1</v>
      </c>
      <c r="AA248">
        <v>-7837.1754000000001</v>
      </c>
      <c r="AB248">
        <v>-7837.1754000000001</v>
      </c>
      <c r="AC248">
        <v>-7837.1754000000001</v>
      </c>
      <c r="AD248">
        <v>-7837.1754000000001</v>
      </c>
      <c r="AE248">
        <v>-7837.1754000000001</v>
      </c>
      <c r="AF248">
        <v>-892550.54509999999</v>
      </c>
    </row>
    <row r="249" spans="2:32" x14ac:dyDescent="0.25">
      <c r="B249">
        <f t="shared" si="9"/>
        <v>47</v>
      </c>
      <c r="C249">
        <v>1</v>
      </c>
      <c r="D249">
        <v>1</v>
      </c>
      <c r="E249">
        <v>1</v>
      </c>
      <c r="F249">
        <v>1</v>
      </c>
      <c r="G249">
        <v>1</v>
      </c>
      <c r="J249">
        <f t="shared" si="10"/>
        <v>47</v>
      </c>
      <c r="K249">
        <v>1</v>
      </c>
      <c r="L249">
        <v>1</v>
      </c>
      <c r="M249">
        <v>1</v>
      </c>
      <c r="N249">
        <v>1</v>
      </c>
      <c r="O249">
        <v>1</v>
      </c>
      <c r="R249">
        <f t="shared" si="11"/>
        <v>47</v>
      </c>
      <c r="S249">
        <v>1</v>
      </c>
      <c r="T249">
        <v>1</v>
      </c>
      <c r="U249">
        <v>1</v>
      </c>
      <c r="V249">
        <v>1</v>
      </c>
      <c r="W249">
        <v>1</v>
      </c>
      <c r="AA249">
        <v>-7717.0294999999996</v>
      </c>
      <c r="AB249">
        <v>-7717.0294999999996</v>
      </c>
      <c r="AC249">
        <v>-7717.0294999999996</v>
      </c>
      <c r="AD249">
        <v>-7717.0294999999996</v>
      </c>
      <c r="AE249">
        <v>-7717.0294999999996</v>
      </c>
      <c r="AF249">
        <v>-910915.81969999999</v>
      </c>
    </row>
    <row r="250" spans="2:32" x14ac:dyDescent="0.25">
      <c r="B250">
        <f t="shared" si="9"/>
        <v>48</v>
      </c>
      <c r="C250">
        <v>1</v>
      </c>
      <c r="D250">
        <v>1</v>
      </c>
      <c r="E250">
        <v>1</v>
      </c>
      <c r="F250">
        <v>1</v>
      </c>
      <c r="G250">
        <v>1</v>
      </c>
      <c r="J250">
        <f t="shared" si="10"/>
        <v>48</v>
      </c>
      <c r="K250">
        <v>1</v>
      </c>
      <c r="L250">
        <v>1</v>
      </c>
      <c r="M250">
        <v>1</v>
      </c>
      <c r="N250">
        <v>1</v>
      </c>
      <c r="O250">
        <v>1</v>
      </c>
      <c r="R250">
        <f t="shared" si="11"/>
        <v>48</v>
      </c>
      <c r="S250">
        <v>1</v>
      </c>
      <c r="T250">
        <v>1</v>
      </c>
      <c r="U250">
        <v>1</v>
      </c>
      <c r="V250">
        <v>1</v>
      </c>
      <c r="W250">
        <v>1</v>
      </c>
      <c r="AA250">
        <v>-7594.4201000000003</v>
      </c>
      <c r="AB250">
        <v>-7594.4201000000003</v>
      </c>
      <c r="AC250">
        <v>-7594.4201000000003</v>
      </c>
      <c r="AD250">
        <v>-7594.4201000000003</v>
      </c>
      <c r="AE250">
        <v>-7594.4201000000003</v>
      </c>
      <c r="AF250">
        <v>-917891.87360000005</v>
      </c>
    </row>
    <row r="251" spans="2:32" x14ac:dyDescent="0.25">
      <c r="B251">
        <f t="shared" si="9"/>
        <v>49</v>
      </c>
      <c r="C251">
        <v>1</v>
      </c>
      <c r="D251">
        <v>1</v>
      </c>
      <c r="E251">
        <v>1</v>
      </c>
      <c r="F251">
        <v>1</v>
      </c>
      <c r="G251">
        <v>1</v>
      </c>
      <c r="J251">
        <f t="shared" si="10"/>
        <v>49</v>
      </c>
      <c r="K251">
        <v>1</v>
      </c>
      <c r="L251">
        <v>1</v>
      </c>
      <c r="M251">
        <v>1</v>
      </c>
      <c r="N251">
        <v>1</v>
      </c>
      <c r="O251">
        <v>1</v>
      </c>
      <c r="R251">
        <f t="shared" si="11"/>
        <v>49</v>
      </c>
      <c r="S251">
        <v>1</v>
      </c>
      <c r="T251">
        <v>1</v>
      </c>
      <c r="U251">
        <v>1</v>
      </c>
      <c r="V251">
        <v>1</v>
      </c>
      <c r="W251">
        <v>1</v>
      </c>
      <c r="AA251">
        <v>-7469.3995999999997</v>
      </c>
      <c r="AB251">
        <v>-7469.3995999999997</v>
      </c>
      <c r="AC251">
        <v>-7469.3995999999997</v>
      </c>
      <c r="AD251">
        <v>-7469.3995999999997</v>
      </c>
      <c r="AE251">
        <v>-7469.3995999999997</v>
      </c>
      <c r="AF251">
        <v>-944521.72470000002</v>
      </c>
    </row>
    <row r="252" spans="2:32" x14ac:dyDescent="0.25">
      <c r="B252">
        <f t="shared" si="9"/>
        <v>50</v>
      </c>
      <c r="C252">
        <v>1</v>
      </c>
      <c r="D252">
        <v>1</v>
      </c>
      <c r="E252">
        <v>1</v>
      </c>
      <c r="F252">
        <v>1</v>
      </c>
      <c r="G252">
        <v>1</v>
      </c>
      <c r="J252">
        <f t="shared" si="10"/>
        <v>50</v>
      </c>
      <c r="K252">
        <v>1</v>
      </c>
      <c r="L252">
        <v>1</v>
      </c>
      <c r="M252">
        <v>1</v>
      </c>
      <c r="N252">
        <v>1</v>
      </c>
      <c r="O252">
        <v>1</v>
      </c>
      <c r="R252">
        <f t="shared" si="11"/>
        <v>50</v>
      </c>
      <c r="S252">
        <v>1</v>
      </c>
      <c r="T252">
        <v>1</v>
      </c>
      <c r="U252">
        <v>1</v>
      </c>
      <c r="V252">
        <v>1</v>
      </c>
      <c r="W252">
        <v>1</v>
      </c>
      <c r="AA252">
        <v>-7341.9502000000002</v>
      </c>
      <c r="AB252">
        <v>-7341.9502000000002</v>
      </c>
      <c r="AC252">
        <v>-7341.9502000000002</v>
      </c>
      <c r="AD252">
        <v>-7341.9502000000002</v>
      </c>
      <c r="AE252">
        <v>-7341.9502000000002</v>
      </c>
      <c r="AF252">
        <v>-963257.14989999996</v>
      </c>
    </row>
    <row r="253" spans="2:32" x14ac:dyDescent="0.25">
      <c r="B253">
        <f t="shared" si="9"/>
        <v>51</v>
      </c>
      <c r="C253">
        <v>1</v>
      </c>
      <c r="D253">
        <v>1</v>
      </c>
      <c r="E253">
        <v>1</v>
      </c>
      <c r="F253">
        <v>1</v>
      </c>
      <c r="G253">
        <v>1</v>
      </c>
      <c r="J253">
        <f t="shared" si="10"/>
        <v>51</v>
      </c>
      <c r="K253">
        <v>1</v>
      </c>
      <c r="L253">
        <v>1</v>
      </c>
      <c r="M253">
        <v>1</v>
      </c>
      <c r="N253">
        <v>1</v>
      </c>
      <c r="O253">
        <v>1</v>
      </c>
      <c r="R253">
        <f t="shared" si="11"/>
        <v>51</v>
      </c>
      <c r="S253">
        <v>1</v>
      </c>
      <c r="T253">
        <v>1</v>
      </c>
      <c r="U253">
        <v>1</v>
      </c>
      <c r="V253">
        <v>1</v>
      </c>
      <c r="W253">
        <v>1</v>
      </c>
      <c r="AA253">
        <v>-7212.0646999999999</v>
      </c>
      <c r="AB253">
        <v>-7212.0646999999999</v>
      </c>
      <c r="AC253">
        <v>-7212.0646999999999</v>
      </c>
      <c r="AD253">
        <v>-7212.0646999999999</v>
      </c>
      <c r="AE253">
        <v>-7212.0646999999999</v>
      </c>
      <c r="AF253">
        <v>-981592.90729999996</v>
      </c>
    </row>
    <row r="254" spans="2:32" x14ac:dyDescent="0.25">
      <c r="B254">
        <f t="shared" si="9"/>
        <v>52</v>
      </c>
      <c r="C254">
        <v>1</v>
      </c>
      <c r="D254">
        <v>1</v>
      </c>
      <c r="E254">
        <v>1</v>
      </c>
      <c r="F254">
        <v>1</v>
      </c>
      <c r="G254">
        <v>1</v>
      </c>
      <c r="J254">
        <f t="shared" si="10"/>
        <v>52</v>
      </c>
      <c r="K254">
        <v>1</v>
      </c>
      <c r="L254">
        <v>1</v>
      </c>
      <c r="M254">
        <v>1</v>
      </c>
      <c r="N254">
        <v>1</v>
      </c>
      <c r="O254">
        <v>1</v>
      </c>
      <c r="R254">
        <f t="shared" si="11"/>
        <v>52</v>
      </c>
      <c r="S254">
        <v>1</v>
      </c>
      <c r="T254">
        <v>1</v>
      </c>
      <c r="U254">
        <v>1</v>
      </c>
      <c r="V254">
        <v>1</v>
      </c>
      <c r="W254">
        <v>1</v>
      </c>
      <c r="AA254">
        <v>-7079.7435999999998</v>
      </c>
      <c r="AB254">
        <v>-7079.7435999999998</v>
      </c>
      <c r="AC254">
        <v>-7079.7435999999998</v>
      </c>
      <c r="AD254">
        <v>-7079.7435999999998</v>
      </c>
      <c r="AE254">
        <v>-7079.7435999999998</v>
      </c>
      <c r="AF254">
        <v>-998556.10360000003</v>
      </c>
    </row>
    <row r="255" spans="2:32" x14ac:dyDescent="0.25">
      <c r="B255">
        <f t="shared" si="9"/>
        <v>53</v>
      </c>
      <c r="C255">
        <v>1</v>
      </c>
      <c r="D255">
        <v>1</v>
      </c>
      <c r="E255">
        <v>1</v>
      </c>
      <c r="F255">
        <v>1</v>
      </c>
      <c r="G255">
        <v>1</v>
      </c>
      <c r="J255">
        <f t="shared" si="10"/>
        <v>53</v>
      </c>
      <c r="K255">
        <v>1</v>
      </c>
      <c r="L255">
        <v>1</v>
      </c>
      <c r="M255">
        <v>1</v>
      </c>
      <c r="N255">
        <v>1</v>
      </c>
      <c r="O255">
        <v>1</v>
      </c>
      <c r="R255">
        <f t="shared" si="11"/>
        <v>53</v>
      </c>
      <c r="S255">
        <v>1</v>
      </c>
      <c r="T255">
        <v>1</v>
      </c>
      <c r="U255">
        <v>1</v>
      </c>
      <c r="V255">
        <v>1</v>
      </c>
      <c r="W255">
        <v>1</v>
      </c>
      <c r="AA255">
        <v>-6945.0875999999998</v>
      </c>
      <c r="AB255">
        <v>-6945.0875999999998</v>
      </c>
      <c r="AC255">
        <v>-6945.0875999999998</v>
      </c>
      <c r="AD255">
        <v>-6945.0875999999998</v>
      </c>
      <c r="AE255">
        <v>-6945.0875999999998</v>
      </c>
      <c r="AF255">
        <v>-1015461.3278</v>
      </c>
    </row>
    <row r="256" spans="2:32" x14ac:dyDescent="0.25">
      <c r="B256">
        <f t="shared" si="9"/>
        <v>54</v>
      </c>
      <c r="C256">
        <v>1</v>
      </c>
      <c r="D256">
        <v>1</v>
      </c>
      <c r="E256">
        <v>1</v>
      </c>
      <c r="F256">
        <v>1</v>
      </c>
      <c r="G256">
        <v>1</v>
      </c>
      <c r="J256">
        <f t="shared" si="10"/>
        <v>54</v>
      </c>
      <c r="K256">
        <v>1</v>
      </c>
      <c r="L256">
        <v>1</v>
      </c>
      <c r="M256">
        <v>1</v>
      </c>
      <c r="N256">
        <v>1</v>
      </c>
      <c r="O256">
        <v>1</v>
      </c>
      <c r="R256">
        <f t="shared" si="11"/>
        <v>54</v>
      </c>
      <c r="S256">
        <v>1</v>
      </c>
      <c r="T256">
        <v>1</v>
      </c>
      <c r="U256">
        <v>1</v>
      </c>
      <c r="V256">
        <v>1</v>
      </c>
      <c r="W256">
        <v>1</v>
      </c>
      <c r="AA256">
        <v>-6808.2438000000002</v>
      </c>
      <c r="AB256">
        <v>-6808.2438000000002</v>
      </c>
      <c r="AC256">
        <v>-6808.2438000000002</v>
      </c>
      <c r="AD256">
        <v>-6808.2438000000002</v>
      </c>
      <c r="AE256">
        <v>-6808.2438000000002</v>
      </c>
      <c r="AF256">
        <v>-1033869.6813000001</v>
      </c>
    </row>
    <row r="257" spans="2:32" x14ac:dyDescent="0.25">
      <c r="B257">
        <f t="shared" si="9"/>
        <v>55</v>
      </c>
      <c r="C257">
        <v>1</v>
      </c>
      <c r="D257">
        <v>1</v>
      </c>
      <c r="E257">
        <v>1</v>
      </c>
      <c r="F257">
        <v>1</v>
      </c>
      <c r="G257">
        <v>1</v>
      </c>
      <c r="J257">
        <f t="shared" si="10"/>
        <v>55</v>
      </c>
      <c r="K257">
        <v>1</v>
      </c>
      <c r="L257">
        <v>1</v>
      </c>
      <c r="M257">
        <v>1</v>
      </c>
      <c r="N257">
        <v>1</v>
      </c>
      <c r="O257">
        <v>1</v>
      </c>
      <c r="R257">
        <f t="shared" si="11"/>
        <v>55</v>
      </c>
      <c r="S257">
        <v>1</v>
      </c>
      <c r="T257">
        <v>1</v>
      </c>
      <c r="U257">
        <v>1</v>
      </c>
      <c r="V257">
        <v>1</v>
      </c>
      <c r="W257">
        <v>1</v>
      </c>
      <c r="AA257">
        <v>-6669.2525999999998</v>
      </c>
      <c r="AB257">
        <v>-6669.2525999999998</v>
      </c>
      <c r="AC257">
        <v>-6669.2525999999998</v>
      </c>
      <c r="AD257">
        <v>-6669.2525999999998</v>
      </c>
      <c r="AE257">
        <v>-6669.2525999999998</v>
      </c>
      <c r="AF257">
        <v>-1050810.2549999999</v>
      </c>
    </row>
    <row r="258" spans="2:32" x14ac:dyDescent="0.25">
      <c r="B258">
        <f t="shared" si="9"/>
        <v>56</v>
      </c>
      <c r="C258">
        <v>1</v>
      </c>
      <c r="D258">
        <v>1</v>
      </c>
      <c r="E258">
        <v>1</v>
      </c>
      <c r="F258">
        <v>1</v>
      </c>
      <c r="G258">
        <v>1</v>
      </c>
      <c r="J258">
        <f t="shared" si="10"/>
        <v>56</v>
      </c>
      <c r="K258">
        <v>1</v>
      </c>
      <c r="L258">
        <v>1</v>
      </c>
      <c r="M258">
        <v>1</v>
      </c>
      <c r="N258">
        <v>1</v>
      </c>
      <c r="O258">
        <v>1</v>
      </c>
      <c r="R258">
        <f t="shared" si="11"/>
        <v>56</v>
      </c>
      <c r="S258">
        <v>1</v>
      </c>
      <c r="T258">
        <v>1</v>
      </c>
      <c r="U258">
        <v>1</v>
      </c>
      <c r="V258">
        <v>1</v>
      </c>
      <c r="W258">
        <v>1</v>
      </c>
      <c r="AA258">
        <v>-6528.2992000000004</v>
      </c>
      <c r="AB258">
        <v>-6528.2992000000004</v>
      </c>
      <c r="AC258">
        <v>-6528.2992000000004</v>
      </c>
      <c r="AD258">
        <v>-6528.2992000000004</v>
      </c>
      <c r="AE258">
        <v>-6528.2992000000004</v>
      </c>
      <c r="AF258">
        <v>-1073295.8774000001</v>
      </c>
    </row>
    <row r="259" spans="2:32" x14ac:dyDescent="0.25">
      <c r="B259">
        <f t="shared" si="9"/>
        <v>57</v>
      </c>
      <c r="C259">
        <v>1</v>
      </c>
      <c r="D259">
        <v>1</v>
      </c>
      <c r="E259">
        <v>1</v>
      </c>
      <c r="F259">
        <v>1</v>
      </c>
      <c r="G259">
        <v>1</v>
      </c>
      <c r="J259">
        <f t="shared" si="10"/>
        <v>57</v>
      </c>
      <c r="K259">
        <v>1</v>
      </c>
      <c r="L259">
        <v>1</v>
      </c>
      <c r="M259">
        <v>1</v>
      </c>
      <c r="N259">
        <v>1</v>
      </c>
      <c r="O259">
        <v>1</v>
      </c>
      <c r="R259">
        <f t="shared" si="11"/>
        <v>57</v>
      </c>
      <c r="S259">
        <v>1</v>
      </c>
      <c r="T259">
        <v>1</v>
      </c>
      <c r="U259">
        <v>1</v>
      </c>
      <c r="V259">
        <v>1</v>
      </c>
      <c r="W259">
        <v>1</v>
      </c>
      <c r="AA259">
        <v>-6385.5230000000001</v>
      </c>
      <c r="AB259">
        <v>-6385.5230000000001</v>
      </c>
      <c r="AC259">
        <v>-6385.5230000000001</v>
      </c>
      <c r="AD259">
        <v>-6385.5230000000001</v>
      </c>
      <c r="AE259">
        <v>-6385.5230000000001</v>
      </c>
      <c r="AF259">
        <v>-1093242.6832999999</v>
      </c>
    </row>
    <row r="260" spans="2:32" x14ac:dyDescent="0.25">
      <c r="B260">
        <f t="shared" si="9"/>
        <v>58</v>
      </c>
      <c r="C260">
        <v>1</v>
      </c>
      <c r="D260">
        <v>1</v>
      </c>
      <c r="E260">
        <v>1</v>
      </c>
      <c r="F260">
        <v>1</v>
      </c>
      <c r="G260">
        <v>1</v>
      </c>
      <c r="J260">
        <f t="shared" si="10"/>
        <v>58</v>
      </c>
      <c r="K260">
        <v>1</v>
      </c>
      <c r="L260">
        <v>1</v>
      </c>
      <c r="M260">
        <v>1</v>
      </c>
      <c r="N260">
        <v>1</v>
      </c>
      <c r="O260">
        <v>1</v>
      </c>
      <c r="R260">
        <f t="shared" si="11"/>
        <v>58</v>
      </c>
      <c r="S260">
        <v>1</v>
      </c>
      <c r="T260">
        <v>1</v>
      </c>
      <c r="U260">
        <v>1</v>
      </c>
      <c r="V260">
        <v>1</v>
      </c>
      <c r="W260">
        <v>1</v>
      </c>
      <c r="AA260">
        <v>-6240.8730999999998</v>
      </c>
      <c r="AB260">
        <v>-6240.8730999999998</v>
      </c>
      <c r="AC260">
        <v>-6240.8730999999998</v>
      </c>
      <c r="AD260">
        <v>-6240.8730999999998</v>
      </c>
      <c r="AE260">
        <v>-6240.8730999999998</v>
      </c>
      <c r="AF260">
        <v>-1114366.6444000001</v>
      </c>
    </row>
    <row r="261" spans="2:32" x14ac:dyDescent="0.25">
      <c r="B261">
        <f t="shared" si="9"/>
        <v>59</v>
      </c>
      <c r="C261">
        <v>1</v>
      </c>
      <c r="D261">
        <v>1</v>
      </c>
      <c r="E261">
        <v>1</v>
      </c>
      <c r="F261">
        <v>1</v>
      </c>
      <c r="G261">
        <v>1</v>
      </c>
      <c r="J261">
        <f t="shared" si="10"/>
        <v>59</v>
      </c>
      <c r="K261">
        <v>1</v>
      </c>
      <c r="L261">
        <v>1</v>
      </c>
      <c r="M261">
        <v>1</v>
      </c>
      <c r="N261">
        <v>1</v>
      </c>
      <c r="O261">
        <v>1</v>
      </c>
      <c r="R261">
        <f t="shared" si="11"/>
        <v>59</v>
      </c>
      <c r="S261">
        <v>1</v>
      </c>
      <c r="T261">
        <v>1</v>
      </c>
      <c r="U261">
        <v>1</v>
      </c>
      <c r="V261">
        <v>1</v>
      </c>
      <c r="W261">
        <v>1</v>
      </c>
      <c r="AA261">
        <v>-6094.3262999999997</v>
      </c>
      <c r="AB261">
        <v>-6094.3262999999997</v>
      </c>
      <c r="AC261">
        <v>-6094.3262999999997</v>
      </c>
      <c r="AD261">
        <v>-6094.3262999999997</v>
      </c>
      <c r="AE261">
        <v>-6094.3262999999997</v>
      </c>
      <c r="AF261">
        <v>-1136284.0146999999</v>
      </c>
    </row>
    <row r="262" spans="2:32" x14ac:dyDescent="0.25">
      <c r="B262">
        <f t="shared" si="9"/>
        <v>60</v>
      </c>
      <c r="C262">
        <v>1</v>
      </c>
      <c r="D262">
        <v>1</v>
      </c>
      <c r="E262">
        <v>1</v>
      </c>
      <c r="F262">
        <v>1</v>
      </c>
      <c r="G262">
        <v>1</v>
      </c>
      <c r="J262">
        <f t="shared" si="10"/>
        <v>60</v>
      </c>
      <c r="K262">
        <v>1</v>
      </c>
      <c r="L262">
        <v>1</v>
      </c>
      <c r="M262">
        <v>1</v>
      </c>
      <c r="N262">
        <v>1</v>
      </c>
      <c r="O262">
        <v>1</v>
      </c>
      <c r="R262">
        <f t="shared" si="11"/>
        <v>60</v>
      </c>
      <c r="S262">
        <v>1</v>
      </c>
      <c r="T262">
        <v>1</v>
      </c>
      <c r="U262">
        <v>1</v>
      </c>
      <c r="V262">
        <v>1</v>
      </c>
      <c r="W262">
        <v>1</v>
      </c>
      <c r="AA262">
        <v>-5945.9960000000001</v>
      </c>
      <c r="AB262">
        <v>-5945.9960000000001</v>
      </c>
      <c r="AC262">
        <v>-5945.9960000000001</v>
      </c>
      <c r="AD262">
        <v>-5945.9960000000001</v>
      </c>
      <c r="AE262">
        <v>-5945.9960000000001</v>
      </c>
      <c r="AF262">
        <v>-1157801.6717999999</v>
      </c>
    </row>
    <row r="263" spans="2:32" x14ac:dyDescent="0.25">
      <c r="B263">
        <f t="shared" si="9"/>
        <v>61</v>
      </c>
      <c r="C263">
        <v>1</v>
      </c>
      <c r="D263">
        <v>1</v>
      </c>
      <c r="E263">
        <v>1</v>
      </c>
      <c r="F263">
        <v>1</v>
      </c>
      <c r="G263">
        <v>1</v>
      </c>
      <c r="J263">
        <f t="shared" si="10"/>
        <v>61</v>
      </c>
      <c r="K263">
        <v>1</v>
      </c>
      <c r="L263">
        <v>1</v>
      </c>
      <c r="M263">
        <v>1</v>
      </c>
      <c r="N263">
        <v>1</v>
      </c>
      <c r="O263">
        <v>1</v>
      </c>
      <c r="R263">
        <f t="shared" si="11"/>
        <v>61</v>
      </c>
      <c r="S263">
        <v>1</v>
      </c>
      <c r="T263">
        <v>1</v>
      </c>
      <c r="U263">
        <v>1</v>
      </c>
      <c r="V263">
        <v>1</v>
      </c>
      <c r="W263">
        <v>1</v>
      </c>
      <c r="AA263">
        <v>-5796.3015999999998</v>
      </c>
      <c r="AB263">
        <v>-5796.3015999999998</v>
      </c>
      <c r="AC263">
        <v>-5796.3015999999998</v>
      </c>
      <c r="AD263">
        <v>-5796.3015999999998</v>
      </c>
      <c r="AE263">
        <v>-5796.3015999999998</v>
      </c>
      <c r="AF263">
        <v>-1178581.4038</v>
      </c>
    </row>
    <row r="264" spans="2:32" x14ac:dyDescent="0.25">
      <c r="B264">
        <f t="shared" si="9"/>
        <v>62</v>
      </c>
      <c r="C264">
        <v>1</v>
      </c>
      <c r="D264">
        <v>1</v>
      </c>
      <c r="E264">
        <v>1</v>
      </c>
      <c r="F264">
        <v>1</v>
      </c>
      <c r="G264">
        <v>1</v>
      </c>
      <c r="J264">
        <f t="shared" si="10"/>
        <v>62</v>
      </c>
      <c r="K264">
        <v>1</v>
      </c>
      <c r="L264">
        <v>1</v>
      </c>
      <c r="M264">
        <v>1</v>
      </c>
      <c r="N264">
        <v>1</v>
      </c>
      <c r="O264">
        <v>1</v>
      </c>
      <c r="R264">
        <f t="shared" si="11"/>
        <v>62</v>
      </c>
      <c r="S264">
        <v>1</v>
      </c>
      <c r="T264">
        <v>1</v>
      </c>
      <c r="U264">
        <v>1</v>
      </c>
      <c r="V264">
        <v>1</v>
      </c>
      <c r="W264">
        <v>1</v>
      </c>
      <c r="AA264">
        <v>-5645.2415000000001</v>
      </c>
      <c r="AB264">
        <v>-5645.2415000000001</v>
      </c>
      <c r="AC264">
        <v>-5645.2415000000001</v>
      </c>
      <c r="AD264">
        <v>-5645.2415000000001</v>
      </c>
      <c r="AE264">
        <v>-5645.2415000000001</v>
      </c>
      <c r="AF264">
        <v>-1199521.5327000001</v>
      </c>
    </row>
    <row r="265" spans="2:32" x14ac:dyDescent="0.25">
      <c r="B265">
        <f t="shared" si="9"/>
        <v>63</v>
      </c>
      <c r="C265">
        <v>1</v>
      </c>
      <c r="D265">
        <v>1</v>
      </c>
      <c r="E265">
        <v>1</v>
      </c>
      <c r="F265">
        <v>1</v>
      </c>
      <c r="G265">
        <v>1</v>
      </c>
      <c r="J265">
        <f t="shared" si="10"/>
        <v>63</v>
      </c>
      <c r="K265">
        <v>1</v>
      </c>
      <c r="L265">
        <v>1</v>
      </c>
      <c r="M265">
        <v>1</v>
      </c>
      <c r="N265">
        <v>1</v>
      </c>
      <c r="O265">
        <v>1</v>
      </c>
      <c r="R265">
        <f t="shared" si="11"/>
        <v>63</v>
      </c>
      <c r="S265">
        <v>1</v>
      </c>
      <c r="T265">
        <v>1</v>
      </c>
      <c r="U265">
        <v>1</v>
      </c>
      <c r="V265">
        <v>1</v>
      </c>
      <c r="W265">
        <v>1</v>
      </c>
      <c r="AA265">
        <v>-5492.4920000000002</v>
      </c>
      <c r="AB265">
        <v>-5492.4920000000002</v>
      </c>
      <c r="AC265">
        <v>-5492.4920000000002</v>
      </c>
      <c r="AD265">
        <v>-5492.4920000000002</v>
      </c>
      <c r="AE265">
        <v>-5492.4920000000002</v>
      </c>
      <c r="AF265">
        <v>-1220461.6269</v>
      </c>
    </row>
    <row r="266" spans="2:32" x14ac:dyDescent="0.25">
      <c r="B266">
        <f t="shared" si="9"/>
        <v>64</v>
      </c>
      <c r="C266">
        <v>1</v>
      </c>
      <c r="D266">
        <v>1</v>
      </c>
      <c r="E266">
        <v>1</v>
      </c>
      <c r="F266">
        <v>1</v>
      </c>
      <c r="G266">
        <v>1</v>
      </c>
      <c r="J266">
        <f t="shared" si="10"/>
        <v>64</v>
      </c>
      <c r="K266">
        <v>1</v>
      </c>
      <c r="L266">
        <v>1</v>
      </c>
      <c r="M266">
        <v>1</v>
      </c>
      <c r="N266">
        <v>1</v>
      </c>
      <c r="O266">
        <v>1</v>
      </c>
      <c r="R266">
        <f t="shared" si="11"/>
        <v>64</v>
      </c>
      <c r="S266">
        <v>1</v>
      </c>
      <c r="T266">
        <v>1</v>
      </c>
      <c r="U266">
        <v>1</v>
      </c>
      <c r="V266">
        <v>1</v>
      </c>
      <c r="W266">
        <v>1</v>
      </c>
      <c r="AA266">
        <v>-5338.1817000000001</v>
      </c>
      <c r="AB266">
        <v>-5338.1817000000001</v>
      </c>
      <c r="AC266">
        <v>-5338.1817000000001</v>
      </c>
      <c r="AD266">
        <v>-5338.1817000000001</v>
      </c>
      <c r="AE266">
        <v>-5338.1817000000001</v>
      </c>
      <c r="AF266">
        <v>-1240652.2526</v>
      </c>
    </row>
    <row r="267" spans="2:32" x14ac:dyDescent="0.25">
      <c r="B267">
        <f t="shared" si="9"/>
        <v>65</v>
      </c>
      <c r="C267">
        <v>1</v>
      </c>
      <c r="D267">
        <v>1</v>
      </c>
      <c r="E267">
        <v>1</v>
      </c>
      <c r="F267">
        <v>1</v>
      </c>
      <c r="G267">
        <v>1</v>
      </c>
      <c r="J267">
        <f t="shared" si="10"/>
        <v>65</v>
      </c>
      <c r="K267">
        <v>1</v>
      </c>
      <c r="L267">
        <v>1</v>
      </c>
      <c r="M267">
        <v>1</v>
      </c>
      <c r="N267">
        <v>1</v>
      </c>
      <c r="O267">
        <v>1</v>
      </c>
      <c r="R267">
        <f t="shared" si="11"/>
        <v>65</v>
      </c>
      <c r="S267">
        <v>1</v>
      </c>
      <c r="T267">
        <v>1</v>
      </c>
      <c r="U267">
        <v>1</v>
      </c>
      <c r="V267">
        <v>1</v>
      </c>
      <c r="W267">
        <v>1</v>
      </c>
      <c r="AA267">
        <v>-5182.2268999999997</v>
      </c>
      <c r="AB267">
        <v>-5182.2268999999997</v>
      </c>
      <c r="AC267">
        <v>-5182.2268999999997</v>
      </c>
      <c r="AD267">
        <v>-5182.2268999999997</v>
      </c>
      <c r="AE267">
        <v>-5182.2268999999997</v>
      </c>
      <c r="AF267">
        <v>-1260049.8302</v>
      </c>
    </row>
    <row r="270" spans="2:32" x14ac:dyDescent="0.25">
      <c r="B270" t="s">
        <v>46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47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48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2:32" x14ac:dyDescent="0.25">
      <c r="B271">
        <v>26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J271">
        <v>26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R271">
        <v>26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AA271">
        <v>-5174.8482999999997</v>
      </c>
      <c r="AB271">
        <v>-5174.8482999999997</v>
      </c>
      <c r="AC271">
        <v>-5174.8482999999997</v>
      </c>
      <c r="AD271">
        <v>-5174.8482999999997</v>
      </c>
      <c r="AE271">
        <v>-5174.8482999999997</v>
      </c>
      <c r="AF271">
        <v>-5174.8482999999997</v>
      </c>
    </row>
    <row r="272" spans="2:32" x14ac:dyDescent="0.25">
      <c r="B272">
        <v>27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J272">
        <v>27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R272">
        <v>27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AA272">
        <v>-5173.6036999999997</v>
      </c>
      <c r="AB272">
        <v>-5173.6036999999997</v>
      </c>
      <c r="AC272">
        <v>-5173.6036999999997</v>
      </c>
      <c r="AD272">
        <v>-5173.6036999999997</v>
      </c>
      <c r="AE272">
        <v>-5173.6036999999997</v>
      </c>
      <c r="AF272">
        <v>-5173.6036999999997</v>
      </c>
    </row>
    <row r="273" spans="2:32" x14ac:dyDescent="0.25">
      <c r="B273">
        <v>28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J273">
        <v>28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R273">
        <v>28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AA273">
        <v>-5172.1755999999996</v>
      </c>
      <c r="AB273">
        <v>-5172.1755999999996</v>
      </c>
      <c r="AC273">
        <v>-5172.1755999999996</v>
      </c>
      <c r="AD273">
        <v>-5172.1755999999996</v>
      </c>
      <c r="AE273">
        <v>-5172.1755999999996</v>
      </c>
      <c r="AF273">
        <v>-5172.1755999999996</v>
      </c>
    </row>
    <row r="274" spans="2:32" x14ac:dyDescent="0.25">
      <c r="B274">
        <v>29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1</v>
      </c>
      <c r="J274">
        <v>29</v>
      </c>
      <c r="K274">
        <v>1</v>
      </c>
      <c r="L274">
        <v>1</v>
      </c>
      <c r="M274">
        <v>1</v>
      </c>
      <c r="N274">
        <v>1</v>
      </c>
      <c r="O274">
        <v>1</v>
      </c>
      <c r="P274">
        <v>1</v>
      </c>
      <c r="R274">
        <v>29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AA274">
        <v>-5170.5482000000002</v>
      </c>
      <c r="AB274">
        <v>-5170.5482000000002</v>
      </c>
      <c r="AC274">
        <v>-5170.5482000000002</v>
      </c>
      <c r="AD274">
        <v>-5170.5482000000002</v>
      </c>
      <c r="AE274">
        <v>-5170.5482000000002</v>
      </c>
      <c r="AF274">
        <v>-5170.5482000000002</v>
      </c>
    </row>
    <row r="275" spans="2:32" x14ac:dyDescent="0.25">
      <c r="B275">
        <v>30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J275">
        <v>30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R275">
        <v>30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AA275">
        <v>-5168.6908999999996</v>
      </c>
      <c r="AB275">
        <v>-5168.6908999999996</v>
      </c>
      <c r="AC275">
        <v>-5168.6908999999996</v>
      </c>
      <c r="AD275">
        <v>-5168.6908999999996</v>
      </c>
      <c r="AE275">
        <v>-5168.6908999999996</v>
      </c>
      <c r="AF275">
        <v>-5168.6908999999996</v>
      </c>
    </row>
    <row r="276" spans="2:32" x14ac:dyDescent="0.25">
      <c r="B276">
        <v>31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J276">
        <v>31</v>
      </c>
      <c r="K276">
        <v>1</v>
      </c>
      <c r="L276">
        <v>1</v>
      </c>
      <c r="M276">
        <v>1</v>
      </c>
      <c r="N276">
        <v>1</v>
      </c>
      <c r="O276">
        <v>1</v>
      </c>
      <c r="P276">
        <v>1</v>
      </c>
      <c r="R276">
        <v>31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AA276">
        <v>-5166.5891000000001</v>
      </c>
      <c r="AB276">
        <v>-5166.5891000000001</v>
      </c>
      <c r="AC276">
        <v>-5166.5891000000001</v>
      </c>
      <c r="AD276">
        <v>-5166.5891000000001</v>
      </c>
      <c r="AE276">
        <v>-5166.5891000000001</v>
      </c>
      <c r="AF276">
        <v>-5166.5891000000001</v>
      </c>
    </row>
    <row r="277" spans="2:32" x14ac:dyDescent="0.25">
      <c r="B277">
        <v>32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J277">
        <v>32</v>
      </c>
      <c r="K277">
        <v>1</v>
      </c>
      <c r="L277">
        <v>1</v>
      </c>
      <c r="M277">
        <v>1</v>
      </c>
      <c r="N277">
        <v>1</v>
      </c>
      <c r="O277">
        <v>1</v>
      </c>
      <c r="P277">
        <v>1</v>
      </c>
      <c r="R277">
        <v>32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AA277">
        <v>-5164.2407000000003</v>
      </c>
      <c r="AB277">
        <v>-5164.2407000000003</v>
      </c>
      <c r="AC277">
        <v>-5164.2407000000003</v>
      </c>
      <c r="AD277">
        <v>-5164.2407000000003</v>
      </c>
      <c r="AE277">
        <v>-5164.2407000000003</v>
      </c>
      <c r="AF277">
        <v>-5164.2407000000003</v>
      </c>
    </row>
    <row r="278" spans="2:32" x14ac:dyDescent="0.25">
      <c r="B278">
        <v>33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J278">
        <v>33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R278">
        <v>33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AA278">
        <v>-5161.6318000000001</v>
      </c>
      <c r="AB278">
        <v>-5161.6318000000001</v>
      </c>
      <c r="AC278">
        <v>-5161.6318000000001</v>
      </c>
      <c r="AD278">
        <v>-5161.6318000000001</v>
      </c>
      <c r="AE278">
        <v>-5161.6318000000001</v>
      </c>
      <c r="AF278">
        <v>-5161.6318000000001</v>
      </c>
    </row>
    <row r="279" spans="2:32" x14ac:dyDescent="0.25">
      <c r="B279">
        <v>34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1</v>
      </c>
      <c r="J279">
        <v>34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R279">
        <v>34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AA279">
        <v>-5158.7194</v>
      </c>
      <c r="AB279">
        <v>-5158.7194</v>
      </c>
      <c r="AC279">
        <v>-5158.7194</v>
      </c>
      <c r="AD279">
        <v>-5158.7194</v>
      </c>
      <c r="AE279">
        <v>-5158.7194</v>
      </c>
      <c r="AF279">
        <v>-5158.7194</v>
      </c>
    </row>
    <row r="280" spans="2:32" x14ac:dyDescent="0.25">
      <c r="B280">
        <v>35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1</v>
      </c>
      <c r="J280">
        <v>35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R280">
        <v>35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AA280">
        <v>-5155.4901</v>
      </c>
      <c r="AB280">
        <v>-5155.4901</v>
      </c>
      <c r="AC280">
        <v>-5155.4901</v>
      </c>
      <c r="AD280">
        <v>-5155.4901</v>
      </c>
      <c r="AE280">
        <v>-5155.4901</v>
      </c>
      <c r="AF280">
        <v>-5155.4901</v>
      </c>
    </row>
    <row r="281" spans="2:32" x14ac:dyDescent="0.25">
      <c r="B281">
        <v>36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J281">
        <v>36</v>
      </c>
      <c r="K281">
        <v>1</v>
      </c>
      <c r="L281">
        <v>1</v>
      </c>
      <c r="M281">
        <v>1</v>
      </c>
      <c r="N281">
        <v>1</v>
      </c>
      <c r="O281">
        <v>1</v>
      </c>
      <c r="P281">
        <v>1</v>
      </c>
      <c r="R281">
        <v>36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AA281">
        <v>-5151.8950999999997</v>
      </c>
      <c r="AB281">
        <v>-5151.8950999999997</v>
      </c>
      <c r="AC281">
        <v>-5151.8950999999997</v>
      </c>
      <c r="AD281">
        <v>-5151.8950999999997</v>
      </c>
      <c r="AE281">
        <v>-5151.8950999999997</v>
      </c>
      <c r="AF281">
        <v>-5151.8950999999997</v>
      </c>
    </row>
    <row r="282" spans="2:32" x14ac:dyDescent="0.25">
      <c r="B282">
        <v>37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J282">
        <v>37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R282">
        <v>37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AA282">
        <v>-5147.9106000000002</v>
      </c>
      <c r="AB282">
        <v>-5147.9106000000002</v>
      </c>
      <c r="AC282">
        <v>-5147.9106000000002</v>
      </c>
      <c r="AD282">
        <v>-5147.9106000000002</v>
      </c>
      <c r="AE282">
        <v>-5147.9106000000002</v>
      </c>
      <c r="AF282">
        <v>-5147.9106000000002</v>
      </c>
    </row>
    <row r="283" spans="2:32" x14ac:dyDescent="0.25">
      <c r="B283">
        <v>38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J283">
        <v>38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R283">
        <v>38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AA283">
        <v>-5143.5393999999997</v>
      </c>
      <c r="AB283">
        <v>-5143.5393999999997</v>
      </c>
      <c r="AC283">
        <v>-5143.5393999999997</v>
      </c>
      <c r="AD283">
        <v>-5143.5393999999997</v>
      </c>
      <c r="AE283">
        <v>-5143.5393999999997</v>
      </c>
      <c r="AF283">
        <v>-5143.5393999999997</v>
      </c>
    </row>
    <row r="284" spans="2:32" x14ac:dyDescent="0.25">
      <c r="B284">
        <v>39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1</v>
      </c>
      <c r="J284">
        <v>39</v>
      </c>
      <c r="K284">
        <v>1</v>
      </c>
      <c r="L284">
        <v>1</v>
      </c>
      <c r="M284">
        <v>1</v>
      </c>
      <c r="N284">
        <v>1</v>
      </c>
      <c r="O284">
        <v>1</v>
      </c>
      <c r="P284">
        <v>1</v>
      </c>
      <c r="R284">
        <v>39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AA284">
        <v>-5138.76</v>
      </c>
      <c r="AB284">
        <v>-5138.76</v>
      </c>
      <c r="AC284">
        <v>-5138.76</v>
      </c>
      <c r="AD284">
        <v>-5138.76</v>
      </c>
      <c r="AE284">
        <v>-5138.76</v>
      </c>
      <c r="AF284">
        <v>-5138.76</v>
      </c>
    </row>
    <row r="285" spans="2:32" x14ac:dyDescent="0.25">
      <c r="B285">
        <v>40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J285">
        <v>40</v>
      </c>
      <c r="K285">
        <v>1</v>
      </c>
      <c r="L285">
        <v>1</v>
      </c>
      <c r="M285">
        <v>1</v>
      </c>
      <c r="N285">
        <v>1</v>
      </c>
      <c r="O285">
        <v>1</v>
      </c>
      <c r="P285">
        <v>1</v>
      </c>
      <c r="R285">
        <v>40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AA285">
        <v>-5133.5084999999999</v>
      </c>
      <c r="AB285">
        <v>-5133.5084999999999</v>
      </c>
      <c r="AC285">
        <v>-5133.5084999999999</v>
      </c>
      <c r="AD285">
        <v>-5133.5084999999999</v>
      </c>
      <c r="AE285">
        <v>-5133.5084999999999</v>
      </c>
      <c r="AF285">
        <v>-5133.5084999999999</v>
      </c>
    </row>
    <row r="286" spans="2:32" x14ac:dyDescent="0.25">
      <c r="B286">
        <v>41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J286">
        <v>41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R286">
        <v>41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AA286">
        <v>-5127.7236000000003</v>
      </c>
      <c r="AB286">
        <v>-5127.7236000000003</v>
      </c>
      <c r="AC286">
        <v>-5127.7236000000003</v>
      </c>
      <c r="AD286">
        <v>-5127.7236000000003</v>
      </c>
      <c r="AE286">
        <v>-5127.7236000000003</v>
      </c>
      <c r="AF286">
        <v>-5127.7236000000003</v>
      </c>
    </row>
    <row r="287" spans="2:32" x14ac:dyDescent="0.25">
      <c r="B287">
        <v>42</v>
      </c>
      <c r="C287">
        <v>1</v>
      </c>
      <c r="D287">
        <v>1</v>
      </c>
      <c r="E287">
        <v>1</v>
      </c>
      <c r="F287">
        <v>1</v>
      </c>
      <c r="G287">
        <v>1</v>
      </c>
      <c r="H287">
        <v>1</v>
      </c>
      <c r="J287">
        <v>42</v>
      </c>
      <c r="K287">
        <v>1</v>
      </c>
      <c r="L287">
        <v>1</v>
      </c>
      <c r="M287">
        <v>1</v>
      </c>
      <c r="N287">
        <v>1</v>
      </c>
      <c r="O287">
        <v>1</v>
      </c>
      <c r="P287">
        <v>1</v>
      </c>
      <c r="R287">
        <v>42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AA287">
        <v>-5121.3726999999999</v>
      </c>
      <c r="AB287">
        <v>-5121.3726999999999</v>
      </c>
      <c r="AC287">
        <v>-5121.3726999999999</v>
      </c>
      <c r="AD287">
        <v>-5121.3726999999999</v>
      </c>
      <c r="AE287">
        <v>-5121.3726999999999</v>
      </c>
      <c r="AF287">
        <v>-5121.3726999999999</v>
      </c>
    </row>
    <row r="288" spans="2:32" x14ac:dyDescent="0.25">
      <c r="B288">
        <v>43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J288">
        <v>43</v>
      </c>
      <c r="K288">
        <v>1</v>
      </c>
      <c r="L288">
        <v>1</v>
      </c>
      <c r="M288">
        <v>1</v>
      </c>
      <c r="N288">
        <v>1</v>
      </c>
      <c r="O288">
        <v>1</v>
      </c>
      <c r="P288">
        <v>1</v>
      </c>
      <c r="R288">
        <v>43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AA288">
        <v>-5114.3449000000001</v>
      </c>
      <c r="AB288">
        <v>-5114.3449000000001</v>
      </c>
      <c r="AC288">
        <v>-5114.3449000000001</v>
      </c>
      <c r="AD288">
        <v>-5114.3449000000001</v>
      </c>
      <c r="AE288">
        <v>-5114.3449000000001</v>
      </c>
      <c r="AF288">
        <v>-5114.3449000000001</v>
      </c>
    </row>
    <row r="289" spans="2:32" x14ac:dyDescent="0.25">
      <c r="B289">
        <v>44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1</v>
      </c>
      <c r="J289">
        <v>44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R289">
        <v>44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AA289">
        <v>-5106.5976000000001</v>
      </c>
      <c r="AB289">
        <v>-5106.5976000000001</v>
      </c>
      <c r="AC289">
        <v>-5106.5976000000001</v>
      </c>
      <c r="AD289">
        <v>-5106.5976000000001</v>
      </c>
      <c r="AE289">
        <v>-5106.5976000000001</v>
      </c>
      <c r="AF289">
        <v>-5106.5976000000001</v>
      </c>
    </row>
    <row r="290" spans="2:32" x14ac:dyDescent="0.25">
      <c r="B290">
        <v>45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J290">
        <v>45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R290">
        <v>45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AA290">
        <v>-5098.0524999999998</v>
      </c>
      <c r="AB290">
        <v>-5098.0524999999998</v>
      </c>
      <c r="AC290">
        <v>-5098.0524999999998</v>
      </c>
      <c r="AD290">
        <v>-5098.0524999999998</v>
      </c>
      <c r="AE290">
        <v>-5098.0524999999998</v>
      </c>
      <c r="AF290">
        <v>-5098.0524999999998</v>
      </c>
    </row>
    <row r="291" spans="2:32" x14ac:dyDescent="0.25">
      <c r="B291">
        <v>46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J291">
        <v>46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R291">
        <v>46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AA291">
        <v>-5088.6378000000004</v>
      </c>
      <c r="AB291">
        <v>-5088.6378000000004</v>
      </c>
      <c r="AC291">
        <v>-5088.6378000000004</v>
      </c>
      <c r="AD291">
        <v>-5088.6378000000004</v>
      </c>
      <c r="AE291">
        <v>-5088.6378000000004</v>
      </c>
      <c r="AF291">
        <v>-5088.6378000000004</v>
      </c>
    </row>
    <row r="292" spans="2:32" x14ac:dyDescent="0.25">
      <c r="B292">
        <v>47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1</v>
      </c>
      <c r="J292">
        <v>47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R292">
        <v>47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AA292">
        <v>-5078.2593999999999</v>
      </c>
      <c r="AB292">
        <v>-5078.2593999999999</v>
      </c>
      <c r="AC292">
        <v>-5078.2593999999999</v>
      </c>
      <c r="AD292">
        <v>-5078.2593999999999</v>
      </c>
      <c r="AE292">
        <v>-5078.2593999999999</v>
      </c>
      <c r="AF292">
        <v>-5078.2593999999999</v>
      </c>
    </row>
    <row r="293" spans="2:32" x14ac:dyDescent="0.25">
      <c r="B293">
        <v>48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J293">
        <v>48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R293">
        <v>48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AA293">
        <v>-5066.8732</v>
      </c>
      <c r="AB293">
        <v>-5066.8732</v>
      </c>
      <c r="AC293">
        <v>-5066.8732</v>
      </c>
      <c r="AD293">
        <v>-5066.8732</v>
      </c>
      <c r="AE293">
        <v>-5066.8732</v>
      </c>
      <c r="AF293">
        <v>-5066.8732</v>
      </c>
    </row>
    <row r="294" spans="2:32" x14ac:dyDescent="0.25">
      <c r="B294">
        <v>49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J294">
        <v>49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R294">
        <v>49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AA294">
        <v>-5054.4124000000002</v>
      </c>
      <c r="AB294">
        <v>-5054.4124000000002</v>
      </c>
      <c r="AC294">
        <v>-5054.4124000000002</v>
      </c>
      <c r="AD294">
        <v>-5054.4124000000002</v>
      </c>
      <c r="AE294">
        <v>-5054.4124000000002</v>
      </c>
      <c r="AF294">
        <v>-5054.4124000000002</v>
      </c>
    </row>
    <row r="295" spans="2:32" x14ac:dyDescent="0.25">
      <c r="B295">
        <v>50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J295">
        <v>50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R295">
        <v>50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AA295">
        <v>-5040.7671</v>
      </c>
      <c r="AB295">
        <v>-5040.7671</v>
      </c>
      <c r="AC295">
        <v>-5040.7671</v>
      </c>
      <c r="AD295">
        <v>-5040.7671</v>
      </c>
      <c r="AE295">
        <v>-5040.7671</v>
      </c>
      <c r="AF295">
        <v>-5040.7671</v>
      </c>
    </row>
    <row r="296" spans="2:32" x14ac:dyDescent="0.25">
      <c r="B296">
        <v>51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J296">
        <v>51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R296">
        <v>51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AA296">
        <v>-5025.8329000000003</v>
      </c>
      <c r="AB296">
        <v>-5025.8329000000003</v>
      </c>
      <c r="AC296">
        <v>-5025.8329000000003</v>
      </c>
      <c r="AD296">
        <v>-5025.8329000000003</v>
      </c>
      <c r="AE296">
        <v>-5025.8329000000003</v>
      </c>
      <c r="AF296">
        <v>-5025.8329000000003</v>
      </c>
    </row>
    <row r="297" spans="2:32" x14ac:dyDescent="0.25">
      <c r="B297">
        <v>52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1</v>
      </c>
      <c r="J297">
        <v>52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1</v>
      </c>
      <c r="R297">
        <v>52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AA297">
        <v>-5009.4771000000001</v>
      </c>
      <c r="AB297">
        <v>-5009.4771000000001</v>
      </c>
      <c r="AC297">
        <v>-5009.4771000000001</v>
      </c>
      <c r="AD297">
        <v>-5009.4771000000001</v>
      </c>
      <c r="AE297">
        <v>-5009.4771000000001</v>
      </c>
      <c r="AF297">
        <v>-5009.4771000000001</v>
      </c>
    </row>
    <row r="298" spans="2:32" x14ac:dyDescent="0.25">
      <c r="B298">
        <v>53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J298">
        <v>53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R298">
        <v>53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AA298">
        <v>-4991.6184000000003</v>
      </c>
      <c r="AB298">
        <v>-4991.6184000000003</v>
      </c>
      <c r="AC298">
        <v>-4991.6184000000003</v>
      </c>
      <c r="AD298">
        <v>-4991.6184000000003</v>
      </c>
      <c r="AE298">
        <v>-4991.6184000000003</v>
      </c>
      <c r="AF298">
        <v>-4991.6184000000003</v>
      </c>
    </row>
    <row r="299" spans="2:32" x14ac:dyDescent="0.25">
      <c r="B299">
        <v>54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J299">
        <v>54</v>
      </c>
      <c r="K299">
        <v>1</v>
      </c>
      <c r="L299">
        <v>1</v>
      </c>
      <c r="M299">
        <v>1</v>
      </c>
      <c r="N299">
        <v>1</v>
      </c>
      <c r="O299">
        <v>1</v>
      </c>
      <c r="P299">
        <v>1</v>
      </c>
      <c r="R299">
        <v>54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AA299">
        <v>-4972.1588000000002</v>
      </c>
      <c r="AB299">
        <v>-4972.1588000000002</v>
      </c>
      <c r="AC299">
        <v>-4972.1588000000002</v>
      </c>
      <c r="AD299">
        <v>-4972.1588000000002</v>
      </c>
      <c r="AE299">
        <v>-4972.1588000000002</v>
      </c>
      <c r="AF299">
        <v>-4972.1588000000002</v>
      </c>
    </row>
    <row r="300" spans="2:32" x14ac:dyDescent="0.25">
      <c r="B300">
        <v>55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J300">
        <v>55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R300">
        <v>55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AA300">
        <v>-4950.9426000000003</v>
      </c>
      <c r="AB300">
        <v>-4950.9426000000003</v>
      </c>
      <c r="AC300">
        <v>-4950.9426000000003</v>
      </c>
      <c r="AD300">
        <v>-4950.9426000000003</v>
      </c>
      <c r="AE300">
        <v>-4950.9426000000003</v>
      </c>
      <c r="AF300">
        <v>-4950.9426000000003</v>
      </c>
    </row>
    <row r="303" spans="2:32" x14ac:dyDescent="0.25">
      <c r="B303" t="s">
        <v>46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32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48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2:32" x14ac:dyDescent="0.25">
      <c r="B304">
        <v>35</v>
      </c>
      <c r="C304">
        <v>1</v>
      </c>
      <c r="D304">
        <v>1</v>
      </c>
      <c r="E304">
        <v>1</v>
      </c>
      <c r="F304">
        <v>1</v>
      </c>
      <c r="G304">
        <v>1</v>
      </c>
      <c r="J304">
        <v>35</v>
      </c>
      <c r="K304">
        <v>1</v>
      </c>
      <c r="L304">
        <v>1</v>
      </c>
      <c r="M304">
        <v>1</v>
      </c>
      <c r="N304">
        <v>1</v>
      </c>
      <c r="O304">
        <v>1</v>
      </c>
      <c r="R304">
        <v>35</v>
      </c>
      <c r="S304">
        <v>1</v>
      </c>
      <c r="T304">
        <v>1</v>
      </c>
      <c r="U304">
        <v>1</v>
      </c>
      <c r="V304">
        <v>1</v>
      </c>
      <c r="W304">
        <v>1</v>
      </c>
      <c r="AA304">
        <v>-8996.1419000000005</v>
      </c>
      <c r="AB304">
        <v>-8996.1419000000005</v>
      </c>
      <c r="AC304">
        <v>-8996.1419000000005</v>
      </c>
      <c r="AD304">
        <v>-8996.1419000000005</v>
      </c>
      <c r="AE304">
        <v>-8996.1419000000005</v>
      </c>
      <c r="AF304">
        <v>-759112.79520000005</v>
      </c>
    </row>
    <row r="305" spans="2:32" x14ac:dyDescent="0.25">
      <c r="B305">
        <f t="shared" ref="B305:B334" si="12">B304+1</f>
        <v>36</v>
      </c>
      <c r="C305">
        <v>1</v>
      </c>
      <c r="D305">
        <v>1</v>
      </c>
      <c r="E305">
        <v>1</v>
      </c>
      <c r="F305">
        <v>1</v>
      </c>
      <c r="G305">
        <v>1</v>
      </c>
      <c r="J305">
        <f t="shared" ref="J305:J334" si="13">J304+1</f>
        <v>36</v>
      </c>
      <c r="K305">
        <v>1</v>
      </c>
      <c r="L305">
        <v>1</v>
      </c>
      <c r="M305">
        <v>1</v>
      </c>
      <c r="N305">
        <v>1</v>
      </c>
      <c r="O305">
        <v>1</v>
      </c>
      <c r="R305">
        <f t="shared" ref="R305:R334" si="14">R304+1</f>
        <v>36</v>
      </c>
      <c r="S305">
        <v>1</v>
      </c>
      <c r="T305">
        <v>1</v>
      </c>
      <c r="U305">
        <v>1</v>
      </c>
      <c r="V305">
        <v>1</v>
      </c>
      <c r="W305">
        <v>1</v>
      </c>
      <c r="AA305">
        <v>-8902.6679999999997</v>
      </c>
      <c r="AB305">
        <v>-8902.6679999999997</v>
      </c>
      <c r="AC305">
        <v>-8902.6679999999997</v>
      </c>
      <c r="AD305">
        <v>-8902.6679999999997</v>
      </c>
      <c r="AE305">
        <v>-8902.6679999999997</v>
      </c>
      <c r="AF305">
        <v>-737070.86179999996</v>
      </c>
    </row>
    <row r="306" spans="2:32" x14ac:dyDescent="0.25">
      <c r="B306">
        <f t="shared" si="12"/>
        <v>37</v>
      </c>
      <c r="C306">
        <v>1</v>
      </c>
      <c r="D306">
        <v>1</v>
      </c>
      <c r="E306">
        <v>1</v>
      </c>
      <c r="F306">
        <v>1</v>
      </c>
      <c r="G306">
        <v>1</v>
      </c>
      <c r="J306">
        <f t="shared" si="13"/>
        <v>37</v>
      </c>
      <c r="K306">
        <v>1</v>
      </c>
      <c r="L306">
        <v>1</v>
      </c>
      <c r="M306">
        <v>1</v>
      </c>
      <c r="N306">
        <v>1</v>
      </c>
      <c r="O306">
        <v>1</v>
      </c>
      <c r="R306">
        <f t="shared" si="14"/>
        <v>37</v>
      </c>
      <c r="S306">
        <v>1</v>
      </c>
      <c r="T306">
        <v>1</v>
      </c>
      <c r="U306">
        <v>1</v>
      </c>
      <c r="V306">
        <v>1</v>
      </c>
      <c r="W306">
        <v>1</v>
      </c>
      <c r="AA306">
        <v>-8806.7960000000003</v>
      </c>
      <c r="AB306">
        <v>-8806.7960000000003</v>
      </c>
      <c r="AC306">
        <v>-8806.7960000000003</v>
      </c>
      <c r="AD306">
        <v>-8806.7960000000003</v>
      </c>
      <c r="AE306">
        <v>-8806.7960000000003</v>
      </c>
      <c r="AF306">
        <v>-765978.91940000001</v>
      </c>
    </row>
    <row r="307" spans="2:32" x14ac:dyDescent="0.25">
      <c r="B307">
        <f t="shared" si="12"/>
        <v>38</v>
      </c>
      <c r="C307">
        <v>1</v>
      </c>
      <c r="D307">
        <v>1</v>
      </c>
      <c r="E307">
        <v>1</v>
      </c>
      <c r="F307">
        <v>1</v>
      </c>
      <c r="G307">
        <v>1</v>
      </c>
      <c r="J307">
        <f t="shared" si="13"/>
        <v>38</v>
      </c>
      <c r="K307">
        <v>1</v>
      </c>
      <c r="L307">
        <v>1</v>
      </c>
      <c r="M307">
        <v>1</v>
      </c>
      <c r="N307">
        <v>1</v>
      </c>
      <c r="O307">
        <v>1</v>
      </c>
      <c r="R307">
        <f t="shared" si="14"/>
        <v>38</v>
      </c>
      <c r="S307">
        <v>1</v>
      </c>
      <c r="T307">
        <v>1</v>
      </c>
      <c r="U307">
        <v>1</v>
      </c>
      <c r="V307">
        <v>1</v>
      </c>
      <c r="W307">
        <v>1</v>
      </c>
      <c r="AA307">
        <v>-8708.6234000000004</v>
      </c>
      <c r="AB307">
        <v>-8708.6234000000004</v>
      </c>
      <c r="AC307">
        <v>-8708.6234000000004</v>
      </c>
      <c r="AD307">
        <v>-8708.6234000000004</v>
      </c>
      <c r="AE307">
        <v>-8708.6234000000004</v>
      </c>
      <c r="AF307">
        <v>-783780.576</v>
      </c>
    </row>
    <row r="308" spans="2:32" x14ac:dyDescent="0.25">
      <c r="B308">
        <f t="shared" si="12"/>
        <v>39</v>
      </c>
      <c r="C308">
        <v>1</v>
      </c>
      <c r="D308">
        <v>1</v>
      </c>
      <c r="E308">
        <v>1</v>
      </c>
      <c r="F308">
        <v>1</v>
      </c>
      <c r="G308">
        <v>1</v>
      </c>
      <c r="J308">
        <f t="shared" si="13"/>
        <v>39</v>
      </c>
      <c r="K308">
        <v>1</v>
      </c>
      <c r="L308">
        <v>1</v>
      </c>
      <c r="M308">
        <v>1</v>
      </c>
      <c r="N308">
        <v>1</v>
      </c>
      <c r="O308">
        <v>1</v>
      </c>
      <c r="R308">
        <f t="shared" si="14"/>
        <v>39</v>
      </c>
      <c r="S308">
        <v>1</v>
      </c>
      <c r="T308">
        <v>1</v>
      </c>
      <c r="U308">
        <v>1</v>
      </c>
      <c r="V308">
        <v>1</v>
      </c>
      <c r="W308">
        <v>1</v>
      </c>
      <c r="AA308">
        <v>-8608.1594000000005</v>
      </c>
      <c r="AB308">
        <v>-8608.1594000000005</v>
      </c>
      <c r="AC308">
        <v>-8608.1594000000005</v>
      </c>
      <c r="AD308">
        <v>-8608.1594000000005</v>
      </c>
      <c r="AE308">
        <v>-8608.1594000000005</v>
      </c>
      <c r="AF308">
        <v>-769662.22069999995</v>
      </c>
    </row>
    <row r="309" spans="2:32" x14ac:dyDescent="0.25">
      <c r="B309">
        <f t="shared" si="12"/>
        <v>40</v>
      </c>
      <c r="C309">
        <v>1</v>
      </c>
      <c r="D309">
        <v>1</v>
      </c>
      <c r="E309">
        <v>1</v>
      </c>
      <c r="F309">
        <v>1</v>
      </c>
      <c r="G309">
        <v>1</v>
      </c>
      <c r="J309">
        <f t="shared" si="13"/>
        <v>40</v>
      </c>
      <c r="K309">
        <v>1</v>
      </c>
      <c r="L309">
        <v>1</v>
      </c>
      <c r="M309">
        <v>1</v>
      </c>
      <c r="N309">
        <v>1</v>
      </c>
      <c r="O309">
        <v>1</v>
      </c>
      <c r="R309">
        <f t="shared" si="14"/>
        <v>40</v>
      </c>
      <c r="S309">
        <v>1</v>
      </c>
      <c r="T309">
        <v>1</v>
      </c>
      <c r="U309">
        <v>1</v>
      </c>
      <c r="V309">
        <v>1</v>
      </c>
      <c r="W309">
        <v>1</v>
      </c>
      <c r="AA309">
        <v>-8505.3439999999991</v>
      </c>
      <c r="AB309">
        <v>-8505.3439999999991</v>
      </c>
      <c r="AC309">
        <v>-8505.3439999999991</v>
      </c>
      <c r="AD309">
        <v>-8505.3439999999991</v>
      </c>
      <c r="AE309">
        <v>-8505.3439999999991</v>
      </c>
      <c r="AF309">
        <v>-798570.41119999997</v>
      </c>
    </row>
    <row r="310" spans="2:32" x14ac:dyDescent="0.25">
      <c r="B310">
        <f t="shared" si="12"/>
        <v>41</v>
      </c>
      <c r="C310">
        <v>1</v>
      </c>
      <c r="D310">
        <v>1</v>
      </c>
      <c r="E310">
        <v>1</v>
      </c>
      <c r="F310">
        <v>1</v>
      </c>
      <c r="G310">
        <v>1</v>
      </c>
      <c r="J310">
        <f t="shared" si="13"/>
        <v>41</v>
      </c>
      <c r="K310">
        <v>1</v>
      </c>
      <c r="L310">
        <v>1</v>
      </c>
      <c r="M310">
        <v>1</v>
      </c>
      <c r="N310">
        <v>1</v>
      </c>
      <c r="O310">
        <v>1</v>
      </c>
      <c r="R310">
        <f t="shared" si="14"/>
        <v>41</v>
      </c>
      <c r="S310">
        <v>1</v>
      </c>
      <c r="T310">
        <v>1</v>
      </c>
      <c r="U310">
        <v>1</v>
      </c>
      <c r="V310">
        <v>1</v>
      </c>
      <c r="W310">
        <v>1</v>
      </c>
      <c r="AA310">
        <v>-8400.1087000000007</v>
      </c>
      <c r="AB310">
        <v>-8400.1087000000007</v>
      </c>
      <c r="AC310">
        <v>-8400.1087000000007</v>
      </c>
      <c r="AD310">
        <v>-8400.1087000000007</v>
      </c>
      <c r="AE310">
        <v>-8400.1087000000007</v>
      </c>
      <c r="AF310">
        <v>-803549.96459999995</v>
      </c>
    </row>
    <row r="311" spans="2:32" x14ac:dyDescent="0.25">
      <c r="B311">
        <f t="shared" si="12"/>
        <v>42</v>
      </c>
      <c r="C311">
        <v>1</v>
      </c>
      <c r="D311">
        <v>1</v>
      </c>
      <c r="E311">
        <v>1</v>
      </c>
      <c r="F311">
        <v>1</v>
      </c>
      <c r="G311">
        <v>1</v>
      </c>
      <c r="J311">
        <f t="shared" si="13"/>
        <v>42</v>
      </c>
      <c r="K311">
        <v>1</v>
      </c>
      <c r="L311">
        <v>1</v>
      </c>
      <c r="M311">
        <v>1</v>
      </c>
      <c r="N311">
        <v>1</v>
      </c>
      <c r="O311">
        <v>1</v>
      </c>
      <c r="R311">
        <f t="shared" si="14"/>
        <v>42</v>
      </c>
      <c r="S311">
        <v>1</v>
      </c>
      <c r="T311">
        <v>1</v>
      </c>
      <c r="U311">
        <v>1</v>
      </c>
      <c r="V311">
        <v>1</v>
      </c>
      <c r="W311">
        <v>1</v>
      </c>
      <c r="AA311">
        <v>-8292.4974999999995</v>
      </c>
      <c r="AB311">
        <v>-8292.4974999999995</v>
      </c>
      <c r="AC311">
        <v>-8292.4974999999995</v>
      </c>
      <c r="AD311">
        <v>-8292.4974999999995</v>
      </c>
      <c r="AE311">
        <v>-8292.4974999999995</v>
      </c>
      <c r="AF311">
        <v>-833551.75890000002</v>
      </c>
    </row>
    <row r="312" spans="2:32" x14ac:dyDescent="0.25">
      <c r="B312">
        <f t="shared" si="12"/>
        <v>43</v>
      </c>
      <c r="C312">
        <v>1</v>
      </c>
      <c r="D312">
        <v>1</v>
      </c>
      <c r="E312">
        <v>1</v>
      </c>
      <c r="F312">
        <v>1</v>
      </c>
      <c r="G312">
        <v>1</v>
      </c>
      <c r="J312">
        <f t="shared" si="13"/>
        <v>43</v>
      </c>
      <c r="K312">
        <v>1</v>
      </c>
      <c r="L312">
        <v>1</v>
      </c>
      <c r="M312">
        <v>1</v>
      </c>
      <c r="N312">
        <v>1</v>
      </c>
      <c r="O312">
        <v>1</v>
      </c>
      <c r="R312">
        <f t="shared" si="14"/>
        <v>43</v>
      </c>
      <c r="S312">
        <v>1</v>
      </c>
      <c r="T312">
        <v>1</v>
      </c>
      <c r="U312">
        <v>1</v>
      </c>
      <c r="V312">
        <v>1</v>
      </c>
      <c r="W312">
        <v>1</v>
      </c>
      <c r="AA312">
        <v>-8182.3909999999996</v>
      </c>
      <c r="AB312">
        <v>-8182.3909999999996</v>
      </c>
      <c r="AC312">
        <v>-8182.3909999999996</v>
      </c>
      <c r="AD312">
        <v>-8182.3909999999996</v>
      </c>
      <c r="AE312">
        <v>-8182.3909999999996</v>
      </c>
      <c r="AF312">
        <v>-844950.93949999998</v>
      </c>
    </row>
    <row r="313" spans="2:32" x14ac:dyDescent="0.25">
      <c r="B313">
        <f t="shared" si="12"/>
        <v>44</v>
      </c>
      <c r="C313">
        <v>1</v>
      </c>
      <c r="D313">
        <v>1</v>
      </c>
      <c r="E313">
        <v>1</v>
      </c>
      <c r="F313">
        <v>1</v>
      </c>
      <c r="G313">
        <v>1</v>
      </c>
      <c r="J313">
        <f t="shared" si="13"/>
        <v>44</v>
      </c>
      <c r="K313">
        <v>1</v>
      </c>
      <c r="L313">
        <v>1</v>
      </c>
      <c r="M313">
        <v>1</v>
      </c>
      <c r="N313">
        <v>1</v>
      </c>
      <c r="O313">
        <v>1</v>
      </c>
      <c r="R313">
        <f t="shared" si="14"/>
        <v>44</v>
      </c>
      <c r="S313">
        <v>1</v>
      </c>
      <c r="T313">
        <v>1</v>
      </c>
      <c r="U313">
        <v>1</v>
      </c>
      <c r="V313">
        <v>1</v>
      </c>
      <c r="W313">
        <v>1</v>
      </c>
      <c r="AA313">
        <v>-8069.8261000000002</v>
      </c>
      <c r="AB313">
        <v>-8069.8261000000002</v>
      </c>
      <c r="AC313">
        <v>-8069.8261000000002</v>
      </c>
      <c r="AD313">
        <v>-8069.8261000000002</v>
      </c>
      <c r="AE313">
        <v>-8069.8261000000002</v>
      </c>
      <c r="AF313">
        <v>-851265.64670000004</v>
      </c>
    </row>
    <row r="314" spans="2:32" x14ac:dyDescent="0.25">
      <c r="B314">
        <f t="shared" si="12"/>
        <v>45</v>
      </c>
      <c r="C314">
        <v>1</v>
      </c>
      <c r="D314">
        <v>1</v>
      </c>
      <c r="E314">
        <v>1</v>
      </c>
      <c r="F314">
        <v>1</v>
      </c>
      <c r="G314">
        <v>1</v>
      </c>
      <c r="J314">
        <f t="shared" si="13"/>
        <v>45</v>
      </c>
      <c r="K314">
        <v>1</v>
      </c>
      <c r="L314">
        <v>1</v>
      </c>
      <c r="M314">
        <v>1</v>
      </c>
      <c r="N314">
        <v>1</v>
      </c>
      <c r="O314">
        <v>1</v>
      </c>
      <c r="R314">
        <f t="shared" si="14"/>
        <v>45</v>
      </c>
      <c r="S314">
        <v>1</v>
      </c>
      <c r="T314">
        <v>1</v>
      </c>
      <c r="U314">
        <v>1</v>
      </c>
      <c r="V314">
        <v>1</v>
      </c>
      <c r="W314">
        <v>1</v>
      </c>
      <c r="AA314">
        <v>-7954.7533999999996</v>
      </c>
      <c r="AB314">
        <v>-7954.7533999999996</v>
      </c>
      <c r="AC314">
        <v>-7954.7533999999996</v>
      </c>
      <c r="AD314">
        <v>-7954.7533999999996</v>
      </c>
      <c r="AE314">
        <v>-7954.7533999999996</v>
      </c>
      <c r="AF314">
        <v>-870649.02139999997</v>
      </c>
    </row>
    <row r="315" spans="2:32" x14ac:dyDescent="0.25">
      <c r="B315">
        <f t="shared" si="12"/>
        <v>46</v>
      </c>
      <c r="C315">
        <v>1</v>
      </c>
      <c r="D315">
        <v>1</v>
      </c>
      <c r="E315">
        <v>1</v>
      </c>
      <c r="F315">
        <v>1</v>
      </c>
      <c r="G315">
        <v>1</v>
      </c>
      <c r="J315">
        <f t="shared" si="13"/>
        <v>46</v>
      </c>
      <c r="K315">
        <v>1</v>
      </c>
      <c r="L315">
        <v>1</v>
      </c>
      <c r="M315">
        <v>1</v>
      </c>
      <c r="N315">
        <v>1</v>
      </c>
      <c r="O315">
        <v>1</v>
      </c>
      <c r="R315">
        <f t="shared" si="14"/>
        <v>46</v>
      </c>
      <c r="S315">
        <v>1</v>
      </c>
      <c r="T315">
        <v>1</v>
      </c>
      <c r="U315">
        <v>1</v>
      </c>
      <c r="V315">
        <v>1</v>
      </c>
      <c r="W315">
        <v>1</v>
      </c>
      <c r="AA315">
        <v>-7837.1754000000001</v>
      </c>
      <c r="AB315">
        <v>-7837.1754000000001</v>
      </c>
      <c r="AC315">
        <v>-7837.1754000000001</v>
      </c>
      <c r="AD315">
        <v>-7837.1754000000001</v>
      </c>
      <c r="AE315">
        <v>-7837.1754000000001</v>
      </c>
      <c r="AF315">
        <v>-892550.54509999999</v>
      </c>
    </row>
    <row r="316" spans="2:32" x14ac:dyDescent="0.25">
      <c r="B316">
        <f t="shared" si="12"/>
        <v>47</v>
      </c>
      <c r="C316">
        <v>1</v>
      </c>
      <c r="D316">
        <v>1</v>
      </c>
      <c r="E316">
        <v>1</v>
      </c>
      <c r="F316">
        <v>1</v>
      </c>
      <c r="G316">
        <v>1</v>
      </c>
      <c r="J316">
        <f t="shared" si="13"/>
        <v>47</v>
      </c>
      <c r="K316">
        <v>1</v>
      </c>
      <c r="L316">
        <v>1</v>
      </c>
      <c r="M316">
        <v>1</v>
      </c>
      <c r="N316">
        <v>1</v>
      </c>
      <c r="O316">
        <v>1</v>
      </c>
      <c r="R316">
        <f t="shared" si="14"/>
        <v>47</v>
      </c>
      <c r="S316">
        <v>1</v>
      </c>
      <c r="T316">
        <v>1</v>
      </c>
      <c r="U316">
        <v>1</v>
      </c>
      <c r="V316">
        <v>1</v>
      </c>
      <c r="W316">
        <v>1</v>
      </c>
      <c r="AA316">
        <v>-7717.0294999999996</v>
      </c>
      <c r="AB316">
        <v>-7717.0294999999996</v>
      </c>
      <c r="AC316">
        <v>-7717.0294999999996</v>
      </c>
      <c r="AD316">
        <v>-7717.0294999999996</v>
      </c>
      <c r="AE316">
        <v>-7717.0294999999996</v>
      </c>
      <c r="AF316">
        <v>-910915.81969999999</v>
      </c>
    </row>
    <row r="317" spans="2:32" x14ac:dyDescent="0.25">
      <c r="B317">
        <f t="shared" si="12"/>
        <v>48</v>
      </c>
      <c r="C317">
        <v>1</v>
      </c>
      <c r="D317">
        <v>1</v>
      </c>
      <c r="E317">
        <v>1</v>
      </c>
      <c r="F317">
        <v>1</v>
      </c>
      <c r="G317">
        <v>1</v>
      </c>
      <c r="J317">
        <f t="shared" si="13"/>
        <v>48</v>
      </c>
      <c r="K317">
        <v>1</v>
      </c>
      <c r="L317">
        <v>1</v>
      </c>
      <c r="M317">
        <v>1</v>
      </c>
      <c r="N317">
        <v>1</v>
      </c>
      <c r="O317">
        <v>1</v>
      </c>
      <c r="R317">
        <f t="shared" si="14"/>
        <v>48</v>
      </c>
      <c r="S317">
        <v>1</v>
      </c>
      <c r="T317">
        <v>1</v>
      </c>
      <c r="U317">
        <v>1</v>
      </c>
      <c r="V317">
        <v>1</v>
      </c>
      <c r="W317">
        <v>1</v>
      </c>
      <c r="AA317">
        <v>-7594.4201000000003</v>
      </c>
      <c r="AB317">
        <v>-7594.4201000000003</v>
      </c>
      <c r="AC317">
        <v>-7594.4201000000003</v>
      </c>
      <c r="AD317">
        <v>-7594.4201000000003</v>
      </c>
      <c r="AE317">
        <v>-7594.4201000000003</v>
      </c>
      <c r="AF317">
        <v>-917891.87360000005</v>
      </c>
    </row>
    <row r="318" spans="2:32" x14ac:dyDescent="0.25">
      <c r="B318">
        <f t="shared" si="12"/>
        <v>49</v>
      </c>
      <c r="C318">
        <v>1</v>
      </c>
      <c r="D318">
        <v>1</v>
      </c>
      <c r="E318">
        <v>1</v>
      </c>
      <c r="F318">
        <v>1</v>
      </c>
      <c r="G318">
        <v>1</v>
      </c>
      <c r="J318">
        <f t="shared" si="13"/>
        <v>49</v>
      </c>
      <c r="K318">
        <v>1</v>
      </c>
      <c r="L318">
        <v>1</v>
      </c>
      <c r="M318">
        <v>1</v>
      </c>
      <c r="N318">
        <v>1</v>
      </c>
      <c r="O318">
        <v>1</v>
      </c>
      <c r="R318">
        <f t="shared" si="14"/>
        <v>49</v>
      </c>
      <c r="S318">
        <v>1</v>
      </c>
      <c r="T318">
        <v>1</v>
      </c>
      <c r="U318">
        <v>1</v>
      </c>
      <c r="V318">
        <v>1</v>
      </c>
      <c r="W318">
        <v>1</v>
      </c>
      <c r="AA318">
        <v>-7469.3995999999997</v>
      </c>
      <c r="AB318">
        <v>-7469.3995999999997</v>
      </c>
      <c r="AC318">
        <v>-7469.3995999999997</v>
      </c>
      <c r="AD318">
        <v>-7469.3995999999997</v>
      </c>
      <c r="AE318">
        <v>-7469.3995999999997</v>
      </c>
      <c r="AF318">
        <v>-944521.72470000002</v>
      </c>
    </row>
    <row r="319" spans="2:32" x14ac:dyDescent="0.25">
      <c r="B319">
        <f t="shared" si="12"/>
        <v>50</v>
      </c>
      <c r="C319">
        <v>1</v>
      </c>
      <c r="D319">
        <v>1</v>
      </c>
      <c r="E319">
        <v>1</v>
      </c>
      <c r="F319">
        <v>1</v>
      </c>
      <c r="G319">
        <v>1</v>
      </c>
      <c r="J319">
        <f t="shared" si="13"/>
        <v>50</v>
      </c>
      <c r="K319">
        <v>1</v>
      </c>
      <c r="L319">
        <v>1</v>
      </c>
      <c r="M319">
        <v>1</v>
      </c>
      <c r="N319">
        <v>1</v>
      </c>
      <c r="O319">
        <v>1</v>
      </c>
      <c r="R319">
        <f t="shared" si="14"/>
        <v>50</v>
      </c>
      <c r="S319">
        <v>1</v>
      </c>
      <c r="T319">
        <v>1</v>
      </c>
      <c r="U319">
        <v>1</v>
      </c>
      <c r="V319">
        <v>1</v>
      </c>
      <c r="W319">
        <v>1</v>
      </c>
      <c r="AA319">
        <v>-7341.9502000000002</v>
      </c>
      <c r="AB319">
        <v>-7341.9502000000002</v>
      </c>
      <c r="AC319">
        <v>-7341.9502000000002</v>
      </c>
      <c r="AD319">
        <v>-7341.9502000000002</v>
      </c>
      <c r="AE319">
        <v>-7341.9502000000002</v>
      </c>
      <c r="AF319">
        <v>-963257.14989999996</v>
      </c>
    </row>
    <row r="320" spans="2:32" x14ac:dyDescent="0.25">
      <c r="B320">
        <f t="shared" si="12"/>
        <v>51</v>
      </c>
      <c r="C320">
        <v>1</v>
      </c>
      <c r="D320">
        <v>1</v>
      </c>
      <c r="E320">
        <v>1</v>
      </c>
      <c r="F320">
        <v>1</v>
      </c>
      <c r="G320">
        <v>1</v>
      </c>
      <c r="J320">
        <f t="shared" si="13"/>
        <v>51</v>
      </c>
      <c r="K320">
        <v>1</v>
      </c>
      <c r="L320">
        <v>1</v>
      </c>
      <c r="M320">
        <v>1</v>
      </c>
      <c r="N320">
        <v>1</v>
      </c>
      <c r="O320">
        <v>1</v>
      </c>
      <c r="R320">
        <f t="shared" si="14"/>
        <v>51</v>
      </c>
      <c r="S320">
        <v>1</v>
      </c>
      <c r="T320">
        <v>1</v>
      </c>
      <c r="U320">
        <v>1</v>
      </c>
      <c r="V320">
        <v>1</v>
      </c>
      <c r="W320">
        <v>1</v>
      </c>
      <c r="AA320">
        <v>-7212.0646999999999</v>
      </c>
      <c r="AB320">
        <v>-7212.0646999999999</v>
      </c>
      <c r="AC320">
        <v>-7212.0646999999999</v>
      </c>
      <c r="AD320">
        <v>-7212.0646999999999</v>
      </c>
      <c r="AE320">
        <v>-7212.0646999999999</v>
      </c>
      <c r="AF320">
        <v>-981592.90729999996</v>
      </c>
    </row>
    <row r="321" spans="2:32" x14ac:dyDescent="0.25">
      <c r="B321">
        <f t="shared" si="12"/>
        <v>52</v>
      </c>
      <c r="C321">
        <v>1</v>
      </c>
      <c r="D321">
        <v>1</v>
      </c>
      <c r="E321">
        <v>1</v>
      </c>
      <c r="F321">
        <v>1</v>
      </c>
      <c r="G321">
        <v>1</v>
      </c>
      <c r="J321">
        <f t="shared" si="13"/>
        <v>52</v>
      </c>
      <c r="K321">
        <v>1</v>
      </c>
      <c r="L321">
        <v>1</v>
      </c>
      <c r="M321">
        <v>1</v>
      </c>
      <c r="N321">
        <v>1</v>
      </c>
      <c r="O321">
        <v>1</v>
      </c>
      <c r="R321">
        <f t="shared" si="14"/>
        <v>52</v>
      </c>
      <c r="S321">
        <v>1</v>
      </c>
      <c r="T321">
        <v>1</v>
      </c>
      <c r="U321">
        <v>1</v>
      </c>
      <c r="V321">
        <v>1</v>
      </c>
      <c r="W321">
        <v>1</v>
      </c>
      <c r="AA321">
        <v>-7079.7435999999998</v>
      </c>
      <c r="AB321">
        <v>-7079.7435999999998</v>
      </c>
      <c r="AC321">
        <v>-7079.7435999999998</v>
      </c>
      <c r="AD321">
        <v>-7079.7435999999998</v>
      </c>
      <c r="AE321">
        <v>-7079.7435999999998</v>
      </c>
      <c r="AF321">
        <v>-998556.10360000003</v>
      </c>
    </row>
    <row r="322" spans="2:32" x14ac:dyDescent="0.25">
      <c r="B322">
        <f t="shared" si="12"/>
        <v>53</v>
      </c>
      <c r="C322">
        <v>1</v>
      </c>
      <c r="D322">
        <v>1</v>
      </c>
      <c r="E322">
        <v>1</v>
      </c>
      <c r="F322">
        <v>1</v>
      </c>
      <c r="G322">
        <v>1</v>
      </c>
      <c r="J322">
        <f t="shared" si="13"/>
        <v>53</v>
      </c>
      <c r="K322">
        <v>1</v>
      </c>
      <c r="L322">
        <v>1</v>
      </c>
      <c r="M322">
        <v>1</v>
      </c>
      <c r="N322">
        <v>1</v>
      </c>
      <c r="O322">
        <v>1</v>
      </c>
      <c r="R322">
        <f t="shared" si="14"/>
        <v>53</v>
      </c>
      <c r="S322">
        <v>1</v>
      </c>
      <c r="T322">
        <v>1</v>
      </c>
      <c r="U322">
        <v>1</v>
      </c>
      <c r="V322">
        <v>1</v>
      </c>
      <c r="W322">
        <v>1</v>
      </c>
      <c r="AA322">
        <v>-6945.0875999999998</v>
      </c>
      <c r="AB322">
        <v>-6945.0875999999998</v>
      </c>
      <c r="AC322">
        <v>-6945.0875999999998</v>
      </c>
      <c r="AD322">
        <v>-6945.0875999999998</v>
      </c>
      <c r="AE322">
        <v>-6945.0875999999998</v>
      </c>
      <c r="AF322">
        <v>-1015461.3278</v>
      </c>
    </row>
    <row r="323" spans="2:32" x14ac:dyDescent="0.25">
      <c r="B323">
        <f t="shared" si="12"/>
        <v>54</v>
      </c>
      <c r="C323">
        <v>1</v>
      </c>
      <c r="D323">
        <v>1</v>
      </c>
      <c r="E323">
        <v>1</v>
      </c>
      <c r="F323">
        <v>1</v>
      </c>
      <c r="G323">
        <v>1</v>
      </c>
      <c r="J323">
        <f t="shared" si="13"/>
        <v>54</v>
      </c>
      <c r="K323">
        <v>1</v>
      </c>
      <c r="L323">
        <v>1</v>
      </c>
      <c r="M323">
        <v>1</v>
      </c>
      <c r="N323">
        <v>1</v>
      </c>
      <c r="O323">
        <v>1</v>
      </c>
      <c r="R323">
        <f t="shared" si="14"/>
        <v>54</v>
      </c>
      <c r="S323">
        <v>1</v>
      </c>
      <c r="T323">
        <v>1</v>
      </c>
      <c r="U323">
        <v>1</v>
      </c>
      <c r="V323">
        <v>1</v>
      </c>
      <c r="W323">
        <v>1</v>
      </c>
      <c r="AA323">
        <v>-6808.2438000000002</v>
      </c>
      <c r="AB323">
        <v>-6808.2438000000002</v>
      </c>
      <c r="AC323">
        <v>-6808.2438000000002</v>
      </c>
      <c r="AD323">
        <v>-6808.2438000000002</v>
      </c>
      <c r="AE323">
        <v>-6808.2438000000002</v>
      </c>
      <c r="AF323">
        <v>-1033869.6813000001</v>
      </c>
    </row>
    <row r="324" spans="2:32" x14ac:dyDescent="0.25">
      <c r="B324">
        <f t="shared" si="12"/>
        <v>55</v>
      </c>
      <c r="C324">
        <v>1</v>
      </c>
      <c r="D324">
        <v>1</v>
      </c>
      <c r="E324">
        <v>1</v>
      </c>
      <c r="F324">
        <v>1</v>
      </c>
      <c r="G324">
        <v>1</v>
      </c>
      <c r="J324">
        <f t="shared" si="13"/>
        <v>55</v>
      </c>
      <c r="K324">
        <v>1</v>
      </c>
      <c r="L324">
        <v>1</v>
      </c>
      <c r="M324">
        <v>1</v>
      </c>
      <c r="N324">
        <v>1</v>
      </c>
      <c r="O324">
        <v>1</v>
      </c>
      <c r="R324">
        <f t="shared" si="14"/>
        <v>55</v>
      </c>
      <c r="S324">
        <v>1</v>
      </c>
      <c r="T324">
        <v>1</v>
      </c>
      <c r="U324">
        <v>1</v>
      </c>
      <c r="V324">
        <v>1</v>
      </c>
      <c r="W324">
        <v>1</v>
      </c>
      <c r="AA324">
        <v>-6669.2525999999998</v>
      </c>
      <c r="AB324">
        <v>-6669.2525999999998</v>
      </c>
      <c r="AC324">
        <v>-6669.2525999999998</v>
      </c>
      <c r="AD324">
        <v>-6669.2525999999998</v>
      </c>
      <c r="AE324">
        <v>-6669.2525999999998</v>
      </c>
      <c r="AF324">
        <v>-1050810.2549999999</v>
      </c>
    </row>
    <row r="325" spans="2:32" x14ac:dyDescent="0.25">
      <c r="B325">
        <f t="shared" si="12"/>
        <v>56</v>
      </c>
      <c r="C325">
        <v>1</v>
      </c>
      <c r="D325">
        <v>1</v>
      </c>
      <c r="E325">
        <v>1</v>
      </c>
      <c r="F325">
        <v>1</v>
      </c>
      <c r="G325">
        <v>1</v>
      </c>
      <c r="J325">
        <f t="shared" si="13"/>
        <v>56</v>
      </c>
      <c r="K325">
        <v>1</v>
      </c>
      <c r="L325">
        <v>1</v>
      </c>
      <c r="M325">
        <v>1</v>
      </c>
      <c r="N325">
        <v>1</v>
      </c>
      <c r="O325">
        <v>1</v>
      </c>
      <c r="R325">
        <f t="shared" si="14"/>
        <v>56</v>
      </c>
      <c r="S325">
        <v>1</v>
      </c>
      <c r="T325">
        <v>1</v>
      </c>
      <c r="U325">
        <v>1</v>
      </c>
      <c r="V325">
        <v>1</v>
      </c>
      <c r="W325">
        <v>1</v>
      </c>
      <c r="AA325">
        <v>-6528.2992000000004</v>
      </c>
      <c r="AB325">
        <v>-6528.2992000000004</v>
      </c>
      <c r="AC325">
        <v>-6528.2992000000004</v>
      </c>
      <c r="AD325">
        <v>-6528.2992000000004</v>
      </c>
      <c r="AE325">
        <v>-6528.2992000000004</v>
      </c>
      <c r="AF325">
        <v>-1073295.8774000001</v>
      </c>
    </row>
    <row r="326" spans="2:32" x14ac:dyDescent="0.25">
      <c r="B326">
        <f t="shared" si="12"/>
        <v>57</v>
      </c>
      <c r="C326">
        <v>1</v>
      </c>
      <c r="D326">
        <v>1</v>
      </c>
      <c r="E326">
        <v>1</v>
      </c>
      <c r="F326">
        <v>1</v>
      </c>
      <c r="G326">
        <v>1</v>
      </c>
      <c r="J326">
        <f t="shared" si="13"/>
        <v>57</v>
      </c>
      <c r="K326">
        <v>1</v>
      </c>
      <c r="L326">
        <v>1</v>
      </c>
      <c r="M326">
        <v>1</v>
      </c>
      <c r="N326">
        <v>1</v>
      </c>
      <c r="O326">
        <v>1</v>
      </c>
      <c r="R326">
        <f t="shared" si="14"/>
        <v>57</v>
      </c>
      <c r="S326">
        <v>1</v>
      </c>
      <c r="T326">
        <v>1</v>
      </c>
      <c r="U326">
        <v>1</v>
      </c>
      <c r="V326">
        <v>1</v>
      </c>
      <c r="W326">
        <v>1</v>
      </c>
      <c r="AA326">
        <v>-6385.5230000000001</v>
      </c>
      <c r="AB326">
        <v>-6385.5230000000001</v>
      </c>
      <c r="AC326">
        <v>-6385.5230000000001</v>
      </c>
      <c r="AD326">
        <v>-6385.5230000000001</v>
      </c>
      <c r="AE326">
        <v>-6385.5230000000001</v>
      </c>
      <c r="AF326">
        <v>-1093242.6832999999</v>
      </c>
    </row>
    <row r="327" spans="2:32" x14ac:dyDescent="0.25">
      <c r="B327">
        <f t="shared" si="12"/>
        <v>58</v>
      </c>
      <c r="C327">
        <v>1</v>
      </c>
      <c r="D327">
        <v>1</v>
      </c>
      <c r="E327">
        <v>1</v>
      </c>
      <c r="F327">
        <v>1</v>
      </c>
      <c r="G327">
        <v>1</v>
      </c>
      <c r="J327">
        <f t="shared" si="13"/>
        <v>58</v>
      </c>
      <c r="K327">
        <v>1</v>
      </c>
      <c r="L327">
        <v>1</v>
      </c>
      <c r="M327">
        <v>1</v>
      </c>
      <c r="N327">
        <v>1</v>
      </c>
      <c r="O327">
        <v>1</v>
      </c>
      <c r="R327">
        <f t="shared" si="14"/>
        <v>58</v>
      </c>
      <c r="S327">
        <v>1</v>
      </c>
      <c r="T327">
        <v>1</v>
      </c>
      <c r="U327">
        <v>1</v>
      </c>
      <c r="V327">
        <v>1</v>
      </c>
      <c r="W327">
        <v>1</v>
      </c>
      <c r="AA327">
        <v>-6240.8730999999998</v>
      </c>
      <c r="AB327">
        <v>-6240.8730999999998</v>
      </c>
      <c r="AC327">
        <v>-6240.8730999999998</v>
      </c>
      <c r="AD327">
        <v>-6240.8730999999998</v>
      </c>
      <c r="AE327">
        <v>-6240.8730999999998</v>
      </c>
      <c r="AF327">
        <v>-1114366.6444000001</v>
      </c>
    </row>
    <row r="328" spans="2:32" x14ac:dyDescent="0.25">
      <c r="B328">
        <f t="shared" si="12"/>
        <v>59</v>
      </c>
      <c r="C328">
        <v>1</v>
      </c>
      <c r="D328">
        <v>1</v>
      </c>
      <c r="E328">
        <v>1</v>
      </c>
      <c r="F328">
        <v>1</v>
      </c>
      <c r="G328">
        <v>1</v>
      </c>
      <c r="J328">
        <f t="shared" si="13"/>
        <v>59</v>
      </c>
      <c r="K328">
        <v>1</v>
      </c>
      <c r="L328">
        <v>1</v>
      </c>
      <c r="M328">
        <v>1</v>
      </c>
      <c r="N328">
        <v>1</v>
      </c>
      <c r="O328">
        <v>1</v>
      </c>
      <c r="R328">
        <f t="shared" si="14"/>
        <v>59</v>
      </c>
      <c r="S328">
        <v>1</v>
      </c>
      <c r="T328">
        <v>1</v>
      </c>
      <c r="U328">
        <v>1</v>
      </c>
      <c r="V328">
        <v>1</v>
      </c>
      <c r="W328">
        <v>1</v>
      </c>
      <c r="AA328">
        <v>-6094.3262999999997</v>
      </c>
      <c r="AB328">
        <v>-6094.3262999999997</v>
      </c>
      <c r="AC328">
        <v>-6094.3262999999997</v>
      </c>
      <c r="AD328">
        <v>-6094.3262999999997</v>
      </c>
      <c r="AE328">
        <v>-6094.3262999999997</v>
      </c>
      <c r="AF328">
        <v>-1136284.0146999999</v>
      </c>
    </row>
    <row r="329" spans="2:32" x14ac:dyDescent="0.25">
      <c r="B329">
        <f t="shared" si="12"/>
        <v>60</v>
      </c>
      <c r="C329">
        <v>1</v>
      </c>
      <c r="D329">
        <v>1</v>
      </c>
      <c r="E329">
        <v>1</v>
      </c>
      <c r="F329">
        <v>1</v>
      </c>
      <c r="G329">
        <v>1</v>
      </c>
      <c r="J329">
        <f t="shared" si="13"/>
        <v>60</v>
      </c>
      <c r="K329">
        <v>1</v>
      </c>
      <c r="L329">
        <v>1</v>
      </c>
      <c r="M329">
        <v>1</v>
      </c>
      <c r="N329">
        <v>1</v>
      </c>
      <c r="O329">
        <v>1</v>
      </c>
      <c r="R329">
        <f t="shared" si="14"/>
        <v>60</v>
      </c>
      <c r="S329">
        <v>1</v>
      </c>
      <c r="T329">
        <v>1</v>
      </c>
      <c r="U329">
        <v>1</v>
      </c>
      <c r="V329">
        <v>1</v>
      </c>
      <c r="W329">
        <v>1</v>
      </c>
      <c r="AA329">
        <v>-5945.9960000000001</v>
      </c>
      <c r="AB329">
        <v>-5945.9960000000001</v>
      </c>
      <c r="AC329">
        <v>-5945.9960000000001</v>
      </c>
      <c r="AD329">
        <v>-5945.9960000000001</v>
      </c>
      <c r="AE329">
        <v>-5945.9960000000001</v>
      </c>
      <c r="AF329">
        <v>-1157801.6717999999</v>
      </c>
    </row>
    <row r="330" spans="2:32" x14ac:dyDescent="0.25">
      <c r="B330">
        <f t="shared" si="12"/>
        <v>61</v>
      </c>
      <c r="C330">
        <v>1</v>
      </c>
      <c r="D330">
        <v>1</v>
      </c>
      <c r="E330">
        <v>1</v>
      </c>
      <c r="F330">
        <v>1</v>
      </c>
      <c r="G330">
        <v>1</v>
      </c>
      <c r="J330">
        <f t="shared" si="13"/>
        <v>61</v>
      </c>
      <c r="K330">
        <v>1</v>
      </c>
      <c r="L330">
        <v>1</v>
      </c>
      <c r="M330">
        <v>1</v>
      </c>
      <c r="N330">
        <v>1</v>
      </c>
      <c r="O330">
        <v>1</v>
      </c>
      <c r="R330">
        <f t="shared" si="14"/>
        <v>61</v>
      </c>
      <c r="S330">
        <v>1</v>
      </c>
      <c r="T330">
        <v>1</v>
      </c>
      <c r="U330">
        <v>1</v>
      </c>
      <c r="V330">
        <v>1</v>
      </c>
      <c r="W330">
        <v>1</v>
      </c>
      <c r="AA330">
        <v>-5796.3015999999998</v>
      </c>
      <c r="AB330">
        <v>-5796.3015999999998</v>
      </c>
      <c r="AC330">
        <v>-5796.3015999999998</v>
      </c>
      <c r="AD330">
        <v>-5796.3015999999998</v>
      </c>
      <c r="AE330">
        <v>-5796.3015999999998</v>
      </c>
      <c r="AF330">
        <v>-1178581.4038</v>
      </c>
    </row>
    <row r="331" spans="2:32" x14ac:dyDescent="0.25">
      <c r="B331">
        <f t="shared" si="12"/>
        <v>62</v>
      </c>
      <c r="C331">
        <v>1</v>
      </c>
      <c r="D331">
        <v>1</v>
      </c>
      <c r="E331">
        <v>1</v>
      </c>
      <c r="F331">
        <v>1</v>
      </c>
      <c r="G331">
        <v>1</v>
      </c>
      <c r="J331">
        <f t="shared" si="13"/>
        <v>62</v>
      </c>
      <c r="K331">
        <v>1</v>
      </c>
      <c r="L331">
        <v>1</v>
      </c>
      <c r="M331">
        <v>1</v>
      </c>
      <c r="N331">
        <v>1</v>
      </c>
      <c r="O331">
        <v>1</v>
      </c>
      <c r="R331">
        <f t="shared" si="14"/>
        <v>62</v>
      </c>
      <c r="S331">
        <v>1</v>
      </c>
      <c r="T331">
        <v>1</v>
      </c>
      <c r="U331">
        <v>1</v>
      </c>
      <c r="V331">
        <v>1</v>
      </c>
      <c r="W331">
        <v>1</v>
      </c>
      <c r="AA331">
        <v>-5645.2415000000001</v>
      </c>
      <c r="AB331">
        <v>-5645.2415000000001</v>
      </c>
      <c r="AC331">
        <v>-5645.2415000000001</v>
      </c>
      <c r="AD331">
        <v>-5645.2415000000001</v>
      </c>
      <c r="AE331">
        <v>-5645.2415000000001</v>
      </c>
      <c r="AF331">
        <v>-1199521.5327000001</v>
      </c>
    </row>
    <row r="332" spans="2:32" x14ac:dyDescent="0.25">
      <c r="B332">
        <f t="shared" si="12"/>
        <v>63</v>
      </c>
      <c r="C332">
        <v>1</v>
      </c>
      <c r="D332">
        <v>1</v>
      </c>
      <c r="E332">
        <v>1</v>
      </c>
      <c r="F332">
        <v>1</v>
      </c>
      <c r="G332">
        <v>1</v>
      </c>
      <c r="J332">
        <f t="shared" si="13"/>
        <v>63</v>
      </c>
      <c r="K332">
        <v>1</v>
      </c>
      <c r="L332">
        <v>1</v>
      </c>
      <c r="M332">
        <v>1</v>
      </c>
      <c r="N332">
        <v>1</v>
      </c>
      <c r="O332">
        <v>1</v>
      </c>
      <c r="R332">
        <f t="shared" si="14"/>
        <v>63</v>
      </c>
      <c r="S332">
        <v>1</v>
      </c>
      <c r="T332">
        <v>1</v>
      </c>
      <c r="U332">
        <v>1</v>
      </c>
      <c r="V332">
        <v>1</v>
      </c>
      <c r="W332">
        <v>1</v>
      </c>
      <c r="AA332">
        <v>-5492.4920000000002</v>
      </c>
      <c r="AB332">
        <v>-5492.4920000000002</v>
      </c>
      <c r="AC332">
        <v>-5492.4920000000002</v>
      </c>
      <c r="AD332">
        <v>-5492.4920000000002</v>
      </c>
      <c r="AE332">
        <v>-5492.4920000000002</v>
      </c>
      <c r="AF332">
        <v>-1220461.6269</v>
      </c>
    </row>
    <row r="333" spans="2:32" x14ac:dyDescent="0.25">
      <c r="B333">
        <f t="shared" si="12"/>
        <v>64</v>
      </c>
      <c r="C333">
        <v>1</v>
      </c>
      <c r="D333">
        <v>1</v>
      </c>
      <c r="E333">
        <v>1</v>
      </c>
      <c r="F333">
        <v>1</v>
      </c>
      <c r="G333">
        <v>1</v>
      </c>
      <c r="J333">
        <f t="shared" si="13"/>
        <v>64</v>
      </c>
      <c r="K333">
        <v>1</v>
      </c>
      <c r="L333">
        <v>1</v>
      </c>
      <c r="M333">
        <v>1</v>
      </c>
      <c r="N333">
        <v>1</v>
      </c>
      <c r="O333">
        <v>1</v>
      </c>
      <c r="R333">
        <f t="shared" si="14"/>
        <v>64</v>
      </c>
      <c r="S333">
        <v>1</v>
      </c>
      <c r="T333">
        <v>1</v>
      </c>
      <c r="U333">
        <v>1</v>
      </c>
      <c r="V333">
        <v>1</v>
      </c>
      <c r="W333">
        <v>1</v>
      </c>
      <c r="AA333">
        <v>-5338.1817000000001</v>
      </c>
      <c r="AB333">
        <v>-5338.1817000000001</v>
      </c>
      <c r="AC333">
        <v>-5338.1817000000001</v>
      </c>
      <c r="AD333">
        <v>-5338.1817000000001</v>
      </c>
      <c r="AE333">
        <v>-5338.1817000000001</v>
      </c>
      <c r="AF333">
        <v>-1240652.2526</v>
      </c>
    </row>
    <row r="334" spans="2:32" x14ac:dyDescent="0.25">
      <c r="B334">
        <f t="shared" si="12"/>
        <v>65</v>
      </c>
      <c r="C334">
        <v>1</v>
      </c>
      <c r="D334">
        <v>1</v>
      </c>
      <c r="E334">
        <v>1</v>
      </c>
      <c r="F334">
        <v>1</v>
      </c>
      <c r="G334">
        <v>1</v>
      </c>
      <c r="J334">
        <f t="shared" si="13"/>
        <v>65</v>
      </c>
      <c r="K334">
        <v>1</v>
      </c>
      <c r="L334">
        <v>1</v>
      </c>
      <c r="M334">
        <v>1</v>
      </c>
      <c r="N334">
        <v>1</v>
      </c>
      <c r="O334">
        <v>1</v>
      </c>
      <c r="R334">
        <f t="shared" si="14"/>
        <v>65</v>
      </c>
      <c r="S334">
        <v>1</v>
      </c>
      <c r="T334">
        <v>1</v>
      </c>
      <c r="U334">
        <v>1</v>
      </c>
      <c r="V334">
        <v>1</v>
      </c>
      <c r="W334">
        <v>1</v>
      </c>
      <c r="AA334">
        <v>-5182.2268999999997</v>
      </c>
      <c r="AB334">
        <v>-5182.2268999999997</v>
      </c>
      <c r="AC334">
        <v>-5182.2268999999997</v>
      </c>
      <c r="AD334">
        <v>-5182.2268999999997</v>
      </c>
      <c r="AE334">
        <v>-5182.2268999999997</v>
      </c>
      <c r="AF334">
        <v>-1260049.8302</v>
      </c>
    </row>
    <row r="337" spans="2:32" x14ac:dyDescent="0.25">
      <c r="B337" t="s">
        <v>46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47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48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32" x14ac:dyDescent="0.25">
      <c r="B338">
        <v>26</v>
      </c>
      <c r="C338">
        <v>1</v>
      </c>
      <c r="D338">
        <v>1</v>
      </c>
      <c r="E338">
        <v>1</v>
      </c>
      <c r="F338">
        <v>1</v>
      </c>
      <c r="G338">
        <v>1</v>
      </c>
      <c r="H338">
        <v>1</v>
      </c>
      <c r="J338">
        <v>26</v>
      </c>
      <c r="K338">
        <v>1</v>
      </c>
      <c r="L338">
        <v>1</v>
      </c>
      <c r="M338">
        <v>1</v>
      </c>
      <c r="N338">
        <v>1</v>
      </c>
      <c r="O338">
        <v>1</v>
      </c>
      <c r="P338">
        <v>1</v>
      </c>
      <c r="R338">
        <v>26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AA338">
        <v>-5174.8482999999997</v>
      </c>
      <c r="AB338">
        <v>-5174.8482999999997</v>
      </c>
      <c r="AC338">
        <v>-5174.8482999999997</v>
      </c>
      <c r="AD338">
        <v>-5174.8482999999997</v>
      </c>
      <c r="AE338">
        <v>-5174.8482999999997</v>
      </c>
      <c r="AF338">
        <v>-5174.8482999999997</v>
      </c>
    </row>
    <row r="339" spans="2:32" x14ac:dyDescent="0.25">
      <c r="B339">
        <v>27</v>
      </c>
      <c r="C339">
        <v>1</v>
      </c>
      <c r="D339">
        <v>1</v>
      </c>
      <c r="E339">
        <v>1</v>
      </c>
      <c r="F339">
        <v>1</v>
      </c>
      <c r="G339">
        <v>1</v>
      </c>
      <c r="H339">
        <v>1</v>
      </c>
      <c r="J339">
        <v>27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R339">
        <v>27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AA339">
        <v>-5173.6036999999997</v>
      </c>
      <c r="AB339">
        <v>-5173.6036999999997</v>
      </c>
      <c r="AC339">
        <v>-5173.6036999999997</v>
      </c>
      <c r="AD339">
        <v>-5173.6036999999997</v>
      </c>
      <c r="AE339">
        <v>-5173.6036999999997</v>
      </c>
      <c r="AF339">
        <v>-5173.6036999999997</v>
      </c>
    </row>
    <row r="340" spans="2:32" x14ac:dyDescent="0.25">
      <c r="B340">
        <v>28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1</v>
      </c>
      <c r="J340">
        <v>28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1</v>
      </c>
      <c r="R340">
        <v>28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AA340">
        <v>-5172.1755999999996</v>
      </c>
      <c r="AB340">
        <v>-5172.1755999999996</v>
      </c>
      <c r="AC340">
        <v>-5172.1755999999996</v>
      </c>
      <c r="AD340">
        <v>-5172.1755999999996</v>
      </c>
      <c r="AE340">
        <v>-5172.1755999999996</v>
      </c>
      <c r="AF340">
        <v>-5172.1755999999996</v>
      </c>
    </row>
    <row r="341" spans="2:32" x14ac:dyDescent="0.25">
      <c r="B341">
        <v>29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1</v>
      </c>
      <c r="J341">
        <v>29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R341">
        <v>29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AA341">
        <v>-5170.5482000000002</v>
      </c>
      <c r="AB341">
        <v>-5170.5482000000002</v>
      </c>
      <c r="AC341">
        <v>-5170.5482000000002</v>
      </c>
      <c r="AD341">
        <v>-5170.5482000000002</v>
      </c>
      <c r="AE341">
        <v>-5170.5482000000002</v>
      </c>
      <c r="AF341">
        <v>-5170.5482000000002</v>
      </c>
    </row>
    <row r="342" spans="2:32" x14ac:dyDescent="0.25">
      <c r="B342">
        <v>30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1</v>
      </c>
      <c r="J342">
        <v>30</v>
      </c>
      <c r="K342">
        <v>1</v>
      </c>
      <c r="L342">
        <v>1</v>
      </c>
      <c r="M342">
        <v>1</v>
      </c>
      <c r="N342">
        <v>1</v>
      </c>
      <c r="O342">
        <v>1</v>
      </c>
      <c r="P342">
        <v>1</v>
      </c>
      <c r="R342">
        <v>30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AA342">
        <v>-5168.6908999999996</v>
      </c>
      <c r="AB342">
        <v>-5168.6908999999996</v>
      </c>
      <c r="AC342">
        <v>-5168.6908999999996</v>
      </c>
      <c r="AD342">
        <v>-5168.6908999999996</v>
      </c>
      <c r="AE342">
        <v>-5168.6908999999996</v>
      </c>
      <c r="AF342">
        <v>-5168.6908999999996</v>
      </c>
    </row>
    <row r="343" spans="2:32" x14ac:dyDescent="0.25">
      <c r="B343">
        <v>31</v>
      </c>
      <c r="C343">
        <v>1</v>
      </c>
      <c r="D343">
        <v>1</v>
      </c>
      <c r="E343">
        <v>1</v>
      </c>
      <c r="F343">
        <v>1</v>
      </c>
      <c r="G343">
        <v>1</v>
      </c>
      <c r="H343">
        <v>1</v>
      </c>
      <c r="J343">
        <v>31</v>
      </c>
      <c r="K343">
        <v>1</v>
      </c>
      <c r="L343">
        <v>1</v>
      </c>
      <c r="M343">
        <v>1</v>
      </c>
      <c r="N343">
        <v>1</v>
      </c>
      <c r="O343">
        <v>1</v>
      </c>
      <c r="P343">
        <v>1</v>
      </c>
      <c r="R343">
        <v>31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AA343">
        <v>-5166.5891000000001</v>
      </c>
      <c r="AB343">
        <v>-5166.5891000000001</v>
      </c>
      <c r="AC343">
        <v>-5166.5891000000001</v>
      </c>
      <c r="AD343">
        <v>-5166.5891000000001</v>
      </c>
      <c r="AE343">
        <v>-5166.5891000000001</v>
      </c>
      <c r="AF343">
        <v>-5166.5891000000001</v>
      </c>
    </row>
    <row r="344" spans="2:32" x14ac:dyDescent="0.25">
      <c r="B344">
        <v>32</v>
      </c>
      <c r="C344">
        <v>1</v>
      </c>
      <c r="D344">
        <v>1</v>
      </c>
      <c r="E344">
        <v>1</v>
      </c>
      <c r="F344">
        <v>1</v>
      </c>
      <c r="G344">
        <v>1</v>
      </c>
      <c r="H344">
        <v>1</v>
      </c>
      <c r="J344">
        <v>32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R344">
        <v>32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AA344">
        <v>-5164.2407000000003</v>
      </c>
      <c r="AB344">
        <v>-5164.2407000000003</v>
      </c>
      <c r="AC344">
        <v>-5164.2407000000003</v>
      </c>
      <c r="AD344">
        <v>-5164.2407000000003</v>
      </c>
      <c r="AE344">
        <v>-5164.2407000000003</v>
      </c>
      <c r="AF344">
        <v>-5164.2407000000003</v>
      </c>
    </row>
    <row r="345" spans="2:32" x14ac:dyDescent="0.25">
      <c r="B345">
        <v>33</v>
      </c>
      <c r="C345">
        <v>1</v>
      </c>
      <c r="D345">
        <v>1</v>
      </c>
      <c r="E345">
        <v>1</v>
      </c>
      <c r="F345">
        <v>1</v>
      </c>
      <c r="G345">
        <v>1</v>
      </c>
      <c r="H345">
        <v>1</v>
      </c>
      <c r="J345">
        <v>33</v>
      </c>
      <c r="K345">
        <v>1</v>
      </c>
      <c r="L345">
        <v>1</v>
      </c>
      <c r="M345">
        <v>1</v>
      </c>
      <c r="N345">
        <v>1</v>
      </c>
      <c r="O345">
        <v>1</v>
      </c>
      <c r="P345">
        <v>1</v>
      </c>
      <c r="R345">
        <v>33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AA345">
        <v>-5161.6318000000001</v>
      </c>
      <c r="AB345">
        <v>-5161.6318000000001</v>
      </c>
      <c r="AC345">
        <v>-5161.6318000000001</v>
      </c>
      <c r="AD345">
        <v>-5161.6318000000001</v>
      </c>
      <c r="AE345">
        <v>-5161.6318000000001</v>
      </c>
      <c r="AF345">
        <v>-5161.6318000000001</v>
      </c>
    </row>
    <row r="346" spans="2:32" x14ac:dyDescent="0.25">
      <c r="B346">
        <v>34</v>
      </c>
      <c r="C346">
        <v>1</v>
      </c>
      <c r="D346">
        <v>1</v>
      </c>
      <c r="E346">
        <v>1</v>
      </c>
      <c r="F346">
        <v>1</v>
      </c>
      <c r="G346">
        <v>1</v>
      </c>
      <c r="H346">
        <v>1</v>
      </c>
      <c r="J346">
        <v>34</v>
      </c>
      <c r="K346">
        <v>1</v>
      </c>
      <c r="L346">
        <v>1</v>
      </c>
      <c r="M346">
        <v>1</v>
      </c>
      <c r="N346">
        <v>1</v>
      </c>
      <c r="O346">
        <v>1</v>
      </c>
      <c r="P346">
        <v>1</v>
      </c>
      <c r="R346">
        <v>34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AA346">
        <v>-5158.7194</v>
      </c>
      <c r="AB346">
        <v>-5158.7194</v>
      </c>
      <c r="AC346">
        <v>-5158.7194</v>
      </c>
      <c r="AD346">
        <v>-5158.7194</v>
      </c>
      <c r="AE346">
        <v>-5158.7194</v>
      </c>
      <c r="AF346">
        <v>-5158.7194</v>
      </c>
    </row>
    <row r="347" spans="2:32" x14ac:dyDescent="0.25">
      <c r="B347">
        <v>35</v>
      </c>
      <c r="C347">
        <v>1</v>
      </c>
      <c r="D347">
        <v>1</v>
      </c>
      <c r="E347">
        <v>1</v>
      </c>
      <c r="F347">
        <v>1</v>
      </c>
      <c r="G347">
        <v>1</v>
      </c>
      <c r="H347">
        <v>1</v>
      </c>
      <c r="J347">
        <v>35</v>
      </c>
      <c r="K347">
        <v>1</v>
      </c>
      <c r="L347">
        <v>1</v>
      </c>
      <c r="M347">
        <v>1</v>
      </c>
      <c r="N347">
        <v>1</v>
      </c>
      <c r="O347">
        <v>1</v>
      </c>
      <c r="P347">
        <v>1</v>
      </c>
      <c r="R347">
        <v>35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AA347">
        <v>-5155.4901</v>
      </c>
      <c r="AB347">
        <v>-5155.4901</v>
      </c>
      <c r="AC347">
        <v>-5155.4901</v>
      </c>
      <c r="AD347">
        <v>-5155.4901</v>
      </c>
      <c r="AE347">
        <v>-5155.4901</v>
      </c>
      <c r="AF347">
        <v>-5155.4901</v>
      </c>
    </row>
    <row r="348" spans="2:32" x14ac:dyDescent="0.25">
      <c r="B348">
        <v>36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1</v>
      </c>
      <c r="J348">
        <v>36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R348">
        <v>36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AA348">
        <v>-5151.8950999999997</v>
      </c>
      <c r="AB348">
        <v>-5151.8950999999997</v>
      </c>
      <c r="AC348">
        <v>-5151.8950999999997</v>
      </c>
      <c r="AD348">
        <v>-5151.8950999999997</v>
      </c>
      <c r="AE348">
        <v>-5151.8950999999997</v>
      </c>
      <c r="AF348">
        <v>-5151.8950999999997</v>
      </c>
    </row>
    <row r="349" spans="2:32" x14ac:dyDescent="0.25">
      <c r="B349">
        <v>37</v>
      </c>
      <c r="C349">
        <v>1</v>
      </c>
      <c r="D349">
        <v>1</v>
      </c>
      <c r="E349">
        <v>1</v>
      </c>
      <c r="F349">
        <v>1</v>
      </c>
      <c r="G349">
        <v>1</v>
      </c>
      <c r="H349">
        <v>1</v>
      </c>
      <c r="J349">
        <v>37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R349">
        <v>37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AA349">
        <v>-5147.9106000000002</v>
      </c>
      <c r="AB349">
        <v>-5147.9106000000002</v>
      </c>
      <c r="AC349">
        <v>-5147.9106000000002</v>
      </c>
      <c r="AD349">
        <v>-5147.9106000000002</v>
      </c>
      <c r="AE349">
        <v>-5147.9106000000002</v>
      </c>
      <c r="AF349">
        <v>-5147.9106000000002</v>
      </c>
    </row>
    <row r="350" spans="2:32" x14ac:dyDescent="0.25">
      <c r="B350">
        <v>38</v>
      </c>
      <c r="C350">
        <v>1</v>
      </c>
      <c r="D350">
        <v>1</v>
      </c>
      <c r="E350">
        <v>1</v>
      </c>
      <c r="F350">
        <v>1</v>
      </c>
      <c r="G350">
        <v>1</v>
      </c>
      <c r="H350">
        <v>1</v>
      </c>
      <c r="J350">
        <v>38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R350">
        <v>38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AA350">
        <v>-5143.5393999999997</v>
      </c>
      <c r="AB350">
        <v>-5143.5393999999997</v>
      </c>
      <c r="AC350">
        <v>-5143.5393999999997</v>
      </c>
      <c r="AD350">
        <v>-5143.5393999999997</v>
      </c>
      <c r="AE350">
        <v>-5143.5393999999997</v>
      </c>
      <c r="AF350">
        <v>-5143.5393999999997</v>
      </c>
    </row>
    <row r="351" spans="2:32" x14ac:dyDescent="0.25">
      <c r="B351">
        <v>39</v>
      </c>
      <c r="C351">
        <v>1</v>
      </c>
      <c r="D351">
        <v>1</v>
      </c>
      <c r="E351">
        <v>1</v>
      </c>
      <c r="F351">
        <v>1</v>
      </c>
      <c r="G351">
        <v>1</v>
      </c>
      <c r="H351">
        <v>1</v>
      </c>
      <c r="J351">
        <v>39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R351">
        <v>39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AA351">
        <v>-5138.76</v>
      </c>
      <c r="AB351">
        <v>-5138.76</v>
      </c>
      <c r="AC351">
        <v>-5138.76</v>
      </c>
      <c r="AD351">
        <v>-5138.76</v>
      </c>
      <c r="AE351">
        <v>-5138.76</v>
      </c>
      <c r="AF351">
        <v>-5138.76</v>
      </c>
    </row>
    <row r="352" spans="2:32" x14ac:dyDescent="0.25">
      <c r="B352">
        <v>40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1</v>
      </c>
      <c r="J352">
        <v>40</v>
      </c>
      <c r="K352">
        <v>1</v>
      </c>
      <c r="L352">
        <v>1</v>
      </c>
      <c r="M352">
        <v>1</v>
      </c>
      <c r="N352">
        <v>1</v>
      </c>
      <c r="O352">
        <v>1</v>
      </c>
      <c r="P352">
        <v>1</v>
      </c>
      <c r="R352">
        <v>40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AA352">
        <v>-5133.5084999999999</v>
      </c>
      <c r="AB352">
        <v>-5133.5084999999999</v>
      </c>
      <c r="AC352">
        <v>-5133.5084999999999</v>
      </c>
      <c r="AD352">
        <v>-5133.5084999999999</v>
      </c>
      <c r="AE352">
        <v>-5133.5084999999999</v>
      </c>
      <c r="AF352">
        <v>-5133.5084999999999</v>
      </c>
    </row>
    <row r="353" spans="2:32" x14ac:dyDescent="0.25">
      <c r="B353">
        <v>41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J353">
        <v>41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R353">
        <v>41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AA353">
        <v>-5127.7236000000003</v>
      </c>
      <c r="AB353">
        <v>-5127.7236000000003</v>
      </c>
      <c r="AC353">
        <v>-5127.7236000000003</v>
      </c>
      <c r="AD353">
        <v>-5127.7236000000003</v>
      </c>
      <c r="AE353">
        <v>-5127.7236000000003</v>
      </c>
      <c r="AF353">
        <v>-5127.7236000000003</v>
      </c>
    </row>
    <row r="354" spans="2:32" x14ac:dyDescent="0.25">
      <c r="B354">
        <v>42</v>
      </c>
      <c r="C354">
        <v>1</v>
      </c>
      <c r="D354">
        <v>1</v>
      </c>
      <c r="E354">
        <v>1</v>
      </c>
      <c r="F354">
        <v>1</v>
      </c>
      <c r="G354">
        <v>1</v>
      </c>
      <c r="H354">
        <v>1</v>
      </c>
      <c r="J354">
        <v>42</v>
      </c>
      <c r="K354">
        <v>1</v>
      </c>
      <c r="L354">
        <v>1</v>
      </c>
      <c r="M354">
        <v>1</v>
      </c>
      <c r="N354">
        <v>1</v>
      </c>
      <c r="O354">
        <v>1</v>
      </c>
      <c r="P354">
        <v>1</v>
      </c>
      <c r="R354">
        <v>42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AA354">
        <v>-5121.3726999999999</v>
      </c>
      <c r="AB354">
        <v>-5121.3726999999999</v>
      </c>
      <c r="AC354">
        <v>-5121.3726999999999</v>
      </c>
      <c r="AD354">
        <v>-5121.3726999999999</v>
      </c>
      <c r="AE354">
        <v>-5121.3726999999999</v>
      </c>
      <c r="AF354">
        <v>-5121.3726999999999</v>
      </c>
    </row>
    <row r="355" spans="2:32" x14ac:dyDescent="0.25">
      <c r="B355">
        <v>43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1</v>
      </c>
      <c r="J355">
        <v>43</v>
      </c>
      <c r="K355">
        <v>1</v>
      </c>
      <c r="L355">
        <v>1</v>
      </c>
      <c r="M355">
        <v>1</v>
      </c>
      <c r="N355">
        <v>1</v>
      </c>
      <c r="O355">
        <v>1</v>
      </c>
      <c r="P355">
        <v>1</v>
      </c>
      <c r="R355">
        <v>43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AA355">
        <v>-5114.3449000000001</v>
      </c>
      <c r="AB355">
        <v>-5114.3449000000001</v>
      </c>
      <c r="AC355">
        <v>-5114.3449000000001</v>
      </c>
      <c r="AD355">
        <v>-5114.3449000000001</v>
      </c>
      <c r="AE355">
        <v>-5114.3449000000001</v>
      </c>
      <c r="AF355">
        <v>-5114.3449000000001</v>
      </c>
    </row>
    <row r="356" spans="2:32" x14ac:dyDescent="0.25">
      <c r="B356">
        <v>44</v>
      </c>
      <c r="C356">
        <v>1</v>
      </c>
      <c r="D356">
        <v>1</v>
      </c>
      <c r="E356">
        <v>1</v>
      </c>
      <c r="F356">
        <v>1</v>
      </c>
      <c r="G356">
        <v>1</v>
      </c>
      <c r="H356">
        <v>1</v>
      </c>
      <c r="J356">
        <v>44</v>
      </c>
      <c r="K356">
        <v>1</v>
      </c>
      <c r="L356">
        <v>1</v>
      </c>
      <c r="M356">
        <v>1</v>
      </c>
      <c r="N356">
        <v>1</v>
      </c>
      <c r="O356">
        <v>1</v>
      </c>
      <c r="P356">
        <v>1</v>
      </c>
      <c r="R356">
        <v>44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AA356">
        <v>-5106.5976000000001</v>
      </c>
      <c r="AB356">
        <v>-5106.5976000000001</v>
      </c>
      <c r="AC356">
        <v>-5106.5976000000001</v>
      </c>
      <c r="AD356">
        <v>-5106.5976000000001</v>
      </c>
      <c r="AE356">
        <v>-5106.5976000000001</v>
      </c>
      <c r="AF356">
        <v>-5106.5976000000001</v>
      </c>
    </row>
    <row r="357" spans="2:32" x14ac:dyDescent="0.25">
      <c r="B357">
        <v>45</v>
      </c>
      <c r="C357">
        <v>1</v>
      </c>
      <c r="D357">
        <v>1</v>
      </c>
      <c r="E357">
        <v>1</v>
      </c>
      <c r="F357">
        <v>1</v>
      </c>
      <c r="G357">
        <v>1</v>
      </c>
      <c r="H357">
        <v>1</v>
      </c>
      <c r="J357">
        <v>45</v>
      </c>
      <c r="K357">
        <v>1</v>
      </c>
      <c r="L357">
        <v>1</v>
      </c>
      <c r="M357">
        <v>1</v>
      </c>
      <c r="N357">
        <v>1</v>
      </c>
      <c r="O357">
        <v>1</v>
      </c>
      <c r="P357">
        <v>1</v>
      </c>
      <c r="R357">
        <v>45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AA357">
        <v>-5098.0524999999998</v>
      </c>
      <c r="AB357">
        <v>-5098.0524999999998</v>
      </c>
      <c r="AC357">
        <v>-5098.0524999999998</v>
      </c>
      <c r="AD357">
        <v>-5098.0524999999998</v>
      </c>
      <c r="AE357">
        <v>-5098.0524999999998</v>
      </c>
      <c r="AF357">
        <v>-5098.0524999999998</v>
      </c>
    </row>
    <row r="358" spans="2:32" x14ac:dyDescent="0.25">
      <c r="B358">
        <v>46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1</v>
      </c>
      <c r="J358">
        <v>46</v>
      </c>
      <c r="K358">
        <v>1</v>
      </c>
      <c r="L358">
        <v>1</v>
      </c>
      <c r="M358">
        <v>1</v>
      </c>
      <c r="N358">
        <v>1</v>
      </c>
      <c r="O358">
        <v>1</v>
      </c>
      <c r="P358">
        <v>1</v>
      </c>
      <c r="R358">
        <v>46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AA358">
        <v>-5088.6378000000004</v>
      </c>
      <c r="AB358">
        <v>-5088.6378000000004</v>
      </c>
      <c r="AC358">
        <v>-5088.6378000000004</v>
      </c>
      <c r="AD358">
        <v>-5088.6378000000004</v>
      </c>
      <c r="AE358">
        <v>-5088.6378000000004</v>
      </c>
      <c r="AF358">
        <v>-5088.6378000000004</v>
      </c>
    </row>
    <row r="359" spans="2:32" x14ac:dyDescent="0.25">
      <c r="B359">
        <v>47</v>
      </c>
      <c r="C359">
        <v>1</v>
      </c>
      <c r="D359">
        <v>1</v>
      </c>
      <c r="E359">
        <v>1</v>
      </c>
      <c r="F359">
        <v>1</v>
      </c>
      <c r="G359">
        <v>1</v>
      </c>
      <c r="H359">
        <v>1</v>
      </c>
      <c r="J359">
        <v>47</v>
      </c>
      <c r="K359">
        <v>1</v>
      </c>
      <c r="L359">
        <v>1</v>
      </c>
      <c r="M359">
        <v>1</v>
      </c>
      <c r="N359">
        <v>1</v>
      </c>
      <c r="O359">
        <v>1</v>
      </c>
      <c r="P359">
        <v>1</v>
      </c>
      <c r="R359">
        <v>47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AA359">
        <v>-5078.2593999999999</v>
      </c>
      <c r="AB359">
        <v>-5078.2593999999999</v>
      </c>
      <c r="AC359">
        <v>-5078.2593999999999</v>
      </c>
      <c r="AD359">
        <v>-5078.2593999999999</v>
      </c>
      <c r="AE359">
        <v>-5078.2593999999999</v>
      </c>
      <c r="AF359">
        <v>-5078.2593999999999</v>
      </c>
    </row>
    <row r="360" spans="2:32" x14ac:dyDescent="0.25">
      <c r="B360">
        <v>48</v>
      </c>
      <c r="C360">
        <v>1</v>
      </c>
      <c r="D360">
        <v>1</v>
      </c>
      <c r="E360">
        <v>1</v>
      </c>
      <c r="F360">
        <v>1</v>
      </c>
      <c r="G360">
        <v>1</v>
      </c>
      <c r="H360">
        <v>1</v>
      </c>
      <c r="J360">
        <v>48</v>
      </c>
      <c r="K360">
        <v>1</v>
      </c>
      <c r="L360">
        <v>1</v>
      </c>
      <c r="M360">
        <v>1</v>
      </c>
      <c r="N360">
        <v>1</v>
      </c>
      <c r="O360">
        <v>1</v>
      </c>
      <c r="P360">
        <v>1</v>
      </c>
      <c r="R360">
        <v>48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AA360">
        <v>-5066.8732</v>
      </c>
      <c r="AB360">
        <v>-5066.8732</v>
      </c>
      <c r="AC360">
        <v>-5066.8732</v>
      </c>
      <c r="AD360">
        <v>-5066.8732</v>
      </c>
      <c r="AE360">
        <v>-5066.8732</v>
      </c>
      <c r="AF360">
        <v>-5066.8732</v>
      </c>
    </row>
    <row r="361" spans="2:32" x14ac:dyDescent="0.25">
      <c r="B361">
        <v>49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J361">
        <v>49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R361">
        <v>49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AA361">
        <v>-5054.4124000000002</v>
      </c>
      <c r="AB361">
        <v>-5054.4124000000002</v>
      </c>
      <c r="AC361">
        <v>-5054.4124000000002</v>
      </c>
      <c r="AD361">
        <v>-5054.4124000000002</v>
      </c>
      <c r="AE361">
        <v>-5054.4124000000002</v>
      </c>
      <c r="AF361">
        <v>-5054.4124000000002</v>
      </c>
    </row>
    <row r="362" spans="2:32" x14ac:dyDescent="0.25">
      <c r="B362">
        <v>50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1</v>
      </c>
      <c r="J362">
        <v>50</v>
      </c>
      <c r="K362">
        <v>1</v>
      </c>
      <c r="L362">
        <v>1</v>
      </c>
      <c r="M362">
        <v>1</v>
      </c>
      <c r="N362">
        <v>1</v>
      </c>
      <c r="O362">
        <v>1</v>
      </c>
      <c r="P362">
        <v>1</v>
      </c>
      <c r="R362">
        <v>50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AA362">
        <v>-5040.7671</v>
      </c>
      <c r="AB362">
        <v>-5040.7671</v>
      </c>
      <c r="AC362">
        <v>-5040.7671</v>
      </c>
      <c r="AD362">
        <v>-5040.7671</v>
      </c>
      <c r="AE362">
        <v>-5040.7671</v>
      </c>
      <c r="AF362">
        <v>-5040.7671</v>
      </c>
    </row>
    <row r="363" spans="2:32" x14ac:dyDescent="0.25">
      <c r="B363">
        <v>51</v>
      </c>
      <c r="C363">
        <v>1</v>
      </c>
      <c r="D363">
        <v>1</v>
      </c>
      <c r="E363">
        <v>1</v>
      </c>
      <c r="F363">
        <v>1</v>
      </c>
      <c r="G363">
        <v>1</v>
      </c>
      <c r="H363">
        <v>1</v>
      </c>
      <c r="J363">
        <v>51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R363">
        <v>51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AA363">
        <v>-5025.8329000000003</v>
      </c>
      <c r="AB363">
        <v>-5025.8329000000003</v>
      </c>
      <c r="AC363">
        <v>-5025.8329000000003</v>
      </c>
      <c r="AD363">
        <v>-5025.8329000000003</v>
      </c>
      <c r="AE363">
        <v>-5025.8329000000003</v>
      </c>
      <c r="AF363">
        <v>-5025.8329000000003</v>
      </c>
    </row>
    <row r="364" spans="2:32" x14ac:dyDescent="0.25">
      <c r="B364">
        <v>52</v>
      </c>
      <c r="C364">
        <v>1</v>
      </c>
      <c r="D364">
        <v>1</v>
      </c>
      <c r="E364">
        <v>1</v>
      </c>
      <c r="F364">
        <v>1</v>
      </c>
      <c r="G364">
        <v>1</v>
      </c>
      <c r="H364">
        <v>1</v>
      </c>
      <c r="J364">
        <v>52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R364">
        <v>52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AA364">
        <v>-5009.4771000000001</v>
      </c>
      <c r="AB364">
        <v>-5009.4771000000001</v>
      </c>
      <c r="AC364">
        <v>-5009.4771000000001</v>
      </c>
      <c r="AD364">
        <v>-5009.4771000000001</v>
      </c>
      <c r="AE364">
        <v>-5009.4771000000001</v>
      </c>
      <c r="AF364">
        <v>-5009.4771000000001</v>
      </c>
    </row>
    <row r="365" spans="2:32" x14ac:dyDescent="0.25">
      <c r="B365">
        <v>53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1</v>
      </c>
      <c r="J365">
        <v>53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R365">
        <v>53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AA365">
        <v>-4991.6184000000003</v>
      </c>
      <c r="AB365">
        <v>-4991.6184000000003</v>
      </c>
      <c r="AC365">
        <v>-4991.6184000000003</v>
      </c>
      <c r="AD365">
        <v>-4991.6184000000003</v>
      </c>
      <c r="AE365">
        <v>-4991.6184000000003</v>
      </c>
      <c r="AF365">
        <v>-4991.6184000000003</v>
      </c>
    </row>
    <row r="366" spans="2:32" x14ac:dyDescent="0.25">
      <c r="B366">
        <v>54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1</v>
      </c>
      <c r="J366">
        <v>54</v>
      </c>
      <c r="K366">
        <v>1</v>
      </c>
      <c r="L366">
        <v>1</v>
      </c>
      <c r="M366">
        <v>1</v>
      </c>
      <c r="N366">
        <v>1</v>
      </c>
      <c r="O366">
        <v>1</v>
      </c>
      <c r="P366">
        <v>1</v>
      </c>
      <c r="R366">
        <v>54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AA366">
        <v>-4972.1588000000002</v>
      </c>
      <c r="AB366">
        <v>-4972.1588000000002</v>
      </c>
      <c r="AC366">
        <v>-4972.1588000000002</v>
      </c>
      <c r="AD366">
        <v>-4972.1588000000002</v>
      </c>
      <c r="AE366">
        <v>-4972.1588000000002</v>
      </c>
      <c r="AF366">
        <v>-4972.1588000000002</v>
      </c>
    </row>
    <row r="367" spans="2:32" x14ac:dyDescent="0.25">
      <c r="B367">
        <v>55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1</v>
      </c>
      <c r="J367">
        <v>55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R367">
        <v>55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AA367">
        <v>-4950.9426000000003</v>
      </c>
      <c r="AB367">
        <v>-4950.9426000000003</v>
      </c>
      <c r="AC367">
        <v>-4950.9426000000003</v>
      </c>
      <c r="AD367">
        <v>-4950.9426000000003</v>
      </c>
      <c r="AE367">
        <v>-4950.9426000000003</v>
      </c>
      <c r="AF367">
        <v>-4950.9426000000003</v>
      </c>
    </row>
    <row r="370" spans="2:32" x14ac:dyDescent="0.25">
      <c r="B370" t="s">
        <v>46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32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48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2:32" x14ac:dyDescent="0.25">
      <c r="B371">
        <v>35</v>
      </c>
      <c r="C371">
        <v>1</v>
      </c>
      <c r="D371">
        <v>1</v>
      </c>
      <c r="E371">
        <v>1</v>
      </c>
      <c r="F371">
        <v>1</v>
      </c>
      <c r="G371">
        <v>1</v>
      </c>
      <c r="J371">
        <v>35</v>
      </c>
      <c r="K371">
        <v>1</v>
      </c>
      <c r="L371">
        <v>1</v>
      </c>
      <c r="M371">
        <v>1</v>
      </c>
      <c r="N371">
        <v>1</v>
      </c>
      <c r="O371">
        <v>1</v>
      </c>
      <c r="R371">
        <v>35</v>
      </c>
      <c r="S371">
        <v>1</v>
      </c>
      <c r="T371">
        <v>1</v>
      </c>
      <c r="U371">
        <v>1</v>
      </c>
      <c r="V371">
        <v>1</v>
      </c>
      <c r="W371">
        <v>1</v>
      </c>
      <c r="AA371">
        <v>-8996.1419000000005</v>
      </c>
      <c r="AB371">
        <v>-8996.1419000000005</v>
      </c>
      <c r="AC371">
        <v>-8996.1419000000005</v>
      </c>
      <c r="AD371">
        <v>-8996.1419000000005</v>
      </c>
      <c r="AE371">
        <v>-8996.1419000000005</v>
      </c>
      <c r="AF371">
        <v>-759112.79520000005</v>
      </c>
    </row>
    <row r="372" spans="2:32" x14ac:dyDescent="0.25">
      <c r="B372">
        <f t="shared" ref="B372:B401" si="15">B371+1</f>
        <v>36</v>
      </c>
      <c r="C372">
        <v>1</v>
      </c>
      <c r="D372">
        <v>1</v>
      </c>
      <c r="E372">
        <v>1</v>
      </c>
      <c r="F372">
        <v>1</v>
      </c>
      <c r="G372">
        <v>1</v>
      </c>
      <c r="J372">
        <f t="shared" ref="J372:J401" si="16">J371+1</f>
        <v>36</v>
      </c>
      <c r="K372">
        <v>1</v>
      </c>
      <c r="L372">
        <v>1</v>
      </c>
      <c r="M372">
        <v>1</v>
      </c>
      <c r="N372">
        <v>1</v>
      </c>
      <c r="O372">
        <v>1</v>
      </c>
      <c r="R372">
        <f t="shared" ref="R372:R401" si="17">R371+1</f>
        <v>36</v>
      </c>
      <c r="S372">
        <v>1</v>
      </c>
      <c r="T372">
        <v>1</v>
      </c>
      <c r="U372">
        <v>1</v>
      </c>
      <c r="V372">
        <v>1</v>
      </c>
      <c r="W372">
        <v>1</v>
      </c>
      <c r="AA372">
        <v>-8902.6679999999997</v>
      </c>
      <c r="AB372">
        <v>-8902.6679999999997</v>
      </c>
      <c r="AC372">
        <v>-8902.6679999999997</v>
      </c>
      <c r="AD372">
        <v>-8902.6679999999997</v>
      </c>
      <c r="AE372">
        <v>-8902.6679999999997</v>
      </c>
      <c r="AF372">
        <v>-737070.86179999996</v>
      </c>
    </row>
    <row r="373" spans="2:32" x14ac:dyDescent="0.25">
      <c r="B373">
        <f t="shared" si="15"/>
        <v>37</v>
      </c>
      <c r="C373">
        <v>1</v>
      </c>
      <c r="D373">
        <v>1</v>
      </c>
      <c r="E373">
        <v>1</v>
      </c>
      <c r="F373">
        <v>1</v>
      </c>
      <c r="G373">
        <v>1</v>
      </c>
      <c r="J373">
        <f t="shared" si="16"/>
        <v>37</v>
      </c>
      <c r="K373">
        <v>1</v>
      </c>
      <c r="L373">
        <v>1</v>
      </c>
      <c r="M373">
        <v>1</v>
      </c>
      <c r="N373">
        <v>1</v>
      </c>
      <c r="O373">
        <v>1</v>
      </c>
      <c r="R373">
        <f t="shared" si="17"/>
        <v>37</v>
      </c>
      <c r="S373">
        <v>1</v>
      </c>
      <c r="T373">
        <v>1</v>
      </c>
      <c r="U373">
        <v>1</v>
      </c>
      <c r="V373">
        <v>1</v>
      </c>
      <c r="W373">
        <v>1</v>
      </c>
      <c r="AA373">
        <v>-8806.7960000000003</v>
      </c>
      <c r="AB373">
        <v>-8806.7960000000003</v>
      </c>
      <c r="AC373">
        <v>-8806.7960000000003</v>
      </c>
      <c r="AD373">
        <v>-8806.7960000000003</v>
      </c>
      <c r="AE373">
        <v>-8806.7960000000003</v>
      </c>
      <c r="AF373">
        <v>-765978.91940000001</v>
      </c>
    </row>
    <row r="374" spans="2:32" x14ac:dyDescent="0.25">
      <c r="B374">
        <f t="shared" si="15"/>
        <v>38</v>
      </c>
      <c r="C374">
        <v>1</v>
      </c>
      <c r="D374">
        <v>1</v>
      </c>
      <c r="E374">
        <v>1</v>
      </c>
      <c r="F374">
        <v>1</v>
      </c>
      <c r="G374">
        <v>1</v>
      </c>
      <c r="J374">
        <f t="shared" si="16"/>
        <v>38</v>
      </c>
      <c r="K374">
        <v>1</v>
      </c>
      <c r="L374">
        <v>1</v>
      </c>
      <c r="M374">
        <v>1</v>
      </c>
      <c r="N374">
        <v>1</v>
      </c>
      <c r="O374">
        <v>1</v>
      </c>
      <c r="R374">
        <f t="shared" si="17"/>
        <v>38</v>
      </c>
      <c r="S374">
        <v>1</v>
      </c>
      <c r="T374">
        <v>1</v>
      </c>
      <c r="U374">
        <v>1</v>
      </c>
      <c r="V374">
        <v>1</v>
      </c>
      <c r="W374">
        <v>1</v>
      </c>
      <c r="AA374">
        <v>-8708.6234000000004</v>
      </c>
      <c r="AB374">
        <v>-8708.6234000000004</v>
      </c>
      <c r="AC374">
        <v>-8708.6234000000004</v>
      </c>
      <c r="AD374">
        <v>-8708.6234000000004</v>
      </c>
      <c r="AE374">
        <v>-8708.6234000000004</v>
      </c>
      <c r="AF374">
        <v>-783780.576</v>
      </c>
    </row>
    <row r="375" spans="2:32" x14ac:dyDescent="0.25">
      <c r="B375">
        <f t="shared" si="15"/>
        <v>39</v>
      </c>
      <c r="C375">
        <v>1</v>
      </c>
      <c r="D375">
        <v>1</v>
      </c>
      <c r="E375">
        <v>1</v>
      </c>
      <c r="F375">
        <v>1</v>
      </c>
      <c r="G375">
        <v>1</v>
      </c>
      <c r="J375">
        <f t="shared" si="16"/>
        <v>39</v>
      </c>
      <c r="K375">
        <v>1</v>
      </c>
      <c r="L375">
        <v>1</v>
      </c>
      <c r="M375">
        <v>1</v>
      </c>
      <c r="N375">
        <v>1</v>
      </c>
      <c r="O375">
        <v>1</v>
      </c>
      <c r="R375">
        <f t="shared" si="17"/>
        <v>39</v>
      </c>
      <c r="S375">
        <v>1</v>
      </c>
      <c r="T375">
        <v>1</v>
      </c>
      <c r="U375">
        <v>1</v>
      </c>
      <c r="V375">
        <v>1</v>
      </c>
      <c r="W375">
        <v>1</v>
      </c>
      <c r="AA375">
        <v>-8608.1594000000005</v>
      </c>
      <c r="AB375">
        <v>-8608.1594000000005</v>
      </c>
      <c r="AC375">
        <v>-8608.1594000000005</v>
      </c>
      <c r="AD375">
        <v>-8608.1594000000005</v>
      </c>
      <c r="AE375">
        <v>-8608.1594000000005</v>
      </c>
      <c r="AF375">
        <v>-769662.22069999995</v>
      </c>
    </row>
    <row r="376" spans="2:32" x14ac:dyDescent="0.25">
      <c r="B376">
        <f t="shared" si="15"/>
        <v>40</v>
      </c>
      <c r="C376">
        <v>1</v>
      </c>
      <c r="D376">
        <v>1</v>
      </c>
      <c r="E376">
        <v>1</v>
      </c>
      <c r="F376">
        <v>1</v>
      </c>
      <c r="G376">
        <v>1</v>
      </c>
      <c r="J376">
        <f t="shared" si="16"/>
        <v>40</v>
      </c>
      <c r="K376">
        <v>1</v>
      </c>
      <c r="L376">
        <v>1</v>
      </c>
      <c r="M376">
        <v>1</v>
      </c>
      <c r="N376">
        <v>1</v>
      </c>
      <c r="O376">
        <v>1</v>
      </c>
      <c r="R376">
        <f t="shared" si="17"/>
        <v>40</v>
      </c>
      <c r="S376">
        <v>1</v>
      </c>
      <c r="T376">
        <v>1</v>
      </c>
      <c r="U376">
        <v>1</v>
      </c>
      <c r="V376">
        <v>1</v>
      </c>
      <c r="W376">
        <v>1</v>
      </c>
      <c r="AA376">
        <v>-8505.3439999999991</v>
      </c>
      <c r="AB376">
        <v>-8505.3439999999991</v>
      </c>
      <c r="AC376">
        <v>-8505.3439999999991</v>
      </c>
      <c r="AD376">
        <v>-8505.3439999999991</v>
      </c>
      <c r="AE376">
        <v>-8505.3439999999991</v>
      </c>
      <c r="AF376">
        <v>-798570.41119999997</v>
      </c>
    </row>
    <row r="377" spans="2:32" x14ac:dyDescent="0.25">
      <c r="B377">
        <f t="shared" si="15"/>
        <v>41</v>
      </c>
      <c r="C377">
        <v>1</v>
      </c>
      <c r="D377">
        <v>1</v>
      </c>
      <c r="E377">
        <v>1</v>
      </c>
      <c r="F377">
        <v>1</v>
      </c>
      <c r="G377">
        <v>1</v>
      </c>
      <c r="J377">
        <f t="shared" si="16"/>
        <v>41</v>
      </c>
      <c r="K377">
        <v>1</v>
      </c>
      <c r="L377">
        <v>1</v>
      </c>
      <c r="M377">
        <v>1</v>
      </c>
      <c r="N377">
        <v>1</v>
      </c>
      <c r="O377">
        <v>1</v>
      </c>
      <c r="R377">
        <f t="shared" si="17"/>
        <v>41</v>
      </c>
      <c r="S377">
        <v>1</v>
      </c>
      <c r="T377">
        <v>1</v>
      </c>
      <c r="U377">
        <v>1</v>
      </c>
      <c r="V377">
        <v>1</v>
      </c>
      <c r="W377">
        <v>1</v>
      </c>
      <c r="AA377">
        <v>-8400.1087000000007</v>
      </c>
      <c r="AB377">
        <v>-8400.1087000000007</v>
      </c>
      <c r="AC377">
        <v>-8400.1087000000007</v>
      </c>
      <c r="AD377">
        <v>-8400.1087000000007</v>
      </c>
      <c r="AE377">
        <v>-8400.1087000000007</v>
      </c>
      <c r="AF377">
        <v>-803549.96459999995</v>
      </c>
    </row>
    <row r="378" spans="2:32" x14ac:dyDescent="0.25">
      <c r="B378">
        <f t="shared" si="15"/>
        <v>42</v>
      </c>
      <c r="C378">
        <v>1</v>
      </c>
      <c r="D378">
        <v>1</v>
      </c>
      <c r="E378">
        <v>1</v>
      </c>
      <c r="F378">
        <v>1</v>
      </c>
      <c r="G378">
        <v>1</v>
      </c>
      <c r="J378">
        <f t="shared" si="16"/>
        <v>42</v>
      </c>
      <c r="K378">
        <v>1</v>
      </c>
      <c r="L378">
        <v>1</v>
      </c>
      <c r="M378">
        <v>1</v>
      </c>
      <c r="N378">
        <v>1</v>
      </c>
      <c r="O378">
        <v>1</v>
      </c>
      <c r="R378">
        <f t="shared" si="17"/>
        <v>42</v>
      </c>
      <c r="S378">
        <v>1</v>
      </c>
      <c r="T378">
        <v>1</v>
      </c>
      <c r="U378">
        <v>1</v>
      </c>
      <c r="V378">
        <v>1</v>
      </c>
      <c r="W378">
        <v>1</v>
      </c>
      <c r="AA378">
        <v>-8292.4974999999995</v>
      </c>
      <c r="AB378">
        <v>-8292.4974999999995</v>
      </c>
      <c r="AC378">
        <v>-8292.4974999999995</v>
      </c>
      <c r="AD378">
        <v>-8292.4974999999995</v>
      </c>
      <c r="AE378">
        <v>-8292.4974999999995</v>
      </c>
      <c r="AF378">
        <v>-833551.75890000002</v>
      </c>
    </row>
    <row r="379" spans="2:32" x14ac:dyDescent="0.25">
      <c r="B379">
        <f t="shared" si="15"/>
        <v>43</v>
      </c>
      <c r="C379">
        <v>1</v>
      </c>
      <c r="D379">
        <v>1</v>
      </c>
      <c r="E379">
        <v>1</v>
      </c>
      <c r="F379">
        <v>1</v>
      </c>
      <c r="G379">
        <v>1</v>
      </c>
      <c r="J379">
        <f t="shared" si="16"/>
        <v>43</v>
      </c>
      <c r="K379">
        <v>1</v>
      </c>
      <c r="L379">
        <v>1</v>
      </c>
      <c r="M379">
        <v>1</v>
      </c>
      <c r="N379">
        <v>1</v>
      </c>
      <c r="O379">
        <v>1</v>
      </c>
      <c r="R379">
        <f t="shared" si="17"/>
        <v>43</v>
      </c>
      <c r="S379">
        <v>1</v>
      </c>
      <c r="T379">
        <v>1</v>
      </c>
      <c r="U379">
        <v>1</v>
      </c>
      <c r="V379">
        <v>1</v>
      </c>
      <c r="W379">
        <v>1</v>
      </c>
      <c r="AA379">
        <v>-8182.3909999999996</v>
      </c>
      <c r="AB379">
        <v>-8182.3909999999996</v>
      </c>
      <c r="AC379">
        <v>-8182.3909999999996</v>
      </c>
      <c r="AD379">
        <v>-8182.3909999999996</v>
      </c>
      <c r="AE379">
        <v>-8182.3909999999996</v>
      </c>
      <c r="AF379">
        <v>-844950.93949999998</v>
      </c>
    </row>
    <row r="380" spans="2:32" x14ac:dyDescent="0.25">
      <c r="B380">
        <f t="shared" si="15"/>
        <v>44</v>
      </c>
      <c r="C380">
        <v>1</v>
      </c>
      <c r="D380">
        <v>1</v>
      </c>
      <c r="E380">
        <v>1</v>
      </c>
      <c r="F380">
        <v>1</v>
      </c>
      <c r="G380">
        <v>1</v>
      </c>
      <c r="J380">
        <f t="shared" si="16"/>
        <v>44</v>
      </c>
      <c r="K380">
        <v>1</v>
      </c>
      <c r="L380">
        <v>1</v>
      </c>
      <c r="M380">
        <v>1</v>
      </c>
      <c r="N380">
        <v>1</v>
      </c>
      <c r="O380">
        <v>1</v>
      </c>
      <c r="R380">
        <f t="shared" si="17"/>
        <v>44</v>
      </c>
      <c r="S380">
        <v>1</v>
      </c>
      <c r="T380">
        <v>1</v>
      </c>
      <c r="U380">
        <v>1</v>
      </c>
      <c r="V380">
        <v>1</v>
      </c>
      <c r="W380">
        <v>1</v>
      </c>
      <c r="AA380">
        <v>-8069.8261000000002</v>
      </c>
      <c r="AB380">
        <v>-8069.8261000000002</v>
      </c>
      <c r="AC380">
        <v>-8069.8261000000002</v>
      </c>
      <c r="AD380">
        <v>-8069.8261000000002</v>
      </c>
      <c r="AE380">
        <v>-8069.8261000000002</v>
      </c>
      <c r="AF380">
        <v>-851265.64670000004</v>
      </c>
    </row>
    <row r="381" spans="2:32" x14ac:dyDescent="0.25">
      <c r="B381">
        <f t="shared" si="15"/>
        <v>45</v>
      </c>
      <c r="C381">
        <v>1</v>
      </c>
      <c r="D381">
        <v>1</v>
      </c>
      <c r="E381">
        <v>1</v>
      </c>
      <c r="F381">
        <v>1</v>
      </c>
      <c r="G381">
        <v>1</v>
      </c>
      <c r="J381">
        <f t="shared" si="16"/>
        <v>45</v>
      </c>
      <c r="K381">
        <v>1</v>
      </c>
      <c r="L381">
        <v>1</v>
      </c>
      <c r="M381">
        <v>1</v>
      </c>
      <c r="N381">
        <v>1</v>
      </c>
      <c r="O381">
        <v>1</v>
      </c>
      <c r="R381">
        <f t="shared" si="17"/>
        <v>45</v>
      </c>
      <c r="S381">
        <v>1</v>
      </c>
      <c r="T381">
        <v>1</v>
      </c>
      <c r="U381">
        <v>1</v>
      </c>
      <c r="V381">
        <v>1</v>
      </c>
      <c r="W381">
        <v>1</v>
      </c>
      <c r="AA381">
        <v>-7954.7533999999996</v>
      </c>
      <c r="AB381">
        <v>-7954.7533999999996</v>
      </c>
      <c r="AC381">
        <v>-7954.7533999999996</v>
      </c>
      <c r="AD381">
        <v>-7954.7533999999996</v>
      </c>
      <c r="AE381">
        <v>-7954.7533999999996</v>
      </c>
      <c r="AF381">
        <v>-870649.02139999997</v>
      </c>
    </row>
    <row r="382" spans="2:32" x14ac:dyDescent="0.25">
      <c r="B382">
        <f t="shared" si="15"/>
        <v>46</v>
      </c>
      <c r="C382">
        <v>1</v>
      </c>
      <c r="D382">
        <v>1</v>
      </c>
      <c r="E382">
        <v>1</v>
      </c>
      <c r="F382">
        <v>1</v>
      </c>
      <c r="G382">
        <v>1</v>
      </c>
      <c r="J382">
        <f t="shared" si="16"/>
        <v>46</v>
      </c>
      <c r="K382">
        <v>1</v>
      </c>
      <c r="L382">
        <v>1</v>
      </c>
      <c r="M382">
        <v>1</v>
      </c>
      <c r="N382">
        <v>1</v>
      </c>
      <c r="O382">
        <v>1</v>
      </c>
      <c r="R382">
        <f t="shared" si="17"/>
        <v>46</v>
      </c>
      <c r="S382">
        <v>1</v>
      </c>
      <c r="T382">
        <v>1</v>
      </c>
      <c r="U382">
        <v>1</v>
      </c>
      <c r="V382">
        <v>1</v>
      </c>
      <c r="W382">
        <v>1</v>
      </c>
      <c r="AA382">
        <v>-7837.1754000000001</v>
      </c>
      <c r="AB382">
        <v>-7837.1754000000001</v>
      </c>
      <c r="AC382">
        <v>-7837.1754000000001</v>
      </c>
      <c r="AD382">
        <v>-7837.1754000000001</v>
      </c>
      <c r="AE382">
        <v>-7837.1754000000001</v>
      </c>
      <c r="AF382">
        <v>-892550.54509999999</v>
      </c>
    </row>
    <row r="383" spans="2:32" x14ac:dyDescent="0.25">
      <c r="B383">
        <f t="shared" si="15"/>
        <v>47</v>
      </c>
      <c r="C383">
        <v>1</v>
      </c>
      <c r="D383">
        <v>1</v>
      </c>
      <c r="E383">
        <v>1</v>
      </c>
      <c r="F383">
        <v>1</v>
      </c>
      <c r="G383">
        <v>1</v>
      </c>
      <c r="J383">
        <f t="shared" si="16"/>
        <v>47</v>
      </c>
      <c r="K383">
        <v>1</v>
      </c>
      <c r="L383">
        <v>1</v>
      </c>
      <c r="M383">
        <v>1</v>
      </c>
      <c r="N383">
        <v>1</v>
      </c>
      <c r="O383">
        <v>1</v>
      </c>
      <c r="R383">
        <f t="shared" si="17"/>
        <v>47</v>
      </c>
      <c r="S383">
        <v>1</v>
      </c>
      <c r="T383">
        <v>1</v>
      </c>
      <c r="U383">
        <v>1</v>
      </c>
      <c r="V383">
        <v>1</v>
      </c>
      <c r="W383">
        <v>1</v>
      </c>
      <c r="AA383">
        <v>-7717.0294999999996</v>
      </c>
      <c r="AB383">
        <v>-7717.0294999999996</v>
      </c>
      <c r="AC383">
        <v>-7717.0294999999996</v>
      </c>
      <c r="AD383">
        <v>-7717.0294999999996</v>
      </c>
      <c r="AE383">
        <v>-7717.0294999999996</v>
      </c>
      <c r="AF383">
        <v>-910915.81969999999</v>
      </c>
    </row>
    <row r="384" spans="2:32" x14ac:dyDescent="0.25">
      <c r="B384">
        <f t="shared" si="15"/>
        <v>48</v>
      </c>
      <c r="C384">
        <v>1</v>
      </c>
      <c r="D384">
        <v>1</v>
      </c>
      <c r="E384">
        <v>1</v>
      </c>
      <c r="F384">
        <v>1</v>
      </c>
      <c r="G384">
        <v>1</v>
      </c>
      <c r="J384">
        <f t="shared" si="16"/>
        <v>48</v>
      </c>
      <c r="K384">
        <v>1</v>
      </c>
      <c r="L384">
        <v>1</v>
      </c>
      <c r="M384">
        <v>1</v>
      </c>
      <c r="N384">
        <v>1</v>
      </c>
      <c r="O384">
        <v>1</v>
      </c>
      <c r="R384">
        <f t="shared" si="17"/>
        <v>48</v>
      </c>
      <c r="S384">
        <v>1</v>
      </c>
      <c r="T384">
        <v>1</v>
      </c>
      <c r="U384">
        <v>1</v>
      </c>
      <c r="V384">
        <v>1</v>
      </c>
      <c r="W384">
        <v>1</v>
      </c>
      <c r="AA384">
        <v>-7594.4201000000003</v>
      </c>
      <c r="AB384">
        <v>-7594.4201000000003</v>
      </c>
      <c r="AC384">
        <v>-7594.4201000000003</v>
      </c>
      <c r="AD384">
        <v>-7594.4201000000003</v>
      </c>
      <c r="AE384">
        <v>-7594.4201000000003</v>
      </c>
      <c r="AF384">
        <v>-917891.87360000005</v>
      </c>
    </row>
    <row r="385" spans="2:32" x14ac:dyDescent="0.25">
      <c r="B385">
        <f t="shared" si="15"/>
        <v>49</v>
      </c>
      <c r="C385">
        <v>1</v>
      </c>
      <c r="D385">
        <v>1</v>
      </c>
      <c r="E385">
        <v>1</v>
      </c>
      <c r="F385">
        <v>1</v>
      </c>
      <c r="G385">
        <v>1</v>
      </c>
      <c r="J385">
        <f t="shared" si="16"/>
        <v>49</v>
      </c>
      <c r="K385">
        <v>1</v>
      </c>
      <c r="L385">
        <v>1</v>
      </c>
      <c r="M385">
        <v>1</v>
      </c>
      <c r="N385">
        <v>1</v>
      </c>
      <c r="O385">
        <v>1</v>
      </c>
      <c r="R385">
        <f t="shared" si="17"/>
        <v>49</v>
      </c>
      <c r="S385">
        <v>1</v>
      </c>
      <c r="T385">
        <v>1</v>
      </c>
      <c r="U385">
        <v>1</v>
      </c>
      <c r="V385">
        <v>1</v>
      </c>
      <c r="W385">
        <v>1</v>
      </c>
      <c r="AA385">
        <v>-7469.3995999999997</v>
      </c>
      <c r="AB385">
        <v>-7469.3995999999997</v>
      </c>
      <c r="AC385">
        <v>-7469.3995999999997</v>
      </c>
      <c r="AD385">
        <v>-7469.3995999999997</v>
      </c>
      <c r="AE385">
        <v>-7469.3995999999997</v>
      </c>
      <c r="AF385">
        <v>-944521.72470000002</v>
      </c>
    </row>
    <row r="386" spans="2:32" x14ac:dyDescent="0.25">
      <c r="B386">
        <f t="shared" si="15"/>
        <v>50</v>
      </c>
      <c r="C386">
        <v>1</v>
      </c>
      <c r="D386">
        <v>1</v>
      </c>
      <c r="E386">
        <v>1</v>
      </c>
      <c r="F386">
        <v>1</v>
      </c>
      <c r="G386">
        <v>1</v>
      </c>
      <c r="J386">
        <f t="shared" si="16"/>
        <v>50</v>
      </c>
      <c r="K386">
        <v>1</v>
      </c>
      <c r="L386">
        <v>1</v>
      </c>
      <c r="M386">
        <v>1</v>
      </c>
      <c r="N386">
        <v>1</v>
      </c>
      <c r="O386">
        <v>1</v>
      </c>
      <c r="R386">
        <f t="shared" si="17"/>
        <v>50</v>
      </c>
      <c r="S386">
        <v>1</v>
      </c>
      <c r="T386">
        <v>1</v>
      </c>
      <c r="U386">
        <v>1</v>
      </c>
      <c r="V386">
        <v>1</v>
      </c>
      <c r="W386">
        <v>1</v>
      </c>
      <c r="AA386">
        <v>-7341.9502000000002</v>
      </c>
      <c r="AB386">
        <v>-7341.9502000000002</v>
      </c>
      <c r="AC386">
        <v>-7341.9502000000002</v>
      </c>
      <c r="AD386">
        <v>-7341.9502000000002</v>
      </c>
      <c r="AE386">
        <v>-7341.9502000000002</v>
      </c>
      <c r="AF386">
        <v>-963257.14989999996</v>
      </c>
    </row>
    <row r="387" spans="2:32" x14ac:dyDescent="0.25">
      <c r="B387">
        <f t="shared" si="15"/>
        <v>51</v>
      </c>
      <c r="C387">
        <v>1</v>
      </c>
      <c r="D387">
        <v>1</v>
      </c>
      <c r="E387">
        <v>1</v>
      </c>
      <c r="F387">
        <v>1</v>
      </c>
      <c r="G387">
        <v>1</v>
      </c>
      <c r="J387">
        <f t="shared" si="16"/>
        <v>51</v>
      </c>
      <c r="K387">
        <v>1</v>
      </c>
      <c r="L387">
        <v>1</v>
      </c>
      <c r="M387">
        <v>1</v>
      </c>
      <c r="N387">
        <v>1</v>
      </c>
      <c r="O387">
        <v>1</v>
      </c>
      <c r="R387">
        <f t="shared" si="17"/>
        <v>51</v>
      </c>
      <c r="S387">
        <v>1</v>
      </c>
      <c r="T387">
        <v>1</v>
      </c>
      <c r="U387">
        <v>1</v>
      </c>
      <c r="V387">
        <v>1</v>
      </c>
      <c r="W387">
        <v>1</v>
      </c>
      <c r="AA387">
        <v>-7212.0646999999999</v>
      </c>
      <c r="AB387">
        <v>-7212.0646999999999</v>
      </c>
      <c r="AC387">
        <v>-7212.0646999999999</v>
      </c>
      <c r="AD387">
        <v>-7212.0646999999999</v>
      </c>
      <c r="AE387">
        <v>-7212.0646999999999</v>
      </c>
      <c r="AF387">
        <v>-981592.90729999996</v>
      </c>
    </row>
    <row r="388" spans="2:32" x14ac:dyDescent="0.25">
      <c r="B388">
        <f t="shared" si="15"/>
        <v>52</v>
      </c>
      <c r="C388">
        <v>1</v>
      </c>
      <c r="D388">
        <v>1</v>
      </c>
      <c r="E388">
        <v>1</v>
      </c>
      <c r="F388">
        <v>1</v>
      </c>
      <c r="G388">
        <v>1</v>
      </c>
      <c r="J388">
        <f t="shared" si="16"/>
        <v>52</v>
      </c>
      <c r="K388">
        <v>1</v>
      </c>
      <c r="L388">
        <v>1</v>
      </c>
      <c r="M388">
        <v>1</v>
      </c>
      <c r="N388">
        <v>1</v>
      </c>
      <c r="O388">
        <v>1</v>
      </c>
      <c r="R388">
        <f t="shared" si="17"/>
        <v>52</v>
      </c>
      <c r="S388">
        <v>1</v>
      </c>
      <c r="T388">
        <v>1</v>
      </c>
      <c r="U388">
        <v>1</v>
      </c>
      <c r="V388">
        <v>1</v>
      </c>
      <c r="W388">
        <v>1</v>
      </c>
      <c r="AA388">
        <v>-7079.7435999999998</v>
      </c>
      <c r="AB388">
        <v>-7079.7435999999998</v>
      </c>
      <c r="AC388">
        <v>-7079.7435999999998</v>
      </c>
      <c r="AD388">
        <v>-7079.7435999999998</v>
      </c>
      <c r="AE388">
        <v>-7079.7435999999998</v>
      </c>
      <c r="AF388">
        <v>-998556.10360000003</v>
      </c>
    </row>
    <row r="389" spans="2:32" x14ac:dyDescent="0.25">
      <c r="B389">
        <f t="shared" si="15"/>
        <v>53</v>
      </c>
      <c r="C389">
        <v>1</v>
      </c>
      <c r="D389">
        <v>1</v>
      </c>
      <c r="E389">
        <v>1</v>
      </c>
      <c r="F389">
        <v>1</v>
      </c>
      <c r="G389">
        <v>1</v>
      </c>
      <c r="J389">
        <f t="shared" si="16"/>
        <v>53</v>
      </c>
      <c r="K389">
        <v>1</v>
      </c>
      <c r="L389">
        <v>1</v>
      </c>
      <c r="M389">
        <v>1</v>
      </c>
      <c r="N389">
        <v>1</v>
      </c>
      <c r="O389">
        <v>1</v>
      </c>
      <c r="R389">
        <f t="shared" si="17"/>
        <v>53</v>
      </c>
      <c r="S389">
        <v>1</v>
      </c>
      <c r="T389">
        <v>1</v>
      </c>
      <c r="U389">
        <v>1</v>
      </c>
      <c r="V389">
        <v>1</v>
      </c>
      <c r="W389">
        <v>1</v>
      </c>
      <c r="AA389">
        <v>-6945.0875999999998</v>
      </c>
      <c r="AB389">
        <v>-6945.0875999999998</v>
      </c>
      <c r="AC389">
        <v>-6945.0875999999998</v>
      </c>
      <c r="AD389">
        <v>-6945.0875999999998</v>
      </c>
      <c r="AE389">
        <v>-6945.0875999999998</v>
      </c>
      <c r="AF389">
        <v>-1015461.3278</v>
      </c>
    </row>
    <row r="390" spans="2:32" x14ac:dyDescent="0.25">
      <c r="B390">
        <f t="shared" si="15"/>
        <v>54</v>
      </c>
      <c r="C390">
        <v>1</v>
      </c>
      <c r="D390">
        <v>1</v>
      </c>
      <c r="E390">
        <v>1</v>
      </c>
      <c r="F390">
        <v>1</v>
      </c>
      <c r="G390">
        <v>1</v>
      </c>
      <c r="J390">
        <f t="shared" si="16"/>
        <v>54</v>
      </c>
      <c r="K390">
        <v>1</v>
      </c>
      <c r="L390">
        <v>1</v>
      </c>
      <c r="M390">
        <v>1</v>
      </c>
      <c r="N390">
        <v>1</v>
      </c>
      <c r="O390">
        <v>1</v>
      </c>
      <c r="R390">
        <f t="shared" si="17"/>
        <v>54</v>
      </c>
      <c r="S390">
        <v>1</v>
      </c>
      <c r="T390">
        <v>1</v>
      </c>
      <c r="U390">
        <v>1</v>
      </c>
      <c r="V390">
        <v>1</v>
      </c>
      <c r="W390">
        <v>1</v>
      </c>
      <c r="AA390">
        <v>-6808.2438000000002</v>
      </c>
      <c r="AB390">
        <v>-6808.2438000000002</v>
      </c>
      <c r="AC390">
        <v>-6808.2438000000002</v>
      </c>
      <c r="AD390">
        <v>-6808.2438000000002</v>
      </c>
      <c r="AE390">
        <v>-6808.2438000000002</v>
      </c>
      <c r="AF390">
        <v>-1033869.6813000001</v>
      </c>
    </row>
    <row r="391" spans="2:32" x14ac:dyDescent="0.25">
      <c r="B391">
        <f t="shared" si="15"/>
        <v>55</v>
      </c>
      <c r="C391">
        <v>1</v>
      </c>
      <c r="D391">
        <v>1</v>
      </c>
      <c r="E391">
        <v>1</v>
      </c>
      <c r="F391">
        <v>1</v>
      </c>
      <c r="G391">
        <v>1</v>
      </c>
      <c r="J391">
        <f t="shared" si="16"/>
        <v>55</v>
      </c>
      <c r="K391">
        <v>1</v>
      </c>
      <c r="L391">
        <v>1</v>
      </c>
      <c r="M391">
        <v>1</v>
      </c>
      <c r="N391">
        <v>1</v>
      </c>
      <c r="O391">
        <v>1</v>
      </c>
      <c r="R391">
        <f t="shared" si="17"/>
        <v>55</v>
      </c>
      <c r="S391">
        <v>1</v>
      </c>
      <c r="T391">
        <v>1</v>
      </c>
      <c r="U391">
        <v>1</v>
      </c>
      <c r="V391">
        <v>1</v>
      </c>
      <c r="W391">
        <v>1</v>
      </c>
      <c r="AA391">
        <v>-6669.2525999999998</v>
      </c>
      <c r="AB391">
        <v>-6669.2525999999998</v>
      </c>
      <c r="AC391">
        <v>-6669.2525999999998</v>
      </c>
      <c r="AD391">
        <v>-6669.2525999999998</v>
      </c>
      <c r="AE391">
        <v>-6669.2525999999998</v>
      </c>
      <c r="AF391">
        <v>-1050810.2549999999</v>
      </c>
    </row>
    <row r="392" spans="2:32" x14ac:dyDescent="0.25">
      <c r="B392">
        <f t="shared" si="15"/>
        <v>56</v>
      </c>
      <c r="C392">
        <v>1</v>
      </c>
      <c r="D392">
        <v>1</v>
      </c>
      <c r="E392">
        <v>1</v>
      </c>
      <c r="F392">
        <v>1</v>
      </c>
      <c r="G392">
        <v>1</v>
      </c>
      <c r="J392">
        <f t="shared" si="16"/>
        <v>56</v>
      </c>
      <c r="K392">
        <v>1</v>
      </c>
      <c r="L392">
        <v>1</v>
      </c>
      <c r="M392">
        <v>1</v>
      </c>
      <c r="N392">
        <v>1</v>
      </c>
      <c r="O392">
        <v>1</v>
      </c>
      <c r="R392">
        <f t="shared" si="17"/>
        <v>56</v>
      </c>
      <c r="S392">
        <v>1</v>
      </c>
      <c r="T392">
        <v>1</v>
      </c>
      <c r="U392">
        <v>1</v>
      </c>
      <c r="V392">
        <v>1</v>
      </c>
      <c r="W392">
        <v>1</v>
      </c>
      <c r="AA392">
        <v>-6528.2992000000004</v>
      </c>
      <c r="AB392">
        <v>-6528.2992000000004</v>
      </c>
      <c r="AC392">
        <v>-6528.2992000000004</v>
      </c>
      <c r="AD392">
        <v>-6528.2992000000004</v>
      </c>
      <c r="AE392">
        <v>-6528.2992000000004</v>
      </c>
      <c r="AF392">
        <v>-1073295.8774000001</v>
      </c>
    </row>
    <row r="393" spans="2:32" x14ac:dyDescent="0.25">
      <c r="B393">
        <f t="shared" si="15"/>
        <v>57</v>
      </c>
      <c r="C393">
        <v>1</v>
      </c>
      <c r="D393">
        <v>1</v>
      </c>
      <c r="E393">
        <v>1</v>
      </c>
      <c r="F393">
        <v>1</v>
      </c>
      <c r="G393">
        <v>1</v>
      </c>
      <c r="J393">
        <f t="shared" si="16"/>
        <v>57</v>
      </c>
      <c r="K393">
        <v>1</v>
      </c>
      <c r="L393">
        <v>1</v>
      </c>
      <c r="M393">
        <v>1</v>
      </c>
      <c r="N393">
        <v>1</v>
      </c>
      <c r="O393">
        <v>1</v>
      </c>
      <c r="R393">
        <f t="shared" si="17"/>
        <v>57</v>
      </c>
      <c r="S393">
        <v>1</v>
      </c>
      <c r="T393">
        <v>1</v>
      </c>
      <c r="U393">
        <v>1</v>
      </c>
      <c r="V393">
        <v>1</v>
      </c>
      <c r="W393">
        <v>1</v>
      </c>
      <c r="AA393">
        <v>-6385.5230000000001</v>
      </c>
      <c r="AB393">
        <v>-6385.5230000000001</v>
      </c>
      <c r="AC393">
        <v>-6385.5230000000001</v>
      </c>
      <c r="AD393">
        <v>-6385.5230000000001</v>
      </c>
      <c r="AE393">
        <v>-6385.5230000000001</v>
      </c>
      <c r="AF393">
        <v>-1093242.6832999999</v>
      </c>
    </row>
    <row r="394" spans="2:32" x14ac:dyDescent="0.25">
      <c r="B394">
        <f t="shared" si="15"/>
        <v>58</v>
      </c>
      <c r="C394">
        <v>1</v>
      </c>
      <c r="D394">
        <v>1</v>
      </c>
      <c r="E394">
        <v>1</v>
      </c>
      <c r="F394">
        <v>1</v>
      </c>
      <c r="G394">
        <v>1</v>
      </c>
      <c r="J394">
        <f t="shared" si="16"/>
        <v>58</v>
      </c>
      <c r="K394">
        <v>1</v>
      </c>
      <c r="L394">
        <v>1</v>
      </c>
      <c r="M394">
        <v>1</v>
      </c>
      <c r="N394">
        <v>1</v>
      </c>
      <c r="O394">
        <v>1</v>
      </c>
      <c r="R394">
        <f t="shared" si="17"/>
        <v>58</v>
      </c>
      <c r="S394">
        <v>1</v>
      </c>
      <c r="T394">
        <v>1</v>
      </c>
      <c r="U394">
        <v>1</v>
      </c>
      <c r="V394">
        <v>1</v>
      </c>
      <c r="W394">
        <v>1</v>
      </c>
      <c r="AA394">
        <v>-6240.8730999999998</v>
      </c>
      <c r="AB394">
        <v>-6240.8730999999998</v>
      </c>
      <c r="AC394">
        <v>-6240.8730999999998</v>
      </c>
      <c r="AD394">
        <v>-6240.8730999999998</v>
      </c>
      <c r="AE394">
        <v>-6240.8730999999998</v>
      </c>
      <c r="AF394">
        <v>-1114366.6444000001</v>
      </c>
    </row>
    <row r="395" spans="2:32" x14ac:dyDescent="0.25">
      <c r="B395">
        <f t="shared" si="15"/>
        <v>59</v>
      </c>
      <c r="C395">
        <v>1</v>
      </c>
      <c r="D395">
        <v>1</v>
      </c>
      <c r="E395">
        <v>1</v>
      </c>
      <c r="F395">
        <v>1</v>
      </c>
      <c r="G395">
        <v>1</v>
      </c>
      <c r="J395">
        <f t="shared" si="16"/>
        <v>59</v>
      </c>
      <c r="K395">
        <v>1</v>
      </c>
      <c r="L395">
        <v>1</v>
      </c>
      <c r="M395">
        <v>1</v>
      </c>
      <c r="N395">
        <v>1</v>
      </c>
      <c r="O395">
        <v>1</v>
      </c>
      <c r="R395">
        <f t="shared" si="17"/>
        <v>59</v>
      </c>
      <c r="S395">
        <v>1</v>
      </c>
      <c r="T395">
        <v>1</v>
      </c>
      <c r="U395">
        <v>1</v>
      </c>
      <c r="V395">
        <v>1</v>
      </c>
      <c r="W395">
        <v>1</v>
      </c>
      <c r="AA395">
        <v>-6094.3262999999997</v>
      </c>
      <c r="AB395">
        <v>-6094.3262999999997</v>
      </c>
      <c r="AC395">
        <v>-6094.3262999999997</v>
      </c>
      <c r="AD395">
        <v>-6094.3262999999997</v>
      </c>
      <c r="AE395">
        <v>-6094.3262999999997</v>
      </c>
      <c r="AF395">
        <v>-1136284.0146999999</v>
      </c>
    </row>
    <row r="396" spans="2:32" x14ac:dyDescent="0.25">
      <c r="B396">
        <f t="shared" si="15"/>
        <v>60</v>
      </c>
      <c r="C396">
        <v>1</v>
      </c>
      <c r="D396">
        <v>1</v>
      </c>
      <c r="E396">
        <v>1</v>
      </c>
      <c r="F396">
        <v>1</v>
      </c>
      <c r="G396">
        <v>1</v>
      </c>
      <c r="J396">
        <f t="shared" si="16"/>
        <v>60</v>
      </c>
      <c r="K396">
        <v>1</v>
      </c>
      <c r="L396">
        <v>1</v>
      </c>
      <c r="M396">
        <v>1</v>
      </c>
      <c r="N396">
        <v>1</v>
      </c>
      <c r="O396">
        <v>1</v>
      </c>
      <c r="R396">
        <f t="shared" si="17"/>
        <v>60</v>
      </c>
      <c r="S396">
        <v>1</v>
      </c>
      <c r="T396">
        <v>1</v>
      </c>
      <c r="U396">
        <v>1</v>
      </c>
      <c r="V396">
        <v>1</v>
      </c>
      <c r="W396">
        <v>1</v>
      </c>
      <c r="AA396">
        <v>-5945.9960000000001</v>
      </c>
      <c r="AB396">
        <v>-5945.9960000000001</v>
      </c>
      <c r="AC396">
        <v>-5945.9960000000001</v>
      </c>
      <c r="AD396">
        <v>-5945.9960000000001</v>
      </c>
      <c r="AE396">
        <v>-5945.9960000000001</v>
      </c>
      <c r="AF396">
        <v>-1157801.6717999999</v>
      </c>
    </row>
    <row r="397" spans="2:32" x14ac:dyDescent="0.25">
      <c r="B397">
        <f t="shared" si="15"/>
        <v>61</v>
      </c>
      <c r="C397">
        <v>1</v>
      </c>
      <c r="D397">
        <v>1</v>
      </c>
      <c r="E397">
        <v>1</v>
      </c>
      <c r="F397">
        <v>1</v>
      </c>
      <c r="G397">
        <v>1</v>
      </c>
      <c r="J397">
        <f t="shared" si="16"/>
        <v>61</v>
      </c>
      <c r="K397">
        <v>1</v>
      </c>
      <c r="L397">
        <v>1</v>
      </c>
      <c r="M397">
        <v>1</v>
      </c>
      <c r="N397">
        <v>1</v>
      </c>
      <c r="O397">
        <v>1</v>
      </c>
      <c r="R397">
        <f t="shared" si="17"/>
        <v>61</v>
      </c>
      <c r="S397">
        <v>1</v>
      </c>
      <c r="T397">
        <v>1</v>
      </c>
      <c r="U397">
        <v>1</v>
      </c>
      <c r="V397">
        <v>1</v>
      </c>
      <c r="W397">
        <v>1</v>
      </c>
      <c r="AA397">
        <v>-5796.3015999999998</v>
      </c>
      <c r="AB397">
        <v>-5796.3015999999998</v>
      </c>
      <c r="AC397">
        <v>-5796.3015999999998</v>
      </c>
      <c r="AD397">
        <v>-5796.3015999999998</v>
      </c>
      <c r="AE397">
        <v>-5796.3015999999998</v>
      </c>
      <c r="AF397">
        <v>-1178581.4038</v>
      </c>
    </row>
    <row r="398" spans="2:32" x14ac:dyDescent="0.25">
      <c r="B398">
        <f t="shared" si="15"/>
        <v>62</v>
      </c>
      <c r="C398">
        <v>1</v>
      </c>
      <c r="D398">
        <v>1</v>
      </c>
      <c r="E398">
        <v>1</v>
      </c>
      <c r="F398">
        <v>1</v>
      </c>
      <c r="G398">
        <v>1</v>
      </c>
      <c r="J398">
        <f t="shared" si="16"/>
        <v>62</v>
      </c>
      <c r="K398">
        <v>1</v>
      </c>
      <c r="L398">
        <v>1</v>
      </c>
      <c r="M398">
        <v>1</v>
      </c>
      <c r="N398">
        <v>1</v>
      </c>
      <c r="O398">
        <v>1</v>
      </c>
      <c r="R398">
        <f t="shared" si="17"/>
        <v>62</v>
      </c>
      <c r="S398">
        <v>1</v>
      </c>
      <c r="T398">
        <v>1</v>
      </c>
      <c r="U398">
        <v>1</v>
      </c>
      <c r="V398">
        <v>1</v>
      </c>
      <c r="W398">
        <v>1</v>
      </c>
      <c r="AA398">
        <v>-5645.2415000000001</v>
      </c>
      <c r="AB398">
        <v>-5645.2415000000001</v>
      </c>
      <c r="AC398">
        <v>-5645.2415000000001</v>
      </c>
      <c r="AD398">
        <v>-5645.2415000000001</v>
      </c>
      <c r="AE398">
        <v>-5645.2415000000001</v>
      </c>
      <c r="AF398">
        <v>-1199521.5327000001</v>
      </c>
    </row>
    <row r="399" spans="2:32" x14ac:dyDescent="0.25">
      <c r="B399">
        <f t="shared" si="15"/>
        <v>63</v>
      </c>
      <c r="C399">
        <v>1</v>
      </c>
      <c r="D399">
        <v>1</v>
      </c>
      <c r="E399">
        <v>1</v>
      </c>
      <c r="F399">
        <v>1</v>
      </c>
      <c r="G399">
        <v>1</v>
      </c>
      <c r="J399">
        <f t="shared" si="16"/>
        <v>63</v>
      </c>
      <c r="K399">
        <v>1</v>
      </c>
      <c r="L399">
        <v>1</v>
      </c>
      <c r="M399">
        <v>1</v>
      </c>
      <c r="N399">
        <v>1</v>
      </c>
      <c r="O399">
        <v>1</v>
      </c>
      <c r="R399">
        <f t="shared" si="17"/>
        <v>63</v>
      </c>
      <c r="S399">
        <v>1</v>
      </c>
      <c r="T399">
        <v>1</v>
      </c>
      <c r="U399">
        <v>1</v>
      </c>
      <c r="V399">
        <v>1</v>
      </c>
      <c r="W399">
        <v>1</v>
      </c>
      <c r="AA399">
        <v>-5492.4920000000002</v>
      </c>
      <c r="AB399">
        <v>-5492.4920000000002</v>
      </c>
      <c r="AC399">
        <v>-5492.4920000000002</v>
      </c>
      <c r="AD399">
        <v>-5492.4920000000002</v>
      </c>
      <c r="AE399">
        <v>-5492.4920000000002</v>
      </c>
      <c r="AF399">
        <v>-1220461.6269</v>
      </c>
    </row>
    <row r="400" spans="2:32" x14ac:dyDescent="0.25">
      <c r="B400">
        <f t="shared" si="15"/>
        <v>64</v>
      </c>
      <c r="C400">
        <v>1</v>
      </c>
      <c r="D400">
        <v>1</v>
      </c>
      <c r="E400">
        <v>1</v>
      </c>
      <c r="F400">
        <v>1</v>
      </c>
      <c r="G400">
        <v>1</v>
      </c>
      <c r="J400">
        <f t="shared" si="16"/>
        <v>64</v>
      </c>
      <c r="K400">
        <v>1</v>
      </c>
      <c r="L400">
        <v>1</v>
      </c>
      <c r="M400">
        <v>1</v>
      </c>
      <c r="N400">
        <v>1</v>
      </c>
      <c r="O400">
        <v>1</v>
      </c>
      <c r="R400">
        <f t="shared" si="17"/>
        <v>64</v>
      </c>
      <c r="S400">
        <v>1</v>
      </c>
      <c r="T400">
        <v>1</v>
      </c>
      <c r="U400">
        <v>1</v>
      </c>
      <c r="V400">
        <v>1</v>
      </c>
      <c r="W400">
        <v>1</v>
      </c>
      <c r="AA400">
        <v>-5338.1817000000001</v>
      </c>
      <c r="AB400">
        <v>-5338.1817000000001</v>
      </c>
      <c r="AC400">
        <v>-5338.1817000000001</v>
      </c>
      <c r="AD400">
        <v>-5338.1817000000001</v>
      </c>
      <c r="AE400">
        <v>-5338.1817000000001</v>
      </c>
      <c r="AF400">
        <v>-1240652.2526</v>
      </c>
    </row>
    <row r="401" spans="2:32" x14ac:dyDescent="0.25">
      <c r="B401">
        <f t="shared" si="15"/>
        <v>65</v>
      </c>
      <c r="C401">
        <v>1</v>
      </c>
      <c r="D401">
        <v>1</v>
      </c>
      <c r="E401">
        <v>1</v>
      </c>
      <c r="F401">
        <v>1</v>
      </c>
      <c r="G401">
        <v>1</v>
      </c>
      <c r="J401">
        <f t="shared" si="16"/>
        <v>65</v>
      </c>
      <c r="K401">
        <v>1</v>
      </c>
      <c r="L401">
        <v>1</v>
      </c>
      <c r="M401">
        <v>1</v>
      </c>
      <c r="N401">
        <v>1</v>
      </c>
      <c r="O401">
        <v>1</v>
      </c>
      <c r="R401">
        <f t="shared" si="17"/>
        <v>65</v>
      </c>
      <c r="S401">
        <v>1</v>
      </c>
      <c r="T401">
        <v>1</v>
      </c>
      <c r="U401">
        <v>1</v>
      </c>
      <c r="V401">
        <v>1</v>
      </c>
      <c r="W401">
        <v>1</v>
      </c>
      <c r="AA401">
        <v>-5182.2268999999997</v>
      </c>
      <c r="AB401">
        <v>-5182.2268999999997</v>
      </c>
      <c r="AC401">
        <v>-5182.2268999999997</v>
      </c>
      <c r="AD401">
        <v>-5182.2268999999997</v>
      </c>
      <c r="AE401">
        <v>-5182.2268999999997</v>
      </c>
      <c r="AF401">
        <v>-1260049.8302</v>
      </c>
    </row>
    <row r="404" spans="2:32" x14ac:dyDescent="0.25">
      <c r="B404" t="s">
        <v>46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47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48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2:32" x14ac:dyDescent="0.25">
      <c r="B405">
        <v>26</v>
      </c>
      <c r="C405">
        <v>1</v>
      </c>
      <c r="D405">
        <v>1</v>
      </c>
      <c r="E405">
        <v>1</v>
      </c>
      <c r="F405">
        <v>1</v>
      </c>
      <c r="G405">
        <v>1</v>
      </c>
      <c r="H405">
        <v>1</v>
      </c>
      <c r="J405">
        <v>26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R405">
        <v>26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AA405">
        <v>-5174.8482999999997</v>
      </c>
      <c r="AB405">
        <v>-5174.8482999999997</v>
      </c>
      <c r="AC405">
        <v>-5174.8482999999997</v>
      </c>
      <c r="AD405">
        <v>-5174.8482999999997</v>
      </c>
      <c r="AE405">
        <v>-5174.8482999999997</v>
      </c>
      <c r="AF405">
        <v>-5174.8482999999997</v>
      </c>
    </row>
    <row r="406" spans="2:32" x14ac:dyDescent="0.25">
      <c r="B406">
        <v>27</v>
      </c>
      <c r="C406">
        <v>1</v>
      </c>
      <c r="D406">
        <v>1</v>
      </c>
      <c r="E406">
        <v>1</v>
      </c>
      <c r="F406">
        <v>1</v>
      </c>
      <c r="G406">
        <v>1</v>
      </c>
      <c r="H406">
        <v>1</v>
      </c>
      <c r="J406">
        <v>27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R406">
        <v>27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AA406">
        <v>-5173.6036999999997</v>
      </c>
      <c r="AB406">
        <v>-5173.6036999999997</v>
      </c>
      <c r="AC406">
        <v>-5173.6036999999997</v>
      </c>
      <c r="AD406">
        <v>-5173.6036999999997</v>
      </c>
      <c r="AE406">
        <v>-5173.6036999999997</v>
      </c>
      <c r="AF406">
        <v>-5173.6036999999997</v>
      </c>
    </row>
    <row r="407" spans="2:32" x14ac:dyDescent="0.25">
      <c r="B407">
        <v>28</v>
      </c>
      <c r="C407">
        <v>1</v>
      </c>
      <c r="D407">
        <v>1</v>
      </c>
      <c r="E407">
        <v>1</v>
      </c>
      <c r="F407">
        <v>1</v>
      </c>
      <c r="G407">
        <v>1</v>
      </c>
      <c r="H407">
        <v>1</v>
      </c>
      <c r="J407">
        <v>28</v>
      </c>
      <c r="K407">
        <v>1</v>
      </c>
      <c r="L407">
        <v>1</v>
      </c>
      <c r="M407">
        <v>1</v>
      </c>
      <c r="N407">
        <v>1</v>
      </c>
      <c r="O407">
        <v>1</v>
      </c>
      <c r="P407">
        <v>1</v>
      </c>
      <c r="R407">
        <v>28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AA407">
        <v>-5172.1755999999996</v>
      </c>
      <c r="AB407">
        <v>-5172.1755999999996</v>
      </c>
      <c r="AC407">
        <v>-5172.1755999999996</v>
      </c>
      <c r="AD407">
        <v>-5172.1755999999996</v>
      </c>
      <c r="AE407">
        <v>-5172.1755999999996</v>
      </c>
      <c r="AF407">
        <v>-5172.1755999999996</v>
      </c>
    </row>
    <row r="408" spans="2:32" x14ac:dyDescent="0.25">
      <c r="B408">
        <v>29</v>
      </c>
      <c r="C408">
        <v>1</v>
      </c>
      <c r="D408">
        <v>1</v>
      </c>
      <c r="E408">
        <v>1</v>
      </c>
      <c r="F408">
        <v>1</v>
      </c>
      <c r="G408">
        <v>1</v>
      </c>
      <c r="H408">
        <v>1</v>
      </c>
      <c r="J408">
        <v>29</v>
      </c>
      <c r="K408">
        <v>1</v>
      </c>
      <c r="L408">
        <v>1</v>
      </c>
      <c r="M408">
        <v>1</v>
      </c>
      <c r="N408">
        <v>1</v>
      </c>
      <c r="O408">
        <v>1</v>
      </c>
      <c r="P408">
        <v>1</v>
      </c>
      <c r="R408">
        <v>29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AA408">
        <v>-5170.5482000000002</v>
      </c>
      <c r="AB408">
        <v>-5170.5482000000002</v>
      </c>
      <c r="AC408">
        <v>-5170.5482000000002</v>
      </c>
      <c r="AD408">
        <v>-5170.5482000000002</v>
      </c>
      <c r="AE408">
        <v>-5170.5482000000002</v>
      </c>
      <c r="AF408">
        <v>-5170.5482000000002</v>
      </c>
    </row>
    <row r="409" spans="2:32" x14ac:dyDescent="0.25">
      <c r="B409">
        <v>30</v>
      </c>
      <c r="C409">
        <v>1</v>
      </c>
      <c r="D409">
        <v>1</v>
      </c>
      <c r="E409">
        <v>1</v>
      </c>
      <c r="F409">
        <v>1</v>
      </c>
      <c r="G409">
        <v>1</v>
      </c>
      <c r="H409">
        <v>1</v>
      </c>
      <c r="J409">
        <v>30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R409">
        <v>30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AA409">
        <v>-5168.6908999999996</v>
      </c>
      <c r="AB409">
        <v>-5168.6908999999996</v>
      </c>
      <c r="AC409">
        <v>-5168.6908999999996</v>
      </c>
      <c r="AD409">
        <v>-5168.6908999999996</v>
      </c>
      <c r="AE409">
        <v>-5168.6908999999996</v>
      </c>
      <c r="AF409">
        <v>-5168.6908999999996</v>
      </c>
    </row>
    <row r="410" spans="2:32" x14ac:dyDescent="0.25">
      <c r="B410">
        <v>31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1</v>
      </c>
      <c r="J410">
        <v>31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R410">
        <v>31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AA410">
        <v>-5166.5891000000001</v>
      </c>
      <c r="AB410">
        <v>-5166.5891000000001</v>
      </c>
      <c r="AC410">
        <v>-5166.5891000000001</v>
      </c>
      <c r="AD410">
        <v>-5166.5891000000001</v>
      </c>
      <c r="AE410">
        <v>-5166.5891000000001</v>
      </c>
      <c r="AF410">
        <v>-5166.5891000000001</v>
      </c>
    </row>
    <row r="411" spans="2:32" x14ac:dyDescent="0.25">
      <c r="B411">
        <v>32</v>
      </c>
      <c r="C411">
        <v>1</v>
      </c>
      <c r="D411">
        <v>1</v>
      </c>
      <c r="E411">
        <v>1</v>
      </c>
      <c r="F411">
        <v>1</v>
      </c>
      <c r="G411">
        <v>1</v>
      </c>
      <c r="H411">
        <v>1</v>
      </c>
      <c r="J411">
        <v>32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R411">
        <v>32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AA411">
        <v>-5164.2407000000003</v>
      </c>
      <c r="AB411">
        <v>-5164.2407000000003</v>
      </c>
      <c r="AC411">
        <v>-5164.2407000000003</v>
      </c>
      <c r="AD411">
        <v>-5164.2407000000003</v>
      </c>
      <c r="AE411">
        <v>-5164.2407000000003</v>
      </c>
      <c r="AF411">
        <v>-5164.2407000000003</v>
      </c>
    </row>
    <row r="412" spans="2:32" x14ac:dyDescent="0.25">
      <c r="B412">
        <v>33</v>
      </c>
      <c r="C412">
        <v>1</v>
      </c>
      <c r="D412">
        <v>1</v>
      </c>
      <c r="E412">
        <v>1</v>
      </c>
      <c r="F412">
        <v>1</v>
      </c>
      <c r="G412">
        <v>1</v>
      </c>
      <c r="H412">
        <v>1</v>
      </c>
      <c r="J412">
        <v>33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R412">
        <v>33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AA412">
        <v>-5161.6318000000001</v>
      </c>
      <c r="AB412">
        <v>-5161.6318000000001</v>
      </c>
      <c r="AC412">
        <v>-5161.6318000000001</v>
      </c>
      <c r="AD412">
        <v>-5161.6318000000001</v>
      </c>
      <c r="AE412">
        <v>-5161.6318000000001</v>
      </c>
      <c r="AF412">
        <v>-5161.6318000000001</v>
      </c>
    </row>
    <row r="413" spans="2:32" x14ac:dyDescent="0.25">
      <c r="B413">
        <v>34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1</v>
      </c>
      <c r="J413">
        <v>34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R413">
        <v>34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AA413">
        <v>-5158.7194</v>
      </c>
      <c r="AB413">
        <v>-5158.7194</v>
      </c>
      <c r="AC413">
        <v>-5158.7194</v>
      </c>
      <c r="AD413">
        <v>-5158.7194</v>
      </c>
      <c r="AE413">
        <v>-5158.7194</v>
      </c>
      <c r="AF413">
        <v>-5158.7194</v>
      </c>
    </row>
    <row r="414" spans="2:32" x14ac:dyDescent="0.25">
      <c r="B414">
        <v>35</v>
      </c>
      <c r="C414">
        <v>1</v>
      </c>
      <c r="D414">
        <v>1</v>
      </c>
      <c r="E414">
        <v>1</v>
      </c>
      <c r="F414">
        <v>1</v>
      </c>
      <c r="G414">
        <v>1</v>
      </c>
      <c r="H414">
        <v>1</v>
      </c>
      <c r="J414">
        <v>35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R414">
        <v>35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AA414">
        <v>-5155.4901</v>
      </c>
      <c r="AB414">
        <v>-5155.4901</v>
      </c>
      <c r="AC414">
        <v>-5155.4901</v>
      </c>
      <c r="AD414">
        <v>-5155.4901</v>
      </c>
      <c r="AE414">
        <v>-5155.4901</v>
      </c>
      <c r="AF414">
        <v>-5155.4901</v>
      </c>
    </row>
    <row r="415" spans="2:32" x14ac:dyDescent="0.25">
      <c r="B415">
        <v>36</v>
      </c>
      <c r="C415">
        <v>1</v>
      </c>
      <c r="D415">
        <v>1</v>
      </c>
      <c r="E415">
        <v>1</v>
      </c>
      <c r="F415">
        <v>1</v>
      </c>
      <c r="G415">
        <v>1</v>
      </c>
      <c r="H415">
        <v>1</v>
      </c>
      <c r="J415">
        <v>36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R415">
        <v>36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AA415">
        <v>-5151.8950999999997</v>
      </c>
      <c r="AB415">
        <v>-5151.8950999999997</v>
      </c>
      <c r="AC415">
        <v>-5151.8950999999997</v>
      </c>
      <c r="AD415">
        <v>-5151.8950999999997</v>
      </c>
      <c r="AE415">
        <v>-5151.8950999999997</v>
      </c>
      <c r="AF415">
        <v>-5151.8950999999997</v>
      </c>
    </row>
    <row r="416" spans="2:32" x14ac:dyDescent="0.25">
      <c r="B416">
        <v>37</v>
      </c>
      <c r="C416">
        <v>1</v>
      </c>
      <c r="D416">
        <v>1</v>
      </c>
      <c r="E416">
        <v>1</v>
      </c>
      <c r="F416">
        <v>1</v>
      </c>
      <c r="G416">
        <v>1</v>
      </c>
      <c r="H416">
        <v>1</v>
      </c>
      <c r="J416">
        <v>37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R416">
        <v>37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AA416">
        <v>-5147.9106000000002</v>
      </c>
      <c r="AB416">
        <v>-5147.9106000000002</v>
      </c>
      <c r="AC416">
        <v>-5147.9106000000002</v>
      </c>
      <c r="AD416">
        <v>-5147.9106000000002</v>
      </c>
      <c r="AE416">
        <v>-5147.9106000000002</v>
      </c>
      <c r="AF416">
        <v>-5147.9106000000002</v>
      </c>
    </row>
    <row r="417" spans="2:32" x14ac:dyDescent="0.25">
      <c r="B417">
        <v>38</v>
      </c>
      <c r="C417">
        <v>1</v>
      </c>
      <c r="D417">
        <v>1</v>
      </c>
      <c r="E417">
        <v>1</v>
      </c>
      <c r="F417">
        <v>1</v>
      </c>
      <c r="G417">
        <v>1</v>
      </c>
      <c r="H417">
        <v>1</v>
      </c>
      <c r="J417">
        <v>38</v>
      </c>
      <c r="K417">
        <v>1</v>
      </c>
      <c r="L417">
        <v>1</v>
      </c>
      <c r="M417">
        <v>1</v>
      </c>
      <c r="N417">
        <v>1</v>
      </c>
      <c r="O417">
        <v>1</v>
      </c>
      <c r="P417">
        <v>1</v>
      </c>
      <c r="R417">
        <v>38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AA417">
        <v>-5143.5393999999997</v>
      </c>
      <c r="AB417">
        <v>-5143.5393999999997</v>
      </c>
      <c r="AC417">
        <v>-5143.5393999999997</v>
      </c>
      <c r="AD417">
        <v>-5143.5393999999997</v>
      </c>
      <c r="AE417">
        <v>-5143.5393999999997</v>
      </c>
      <c r="AF417">
        <v>-5143.5393999999997</v>
      </c>
    </row>
    <row r="418" spans="2:32" x14ac:dyDescent="0.25">
      <c r="B418">
        <v>39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1</v>
      </c>
      <c r="J418">
        <v>39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R418">
        <v>39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AA418">
        <v>-5138.76</v>
      </c>
      <c r="AB418">
        <v>-5138.76</v>
      </c>
      <c r="AC418">
        <v>-5138.76</v>
      </c>
      <c r="AD418">
        <v>-5138.76</v>
      </c>
      <c r="AE418">
        <v>-5138.76</v>
      </c>
      <c r="AF418">
        <v>-5138.76</v>
      </c>
    </row>
    <row r="419" spans="2:32" x14ac:dyDescent="0.25">
      <c r="B419">
        <v>40</v>
      </c>
      <c r="C419">
        <v>1</v>
      </c>
      <c r="D419">
        <v>1</v>
      </c>
      <c r="E419">
        <v>1</v>
      </c>
      <c r="F419">
        <v>1</v>
      </c>
      <c r="G419">
        <v>1</v>
      </c>
      <c r="H419">
        <v>1</v>
      </c>
      <c r="J419">
        <v>40</v>
      </c>
      <c r="K419">
        <v>1</v>
      </c>
      <c r="L419">
        <v>1</v>
      </c>
      <c r="M419">
        <v>1</v>
      </c>
      <c r="N419">
        <v>1</v>
      </c>
      <c r="O419">
        <v>1</v>
      </c>
      <c r="P419">
        <v>1</v>
      </c>
      <c r="R419">
        <v>40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AA419">
        <v>-5133.5084999999999</v>
      </c>
      <c r="AB419">
        <v>-5133.5084999999999</v>
      </c>
      <c r="AC419">
        <v>-5133.5084999999999</v>
      </c>
      <c r="AD419">
        <v>-5133.5084999999999</v>
      </c>
      <c r="AE419">
        <v>-5133.5084999999999</v>
      </c>
      <c r="AF419">
        <v>-5133.5084999999999</v>
      </c>
    </row>
    <row r="420" spans="2:32" x14ac:dyDescent="0.25">
      <c r="B420">
        <v>41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1</v>
      </c>
      <c r="J420">
        <v>41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R420">
        <v>41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AA420">
        <v>-5127.7236000000003</v>
      </c>
      <c r="AB420">
        <v>-5127.7236000000003</v>
      </c>
      <c r="AC420">
        <v>-5127.7236000000003</v>
      </c>
      <c r="AD420">
        <v>-5127.7236000000003</v>
      </c>
      <c r="AE420">
        <v>-5127.7236000000003</v>
      </c>
      <c r="AF420">
        <v>-5127.7236000000003</v>
      </c>
    </row>
    <row r="421" spans="2:32" x14ac:dyDescent="0.25">
      <c r="B421">
        <v>42</v>
      </c>
      <c r="C421">
        <v>1</v>
      </c>
      <c r="D421">
        <v>1</v>
      </c>
      <c r="E421">
        <v>1</v>
      </c>
      <c r="F421">
        <v>1</v>
      </c>
      <c r="G421">
        <v>1</v>
      </c>
      <c r="H421">
        <v>1</v>
      </c>
      <c r="J421">
        <v>42</v>
      </c>
      <c r="K421">
        <v>1</v>
      </c>
      <c r="L421">
        <v>1</v>
      </c>
      <c r="M421">
        <v>1</v>
      </c>
      <c r="N421">
        <v>1</v>
      </c>
      <c r="O421">
        <v>1</v>
      </c>
      <c r="P421">
        <v>1</v>
      </c>
      <c r="R421">
        <v>42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AA421">
        <v>-5121.3726999999999</v>
      </c>
      <c r="AB421">
        <v>-5121.3726999999999</v>
      </c>
      <c r="AC421">
        <v>-5121.3726999999999</v>
      </c>
      <c r="AD421">
        <v>-5121.3726999999999</v>
      </c>
      <c r="AE421">
        <v>-5121.3726999999999</v>
      </c>
      <c r="AF421">
        <v>-5121.3726999999999</v>
      </c>
    </row>
    <row r="422" spans="2:32" x14ac:dyDescent="0.25">
      <c r="B422">
        <v>43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1</v>
      </c>
      <c r="J422">
        <v>43</v>
      </c>
      <c r="K422">
        <v>1</v>
      </c>
      <c r="L422">
        <v>1</v>
      </c>
      <c r="M422">
        <v>1</v>
      </c>
      <c r="N422">
        <v>1</v>
      </c>
      <c r="O422">
        <v>1</v>
      </c>
      <c r="P422">
        <v>1</v>
      </c>
      <c r="R422">
        <v>43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AA422">
        <v>-5114.3449000000001</v>
      </c>
      <c r="AB422">
        <v>-5114.3449000000001</v>
      </c>
      <c r="AC422">
        <v>-5114.3449000000001</v>
      </c>
      <c r="AD422">
        <v>-5114.3449000000001</v>
      </c>
      <c r="AE422">
        <v>-5114.3449000000001</v>
      </c>
      <c r="AF422">
        <v>-5114.3449000000001</v>
      </c>
    </row>
    <row r="423" spans="2:32" x14ac:dyDescent="0.25">
      <c r="B423">
        <v>44</v>
      </c>
      <c r="C423">
        <v>1</v>
      </c>
      <c r="D423">
        <v>1</v>
      </c>
      <c r="E423">
        <v>1</v>
      </c>
      <c r="F423">
        <v>1</v>
      </c>
      <c r="G423">
        <v>1</v>
      </c>
      <c r="H423">
        <v>1</v>
      </c>
      <c r="J423">
        <v>44</v>
      </c>
      <c r="K423">
        <v>1</v>
      </c>
      <c r="L423">
        <v>1</v>
      </c>
      <c r="M423">
        <v>1</v>
      </c>
      <c r="N423">
        <v>1</v>
      </c>
      <c r="O423">
        <v>1</v>
      </c>
      <c r="P423">
        <v>1</v>
      </c>
      <c r="R423">
        <v>44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AA423">
        <v>-5106.5976000000001</v>
      </c>
      <c r="AB423">
        <v>-5106.5976000000001</v>
      </c>
      <c r="AC423">
        <v>-5106.5976000000001</v>
      </c>
      <c r="AD423">
        <v>-5106.5976000000001</v>
      </c>
      <c r="AE423">
        <v>-5106.5976000000001</v>
      </c>
      <c r="AF423">
        <v>-5106.5976000000001</v>
      </c>
    </row>
    <row r="424" spans="2:32" x14ac:dyDescent="0.25">
      <c r="B424">
        <v>45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1</v>
      </c>
      <c r="J424">
        <v>45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R424">
        <v>45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AA424">
        <v>-5098.0524999999998</v>
      </c>
      <c r="AB424">
        <v>-5098.0524999999998</v>
      </c>
      <c r="AC424">
        <v>-5098.0524999999998</v>
      </c>
      <c r="AD424">
        <v>-5098.0524999999998</v>
      </c>
      <c r="AE424">
        <v>-5098.0524999999998</v>
      </c>
      <c r="AF424">
        <v>-5098.0524999999998</v>
      </c>
    </row>
    <row r="425" spans="2:32" x14ac:dyDescent="0.25">
      <c r="B425">
        <v>46</v>
      </c>
      <c r="C425">
        <v>1</v>
      </c>
      <c r="D425">
        <v>1</v>
      </c>
      <c r="E425">
        <v>1</v>
      </c>
      <c r="F425">
        <v>1</v>
      </c>
      <c r="G425">
        <v>1</v>
      </c>
      <c r="H425">
        <v>1</v>
      </c>
      <c r="J425">
        <v>46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R425">
        <v>46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AA425">
        <v>-5088.6378000000004</v>
      </c>
      <c r="AB425">
        <v>-5088.6378000000004</v>
      </c>
      <c r="AC425">
        <v>-5088.6378000000004</v>
      </c>
      <c r="AD425">
        <v>-5088.6378000000004</v>
      </c>
      <c r="AE425">
        <v>-5088.6378000000004</v>
      </c>
      <c r="AF425">
        <v>-5088.6378000000004</v>
      </c>
    </row>
    <row r="426" spans="2:32" x14ac:dyDescent="0.25">
      <c r="B426">
        <v>47</v>
      </c>
      <c r="C426">
        <v>1</v>
      </c>
      <c r="D426">
        <v>1</v>
      </c>
      <c r="E426">
        <v>1</v>
      </c>
      <c r="F426">
        <v>1</v>
      </c>
      <c r="G426">
        <v>1</v>
      </c>
      <c r="H426">
        <v>1</v>
      </c>
      <c r="J426">
        <v>47</v>
      </c>
      <c r="K426">
        <v>1</v>
      </c>
      <c r="L426">
        <v>1</v>
      </c>
      <c r="M426">
        <v>1</v>
      </c>
      <c r="N426">
        <v>1</v>
      </c>
      <c r="O426">
        <v>1</v>
      </c>
      <c r="P426">
        <v>1</v>
      </c>
      <c r="R426">
        <v>47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AA426">
        <v>-5078.2593999999999</v>
      </c>
      <c r="AB426">
        <v>-5078.2593999999999</v>
      </c>
      <c r="AC426">
        <v>-5078.2593999999999</v>
      </c>
      <c r="AD426">
        <v>-5078.2593999999999</v>
      </c>
      <c r="AE426">
        <v>-5078.2593999999999</v>
      </c>
      <c r="AF426">
        <v>-5078.2593999999999</v>
      </c>
    </row>
    <row r="427" spans="2:32" x14ac:dyDescent="0.25">
      <c r="B427">
        <v>48</v>
      </c>
      <c r="C427">
        <v>1</v>
      </c>
      <c r="D427">
        <v>1</v>
      </c>
      <c r="E427">
        <v>1</v>
      </c>
      <c r="F427">
        <v>1</v>
      </c>
      <c r="G427">
        <v>1</v>
      </c>
      <c r="H427">
        <v>1</v>
      </c>
      <c r="J427">
        <v>48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R427">
        <v>48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AA427">
        <v>-5066.8732</v>
      </c>
      <c r="AB427">
        <v>-5066.8732</v>
      </c>
      <c r="AC427">
        <v>-5066.8732</v>
      </c>
      <c r="AD427">
        <v>-5066.8732</v>
      </c>
      <c r="AE427">
        <v>-5066.8732</v>
      </c>
      <c r="AF427">
        <v>-5066.8732</v>
      </c>
    </row>
    <row r="428" spans="2:32" x14ac:dyDescent="0.25">
      <c r="B428">
        <v>49</v>
      </c>
      <c r="C428">
        <v>1</v>
      </c>
      <c r="D428">
        <v>1</v>
      </c>
      <c r="E428">
        <v>1</v>
      </c>
      <c r="F428">
        <v>1</v>
      </c>
      <c r="G428">
        <v>1</v>
      </c>
      <c r="H428">
        <v>1</v>
      </c>
      <c r="J428">
        <v>49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R428">
        <v>49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AA428">
        <v>-5054.4124000000002</v>
      </c>
      <c r="AB428">
        <v>-5054.4124000000002</v>
      </c>
      <c r="AC428">
        <v>-5054.4124000000002</v>
      </c>
      <c r="AD428">
        <v>-5054.4124000000002</v>
      </c>
      <c r="AE428">
        <v>-5054.4124000000002</v>
      </c>
      <c r="AF428">
        <v>-5054.4124000000002</v>
      </c>
    </row>
    <row r="429" spans="2:32" x14ac:dyDescent="0.25">
      <c r="B429">
        <v>50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J429">
        <v>50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1</v>
      </c>
      <c r="R429">
        <v>50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AA429">
        <v>-5040.7671</v>
      </c>
      <c r="AB429">
        <v>-5040.7671</v>
      </c>
      <c r="AC429">
        <v>-5040.7671</v>
      </c>
      <c r="AD429">
        <v>-5040.7671</v>
      </c>
      <c r="AE429">
        <v>-5040.7671</v>
      </c>
      <c r="AF429">
        <v>-5040.7671</v>
      </c>
    </row>
    <row r="430" spans="2:32" x14ac:dyDescent="0.25">
      <c r="B430">
        <v>51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J430">
        <v>51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R430">
        <v>51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AA430">
        <v>-5025.8329000000003</v>
      </c>
      <c r="AB430">
        <v>-5025.8329000000003</v>
      </c>
      <c r="AC430">
        <v>-5025.8329000000003</v>
      </c>
      <c r="AD430">
        <v>-5025.8329000000003</v>
      </c>
      <c r="AE430">
        <v>-5025.8329000000003</v>
      </c>
      <c r="AF430">
        <v>-5025.8329000000003</v>
      </c>
    </row>
    <row r="431" spans="2:32" x14ac:dyDescent="0.25">
      <c r="B431">
        <v>52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1</v>
      </c>
      <c r="J431">
        <v>52</v>
      </c>
      <c r="K431">
        <v>1</v>
      </c>
      <c r="L431">
        <v>1</v>
      </c>
      <c r="M431">
        <v>1</v>
      </c>
      <c r="N431">
        <v>1</v>
      </c>
      <c r="O431">
        <v>1</v>
      </c>
      <c r="P431">
        <v>1</v>
      </c>
      <c r="R431">
        <v>52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AA431">
        <v>-5009.4771000000001</v>
      </c>
      <c r="AB431">
        <v>-5009.4771000000001</v>
      </c>
      <c r="AC431">
        <v>-5009.4771000000001</v>
      </c>
      <c r="AD431">
        <v>-5009.4771000000001</v>
      </c>
      <c r="AE431">
        <v>-5009.4771000000001</v>
      </c>
      <c r="AF431">
        <v>-5009.4771000000001</v>
      </c>
    </row>
    <row r="432" spans="2:32" x14ac:dyDescent="0.25">
      <c r="B432">
        <v>53</v>
      </c>
      <c r="C432">
        <v>1</v>
      </c>
      <c r="D432">
        <v>1</v>
      </c>
      <c r="E432">
        <v>1</v>
      </c>
      <c r="F432">
        <v>1</v>
      </c>
      <c r="G432">
        <v>1</v>
      </c>
      <c r="H432">
        <v>1</v>
      </c>
      <c r="J432">
        <v>53</v>
      </c>
      <c r="K432">
        <v>1</v>
      </c>
      <c r="L432">
        <v>1</v>
      </c>
      <c r="M432">
        <v>1</v>
      </c>
      <c r="N432">
        <v>1</v>
      </c>
      <c r="O432">
        <v>1</v>
      </c>
      <c r="P432">
        <v>1</v>
      </c>
      <c r="R432">
        <v>53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AA432">
        <v>-4991.6184000000003</v>
      </c>
      <c r="AB432">
        <v>-4991.6184000000003</v>
      </c>
      <c r="AC432">
        <v>-4991.6184000000003</v>
      </c>
      <c r="AD432">
        <v>-4991.6184000000003</v>
      </c>
      <c r="AE432">
        <v>-4991.6184000000003</v>
      </c>
      <c r="AF432">
        <v>-4991.6184000000003</v>
      </c>
    </row>
    <row r="433" spans="2:32" x14ac:dyDescent="0.25">
      <c r="B433">
        <v>54</v>
      </c>
      <c r="C433">
        <v>1</v>
      </c>
      <c r="D433">
        <v>1</v>
      </c>
      <c r="E433">
        <v>1</v>
      </c>
      <c r="F433">
        <v>1</v>
      </c>
      <c r="G433">
        <v>1</v>
      </c>
      <c r="H433">
        <v>1</v>
      </c>
      <c r="J433">
        <v>54</v>
      </c>
      <c r="K433">
        <v>1</v>
      </c>
      <c r="L433">
        <v>1</v>
      </c>
      <c r="M433">
        <v>1</v>
      </c>
      <c r="N433">
        <v>1</v>
      </c>
      <c r="O433">
        <v>1</v>
      </c>
      <c r="P433">
        <v>1</v>
      </c>
      <c r="R433">
        <v>54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AA433">
        <v>-4972.1588000000002</v>
      </c>
      <c r="AB433">
        <v>-4972.1588000000002</v>
      </c>
      <c r="AC433">
        <v>-4972.1588000000002</v>
      </c>
      <c r="AD433">
        <v>-4972.1588000000002</v>
      </c>
      <c r="AE433">
        <v>-4972.1588000000002</v>
      </c>
      <c r="AF433">
        <v>-4972.1588000000002</v>
      </c>
    </row>
    <row r="434" spans="2:32" x14ac:dyDescent="0.25">
      <c r="B434">
        <v>55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J434">
        <v>55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R434">
        <v>55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AA434">
        <v>-4950.9426000000003</v>
      </c>
      <c r="AB434">
        <v>-4950.9426000000003</v>
      </c>
      <c r="AC434">
        <v>-4950.9426000000003</v>
      </c>
      <c r="AD434">
        <v>-4950.9426000000003</v>
      </c>
      <c r="AE434">
        <v>-4950.9426000000003</v>
      </c>
      <c r="AF434">
        <v>-4950.9426000000003</v>
      </c>
    </row>
    <row r="437" spans="2:32" x14ac:dyDescent="0.25">
      <c r="B437" t="s">
        <v>46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32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48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2:32" x14ac:dyDescent="0.25">
      <c r="B438">
        <v>35</v>
      </c>
      <c r="C438">
        <v>1</v>
      </c>
      <c r="D438">
        <v>1</v>
      </c>
      <c r="E438">
        <v>1</v>
      </c>
      <c r="F438">
        <v>1</v>
      </c>
      <c r="G438">
        <v>1</v>
      </c>
      <c r="J438">
        <v>35</v>
      </c>
      <c r="K438">
        <v>1</v>
      </c>
      <c r="L438">
        <v>1</v>
      </c>
      <c r="M438">
        <v>1</v>
      </c>
      <c r="N438">
        <v>1</v>
      </c>
      <c r="O438">
        <v>1</v>
      </c>
      <c r="R438">
        <v>35</v>
      </c>
      <c r="S438">
        <v>1</v>
      </c>
      <c r="T438">
        <v>1</v>
      </c>
      <c r="U438">
        <v>1</v>
      </c>
      <c r="V438">
        <v>1</v>
      </c>
      <c r="W438">
        <v>1</v>
      </c>
      <c r="AA438">
        <v>-8996.1419000000005</v>
      </c>
      <c r="AB438">
        <v>-8996.1419000000005</v>
      </c>
      <c r="AC438">
        <v>-8996.1419000000005</v>
      </c>
      <c r="AD438">
        <v>-8996.1419000000005</v>
      </c>
      <c r="AE438">
        <v>-8996.1419000000005</v>
      </c>
      <c r="AF438">
        <v>-759112.79520000005</v>
      </c>
    </row>
    <row r="439" spans="2:32" x14ac:dyDescent="0.25">
      <c r="B439">
        <f t="shared" ref="B439:B468" si="18">B438+1</f>
        <v>36</v>
      </c>
      <c r="C439">
        <v>1</v>
      </c>
      <c r="D439">
        <v>1</v>
      </c>
      <c r="E439">
        <v>1</v>
      </c>
      <c r="F439">
        <v>1</v>
      </c>
      <c r="G439">
        <v>1</v>
      </c>
      <c r="J439">
        <f t="shared" ref="J439:J468" si="19">J438+1</f>
        <v>36</v>
      </c>
      <c r="K439">
        <v>1</v>
      </c>
      <c r="L439">
        <v>1</v>
      </c>
      <c r="M439">
        <v>1</v>
      </c>
      <c r="N439">
        <v>1</v>
      </c>
      <c r="O439">
        <v>1</v>
      </c>
      <c r="R439">
        <f t="shared" ref="R439:R468" si="20">R438+1</f>
        <v>36</v>
      </c>
      <c r="S439">
        <v>1</v>
      </c>
      <c r="T439">
        <v>1</v>
      </c>
      <c r="U439">
        <v>1</v>
      </c>
      <c r="V439">
        <v>1</v>
      </c>
      <c r="W439">
        <v>1</v>
      </c>
      <c r="AA439">
        <v>-8902.6679999999997</v>
      </c>
      <c r="AB439">
        <v>-8902.6679999999997</v>
      </c>
      <c r="AC439">
        <v>-8902.6679999999997</v>
      </c>
      <c r="AD439">
        <v>-8902.6679999999997</v>
      </c>
      <c r="AE439">
        <v>-8902.6679999999997</v>
      </c>
      <c r="AF439">
        <v>-737070.86179999996</v>
      </c>
    </row>
    <row r="440" spans="2:32" x14ac:dyDescent="0.25">
      <c r="B440">
        <f t="shared" si="18"/>
        <v>37</v>
      </c>
      <c r="C440">
        <v>1</v>
      </c>
      <c r="D440">
        <v>1</v>
      </c>
      <c r="E440">
        <v>1</v>
      </c>
      <c r="F440">
        <v>1</v>
      </c>
      <c r="G440">
        <v>1</v>
      </c>
      <c r="J440">
        <f t="shared" si="19"/>
        <v>37</v>
      </c>
      <c r="K440">
        <v>1</v>
      </c>
      <c r="L440">
        <v>1</v>
      </c>
      <c r="M440">
        <v>1</v>
      </c>
      <c r="N440">
        <v>1</v>
      </c>
      <c r="O440">
        <v>1</v>
      </c>
      <c r="R440">
        <f t="shared" si="20"/>
        <v>37</v>
      </c>
      <c r="S440">
        <v>1</v>
      </c>
      <c r="T440">
        <v>1</v>
      </c>
      <c r="U440">
        <v>1</v>
      </c>
      <c r="V440">
        <v>1</v>
      </c>
      <c r="W440">
        <v>1</v>
      </c>
      <c r="AA440">
        <v>-8806.7960000000003</v>
      </c>
      <c r="AB440">
        <v>-8806.7960000000003</v>
      </c>
      <c r="AC440">
        <v>-8806.7960000000003</v>
      </c>
      <c r="AD440">
        <v>-8806.7960000000003</v>
      </c>
      <c r="AE440">
        <v>-8806.7960000000003</v>
      </c>
      <c r="AF440">
        <v>-765978.91940000001</v>
      </c>
    </row>
    <row r="441" spans="2:32" x14ac:dyDescent="0.25">
      <c r="B441">
        <f t="shared" si="18"/>
        <v>38</v>
      </c>
      <c r="C441">
        <v>1</v>
      </c>
      <c r="D441">
        <v>1</v>
      </c>
      <c r="E441">
        <v>1</v>
      </c>
      <c r="F441">
        <v>1</v>
      </c>
      <c r="G441">
        <v>1</v>
      </c>
      <c r="J441">
        <f t="shared" si="19"/>
        <v>38</v>
      </c>
      <c r="K441">
        <v>1</v>
      </c>
      <c r="L441">
        <v>1</v>
      </c>
      <c r="M441">
        <v>1</v>
      </c>
      <c r="N441">
        <v>1</v>
      </c>
      <c r="O441">
        <v>1</v>
      </c>
      <c r="R441">
        <f t="shared" si="20"/>
        <v>38</v>
      </c>
      <c r="S441">
        <v>1</v>
      </c>
      <c r="T441">
        <v>1</v>
      </c>
      <c r="U441">
        <v>1</v>
      </c>
      <c r="V441">
        <v>1</v>
      </c>
      <c r="W441">
        <v>1</v>
      </c>
      <c r="AA441">
        <v>-8708.6234000000004</v>
      </c>
      <c r="AB441">
        <v>-8708.6234000000004</v>
      </c>
      <c r="AC441">
        <v>-8708.6234000000004</v>
      </c>
      <c r="AD441">
        <v>-8708.6234000000004</v>
      </c>
      <c r="AE441">
        <v>-8708.6234000000004</v>
      </c>
      <c r="AF441">
        <v>-783780.576</v>
      </c>
    </row>
    <row r="442" spans="2:32" x14ac:dyDescent="0.25">
      <c r="B442">
        <f t="shared" si="18"/>
        <v>39</v>
      </c>
      <c r="C442">
        <v>1</v>
      </c>
      <c r="D442">
        <v>1</v>
      </c>
      <c r="E442">
        <v>1</v>
      </c>
      <c r="F442">
        <v>1</v>
      </c>
      <c r="G442">
        <v>1</v>
      </c>
      <c r="J442">
        <f t="shared" si="19"/>
        <v>39</v>
      </c>
      <c r="K442">
        <v>1</v>
      </c>
      <c r="L442">
        <v>1</v>
      </c>
      <c r="M442">
        <v>1</v>
      </c>
      <c r="N442">
        <v>1</v>
      </c>
      <c r="O442">
        <v>1</v>
      </c>
      <c r="R442">
        <f t="shared" si="20"/>
        <v>39</v>
      </c>
      <c r="S442">
        <v>1</v>
      </c>
      <c r="T442">
        <v>1</v>
      </c>
      <c r="U442">
        <v>1</v>
      </c>
      <c r="V442">
        <v>1</v>
      </c>
      <c r="W442">
        <v>1</v>
      </c>
      <c r="AA442">
        <v>-8608.1594000000005</v>
      </c>
      <c r="AB442">
        <v>-8608.1594000000005</v>
      </c>
      <c r="AC442">
        <v>-8608.1594000000005</v>
      </c>
      <c r="AD442">
        <v>-8608.1594000000005</v>
      </c>
      <c r="AE442">
        <v>-8608.1594000000005</v>
      </c>
      <c r="AF442">
        <v>-769662.22069999995</v>
      </c>
    </row>
    <row r="443" spans="2:32" x14ac:dyDescent="0.25">
      <c r="B443">
        <f t="shared" si="18"/>
        <v>40</v>
      </c>
      <c r="C443">
        <v>1</v>
      </c>
      <c r="D443">
        <v>1</v>
      </c>
      <c r="E443">
        <v>1</v>
      </c>
      <c r="F443">
        <v>1</v>
      </c>
      <c r="G443">
        <v>1</v>
      </c>
      <c r="J443">
        <f t="shared" si="19"/>
        <v>40</v>
      </c>
      <c r="K443">
        <v>1</v>
      </c>
      <c r="L443">
        <v>1</v>
      </c>
      <c r="M443">
        <v>1</v>
      </c>
      <c r="N443">
        <v>1</v>
      </c>
      <c r="O443">
        <v>1</v>
      </c>
      <c r="R443">
        <f t="shared" si="20"/>
        <v>40</v>
      </c>
      <c r="S443">
        <v>1</v>
      </c>
      <c r="T443">
        <v>1</v>
      </c>
      <c r="U443">
        <v>1</v>
      </c>
      <c r="V443">
        <v>1</v>
      </c>
      <c r="W443">
        <v>1</v>
      </c>
      <c r="AA443">
        <v>-8505.3439999999991</v>
      </c>
      <c r="AB443">
        <v>-8505.3439999999991</v>
      </c>
      <c r="AC443">
        <v>-8505.3439999999991</v>
      </c>
      <c r="AD443">
        <v>-8505.3439999999991</v>
      </c>
      <c r="AE443">
        <v>-8505.3439999999991</v>
      </c>
      <c r="AF443">
        <v>-798570.41119999997</v>
      </c>
    </row>
    <row r="444" spans="2:32" x14ac:dyDescent="0.25">
      <c r="B444">
        <f t="shared" si="18"/>
        <v>41</v>
      </c>
      <c r="C444">
        <v>1</v>
      </c>
      <c r="D444">
        <v>1</v>
      </c>
      <c r="E444">
        <v>1</v>
      </c>
      <c r="F444">
        <v>1</v>
      </c>
      <c r="G444">
        <v>1</v>
      </c>
      <c r="J444">
        <f t="shared" si="19"/>
        <v>41</v>
      </c>
      <c r="K444">
        <v>1</v>
      </c>
      <c r="L444">
        <v>1</v>
      </c>
      <c r="M444">
        <v>1</v>
      </c>
      <c r="N444">
        <v>1</v>
      </c>
      <c r="O444">
        <v>1</v>
      </c>
      <c r="R444">
        <f t="shared" si="20"/>
        <v>41</v>
      </c>
      <c r="S444">
        <v>1</v>
      </c>
      <c r="T444">
        <v>1</v>
      </c>
      <c r="U444">
        <v>1</v>
      </c>
      <c r="V444">
        <v>1</v>
      </c>
      <c r="W444">
        <v>1</v>
      </c>
      <c r="AA444">
        <v>-8400.1087000000007</v>
      </c>
      <c r="AB444">
        <v>-8400.1087000000007</v>
      </c>
      <c r="AC444">
        <v>-8400.1087000000007</v>
      </c>
      <c r="AD444">
        <v>-8400.1087000000007</v>
      </c>
      <c r="AE444">
        <v>-8400.1087000000007</v>
      </c>
      <c r="AF444">
        <v>-803549.96459999995</v>
      </c>
    </row>
    <row r="445" spans="2:32" x14ac:dyDescent="0.25">
      <c r="B445">
        <f t="shared" si="18"/>
        <v>42</v>
      </c>
      <c r="C445">
        <v>1</v>
      </c>
      <c r="D445">
        <v>1</v>
      </c>
      <c r="E445">
        <v>1</v>
      </c>
      <c r="F445">
        <v>1</v>
      </c>
      <c r="G445">
        <v>1</v>
      </c>
      <c r="J445">
        <f t="shared" si="19"/>
        <v>42</v>
      </c>
      <c r="K445">
        <v>1</v>
      </c>
      <c r="L445">
        <v>1</v>
      </c>
      <c r="M445">
        <v>1</v>
      </c>
      <c r="N445">
        <v>1</v>
      </c>
      <c r="O445">
        <v>1</v>
      </c>
      <c r="R445">
        <f t="shared" si="20"/>
        <v>42</v>
      </c>
      <c r="S445">
        <v>1</v>
      </c>
      <c r="T445">
        <v>1</v>
      </c>
      <c r="U445">
        <v>1</v>
      </c>
      <c r="V445">
        <v>1</v>
      </c>
      <c r="W445">
        <v>1</v>
      </c>
      <c r="AA445">
        <v>-8292.4974999999995</v>
      </c>
      <c r="AB445">
        <v>-8292.4974999999995</v>
      </c>
      <c r="AC445">
        <v>-8292.4974999999995</v>
      </c>
      <c r="AD445">
        <v>-8292.4974999999995</v>
      </c>
      <c r="AE445">
        <v>-8292.4974999999995</v>
      </c>
      <c r="AF445">
        <v>-833551.75890000002</v>
      </c>
    </row>
    <row r="446" spans="2:32" x14ac:dyDescent="0.25">
      <c r="B446">
        <f t="shared" si="18"/>
        <v>43</v>
      </c>
      <c r="C446">
        <v>1</v>
      </c>
      <c r="D446">
        <v>1</v>
      </c>
      <c r="E446">
        <v>1</v>
      </c>
      <c r="F446">
        <v>1</v>
      </c>
      <c r="G446">
        <v>1</v>
      </c>
      <c r="J446">
        <f t="shared" si="19"/>
        <v>43</v>
      </c>
      <c r="K446">
        <v>1</v>
      </c>
      <c r="L446">
        <v>1</v>
      </c>
      <c r="M446">
        <v>1</v>
      </c>
      <c r="N446">
        <v>1</v>
      </c>
      <c r="O446">
        <v>1</v>
      </c>
      <c r="R446">
        <f t="shared" si="20"/>
        <v>43</v>
      </c>
      <c r="S446">
        <v>1</v>
      </c>
      <c r="T446">
        <v>1</v>
      </c>
      <c r="U446">
        <v>1</v>
      </c>
      <c r="V446">
        <v>1</v>
      </c>
      <c r="W446">
        <v>1</v>
      </c>
      <c r="AA446">
        <v>-8182.3909999999996</v>
      </c>
      <c r="AB446">
        <v>-8182.3909999999996</v>
      </c>
      <c r="AC446">
        <v>-8182.3909999999996</v>
      </c>
      <c r="AD446">
        <v>-8182.3909999999996</v>
      </c>
      <c r="AE446">
        <v>-8182.3909999999996</v>
      </c>
      <c r="AF446">
        <v>-844950.93949999998</v>
      </c>
    </row>
    <row r="447" spans="2:32" x14ac:dyDescent="0.25">
      <c r="B447">
        <f t="shared" si="18"/>
        <v>44</v>
      </c>
      <c r="C447">
        <v>1</v>
      </c>
      <c r="D447">
        <v>1</v>
      </c>
      <c r="E447">
        <v>1</v>
      </c>
      <c r="F447">
        <v>1</v>
      </c>
      <c r="G447">
        <v>1</v>
      </c>
      <c r="J447">
        <f t="shared" si="19"/>
        <v>44</v>
      </c>
      <c r="K447">
        <v>1</v>
      </c>
      <c r="L447">
        <v>1</v>
      </c>
      <c r="M447">
        <v>1</v>
      </c>
      <c r="N447">
        <v>1</v>
      </c>
      <c r="O447">
        <v>1</v>
      </c>
      <c r="R447">
        <f t="shared" si="20"/>
        <v>44</v>
      </c>
      <c r="S447">
        <v>1</v>
      </c>
      <c r="T447">
        <v>1</v>
      </c>
      <c r="U447">
        <v>1</v>
      </c>
      <c r="V447">
        <v>1</v>
      </c>
      <c r="W447">
        <v>1</v>
      </c>
      <c r="AA447">
        <v>-8069.8261000000002</v>
      </c>
      <c r="AB447">
        <v>-8069.8261000000002</v>
      </c>
      <c r="AC447">
        <v>-8069.8261000000002</v>
      </c>
      <c r="AD447">
        <v>-8069.8261000000002</v>
      </c>
      <c r="AE447">
        <v>-8069.8261000000002</v>
      </c>
      <c r="AF447">
        <v>-851265.64670000004</v>
      </c>
    </row>
    <row r="448" spans="2:32" x14ac:dyDescent="0.25">
      <c r="B448">
        <f t="shared" si="18"/>
        <v>45</v>
      </c>
      <c r="C448">
        <v>1</v>
      </c>
      <c r="D448">
        <v>1</v>
      </c>
      <c r="E448">
        <v>1</v>
      </c>
      <c r="F448">
        <v>1</v>
      </c>
      <c r="G448">
        <v>1</v>
      </c>
      <c r="J448">
        <f t="shared" si="19"/>
        <v>45</v>
      </c>
      <c r="K448">
        <v>1</v>
      </c>
      <c r="L448">
        <v>1</v>
      </c>
      <c r="M448">
        <v>1</v>
      </c>
      <c r="N448">
        <v>1</v>
      </c>
      <c r="O448">
        <v>1</v>
      </c>
      <c r="R448">
        <f t="shared" si="20"/>
        <v>45</v>
      </c>
      <c r="S448">
        <v>1</v>
      </c>
      <c r="T448">
        <v>1</v>
      </c>
      <c r="U448">
        <v>1</v>
      </c>
      <c r="V448">
        <v>1</v>
      </c>
      <c r="W448">
        <v>1</v>
      </c>
      <c r="AA448">
        <v>-7954.7533999999996</v>
      </c>
      <c r="AB448">
        <v>-7954.7533999999996</v>
      </c>
      <c r="AC448">
        <v>-7954.7533999999996</v>
      </c>
      <c r="AD448">
        <v>-7954.7533999999996</v>
      </c>
      <c r="AE448">
        <v>-7954.7533999999996</v>
      </c>
      <c r="AF448">
        <v>-870649.02139999997</v>
      </c>
    </row>
    <row r="449" spans="2:32" x14ac:dyDescent="0.25">
      <c r="B449">
        <f t="shared" si="18"/>
        <v>46</v>
      </c>
      <c r="C449">
        <v>1</v>
      </c>
      <c r="D449">
        <v>1</v>
      </c>
      <c r="E449">
        <v>1</v>
      </c>
      <c r="F449">
        <v>1</v>
      </c>
      <c r="G449">
        <v>1</v>
      </c>
      <c r="J449">
        <f t="shared" si="19"/>
        <v>46</v>
      </c>
      <c r="K449">
        <v>1</v>
      </c>
      <c r="L449">
        <v>1</v>
      </c>
      <c r="M449">
        <v>1</v>
      </c>
      <c r="N449">
        <v>1</v>
      </c>
      <c r="O449">
        <v>1</v>
      </c>
      <c r="R449">
        <f t="shared" si="20"/>
        <v>46</v>
      </c>
      <c r="S449">
        <v>1</v>
      </c>
      <c r="T449">
        <v>1</v>
      </c>
      <c r="U449">
        <v>1</v>
      </c>
      <c r="V449">
        <v>1</v>
      </c>
      <c r="W449">
        <v>1</v>
      </c>
      <c r="AA449">
        <v>-7837.1754000000001</v>
      </c>
      <c r="AB449">
        <v>-7837.1754000000001</v>
      </c>
      <c r="AC449">
        <v>-7837.1754000000001</v>
      </c>
      <c r="AD449">
        <v>-7837.1754000000001</v>
      </c>
      <c r="AE449">
        <v>-7837.1754000000001</v>
      </c>
      <c r="AF449">
        <v>-892550.54509999999</v>
      </c>
    </row>
    <row r="450" spans="2:32" x14ac:dyDescent="0.25">
      <c r="B450">
        <f t="shared" si="18"/>
        <v>47</v>
      </c>
      <c r="C450">
        <v>1</v>
      </c>
      <c r="D450">
        <v>1</v>
      </c>
      <c r="E450">
        <v>1</v>
      </c>
      <c r="F450">
        <v>1</v>
      </c>
      <c r="G450">
        <v>1</v>
      </c>
      <c r="J450">
        <f t="shared" si="19"/>
        <v>47</v>
      </c>
      <c r="K450">
        <v>1</v>
      </c>
      <c r="L450">
        <v>1</v>
      </c>
      <c r="M450">
        <v>1</v>
      </c>
      <c r="N450">
        <v>1</v>
      </c>
      <c r="O450">
        <v>1</v>
      </c>
      <c r="R450">
        <f t="shared" si="20"/>
        <v>47</v>
      </c>
      <c r="S450">
        <v>1</v>
      </c>
      <c r="T450">
        <v>1</v>
      </c>
      <c r="U450">
        <v>1</v>
      </c>
      <c r="V450">
        <v>1</v>
      </c>
      <c r="W450">
        <v>1</v>
      </c>
      <c r="AA450">
        <v>-7717.0294999999996</v>
      </c>
      <c r="AB450">
        <v>-7717.0294999999996</v>
      </c>
      <c r="AC450">
        <v>-7717.0294999999996</v>
      </c>
      <c r="AD450">
        <v>-7717.0294999999996</v>
      </c>
      <c r="AE450">
        <v>-7717.0294999999996</v>
      </c>
      <c r="AF450">
        <v>-910915.81969999999</v>
      </c>
    </row>
    <row r="451" spans="2:32" x14ac:dyDescent="0.25">
      <c r="B451">
        <f t="shared" si="18"/>
        <v>48</v>
      </c>
      <c r="C451">
        <v>1</v>
      </c>
      <c r="D451">
        <v>1</v>
      </c>
      <c r="E451">
        <v>1</v>
      </c>
      <c r="F451">
        <v>1</v>
      </c>
      <c r="G451">
        <v>1</v>
      </c>
      <c r="J451">
        <f t="shared" si="19"/>
        <v>48</v>
      </c>
      <c r="K451">
        <v>1</v>
      </c>
      <c r="L451">
        <v>1</v>
      </c>
      <c r="M451">
        <v>1</v>
      </c>
      <c r="N451">
        <v>1</v>
      </c>
      <c r="O451">
        <v>1</v>
      </c>
      <c r="R451">
        <f t="shared" si="20"/>
        <v>48</v>
      </c>
      <c r="S451">
        <v>1</v>
      </c>
      <c r="T451">
        <v>1</v>
      </c>
      <c r="U451">
        <v>1</v>
      </c>
      <c r="V451">
        <v>1</v>
      </c>
      <c r="W451">
        <v>1</v>
      </c>
      <c r="AA451">
        <v>-7594.4201000000003</v>
      </c>
      <c r="AB451">
        <v>-7594.4201000000003</v>
      </c>
      <c r="AC451">
        <v>-7594.4201000000003</v>
      </c>
      <c r="AD451">
        <v>-7594.4201000000003</v>
      </c>
      <c r="AE451">
        <v>-7594.4201000000003</v>
      </c>
      <c r="AF451">
        <v>-917891.87360000005</v>
      </c>
    </row>
    <row r="452" spans="2:32" x14ac:dyDescent="0.25">
      <c r="B452">
        <f t="shared" si="18"/>
        <v>49</v>
      </c>
      <c r="C452">
        <v>1</v>
      </c>
      <c r="D452">
        <v>1</v>
      </c>
      <c r="E452">
        <v>1</v>
      </c>
      <c r="F452">
        <v>1</v>
      </c>
      <c r="G452">
        <v>1</v>
      </c>
      <c r="J452">
        <f t="shared" si="19"/>
        <v>49</v>
      </c>
      <c r="K452">
        <v>1</v>
      </c>
      <c r="L452">
        <v>1</v>
      </c>
      <c r="M452">
        <v>1</v>
      </c>
      <c r="N452">
        <v>1</v>
      </c>
      <c r="O452">
        <v>1</v>
      </c>
      <c r="R452">
        <f t="shared" si="20"/>
        <v>49</v>
      </c>
      <c r="S452">
        <v>1</v>
      </c>
      <c r="T452">
        <v>1</v>
      </c>
      <c r="U452">
        <v>1</v>
      </c>
      <c r="V452">
        <v>1</v>
      </c>
      <c r="W452">
        <v>1</v>
      </c>
      <c r="AA452">
        <v>-7469.3995999999997</v>
      </c>
      <c r="AB452">
        <v>-7469.3995999999997</v>
      </c>
      <c r="AC452">
        <v>-7469.3995999999997</v>
      </c>
      <c r="AD452">
        <v>-7469.3995999999997</v>
      </c>
      <c r="AE452">
        <v>-7469.3995999999997</v>
      </c>
      <c r="AF452">
        <v>-944521.72470000002</v>
      </c>
    </row>
    <row r="453" spans="2:32" x14ac:dyDescent="0.25">
      <c r="B453">
        <f t="shared" si="18"/>
        <v>50</v>
      </c>
      <c r="C453">
        <v>1</v>
      </c>
      <c r="D453">
        <v>1</v>
      </c>
      <c r="E453">
        <v>1</v>
      </c>
      <c r="F453">
        <v>1</v>
      </c>
      <c r="G453">
        <v>1</v>
      </c>
      <c r="J453">
        <f t="shared" si="19"/>
        <v>50</v>
      </c>
      <c r="K453">
        <v>1</v>
      </c>
      <c r="L453">
        <v>1</v>
      </c>
      <c r="M453">
        <v>1</v>
      </c>
      <c r="N453">
        <v>1</v>
      </c>
      <c r="O453">
        <v>1</v>
      </c>
      <c r="R453">
        <f t="shared" si="20"/>
        <v>50</v>
      </c>
      <c r="S453">
        <v>1</v>
      </c>
      <c r="T453">
        <v>1</v>
      </c>
      <c r="U453">
        <v>1</v>
      </c>
      <c r="V453">
        <v>1</v>
      </c>
      <c r="W453">
        <v>1</v>
      </c>
      <c r="AA453">
        <v>-7341.9502000000002</v>
      </c>
      <c r="AB453">
        <v>-7341.9502000000002</v>
      </c>
      <c r="AC453">
        <v>-7341.9502000000002</v>
      </c>
      <c r="AD453">
        <v>-7341.9502000000002</v>
      </c>
      <c r="AE453">
        <v>-7341.9502000000002</v>
      </c>
      <c r="AF453">
        <v>-963257.14989999996</v>
      </c>
    </row>
    <row r="454" spans="2:32" x14ac:dyDescent="0.25">
      <c r="B454">
        <f t="shared" si="18"/>
        <v>51</v>
      </c>
      <c r="C454">
        <v>1</v>
      </c>
      <c r="D454">
        <v>1</v>
      </c>
      <c r="E454">
        <v>1</v>
      </c>
      <c r="F454">
        <v>1</v>
      </c>
      <c r="G454">
        <v>1</v>
      </c>
      <c r="J454">
        <f t="shared" si="19"/>
        <v>51</v>
      </c>
      <c r="K454">
        <v>1</v>
      </c>
      <c r="L454">
        <v>1</v>
      </c>
      <c r="M454">
        <v>1</v>
      </c>
      <c r="N454">
        <v>1</v>
      </c>
      <c r="O454">
        <v>1</v>
      </c>
      <c r="R454">
        <f t="shared" si="20"/>
        <v>51</v>
      </c>
      <c r="S454">
        <v>1</v>
      </c>
      <c r="T454">
        <v>1</v>
      </c>
      <c r="U454">
        <v>1</v>
      </c>
      <c r="V454">
        <v>1</v>
      </c>
      <c r="W454">
        <v>1</v>
      </c>
      <c r="AA454">
        <v>-7212.0646999999999</v>
      </c>
      <c r="AB454">
        <v>-7212.0646999999999</v>
      </c>
      <c r="AC454">
        <v>-7212.0646999999999</v>
      </c>
      <c r="AD454">
        <v>-7212.0646999999999</v>
      </c>
      <c r="AE454">
        <v>-7212.0646999999999</v>
      </c>
      <c r="AF454">
        <v>-981592.90729999996</v>
      </c>
    </row>
    <row r="455" spans="2:32" x14ac:dyDescent="0.25">
      <c r="B455">
        <f t="shared" si="18"/>
        <v>52</v>
      </c>
      <c r="C455">
        <v>1</v>
      </c>
      <c r="D455">
        <v>1</v>
      </c>
      <c r="E455">
        <v>1</v>
      </c>
      <c r="F455">
        <v>1</v>
      </c>
      <c r="G455">
        <v>1</v>
      </c>
      <c r="J455">
        <f t="shared" si="19"/>
        <v>52</v>
      </c>
      <c r="K455">
        <v>1</v>
      </c>
      <c r="L455">
        <v>1</v>
      </c>
      <c r="M455">
        <v>1</v>
      </c>
      <c r="N455">
        <v>1</v>
      </c>
      <c r="O455">
        <v>1</v>
      </c>
      <c r="R455">
        <f t="shared" si="20"/>
        <v>52</v>
      </c>
      <c r="S455">
        <v>1</v>
      </c>
      <c r="T455">
        <v>1</v>
      </c>
      <c r="U455">
        <v>1</v>
      </c>
      <c r="V455">
        <v>1</v>
      </c>
      <c r="W455">
        <v>1</v>
      </c>
      <c r="AA455">
        <v>-7079.7435999999998</v>
      </c>
      <c r="AB455">
        <v>-7079.7435999999998</v>
      </c>
      <c r="AC455">
        <v>-7079.7435999999998</v>
      </c>
      <c r="AD455">
        <v>-7079.7435999999998</v>
      </c>
      <c r="AE455">
        <v>-7079.7435999999998</v>
      </c>
      <c r="AF455">
        <v>-998556.10360000003</v>
      </c>
    </row>
    <row r="456" spans="2:32" x14ac:dyDescent="0.25">
      <c r="B456">
        <f t="shared" si="18"/>
        <v>53</v>
      </c>
      <c r="C456">
        <v>1</v>
      </c>
      <c r="D456">
        <v>1</v>
      </c>
      <c r="E456">
        <v>1</v>
      </c>
      <c r="F456">
        <v>1</v>
      </c>
      <c r="G456">
        <v>1</v>
      </c>
      <c r="J456">
        <f t="shared" si="19"/>
        <v>53</v>
      </c>
      <c r="K456">
        <v>1</v>
      </c>
      <c r="L456">
        <v>1</v>
      </c>
      <c r="M456">
        <v>1</v>
      </c>
      <c r="N456">
        <v>1</v>
      </c>
      <c r="O456">
        <v>1</v>
      </c>
      <c r="R456">
        <f t="shared" si="20"/>
        <v>53</v>
      </c>
      <c r="S456">
        <v>1</v>
      </c>
      <c r="T456">
        <v>1</v>
      </c>
      <c r="U456">
        <v>1</v>
      </c>
      <c r="V456">
        <v>1</v>
      </c>
      <c r="W456">
        <v>1</v>
      </c>
      <c r="AA456">
        <v>-6945.0875999999998</v>
      </c>
      <c r="AB456">
        <v>-6945.0875999999998</v>
      </c>
      <c r="AC456">
        <v>-6945.0875999999998</v>
      </c>
      <c r="AD456">
        <v>-6945.0875999999998</v>
      </c>
      <c r="AE456">
        <v>-6945.0875999999998</v>
      </c>
      <c r="AF456">
        <v>-1015461.3278</v>
      </c>
    </row>
    <row r="457" spans="2:32" x14ac:dyDescent="0.25">
      <c r="B457">
        <f t="shared" si="18"/>
        <v>54</v>
      </c>
      <c r="C457">
        <v>1</v>
      </c>
      <c r="D457">
        <v>1</v>
      </c>
      <c r="E457">
        <v>1</v>
      </c>
      <c r="F457">
        <v>1</v>
      </c>
      <c r="G457">
        <v>1</v>
      </c>
      <c r="J457">
        <f t="shared" si="19"/>
        <v>54</v>
      </c>
      <c r="K457">
        <v>1</v>
      </c>
      <c r="L457">
        <v>1</v>
      </c>
      <c r="M457">
        <v>1</v>
      </c>
      <c r="N457">
        <v>1</v>
      </c>
      <c r="O457">
        <v>1</v>
      </c>
      <c r="R457">
        <f t="shared" si="20"/>
        <v>54</v>
      </c>
      <c r="S457">
        <v>1</v>
      </c>
      <c r="T457">
        <v>1</v>
      </c>
      <c r="U457">
        <v>1</v>
      </c>
      <c r="V457">
        <v>1</v>
      </c>
      <c r="W457">
        <v>1</v>
      </c>
      <c r="AA457">
        <v>-6808.2438000000002</v>
      </c>
      <c r="AB457">
        <v>-6808.2438000000002</v>
      </c>
      <c r="AC457">
        <v>-6808.2438000000002</v>
      </c>
      <c r="AD457">
        <v>-6808.2438000000002</v>
      </c>
      <c r="AE457">
        <v>-6808.2438000000002</v>
      </c>
      <c r="AF457">
        <v>-1033869.6813000001</v>
      </c>
    </row>
    <row r="458" spans="2:32" x14ac:dyDescent="0.25">
      <c r="B458">
        <f t="shared" si="18"/>
        <v>55</v>
      </c>
      <c r="C458">
        <v>1</v>
      </c>
      <c r="D458">
        <v>1</v>
      </c>
      <c r="E458">
        <v>1</v>
      </c>
      <c r="F458">
        <v>1</v>
      </c>
      <c r="G458">
        <v>1</v>
      </c>
      <c r="J458">
        <f t="shared" si="19"/>
        <v>55</v>
      </c>
      <c r="K458">
        <v>1</v>
      </c>
      <c r="L458">
        <v>1</v>
      </c>
      <c r="M458">
        <v>1</v>
      </c>
      <c r="N458">
        <v>1</v>
      </c>
      <c r="O458">
        <v>1</v>
      </c>
      <c r="R458">
        <f t="shared" si="20"/>
        <v>55</v>
      </c>
      <c r="S458">
        <v>1</v>
      </c>
      <c r="T458">
        <v>1</v>
      </c>
      <c r="U458">
        <v>1</v>
      </c>
      <c r="V458">
        <v>1</v>
      </c>
      <c r="W458">
        <v>1</v>
      </c>
      <c r="AA458">
        <v>-6669.2525999999998</v>
      </c>
      <c r="AB458">
        <v>-6669.2525999999998</v>
      </c>
      <c r="AC458">
        <v>-6669.2525999999998</v>
      </c>
      <c r="AD458">
        <v>-6669.2525999999998</v>
      </c>
      <c r="AE458">
        <v>-6669.2525999999998</v>
      </c>
      <c r="AF458">
        <v>-1050810.2549999999</v>
      </c>
    </row>
    <row r="459" spans="2:32" x14ac:dyDescent="0.25">
      <c r="B459">
        <f t="shared" si="18"/>
        <v>56</v>
      </c>
      <c r="C459">
        <v>1</v>
      </c>
      <c r="D459">
        <v>1</v>
      </c>
      <c r="E459">
        <v>1</v>
      </c>
      <c r="F459">
        <v>1</v>
      </c>
      <c r="G459">
        <v>1</v>
      </c>
      <c r="J459">
        <f t="shared" si="19"/>
        <v>56</v>
      </c>
      <c r="K459">
        <v>1</v>
      </c>
      <c r="L459">
        <v>1</v>
      </c>
      <c r="M459">
        <v>1</v>
      </c>
      <c r="N459">
        <v>1</v>
      </c>
      <c r="O459">
        <v>1</v>
      </c>
      <c r="R459">
        <f t="shared" si="20"/>
        <v>56</v>
      </c>
      <c r="S459">
        <v>1</v>
      </c>
      <c r="T459">
        <v>1</v>
      </c>
      <c r="U459">
        <v>1</v>
      </c>
      <c r="V459">
        <v>1</v>
      </c>
      <c r="W459">
        <v>1</v>
      </c>
      <c r="AA459">
        <v>-6528.2992000000004</v>
      </c>
      <c r="AB459">
        <v>-6528.2992000000004</v>
      </c>
      <c r="AC459">
        <v>-6528.2992000000004</v>
      </c>
      <c r="AD459">
        <v>-6528.2992000000004</v>
      </c>
      <c r="AE459">
        <v>-6528.2992000000004</v>
      </c>
      <c r="AF459">
        <v>-1073295.8774000001</v>
      </c>
    </row>
    <row r="460" spans="2:32" x14ac:dyDescent="0.25">
      <c r="B460">
        <f t="shared" si="18"/>
        <v>57</v>
      </c>
      <c r="C460">
        <v>1</v>
      </c>
      <c r="D460">
        <v>1</v>
      </c>
      <c r="E460">
        <v>1</v>
      </c>
      <c r="F460">
        <v>1</v>
      </c>
      <c r="G460">
        <v>1</v>
      </c>
      <c r="J460">
        <f t="shared" si="19"/>
        <v>57</v>
      </c>
      <c r="K460">
        <v>1</v>
      </c>
      <c r="L460">
        <v>1</v>
      </c>
      <c r="M460">
        <v>1</v>
      </c>
      <c r="N460">
        <v>1</v>
      </c>
      <c r="O460">
        <v>1</v>
      </c>
      <c r="R460">
        <f t="shared" si="20"/>
        <v>57</v>
      </c>
      <c r="S460">
        <v>1</v>
      </c>
      <c r="T460">
        <v>1</v>
      </c>
      <c r="U460">
        <v>1</v>
      </c>
      <c r="V460">
        <v>1</v>
      </c>
      <c r="W460">
        <v>1</v>
      </c>
      <c r="AA460">
        <v>-6385.5230000000001</v>
      </c>
      <c r="AB460">
        <v>-6385.5230000000001</v>
      </c>
      <c r="AC460">
        <v>-6385.5230000000001</v>
      </c>
      <c r="AD460">
        <v>-6385.5230000000001</v>
      </c>
      <c r="AE460">
        <v>-6385.5230000000001</v>
      </c>
      <c r="AF460">
        <v>-1093242.6832999999</v>
      </c>
    </row>
    <row r="461" spans="2:32" x14ac:dyDescent="0.25">
      <c r="B461">
        <f t="shared" si="18"/>
        <v>58</v>
      </c>
      <c r="C461">
        <v>1</v>
      </c>
      <c r="D461">
        <v>1</v>
      </c>
      <c r="E461">
        <v>1</v>
      </c>
      <c r="F461">
        <v>1</v>
      </c>
      <c r="G461">
        <v>1</v>
      </c>
      <c r="J461">
        <f t="shared" si="19"/>
        <v>58</v>
      </c>
      <c r="K461">
        <v>1</v>
      </c>
      <c r="L461">
        <v>1</v>
      </c>
      <c r="M461">
        <v>1</v>
      </c>
      <c r="N461">
        <v>1</v>
      </c>
      <c r="O461">
        <v>1</v>
      </c>
      <c r="R461">
        <f t="shared" si="20"/>
        <v>58</v>
      </c>
      <c r="S461">
        <v>1</v>
      </c>
      <c r="T461">
        <v>1</v>
      </c>
      <c r="U461">
        <v>1</v>
      </c>
      <c r="V461">
        <v>1</v>
      </c>
      <c r="W461">
        <v>1</v>
      </c>
      <c r="AA461">
        <v>-6240.8730999999998</v>
      </c>
      <c r="AB461">
        <v>-6240.8730999999998</v>
      </c>
      <c r="AC461">
        <v>-6240.8730999999998</v>
      </c>
      <c r="AD461">
        <v>-6240.8730999999998</v>
      </c>
      <c r="AE461">
        <v>-6240.8730999999998</v>
      </c>
      <c r="AF461">
        <v>-1114366.6444000001</v>
      </c>
    </row>
    <row r="462" spans="2:32" x14ac:dyDescent="0.25">
      <c r="B462">
        <f t="shared" si="18"/>
        <v>59</v>
      </c>
      <c r="C462">
        <v>1</v>
      </c>
      <c r="D462">
        <v>1</v>
      </c>
      <c r="E462">
        <v>1</v>
      </c>
      <c r="F462">
        <v>1</v>
      </c>
      <c r="G462">
        <v>1</v>
      </c>
      <c r="J462">
        <f t="shared" si="19"/>
        <v>59</v>
      </c>
      <c r="K462">
        <v>1</v>
      </c>
      <c r="L462">
        <v>1</v>
      </c>
      <c r="M462">
        <v>1</v>
      </c>
      <c r="N462">
        <v>1</v>
      </c>
      <c r="O462">
        <v>1</v>
      </c>
      <c r="R462">
        <f t="shared" si="20"/>
        <v>59</v>
      </c>
      <c r="S462">
        <v>1</v>
      </c>
      <c r="T462">
        <v>1</v>
      </c>
      <c r="U462">
        <v>1</v>
      </c>
      <c r="V462">
        <v>1</v>
      </c>
      <c r="W462">
        <v>1</v>
      </c>
      <c r="AA462">
        <v>-6094.3262999999997</v>
      </c>
      <c r="AB462">
        <v>-6094.3262999999997</v>
      </c>
      <c r="AC462">
        <v>-6094.3262999999997</v>
      </c>
      <c r="AD462">
        <v>-6094.3262999999997</v>
      </c>
      <c r="AE462">
        <v>-6094.3262999999997</v>
      </c>
      <c r="AF462">
        <v>-1136284.0146999999</v>
      </c>
    </row>
    <row r="463" spans="2:32" x14ac:dyDescent="0.25">
      <c r="B463">
        <f t="shared" si="18"/>
        <v>60</v>
      </c>
      <c r="C463">
        <v>1</v>
      </c>
      <c r="D463">
        <v>1</v>
      </c>
      <c r="E463">
        <v>1</v>
      </c>
      <c r="F463">
        <v>1</v>
      </c>
      <c r="G463">
        <v>1</v>
      </c>
      <c r="J463">
        <f t="shared" si="19"/>
        <v>60</v>
      </c>
      <c r="K463">
        <v>1</v>
      </c>
      <c r="L463">
        <v>1</v>
      </c>
      <c r="M463">
        <v>1</v>
      </c>
      <c r="N463">
        <v>1</v>
      </c>
      <c r="O463">
        <v>1</v>
      </c>
      <c r="R463">
        <f t="shared" si="20"/>
        <v>60</v>
      </c>
      <c r="S463">
        <v>1</v>
      </c>
      <c r="T463">
        <v>1</v>
      </c>
      <c r="U463">
        <v>1</v>
      </c>
      <c r="V463">
        <v>1</v>
      </c>
      <c r="W463">
        <v>1</v>
      </c>
      <c r="AA463">
        <v>-5945.9960000000001</v>
      </c>
      <c r="AB463">
        <v>-5945.9960000000001</v>
      </c>
      <c r="AC463">
        <v>-5945.9960000000001</v>
      </c>
      <c r="AD463">
        <v>-5945.9960000000001</v>
      </c>
      <c r="AE463">
        <v>-5945.9960000000001</v>
      </c>
      <c r="AF463">
        <v>-1157801.6717999999</v>
      </c>
    </row>
    <row r="464" spans="2:32" x14ac:dyDescent="0.25">
      <c r="B464">
        <f t="shared" si="18"/>
        <v>61</v>
      </c>
      <c r="C464">
        <v>1</v>
      </c>
      <c r="D464">
        <v>1</v>
      </c>
      <c r="E464">
        <v>1</v>
      </c>
      <c r="F464">
        <v>1</v>
      </c>
      <c r="G464">
        <v>1</v>
      </c>
      <c r="J464">
        <f t="shared" si="19"/>
        <v>61</v>
      </c>
      <c r="K464">
        <v>1</v>
      </c>
      <c r="L464">
        <v>1</v>
      </c>
      <c r="M464">
        <v>1</v>
      </c>
      <c r="N464">
        <v>1</v>
      </c>
      <c r="O464">
        <v>1</v>
      </c>
      <c r="R464">
        <f t="shared" si="20"/>
        <v>61</v>
      </c>
      <c r="S464">
        <v>1</v>
      </c>
      <c r="T464">
        <v>1</v>
      </c>
      <c r="U464">
        <v>1</v>
      </c>
      <c r="V464">
        <v>1</v>
      </c>
      <c r="W464">
        <v>1</v>
      </c>
      <c r="AA464">
        <v>-5796.3015999999998</v>
      </c>
      <c r="AB464">
        <v>-5796.3015999999998</v>
      </c>
      <c r="AC464">
        <v>-5796.3015999999998</v>
      </c>
      <c r="AD464">
        <v>-5796.3015999999998</v>
      </c>
      <c r="AE464">
        <v>-5796.3015999999998</v>
      </c>
      <c r="AF464">
        <v>-1178581.4038</v>
      </c>
    </row>
    <row r="465" spans="2:32" x14ac:dyDescent="0.25">
      <c r="B465">
        <f t="shared" si="18"/>
        <v>62</v>
      </c>
      <c r="C465">
        <v>1</v>
      </c>
      <c r="D465">
        <v>1</v>
      </c>
      <c r="E465">
        <v>1</v>
      </c>
      <c r="F465">
        <v>1</v>
      </c>
      <c r="G465">
        <v>1</v>
      </c>
      <c r="J465">
        <f t="shared" si="19"/>
        <v>62</v>
      </c>
      <c r="K465">
        <v>1</v>
      </c>
      <c r="L465">
        <v>1</v>
      </c>
      <c r="M465">
        <v>1</v>
      </c>
      <c r="N465">
        <v>1</v>
      </c>
      <c r="O465">
        <v>1</v>
      </c>
      <c r="R465">
        <f t="shared" si="20"/>
        <v>62</v>
      </c>
      <c r="S465">
        <v>1</v>
      </c>
      <c r="T465">
        <v>1</v>
      </c>
      <c r="U465">
        <v>1</v>
      </c>
      <c r="V465">
        <v>1</v>
      </c>
      <c r="W465">
        <v>1</v>
      </c>
      <c r="AA465">
        <v>-5645.2415000000001</v>
      </c>
      <c r="AB465">
        <v>-5645.2415000000001</v>
      </c>
      <c r="AC465">
        <v>-5645.2415000000001</v>
      </c>
      <c r="AD465">
        <v>-5645.2415000000001</v>
      </c>
      <c r="AE465">
        <v>-5645.2415000000001</v>
      </c>
      <c r="AF465">
        <v>-1199521.5327000001</v>
      </c>
    </row>
    <row r="466" spans="2:32" x14ac:dyDescent="0.25">
      <c r="B466">
        <f t="shared" si="18"/>
        <v>63</v>
      </c>
      <c r="C466">
        <v>1</v>
      </c>
      <c r="D466">
        <v>1</v>
      </c>
      <c r="E466">
        <v>1</v>
      </c>
      <c r="F466">
        <v>1</v>
      </c>
      <c r="G466">
        <v>1</v>
      </c>
      <c r="J466">
        <f t="shared" si="19"/>
        <v>63</v>
      </c>
      <c r="K466">
        <v>1</v>
      </c>
      <c r="L466">
        <v>1</v>
      </c>
      <c r="M466">
        <v>1</v>
      </c>
      <c r="N466">
        <v>1</v>
      </c>
      <c r="O466">
        <v>1</v>
      </c>
      <c r="R466">
        <f t="shared" si="20"/>
        <v>63</v>
      </c>
      <c r="S466">
        <v>1</v>
      </c>
      <c r="T466">
        <v>1</v>
      </c>
      <c r="U466">
        <v>1</v>
      </c>
      <c r="V466">
        <v>1</v>
      </c>
      <c r="W466">
        <v>1</v>
      </c>
      <c r="AA466">
        <v>-5492.4920000000002</v>
      </c>
      <c r="AB466">
        <v>-5492.4920000000002</v>
      </c>
      <c r="AC466">
        <v>-5492.4920000000002</v>
      </c>
      <c r="AD466">
        <v>-5492.4920000000002</v>
      </c>
      <c r="AE466">
        <v>-5492.4920000000002</v>
      </c>
      <c r="AF466">
        <v>-1220461.6269</v>
      </c>
    </row>
    <row r="467" spans="2:32" x14ac:dyDescent="0.25">
      <c r="B467">
        <f t="shared" si="18"/>
        <v>64</v>
      </c>
      <c r="C467">
        <v>1</v>
      </c>
      <c r="D467">
        <v>1</v>
      </c>
      <c r="E467">
        <v>1</v>
      </c>
      <c r="F467">
        <v>1</v>
      </c>
      <c r="G467">
        <v>1</v>
      </c>
      <c r="J467">
        <f t="shared" si="19"/>
        <v>64</v>
      </c>
      <c r="K467">
        <v>1</v>
      </c>
      <c r="L467">
        <v>1</v>
      </c>
      <c r="M467">
        <v>1</v>
      </c>
      <c r="N467">
        <v>1</v>
      </c>
      <c r="O467">
        <v>1</v>
      </c>
      <c r="R467">
        <f t="shared" si="20"/>
        <v>64</v>
      </c>
      <c r="S467">
        <v>1</v>
      </c>
      <c r="T467">
        <v>1</v>
      </c>
      <c r="U467">
        <v>1</v>
      </c>
      <c r="V467">
        <v>1</v>
      </c>
      <c r="W467">
        <v>1</v>
      </c>
      <c r="AA467">
        <v>-5338.1817000000001</v>
      </c>
      <c r="AB467">
        <v>-5338.1817000000001</v>
      </c>
      <c r="AC467">
        <v>-5338.1817000000001</v>
      </c>
      <c r="AD467">
        <v>-5338.1817000000001</v>
      </c>
      <c r="AE467">
        <v>-5338.1817000000001</v>
      </c>
      <c r="AF467">
        <v>-1240652.2526</v>
      </c>
    </row>
    <row r="468" spans="2:32" x14ac:dyDescent="0.25">
      <c r="B468">
        <f t="shared" si="18"/>
        <v>65</v>
      </c>
      <c r="C468">
        <v>1</v>
      </c>
      <c r="D468">
        <v>1</v>
      </c>
      <c r="E468">
        <v>1</v>
      </c>
      <c r="F468">
        <v>1</v>
      </c>
      <c r="G468">
        <v>1</v>
      </c>
      <c r="J468">
        <f t="shared" si="19"/>
        <v>65</v>
      </c>
      <c r="K468">
        <v>1</v>
      </c>
      <c r="L468">
        <v>1</v>
      </c>
      <c r="M468">
        <v>1</v>
      </c>
      <c r="N468">
        <v>1</v>
      </c>
      <c r="O468">
        <v>1</v>
      </c>
      <c r="R468">
        <f t="shared" si="20"/>
        <v>65</v>
      </c>
      <c r="S468">
        <v>1</v>
      </c>
      <c r="T468">
        <v>1</v>
      </c>
      <c r="U468">
        <v>1</v>
      </c>
      <c r="V468">
        <v>1</v>
      </c>
      <c r="W468">
        <v>1</v>
      </c>
      <c r="AA468">
        <v>-5182.2268999999997</v>
      </c>
      <c r="AB468">
        <v>-5182.2268999999997</v>
      </c>
      <c r="AC468">
        <v>-5182.2268999999997</v>
      </c>
      <c r="AD468">
        <v>-5182.2268999999997</v>
      </c>
      <c r="AE468">
        <v>-5182.2268999999997</v>
      </c>
      <c r="AF468">
        <v>-1260049.8302</v>
      </c>
    </row>
    <row r="471" spans="2:32" x14ac:dyDescent="0.25">
      <c r="B471" t="s">
        <v>46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47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48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2:32" x14ac:dyDescent="0.25">
      <c r="B472">
        <v>26</v>
      </c>
      <c r="C472">
        <v>1</v>
      </c>
      <c r="D472">
        <v>1</v>
      </c>
      <c r="E472">
        <v>1</v>
      </c>
      <c r="F472">
        <v>1</v>
      </c>
      <c r="G472">
        <v>1</v>
      </c>
      <c r="H472">
        <v>1</v>
      </c>
      <c r="J472">
        <v>26</v>
      </c>
      <c r="K472">
        <v>1</v>
      </c>
      <c r="L472">
        <v>1</v>
      </c>
      <c r="M472">
        <v>1</v>
      </c>
      <c r="N472">
        <v>1</v>
      </c>
      <c r="O472">
        <v>1</v>
      </c>
      <c r="P472">
        <v>1</v>
      </c>
      <c r="R472">
        <v>26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AA472">
        <v>-5174.8482999999997</v>
      </c>
      <c r="AB472">
        <v>-5174.8482999999997</v>
      </c>
      <c r="AC472">
        <v>-5174.8482999999997</v>
      </c>
      <c r="AD472">
        <v>-5174.8482999999997</v>
      </c>
      <c r="AE472">
        <v>-5174.8482999999997</v>
      </c>
      <c r="AF472">
        <v>-5174.8482999999997</v>
      </c>
    </row>
    <row r="473" spans="2:32" x14ac:dyDescent="0.25">
      <c r="B473">
        <v>27</v>
      </c>
      <c r="C473">
        <v>1</v>
      </c>
      <c r="D473">
        <v>1</v>
      </c>
      <c r="E473">
        <v>1</v>
      </c>
      <c r="F473">
        <v>1</v>
      </c>
      <c r="G473">
        <v>1</v>
      </c>
      <c r="H473">
        <v>1</v>
      </c>
      <c r="J473">
        <v>27</v>
      </c>
      <c r="K473">
        <v>1</v>
      </c>
      <c r="L473">
        <v>1</v>
      </c>
      <c r="M473">
        <v>1</v>
      </c>
      <c r="N473">
        <v>1</v>
      </c>
      <c r="O473">
        <v>1</v>
      </c>
      <c r="P473">
        <v>1</v>
      </c>
      <c r="R473">
        <v>27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AA473">
        <v>-5173.6036999999997</v>
      </c>
      <c r="AB473">
        <v>-5173.6036999999997</v>
      </c>
      <c r="AC473">
        <v>-5173.6036999999997</v>
      </c>
      <c r="AD473">
        <v>-5173.6036999999997</v>
      </c>
      <c r="AE473">
        <v>-5173.6036999999997</v>
      </c>
      <c r="AF473">
        <v>-5173.6036999999997</v>
      </c>
    </row>
    <row r="474" spans="2:32" x14ac:dyDescent="0.25">
      <c r="B474">
        <v>28</v>
      </c>
      <c r="C474">
        <v>1</v>
      </c>
      <c r="D474">
        <v>1</v>
      </c>
      <c r="E474">
        <v>1</v>
      </c>
      <c r="F474">
        <v>1</v>
      </c>
      <c r="G474">
        <v>1</v>
      </c>
      <c r="H474">
        <v>1</v>
      </c>
      <c r="J474">
        <v>28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R474">
        <v>28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AA474">
        <v>-5172.1755999999996</v>
      </c>
      <c r="AB474">
        <v>-5172.1755999999996</v>
      </c>
      <c r="AC474">
        <v>-5172.1755999999996</v>
      </c>
      <c r="AD474">
        <v>-5172.1755999999996</v>
      </c>
      <c r="AE474">
        <v>-5172.1755999999996</v>
      </c>
      <c r="AF474">
        <v>-5172.1755999999996</v>
      </c>
    </row>
    <row r="475" spans="2:32" x14ac:dyDescent="0.25">
      <c r="B475">
        <v>29</v>
      </c>
      <c r="C475">
        <v>1</v>
      </c>
      <c r="D475">
        <v>1</v>
      </c>
      <c r="E475">
        <v>1</v>
      </c>
      <c r="F475">
        <v>1</v>
      </c>
      <c r="G475">
        <v>1</v>
      </c>
      <c r="H475">
        <v>1</v>
      </c>
      <c r="J475">
        <v>29</v>
      </c>
      <c r="K475">
        <v>1</v>
      </c>
      <c r="L475">
        <v>1</v>
      </c>
      <c r="M475">
        <v>1</v>
      </c>
      <c r="N475">
        <v>1</v>
      </c>
      <c r="O475">
        <v>1</v>
      </c>
      <c r="P475">
        <v>1</v>
      </c>
      <c r="R475">
        <v>29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AA475">
        <v>-5170.5482000000002</v>
      </c>
      <c r="AB475">
        <v>-5170.5482000000002</v>
      </c>
      <c r="AC475">
        <v>-5170.5482000000002</v>
      </c>
      <c r="AD475">
        <v>-5170.5482000000002</v>
      </c>
      <c r="AE475">
        <v>-5170.5482000000002</v>
      </c>
      <c r="AF475">
        <v>-5170.5482000000002</v>
      </c>
    </row>
    <row r="476" spans="2:32" x14ac:dyDescent="0.25">
      <c r="B476">
        <v>30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J476">
        <v>30</v>
      </c>
      <c r="K476">
        <v>1</v>
      </c>
      <c r="L476">
        <v>1</v>
      </c>
      <c r="M476">
        <v>1</v>
      </c>
      <c r="N476">
        <v>1</v>
      </c>
      <c r="O476">
        <v>1</v>
      </c>
      <c r="P476">
        <v>1</v>
      </c>
      <c r="R476">
        <v>30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AA476">
        <v>-5168.6908999999996</v>
      </c>
      <c r="AB476">
        <v>-5168.6908999999996</v>
      </c>
      <c r="AC476">
        <v>-5168.6908999999996</v>
      </c>
      <c r="AD476">
        <v>-5168.6908999999996</v>
      </c>
      <c r="AE476">
        <v>-5168.6908999999996</v>
      </c>
      <c r="AF476">
        <v>-5168.6908999999996</v>
      </c>
    </row>
    <row r="477" spans="2:32" x14ac:dyDescent="0.25">
      <c r="B477">
        <v>31</v>
      </c>
      <c r="C477">
        <v>1</v>
      </c>
      <c r="D477">
        <v>1</v>
      </c>
      <c r="E477">
        <v>1</v>
      </c>
      <c r="F477">
        <v>1</v>
      </c>
      <c r="G477">
        <v>1</v>
      </c>
      <c r="H477">
        <v>1</v>
      </c>
      <c r="J477">
        <v>31</v>
      </c>
      <c r="K477">
        <v>1</v>
      </c>
      <c r="L477">
        <v>1</v>
      </c>
      <c r="M477">
        <v>1</v>
      </c>
      <c r="N477">
        <v>1</v>
      </c>
      <c r="O477">
        <v>1</v>
      </c>
      <c r="P477">
        <v>1</v>
      </c>
      <c r="R477">
        <v>31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AA477">
        <v>-5166.5891000000001</v>
      </c>
      <c r="AB477">
        <v>-5166.5891000000001</v>
      </c>
      <c r="AC477">
        <v>-5166.5891000000001</v>
      </c>
      <c r="AD477">
        <v>-5166.5891000000001</v>
      </c>
      <c r="AE477">
        <v>-5166.5891000000001</v>
      </c>
      <c r="AF477">
        <v>-5166.5891000000001</v>
      </c>
    </row>
    <row r="478" spans="2:32" x14ac:dyDescent="0.25">
      <c r="B478">
        <v>32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1</v>
      </c>
      <c r="J478">
        <v>32</v>
      </c>
      <c r="K478">
        <v>1</v>
      </c>
      <c r="L478">
        <v>1</v>
      </c>
      <c r="M478">
        <v>1</v>
      </c>
      <c r="N478">
        <v>1</v>
      </c>
      <c r="O478">
        <v>1</v>
      </c>
      <c r="P478">
        <v>1</v>
      </c>
      <c r="R478">
        <v>32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AA478">
        <v>-5164.2407000000003</v>
      </c>
      <c r="AB478">
        <v>-5164.2407000000003</v>
      </c>
      <c r="AC478">
        <v>-5164.2407000000003</v>
      </c>
      <c r="AD478">
        <v>-5164.2407000000003</v>
      </c>
      <c r="AE478">
        <v>-5164.2407000000003</v>
      </c>
      <c r="AF478">
        <v>-5164.2407000000003</v>
      </c>
    </row>
    <row r="479" spans="2:32" x14ac:dyDescent="0.25">
      <c r="B479">
        <v>33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1</v>
      </c>
      <c r="J479">
        <v>33</v>
      </c>
      <c r="K479">
        <v>1</v>
      </c>
      <c r="L479">
        <v>1</v>
      </c>
      <c r="M479">
        <v>1</v>
      </c>
      <c r="N479">
        <v>1</v>
      </c>
      <c r="O479">
        <v>1</v>
      </c>
      <c r="P479">
        <v>1</v>
      </c>
      <c r="R479">
        <v>33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AA479">
        <v>-5161.6318000000001</v>
      </c>
      <c r="AB479">
        <v>-5161.6318000000001</v>
      </c>
      <c r="AC479">
        <v>-5161.6318000000001</v>
      </c>
      <c r="AD479">
        <v>-5161.6318000000001</v>
      </c>
      <c r="AE479">
        <v>-5161.6318000000001</v>
      </c>
      <c r="AF479">
        <v>-5161.6318000000001</v>
      </c>
    </row>
    <row r="480" spans="2:32" x14ac:dyDescent="0.25">
      <c r="B480">
        <v>34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J480">
        <v>34</v>
      </c>
      <c r="K480">
        <v>1</v>
      </c>
      <c r="L480">
        <v>1</v>
      </c>
      <c r="M480">
        <v>1</v>
      </c>
      <c r="N480">
        <v>1</v>
      </c>
      <c r="O480">
        <v>1</v>
      </c>
      <c r="P480">
        <v>1</v>
      </c>
      <c r="R480">
        <v>34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AA480">
        <v>-5158.7194</v>
      </c>
      <c r="AB480">
        <v>-5158.7194</v>
      </c>
      <c r="AC480">
        <v>-5158.7194</v>
      </c>
      <c r="AD480">
        <v>-5158.7194</v>
      </c>
      <c r="AE480">
        <v>-5158.7194</v>
      </c>
      <c r="AF480">
        <v>-5158.7194</v>
      </c>
    </row>
    <row r="481" spans="2:32" x14ac:dyDescent="0.25">
      <c r="B481">
        <v>35</v>
      </c>
      <c r="C481">
        <v>1</v>
      </c>
      <c r="D481">
        <v>1</v>
      </c>
      <c r="E481">
        <v>1</v>
      </c>
      <c r="F481">
        <v>1</v>
      </c>
      <c r="G481">
        <v>1</v>
      </c>
      <c r="H481">
        <v>1</v>
      </c>
      <c r="J481">
        <v>35</v>
      </c>
      <c r="K481">
        <v>1</v>
      </c>
      <c r="L481">
        <v>1</v>
      </c>
      <c r="M481">
        <v>1</v>
      </c>
      <c r="N481">
        <v>1</v>
      </c>
      <c r="O481">
        <v>1</v>
      </c>
      <c r="P481">
        <v>1</v>
      </c>
      <c r="R481">
        <v>35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AA481">
        <v>-5155.4901</v>
      </c>
      <c r="AB481">
        <v>-5155.4901</v>
      </c>
      <c r="AC481">
        <v>-5155.4901</v>
      </c>
      <c r="AD481">
        <v>-5155.4901</v>
      </c>
      <c r="AE481">
        <v>-5155.4901</v>
      </c>
      <c r="AF481">
        <v>-5155.4901</v>
      </c>
    </row>
    <row r="482" spans="2:32" x14ac:dyDescent="0.25">
      <c r="B482">
        <v>36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J482">
        <v>36</v>
      </c>
      <c r="K482">
        <v>1</v>
      </c>
      <c r="L482">
        <v>1</v>
      </c>
      <c r="M482">
        <v>1</v>
      </c>
      <c r="N482">
        <v>1</v>
      </c>
      <c r="O482">
        <v>1</v>
      </c>
      <c r="P482">
        <v>1</v>
      </c>
      <c r="R482">
        <v>36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AA482">
        <v>-5151.8950999999997</v>
      </c>
      <c r="AB482">
        <v>-5151.8950999999997</v>
      </c>
      <c r="AC482">
        <v>-5151.8950999999997</v>
      </c>
      <c r="AD482">
        <v>-5151.8950999999997</v>
      </c>
      <c r="AE482">
        <v>-5151.8950999999997</v>
      </c>
      <c r="AF482">
        <v>-5151.8950999999997</v>
      </c>
    </row>
    <row r="483" spans="2:32" x14ac:dyDescent="0.25">
      <c r="B483">
        <v>37</v>
      </c>
      <c r="C483">
        <v>1</v>
      </c>
      <c r="D483">
        <v>1</v>
      </c>
      <c r="E483">
        <v>1</v>
      </c>
      <c r="F483">
        <v>1</v>
      </c>
      <c r="G483">
        <v>1</v>
      </c>
      <c r="H483">
        <v>1</v>
      </c>
      <c r="J483">
        <v>37</v>
      </c>
      <c r="K483">
        <v>1</v>
      </c>
      <c r="L483">
        <v>1</v>
      </c>
      <c r="M483">
        <v>1</v>
      </c>
      <c r="N483">
        <v>1</v>
      </c>
      <c r="O483">
        <v>1</v>
      </c>
      <c r="P483">
        <v>1</v>
      </c>
      <c r="R483">
        <v>37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AA483">
        <v>-5147.9106000000002</v>
      </c>
      <c r="AB483">
        <v>-5147.9106000000002</v>
      </c>
      <c r="AC483">
        <v>-5147.9106000000002</v>
      </c>
      <c r="AD483">
        <v>-5147.9106000000002</v>
      </c>
      <c r="AE483">
        <v>-5147.9106000000002</v>
      </c>
      <c r="AF483">
        <v>-5147.9106000000002</v>
      </c>
    </row>
    <row r="484" spans="2:32" x14ac:dyDescent="0.25">
      <c r="B484">
        <v>38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1</v>
      </c>
      <c r="J484">
        <v>38</v>
      </c>
      <c r="K484">
        <v>1</v>
      </c>
      <c r="L484">
        <v>1</v>
      </c>
      <c r="M484">
        <v>1</v>
      </c>
      <c r="N484">
        <v>1</v>
      </c>
      <c r="O484">
        <v>1</v>
      </c>
      <c r="P484">
        <v>1</v>
      </c>
      <c r="R484">
        <v>38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AA484">
        <v>-5143.5393999999997</v>
      </c>
      <c r="AB484">
        <v>-5143.5393999999997</v>
      </c>
      <c r="AC484">
        <v>-5143.5393999999997</v>
      </c>
      <c r="AD484">
        <v>-5143.5393999999997</v>
      </c>
      <c r="AE484">
        <v>-5143.5393999999997</v>
      </c>
      <c r="AF484">
        <v>-5143.5393999999997</v>
      </c>
    </row>
    <row r="485" spans="2:32" x14ac:dyDescent="0.25">
      <c r="B485">
        <v>39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1</v>
      </c>
      <c r="J485">
        <v>39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1</v>
      </c>
      <c r="R485">
        <v>39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AA485">
        <v>-5138.76</v>
      </c>
      <c r="AB485">
        <v>-5138.76</v>
      </c>
      <c r="AC485">
        <v>-5138.76</v>
      </c>
      <c r="AD485">
        <v>-5138.76</v>
      </c>
      <c r="AE485">
        <v>-5138.76</v>
      </c>
      <c r="AF485">
        <v>-5138.76</v>
      </c>
    </row>
    <row r="486" spans="2:32" x14ac:dyDescent="0.25">
      <c r="B486">
        <v>40</v>
      </c>
      <c r="C486">
        <v>1</v>
      </c>
      <c r="D486">
        <v>1</v>
      </c>
      <c r="E486">
        <v>1</v>
      </c>
      <c r="F486">
        <v>1</v>
      </c>
      <c r="G486">
        <v>1</v>
      </c>
      <c r="H486">
        <v>1</v>
      </c>
      <c r="J486">
        <v>40</v>
      </c>
      <c r="K486">
        <v>1</v>
      </c>
      <c r="L486">
        <v>1</v>
      </c>
      <c r="M486">
        <v>1</v>
      </c>
      <c r="N486">
        <v>1</v>
      </c>
      <c r="O486">
        <v>1</v>
      </c>
      <c r="P486">
        <v>1</v>
      </c>
      <c r="R486">
        <v>40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AA486">
        <v>-5133.5084999999999</v>
      </c>
      <c r="AB486">
        <v>-5133.5084999999999</v>
      </c>
      <c r="AC486">
        <v>-5133.5084999999999</v>
      </c>
      <c r="AD486">
        <v>-5133.5084999999999</v>
      </c>
      <c r="AE486">
        <v>-5133.5084999999999</v>
      </c>
      <c r="AF486">
        <v>-5133.5084999999999</v>
      </c>
    </row>
    <row r="487" spans="2:32" x14ac:dyDescent="0.25">
      <c r="B487">
        <v>41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1</v>
      </c>
      <c r="J487">
        <v>41</v>
      </c>
      <c r="K487">
        <v>1</v>
      </c>
      <c r="L487">
        <v>1</v>
      </c>
      <c r="M487">
        <v>1</v>
      </c>
      <c r="N487">
        <v>1</v>
      </c>
      <c r="O487">
        <v>1</v>
      </c>
      <c r="P487">
        <v>1</v>
      </c>
      <c r="R487">
        <v>41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AA487">
        <v>-5127.7236000000003</v>
      </c>
      <c r="AB487">
        <v>-5127.7236000000003</v>
      </c>
      <c r="AC487">
        <v>-5127.7236000000003</v>
      </c>
      <c r="AD487">
        <v>-5127.7236000000003</v>
      </c>
      <c r="AE487">
        <v>-5127.7236000000003</v>
      </c>
      <c r="AF487">
        <v>-5127.7236000000003</v>
      </c>
    </row>
    <row r="488" spans="2:32" x14ac:dyDescent="0.25">
      <c r="B488">
        <v>42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1</v>
      </c>
      <c r="J488">
        <v>42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R488">
        <v>42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AA488">
        <v>-5121.3726999999999</v>
      </c>
      <c r="AB488">
        <v>-5121.3726999999999</v>
      </c>
      <c r="AC488">
        <v>-5121.3726999999999</v>
      </c>
      <c r="AD488">
        <v>-5121.3726999999999</v>
      </c>
      <c r="AE488">
        <v>-5121.3726999999999</v>
      </c>
      <c r="AF488">
        <v>-5121.3726999999999</v>
      </c>
    </row>
    <row r="489" spans="2:32" x14ac:dyDescent="0.25">
      <c r="B489">
        <v>43</v>
      </c>
      <c r="C489">
        <v>1</v>
      </c>
      <c r="D489">
        <v>1</v>
      </c>
      <c r="E489">
        <v>1</v>
      </c>
      <c r="F489">
        <v>1</v>
      </c>
      <c r="G489">
        <v>1</v>
      </c>
      <c r="H489">
        <v>1</v>
      </c>
      <c r="J489">
        <v>43</v>
      </c>
      <c r="K489">
        <v>1</v>
      </c>
      <c r="L489">
        <v>1</v>
      </c>
      <c r="M489">
        <v>1</v>
      </c>
      <c r="N489">
        <v>1</v>
      </c>
      <c r="O489">
        <v>1</v>
      </c>
      <c r="P489">
        <v>1</v>
      </c>
      <c r="R489">
        <v>43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AA489">
        <v>-5114.3449000000001</v>
      </c>
      <c r="AB489">
        <v>-5114.3449000000001</v>
      </c>
      <c r="AC489">
        <v>-5114.3449000000001</v>
      </c>
      <c r="AD489">
        <v>-5114.3449000000001</v>
      </c>
      <c r="AE489">
        <v>-5114.3449000000001</v>
      </c>
      <c r="AF489">
        <v>-5114.3449000000001</v>
      </c>
    </row>
    <row r="490" spans="2:32" x14ac:dyDescent="0.25">
      <c r="B490">
        <v>44</v>
      </c>
      <c r="C490">
        <v>1</v>
      </c>
      <c r="D490">
        <v>1</v>
      </c>
      <c r="E490">
        <v>1</v>
      </c>
      <c r="F490">
        <v>1</v>
      </c>
      <c r="G490">
        <v>1</v>
      </c>
      <c r="H490">
        <v>1</v>
      </c>
      <c r="J490">
        <v>44</v>
      </c>
      <c r="K490">
        <v>1</v>
      </c>
      <c r="L490">
        <v>1</v>
      </c>
      <c r="M490">
        <v>1</v>
      </c>
      <c r="N490">
        <v>1</v>
      </c>
      <c r="O490">
        <v>1</v>
      </c>
      <c r="P490">
        <v>1</v>
      </c>
      <c r="R490">
        <v>44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AA490">
        <v>-5106.5976000000001</v>
      </c>
      <c r="AB490">
        <v>-5106.5976000000001</v>
      </c>
      <c r="AC490">
        <v>-5106.5976000000001</v>
      </c>
      <c r="AD490">
        <v>-5106.5976000000001</v>
      </c>
      <c r="AE490">
        <v>-5106.5976000000001</v>
      </c>
      <c r="AF490">
        <v>-5106.5976000000001</v>
      </c>
    </row>
    <row r="491" spans="2:32" x14ac:dyDescent="0.25">
      <c r="B491">
        <v>45</v>
      </c>
      <c r="C491">
        <v>1</v>
      </c>
      <c r="D491">
        <v>1</v>
      </c>
      <c r="E491">
        <v>1</v>
      </c>
      <c r="F491">
        <v>1</v>
      </c>
      <c r="G491">
        <v>1</v>
      </c>
      <c r="H491">
        <v>1</v>
      </c>
      <c r="J491">
        <v>45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R491">
        <v>45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AA491">
        <v>-5098.0524999999998</v>
      </c>
      <c r="AB491">
        <v>-5098.0524999999998</v>
      </c>
      <c r="AC491">
        <v>-5098.0524999999998</v>
      </c>
      <c r="AD491">
        <v>-5098.0524999999998</v>
      </c>
      <c r="AE491">
        <v>-5098.0524999999998</v>
      </c>
      <c r="AF491">
        <v>-5098.0524999999998</v>
      </c>
    </row>
    <row r="492" spans="2:32" x14ac:dyDescent="0.25">
      <c r="B492">
        <v>46</v>
      </c>
      <c r="C492">
        <v>1</v>
      </c>
      <c r="D492">
        <v>1</v>
      </c>
      <c r="E492">
        <v>1</v>
      </c>
      <c r="F492">
        <v>1</v>
      </c>
      <c r="G492">
        <v>1</v>
      </c>
      <c r="H492">
        <v>1</v>
      </c>
      <c r="J492">
        <v>46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R492">
        <v>46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AA492">
        <v>-5088.6378000000004</v>
      </c>
      <c r="AB492">
        <v>-5088.6378000000004</v>
      </c>
      <c r="AC492">
        <v>-5088.6378000000004</v>
      </c>
      <c r="AD492">
        <v>-5088.6378000000004</v>
      </c>
      <c r="AE492">
        <v>-5088.6378000000004</v>
      </c>
      <c r="AF492">
        <v>-5088.6378000000004</v>
      </c>
    </row>
    <row r="493" spans="2:32" x14ac:dyDescent="0.25">
      <c r="B493">
        <v>47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1</v>
      </c>
      <c r="J493">
        <v>47</v>
      </c>
      <c r="K493">
        <v>1</v>
      </c>
      <c r="L493">
        <v>1</v>
      </c>
      <c r="M493">
        <v>1</v>
      </c>
      <c r="N493">
        <v>1</v>
      </c>
      <c r="O493">
        <v>1</v>
      </c>
      <c r="P493">
        <v>1</v>
      </c>
      <c r="R493">
        <v>47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AA493">
        <v>-5078.2593999999999</v>
      </c>
      <c r="AB493">
        <v>-5078.2593999999999</v>
      </c>
      <c r="AC493">
        <v>-5078.2593999999999</v>
      </c>
      <c r="AD493">
        <v>-5078.2593999999999</v>
      </c>
      <c r="AE493">
        <v>-5078.2593999999999</v>
      </c>
      <c r="AF493">
        <v>-5078.2593999999999</v>
      </c>
    </row>
    <row r="494" spans="2:32" x14ac:dyDescent="0.25">
      <c r="B494">
        <v>48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1</v>
      </c>
      <c r="J494">
        <v>48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1</v>
      </c>
      <c r="R494">
        <v>48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AA494">
        <v>-5066.8732</v>
      </c>
      <c r="AB494">
        <v>-5066.8732</v>
      </c>
      <c r="AC494">
        <v>-5066.8732</v>
      </c>
      <c r="AD494">
        <v>-5066.8732</v>
      </c>
      <c r="AE494">
        <v>-5066.8732</v>
      </c>
      <c r="AF494">
        <v>-5066.8732</v>
      </c>
    </row>
    <row r="495" spans="2:32" x14ac:dyDescent="0.25">
      <c r="B495">
        <v>49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1</v>
      </c>
      <c r="J495">
        <v>49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R495">
        <v>49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AA495">
        <v>-5054.4124000000002</v>
      </c>
      <c r="AB495">
        <v>-5054.4124000000002</v>
      </c>
      <c r="AC495">
        <v>-5054.4124000000002</v>
      </c>
      <c r="AD495">
        <v>-5054.4124000000002</v>
      </c>
      <c r="AE495">
        <v>-5054.4124000000002</v>
      </c>
      <c r="AF495">
        <v>-5054.4124000000002</v>
      </c>
    </row>
    <row r="496" spans="2:32" x14ac:dyDescent="0.25">
      <c r="B496">
        <v>50</v>
      </c>
      <c r="C496">
        <v>1</v>
      </c>
      <c r="D496">
        <v>1</v>
      </c>
      <c r="E496">
        <v>1</v>
      </c>
      <c r="F496">
        <v>1</v>
      </c>
      <c r="G496">
        <v>1</v>
      </c>
      <c r="H496">
        <v>1</v>
      </c>
      <c r="J496">
        <v>50</v>
      </c>
      <c r="K496">
        <v>1</v>
      </c>
      <c r="L496">
        <v>1</v>
      </c>
      <c r="M496">
        <v>1</v>
      </c>
      <c r="N496">
        <v>1</v>
      </c>
      <c r="O496">
        <v>1</v>
      </c>
      <c r="P496">
        <v>1</v>
      </c>
      <c r="R496">
        <v>50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AA496">
        <v>-5040.7671</v>
      </c>
      <c r="AB496">
        <v>-5040.7671</v>
      </c>
      <c r="AC496">
        <v>-5040.7671</v>
      </c>
      <c r="AD496">
        <v>-5040.7671</v>
      </c>
      <c r="AE496">
        <v>-5040.7671</v>
      </c>
      <c r="AF496">
        <v>-5040.7671</v>
      </c>
    </row>
    <row r="497" spans="2:32" x14ac:dyDescent="0.25">
      <c r="B497">
        <v>51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J497">
        <v>51</v>
      </c>
      <c r="K497">
        <v>1</v>
      </c>
      <c r="L497">
        <v>1</v>
      </c>
      <c r="M497">
        <v>1</v>
      </c>
      <c r="N497">
        <v>1</v>
      </c>
      <c r="O497">
        <v>1</v>
      </c>
      <c r="P497">
        <v>1</v>
      </c>
      <c r="R497">
        <v>51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AA497">
        <v>-5025.8329000000003</v>
      </c>
      <c r="AB497">
        <v>-5025.8329000000003</v>
      </c>
      <c r="AC497">
        <v>-5025.8329000000003</v>
      </c>
      <c r="AD497">
        <v>-5025.8329000000003</v>
      </c>
      <c r="AE497">
        <v>-5025.8329000000003</v>
      </c>
      <c r="AF497">
        <v>-5025.8329000000003</v>
      </c>
    </row>
    <row r="498" spans="2:32" x14ac:dyDescent="0.25">
      <c r="B498">
        <v>52</v>
      </c>
      <c r="C498">
        <v>1</v>
      </c>
      <c r="D498">
        <v>1</v>
      </c>
      <c r="E498">
        <v>1</v>
      </c>
      <c r="F498">
        <v>1</v>
      </c>
      <c r="G498">
        <v>1</v>
      </c>
      <c r="H498">
        <v>1</v>
      </c>
      <c r="J498">
        <v>52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R498">
        <v>52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AA498">
        <v>-5009.4771000000001</v>
      </c>
      <c r="AB498">
        <v>-5009.4771000000001</v>
      </c>
      <c r="AC498">
        <v>-5009.4771000000001</v>
      </c>
      <c r="AD498">
        <v>-5009.4771000000001</v>
      </c>
      <c r="AE498">
        <v>-5009.4771000000001</v>
      </c>
      <c r="AF498">
        <v>-5009.4771000000001</v>
      </c>
    </row>
    <row r="499" spans="2:32" x14ac:dyDescent="0.25">
      <c r="B499">
        <v>53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1</v>
      </c>
      <c r="J499">
        <v>53</v>
      </c>
      <c r="K499">
        <v>1</v>
      </c>
      <c r="L499">
        <v>1</v>
      </c>
      <c r="M499">
        <v>1</v>
      </c>
      <c r="N499">
        <v>1</v>
      </c>
      <c r="O499">
        <v>1</v>
      </c>
      <c r="P499">
        <v>1</v>
      </c>
      <c r="R499">
        <v>53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AA499">
        <v>-4991.6184000000003</v>
      </c>
      <c r="AB499">
        <v>-4991.6184000000003</v>
      </c>
      <c r="AC499">
        <v>-4991.6184000000003</v>
      </c>
      <c r="AD499">
        <v>-4991.6184000000003</v>
      </c>
      <c r="AE499">
        <v>-4991.6184000000003</v>
      </c>
      <c r="AF499">
        <v>-4991.6184000000003</v>
      </c>
    </row>
    <row r="500" spans="2:32" x14ac:dyDescent="0.25">
      <c r="B500">
        <v>54</v>
      </c>
      <c r="C500">
        <v>1</v>
      </c>
      <c r="D500">
        <v>1</v>
      </c>
      <c r="E500">
        <v>1</v>
      </c>
      <c r="F500">
        <v>1</v>
      </c>
      <c r="G500">
        <v>1</v>
      </c>
      <c r="H500">
        <v>1</v>
      </c>
      <c r="J500">
        <v>54</v>
      </c>
      <c r="K500">
        <v>1</v>
      </c>
      <c r="L500">
        <v>1</v>
      </c>
      <c r="M500">
        <v>1</v>
      </c>
      <c r="N500">
        <v>1</v>
      </c>
      <c r="O500">
        <v>1</v>
      </c>
      <c r="P500">
        <v>1</v>
      </c>
      <c r="R500">
        <v>54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AA500">
        <v>-4972.1588000000002</v>
      </c>
      <c r="AB500">
        <v>-4972.1588000000002</v>
      </c>
      <c r="AC500">
        <v>-4972.1588000000002</v>
      </c>
      <c r="AD500">
        <v>-4972.1588000000002</v>
      </c>
      <c r="AE500">
        <v>-4972.1588000000002</v>
      </c>
      <c r="AF500">
        <v>-4972.1588000000002</v>
      </c>
    </row>
    <row r="501" spans="2:32" x14ac:dyDescent="0.25">
      <c r="B501">
        <v>55</v>
      </c>
      <c r="C501">
        <v>1</v>
      </c>
      <c r="D501">
        <v>1</v>
      </c>
      <c r="E501">
        <v>1</v>
      </c>
      <c r="F501">
        <v>1</v>
      </c>
      <c r="G501">
        <v>1</v>
      </c>
      <c r="H501">
        <v>1</v>
      </c>
      <c r="J501">
        <v>55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R501">
        <v>55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AA501">
        <v>-4950.9426000000003</v>
      </c>
      <c r="AB501">
        <v>-4950.9426000000003</v>
      </c>
      <c r="AC501">
        <v>-4950.9426000000003</v>
      </c>
      <c r="AD501">
        <v>-4950.9426000000003</v>
      </c>
      <c r="AE501">
        <v>-4950.9426000000003</v>
      </c>
      <c r="AF501">
        <v>-4950.9426000000003</v>
      </c>
    </row>
    <row r="504" spans="2:32" x14ac:dyDescent="0.25">
      <c r="B504" t="s">
        <v>46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32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48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2:32" x14ac:dyDescent="0.25">
      <c r="B505">
        <v>35</v>
      </c>
      <c r="C505">
        <v>1</v>
      </c>
      <c r="D505">
        <v>1</v>
      </c>
      <c r="E505">
        <v>1</v>
      </c>
      <c r="F505">
        <v>1</v>
      </c>
      <c r="G505">
        <v>1</v>
      </c>
      <c r="J505">
        <v>35</v>
      </c>
      <c r="K505">
        <v>1</v>
      </c>
      <c r="L505">
        <v>1</v>
      </c>
      <c r="M505">
        <v>1</v>
      </c>
      <c r="N505">
        <v>1</v>
      </c>
      <c r="O505">
        <v>1</v>
      </c>
      <c r="R505">
        <v>35</v>
      </c>
      <c r="S505">
        <v>1</v>
      </c>
      <c r="T505">
        <v>1</v>
      </c>
      <c r="U505">
        <v>1</v>
      </c>
      <c r="V505">
        <v>1</v>
      </c>
      <c r="W505">
        <v>1</v>
      </c>
      <c r="AA505">
        <v>-8996.1419000000005</v>
      </c>
      <c r="AB505">
        <v>-8996.1419000000005</v>
      </c>
      <c r="AC505">
        <v>-8996.1419000000005</v>
      </c>
      <c r="AD505">
        <v>-8996.1419000000005</v>
      </c>
      <c r="AE505">
        <v>-8996.1419000000005</v>
      </c>
      <c r="AF505">
        <v>-759112.79520000005</v>
      </c>
    </row>
    <row r="506" spans="2:32" x14ac:dyDescent="0.25">
      <c r="B506">
        <f t="shared" ref="B506:B535" si="21">B505+1</f>
        <v>36</v>
      </c>
      <c r="C506">
        <v>1</v>
      </c>
      <c r="D506">
        <v>1</v>
      </c>
      <c r="E506">
        <v>1</v>
      </c>
      <c r="F506">
        <v>1</v>
      </c>
      <c r="G506">
        <v>1</v>
      </c>
      <c r="J506">
        <f t="shared" ref="J506:J535" si="22">J505+1</f>
        <v>36</v>
      </c>
      <c r="K506">
        <v>1</v>
      </c>
      <c r="L506">
        <v>1</v>
      </c>
      <c r="M506">
        <v>1</v>
      </c>
      <c r="N506">
        <v>1</v>
      </c>
      <c r="O506">
        <v>1</v>
      </c>
      <c r="R506">
        <f t="shared" ref="R506:R535" si="23">R505+1</f>
        <v>36</v>
      </c>
      <c r="S506">
        <v>1</v>
      </c>
      <c r="T506">
        <v>1</v>
      </c>
      <c r="U506">
        <v>1</v>
      </c>
      <c r="V506">
        <v>1</v>
      </c>
      <c r="W506">
        <v>1</v>
      </c>
      <c r="AA506">
        <v>-8902.6679999999997</v>
      </c>
      <c r="AB506">
        <v>-8902.6679999999997</v>
      </c>
      <c r="AC506">
        <v>-8902.6679999999997</v>
      </c>
      <c r="AD506">
        <v>-8902.6679999999997</v>
      </c>
      <c r="AE506">
        <v>-8902.6679999999997</v>
      </c>
      <c r="AF506">
        <v>-737070.86179999996</v>
      </c>
    </row>
    <row r="507" spans="2:32" x14ac:dyDescent="0.25">
      <c r="B507">
        <f t="shared" si="21"/>
        <v>37</v>
      </c>
      <c r="C507">
        <v>1</v>
      </c>
      <c r="D507">
        <v>1</v>
      </c>
      <c r="E507">
        <v>1</v>
      </c>
      <c r="F507">
        <v>1</v>
      </c>
      <c r="G507">
        <v>1</v>
      </c>
      <c r="J507">
        <f t="shared" si="22"/>
        <v>37</v>
      </c>
      <c r="K507">
        <v>1</v>
      </c>
      <c r="L507">
        <v>1</v>
      </c>
      <c r="M507">
        <v>1</v>
      </c>
      <c r="N507">
        <v>1</v>
      </c>
      <c r="O507">
        <v>1</v>
      </c>
      <c r="R507">
        <f t="shared" si="23"/>
        <v>37</v>
      </c>
      <c r="S507">
        <v>1</v>
      </c>
      <c r="T507">
        <v>1</v>
      </c>
      <c r="U507">
        <v>1</v>
      </c>
      <c r="V507">
        <v>1</v>
      </c>
      <c r="W507">
        <v>1</v>
      </c>
      <c r="AA507">
        <v>-8806.7960000000003</v>
      </c>
      <c r="AB507">
        <v>-8806.7960000000003</v>
      </c>
      <c r="AC507">
        <v>-8806.7960000000003</v>
      </c>
      <c r="AD507">
        <v>-8806.7960000000003</v>
      </c>
      <c r="AE507">
        <v>-8806.7960000000003</v>
      </c>
      <c r="AF507">
        <v>-765978.91940000001</v>
      </c>
    </row>
    <row r="508" spans="2:32" x14ac:dyDescent="0.25">
      <c r="B508">
        <f t="shared" si="21"/>
        <v>38</v>
      </c>
      <c r="C508">
        <v>1</v>
      </c>
      <c r="D508">
        <v>1</v>
      </c>
      <c r="E508">
        <v>1</v>
      </c>
      <c r="F508">
        <v>1</v>
      </c>
      <c r="G508">
        <v>1</v>
      </c>
      <c r="J508">
        <f t="shared" si="22"/>
        <v>38</v>
      </c>
      <c r="K508">
        <v>1</v>
      </c>
      <c r="L508">
        <v>1</v>
      </c>
      <c r="M508">
        <v>1</v>
      </c>
      <c r="N508">
        <v>1</v>
      </c>
      <c r="O508">
        <v>1</v>
      </c>
      <c r="R508">
        <f t="shared" si="23"/>
        <v>38</v>
      </c>
      <c r="S508">
        <v>1</v>
      </c>
      <c r="T508">
        <v>1</v>
      </c>
      <c r="U508">
        <v>1</v>
      </c>
      <c r="V508">
        <v>1</v>
      </c>
      <c r="W508">
        <v>1</v>
      </c>
      <c r="AA508">
        <v>-8708.6234000000004</v>
      </c>
      <c r="AB508">
        <v>-8708.6234000000004</v>
      </c>
      <c r="AC508">
        <v>-8708.6234000000004</v>
      </c>
      <c r="AD508">
        <v>-8708.6234000000004</v>
      </c>
      <c r="AE508">
        <v>-8708.6234000000004</v>
      </c>
      <c r="AF508">
        <v>-783780.576</v>
      </c>
    </row>
    <row r="509" spans="2:32" x14ac:dyDescent="0.25">
      <c r="B509">
        <f t="shared" si="21"/>
        <v>39</v>
      </c>
      <c r="C509">
        <v>1</v>
      </c>
      <c r="D509">
        <v>1</v>
      </c>
      <c r="E509">
        <v>1</v>
      </c>
      <c r="F509">
        <v>1</v>
      </c>
      <c r="G509">
        <v>1</v>
      </c>
      <c r="J509">
        <f t="shared" si="22"/>
        <v>39</v>
      </c>
      <c r="K509">
        <v>1</v>
      </c>
      <c r="L509">
        <v>1</v>
      </c>
      <c r="M509">
        <v>1</v>
      </c>
      <c r="N509">
        <v>1</v>
      </c>
      <c r="O509">
        <v>1</v>
      </c>
      <c r="R509">
        <f t="shared" si="23"/>
        <v>39</v>
      </c>
      <c r="S509">
        <v>1</v>
      </c>
      <c r="T509">
        <v>1</v>
      </c>
      <c r="U509">
        <v>1</v>
      </c>
      <c r="V509">
        <v>1</v>
      </c>
      <c r="W509">
        <v>1</v>
      </c>
      <c r="AA509">
        <v>-8608.1594000000005</v>
      </c>
      <c r="AB509">
        <v>-8608.1594000000005</v>
      </c>
      <c r="AC509">
        <v>-8608.1594000000005</v>
      </c>
      <c r="AD509">
        <v>-8608.1594000000005</v>
      </c>
      <c r="AE509">
        <v>-8608.1594000000005</v>
      </c>
      <c r="AF509">
        <v>-769662.22069999995</v>
      </c>
    </row>
    <row r="510" spans="2:32" x14ac:dyDescent="0.25">
      <c r="B510">
        <f t="shared" si="21"/>
        <v>40</v>
      </c>
      <c r="C510">
        <v>1</v>
      </c>
      <c r="D510">
        <v>1</v>
      </c>
      <c r="E510">
        <v>1</v>
      </c>
      <c r="F510">
        <v>1</v>
      </c>
      <c r="G510">
        <v>1</v>
      </c>
      <c r="J510">
        <f t="shared" si="22"/>
        <v>40</v>
      </c>
      <c r="K510">
        <v>1</v>
      </c>
      <c r="L510">
        <v>1</v>
      </c>
      <c r="M510">
        <v>1</v>
      </c>
      <c r="N510">
        <v>1</v>
      </c>
      <c r="O510">
        <v>1</v>
      </c>
      <c r="R510">
        <f t="shared" si="23"/>
        <v>40</v>
      </c>
      <c r="S510">
        <v>1</v>
      </c>
      <c r="T510">
        <v>1</v>
      </c>
      <c r="U510">
        <v>1</v>
      </c>
      <c r="V510">
        <v>1</v>
      </c>
      <c r="W510">
        <v>1</v>
      </c>
      <c r="AA510">
        <v>-8505.3439999999991</v>
      </c>
      <c r="AB510">
        <v>-8505.3439999999991</v>
      </c>
      <c r="AC510">
        <v>-8505.3439999999991</v>
      </c>
      <c r="AD510">
        <v>-8505.3439999999991</v>
      </c>
      <c r="AE510">
        <v>-8505.3439999999991</v>
      </c>
      <c r="AF510">
        <v>-798570.41119999997</v>
      </c>
    </row>
    <row r="511" spans="2:32" x14ac:dyDescent="0.25">
      <c r="B511">
        <f t="shared" si="21"/>
        <v>41</v>
      </c>
      <c r="C511">
        <v>1</v>
      </c>
      <c r="D511">
        <v>1</v>
      </c>
      <c r="E511">
        <v>1</v>
      </c>
      <c r="F511">
        <v>1</v>
      </c>
      <c r="G511">
        <v>1</v>
      </c>
      <c r="J511">
        <f t="shared" si="22"/>
        <v>41</v>
      </c>
      <c r="K511">
        <v>1</v>
      </c>
      <c r="L511">
        <v>1</v>
      </c>
      <c r="M511">
        <v>1</v>
      </c>
      <c r="N511">
        <v>1</v>
      </c>
      <c r="O511">
        <v>1</v>
      </c>
      <c r="R511">
        <f t="shared" si="23"/>
        <v>41</v>
      </c>
      <c r="S511">
        <v>1</v>
      </c>
      <c r="T511">
        <v>1</v>
      </c>
      <c r="U511">
        <v>1</v>
      </c>
      <c r="V511">
        <v>1</v>
      </c>
      <c r="W511">
        <v>1</v>
      </c>
      <c r="AA511">
        <v>-8400.1087000000007</v>
      </c>
      <c r="AB511">
        <v>-8400.1087000000007</v>
      </c>
      <c r="AC511">
        <v>-8400.1087000000007</v>
      </c>
      <c r="AD511">
        <v>-8400.1087000000007</v>
      </c>
      <c r="AE511">
        <v>-8400.1087000000007</v>
      </c>
      <c r="AF511">
        <v>-803549.96459999995</v>
      </c>
    </row>
    <row r="512" spans="2:32" x14ac:dyDescent="0.25">
      <c r="B512">
        <f t="shared" si="21"/>
        <v>42</v>
      </c>
      <c r="C512">
        <v>1</v>
      </c>
      <c r="D512">
        <v>1</v>
      </c>
      <c r="E512">
        <v>1</v>
      </c>
      <c r="F512">
        <v>1</v>
      </c>
      <c r="G512">
        <v>1</v>
      </c>
      <c r="J512">
        <f t="shared" si="22"/>
        <v>42</v>
      </c>
      <c r="K512">
        <v>1</v>
      </c>
      <c r="L512">
        <v>1</v>
      </c>
      <c r="M512">
        <v>1</v>
      </c>
      <c r="N512">
        <v>1</v>
      </c>
      <c r="O512">
        <v>1</v>
      </c>
      <c r="R512">
        <f t="shared" si="23"/>
        <v>42</v>
      </c>
      <c r="S512">
        <v>1</v>
      </c>
      <c r="T512">
        <v>1</v>
      </c>
      <c r="U512">
        <v>1</v>
      </c>
      <c r="V512">
        <v>1</v>
      </c>
      <c r="W512">
        <v>1</v>
      </c>
      <c r="AA512">
        <v>-8292.4974999999995</v>
      </c>
      <c r="AB512">
        <v>-8292.4974999999995</v>
      </c>
      <c r="AC512">
        <v>-8292.4974999999995</v>
      </c>
      <c r="AD512">
        <v>-8292.4974999999995</v>
      </c>
      <c r="AE512">
        <v>-8292.4974999999995</v>
      </c>
      <c r="AF512">
        <v>-833551.75890000002</v>
      </c>
    </row>
    <row r="513" spans="2:32" x14ac:dyDescent="0.25">
      <c r="B513">
        <f t="shared" si="21"/>
        <v>43</v>
      </c>
      <c r="C513">
        <v>1</v>
      </c>
      <c r="D513">
        <v>1</v>
      </c>
      <c r="E513">
        <v>1</v>
      </c>
      <c r="F513">
        <v>1</v>
      </c>
      <c r="G513">
        <v>1</v>
      </c>
      <c r="J513">
        <f t="shared" si="22"/>
        <v>43</v>
      </c>
      <c r="K513">
        <v>1</v>
      </c>
      <c r="L513">
        <v>1</v>
      </c>
      <c r="M513">
        <v>1</v>
      </c>
      <c r="N513">
        <v>1</v>
      </c>
      <c r="O513">
        <v>1</v>
      </c>
      <c r="R513">
        <f t="shared" si="23"/>
        <v>43</v>
      </c>
      <c r="S513">
        <v>1</v>
      </c>
      <c r="T513">
        <v>1</v>
      </c>
      <c r="U513">
        <v>1</v>
      </c>
      <c r="V513">
        <v>1</v>
      </c>
      <c r="W513">
        <v>1</v>
      </c>
      <c r="AA513">
        <v>-8182.3909999999996</v>
      </c>
      <c r="AB513">
        <v>-8182.3909999999996</v>
      </c>
      <c r="AC513">
        <v>-8182.3909999999996</v>
      </c>
      <c r="AD513">
        <v>-8182.3909999999996</v>
      </c>
      <c r="AE513">
        <v>-8182.3909999999996</v>
      </c>
      <c r="AF513">
        <v>-844950.93949999998</v>
      </c>
    </row>
    <row r="514" spans="2:32" x14ac:dyDescent="0.25">
      <c r="B514">
        <f t="shared" si="21"/>
        <v>44</v>
      </c>
      <c r="C514">
        <v>1</v>
      </c>
      <c r="D514">
        <v>1</v>
      </c>
      <c r="E514">
        <v>1</v>
      </c>
      <c r="F514">
        <v>1</v>
      </c>
      <c r="G514">
        <v>1</v>
      </c>
      <c r="J514">
        <f t="shared" si="22"/>
        <v>44</v>
      </c>
      <c r="K514">
        <v>1</v>
      </c>
      <c r="L514">
        <v>1</v>
      </c>
      <c r="M514">
        <v>1</v>
      </c>
      <c r="N514">
        <v>1</v>
      </c>
      <c r="O514">
        <v>1</v>
      </c>
      <c r="R514">
        <f t="shared" si="23"/>
        <v>44</v>
      </c>
      <c r="S514">
        <v>1</v>
      </c>
      <c r="T514">
        <v>1</v>
      </c>
      <c r="U514">
        <v>1</v>
      </c>
      <c r="V514">
        <v>1</v>
      </c>
      <c r="W514">
        <v>1</v>
      </c>
      <c r="AA514">
        <v>-8069.8261000000002</v>
      </c>
      <c r="AB514">
        <v>-8069.8261000000002</v>
      </c>
      <c r="AC514">
        <v>-8069.8261000000002</v>
      </c>
      <c r="AD514">
        <v>-8069.8261000000002</v>
      </c>
      <c r="AE514">
        <v>-8069.8261000000002</v>
      </c>
      <c r="AF514">
        <v>-851265.64670000004</v>
      </c>
    </row>
    <row r="515" spans="2:32" x14ac:dyDescent="0.25">
      <c r="B515">
        <f t="shared" si="21"/>
        <v>45</v>
      </c>
      <c r="C515">
        <v>1</v>
      </c>
      <c r="D515">
        <v>1</v>
      </c>
      <c r="E515">
        <v>1</v>
      </c>
      <c r="F515">
        <v>1</v>
      </c>
      <c r="G515">
        <v>1</v>
      </c>
      <c r="J515">
        <f t="shared" si="22"/>
        <v>45</v>
      </c>
      <c r="K515">
        <v>1</v>
      </c>
      <c r="L515">
        <v>1</v>
      </c>
      <c r="M515">
        <v>1</v>
      </c>
      <c r="N515">
        <v>1</v>
      </c>
      <c r="O515">
        <v>1</v>
      </c>
      <c r="R515">
        <f t="shared" si="23"/>
        <v>45</v>
      </c>
      <c r="S515">
        <v>1</v>
      </c>
      <c r="T515">
        <v>1</v>
      </c>
      <c r="U515">
        <v>1</v>
      </c>
      <c r="V515">
        <v>1</v>
      </c>
      <c r="W515">
        <v>1</v>
      </c>
      <c r="AA515">
        <v>-7954.7533999999996</v>
      </c>
      <c r="AB515">
        <v>-7954.7533999999996</v>
      </c>
      <c r="AC515">
        <v>-7954.7533999999996</v>
      </c>
      <c r="AD515">
        <v>-7954.7533999999996</v>
      </c>
      <c r="AE515">
        <v>-7954.7533999999996</v>
      </c>
      <c r="AF515">
        <v>-870649.02139999997</v>
      </c>
    </row>
    <row r="516" spans="2:32" x14ac:dyDescent="0.25">
      <c r="B516">
        <f t="shared" si="21"/>
        <v>46</v>
      </c>
      <c r="C516">
        <v>1</v>
      </c>
      <c r="D516">
        <v>1</v>
      </c>
      <c r="E516">
        <v>1</v>
      </c>
      <c r="F516">
        <v>1</v>
      </c>
      <c r="G516">
        <v>1</v>
      </c>
      <c r="J516">
        <f t="shared" si="22"/>
        <v>46</v>
      </c>
      <c r="K516">
        <v>1</v>
      </c>
      <c r="L516">
        <v>1</v>
      </c>
      <c r="M516">
        <v>1</v>
      </c>
      <c r="N516">
        <v>1</v>
      </c>
      <c r="O516">
        <v>1</v>
      </c>
      <c r="R516">
        <f t="shared" si="23"/>
        <v>46</v>
      </c>
      <c r="S516">
        <v>1</v>
      </c>
      <c r="T516">
        <v>1</v>
      </c>
      <c r="U516">
        <v>1</v>
      </c>
      <c r="V516">
        <v>1</v>
      </c>
      <c r="W516">
        <v>1</v>
      </c>
      <c r="AA516">
        <v>-7837.1754000000001</v>
      </c>
      <c r="AB516">
        <v>-7837.1754000000001</v>
      </c>
      <c r="AC516">
        <v>-7837.1754000000001</v>
      </c>
      <c r="AD516">
        <v>-7837.1754000000001</v>
      </c>
      <c r="AE516">
        <v>-7837.1754000000001</v>
      </c>
      <c r="AF516">
        <v>-892550.54509999999</v>
      </c>
    </row>
    <row r="517" spans="2:32" x14ac:dyDescent="0.25">
      <c r="B517">
        <f t="shared" si="21"/>
        <v>47</v>
      </c>
      <c r="C517">
        <v>1</v>
      </c>
      <c r="D517">
        <v>1</v>
      </c>
      <c r="E517">
        <v>1</v>
      </c>
      <c r="F517">
        <v>1</v>
      </c>
      <c r="G517">
        <v>1</v>
      </c>
      <c r="J517">
        <f t="shared" si="22"/>
        <v>47</v>
      </c>
      <c r="K517">
        <v>1</v>
      </c>
      <c r="L517">
        <v>1</v>
      </c>
      <c r="M517">
        <v>1</v>
      </c>
      <c r="N517">
        <v>1</v>
      </c>
      <c r="O517">
        <v>1</v>
      </c>
      <c r="R517">
        <f t="shared" si="23"/>
        <v>47</v>
      </c>
      <c r="S517">
        <v>1</v>
      </c>
      <c r="T517">
        <v>1</v>
      </c>
      <c r="U517">
        <v>1</v>
      </c>
      <c r="V517">
        <v>1</v>
      </c>
      <c r="W517">
        <v>1</v>
      </c>
      <c r="AA517">
        <v>-7717.0294999999996</v>
      </c>
      <c r="AB517">
        <v>-7717.0294999999996</v>
      </c>
      <c r="AC517">
        <v>-7717.0294999999996</v>
      </c>
      <c r="AD517">
        <v>-7717.0294999999996</v>
      </c>
      <c r="AE517">
        <v>-7717.0294999999996</v>
      </c>
      <c r="AF517">
        <v>-910915.81969999999</v>
      </c>
    </row>
    <row r="518" spans="2:32" x14ac:dyDescent="0.25">
      <c r="B518">
        <f t="shared" si="21"/>
        <v>48</v>
      </c>
      <c r="C518">
        <v>1</v>
      </c>
      <c r="D518">
        <v>1</v>
      </c>
      <c r="E518">
        <v>1</v>
      </c>
      <c r="F518">
        <v>1</v>
      </c>
      <c r="G518">
        <v>1</v>
      </c>
      <c r="J518">
        <f t="shared" si="22"/>
        <v>48</v>
      </c>
      <c r="K518">
        <v>1</v>
      </c>
      <c r="L518">
        <v>1</v>
      </c>
      <c r="M518">
        <v>1</v>
      </c>
      <c r="N518">
        <v>1</v>
      </c>
      <c r="O518">
        <v>1</v>
      </c>
      <c r="R518">
        <f t="shared" si="23"/>
        <v>48</v>
      </c>
      <c r="S518">
        <v>1</v>
      </c>
      <c r="T518">
        <v>1</v>
      </c>
      <c r="U518">
        <v>1</v>
      </c>
      <c r="V518">
        <v>1</v>
      </c>
      <c r="W518">
        <v>1</v>
      </c>
      <c r="AA518">
        <v>-7594.4201000000003</v>
      </c>
      <c r="AB518">
        <v>-7594.4201000000003</v>
      </c>
      <c r="AC518">
        <v>-7594.4201000000003</v>
      </c>
      <c r="AD518">
        <v>-7594.4201000000003</v>
      </c>
      <c r="AE518">
        <v>-7594.4201000000003</v>
      </c>
      <c r="AF518">
        <v>-917891.87360000005</v>
      </c>
    </row>
    <row r="519" spans="2:32" x14ac:dyDescent="0.25">
      <c r="B519">
        <f t="shared" si="21"/>
        <v>49</v>
      </c>
      <c r="C519">
        <v>1</v>
      </c>
      <c r="D519">
        <v>1</v>
      </c>
      <c r="E519">
        <v>1</v>
      </c>
      <c r="F519">
        <v>1</v>
      </c>
      <c r="G519">
        <v>1</v>
      </c>
      <c r="J519">
        <f t="shared" si="22"/>
        <v>49</v>
      </c>
      <c r="K519">
        <v>1</v>
      </c>
      <c r="L519">
        <v>1</v>
      </c>
      <c r="M519">
        <v>1</v>
      </c>
      <c r="N519">
        <v>1</v>
      </c>
      <c r="O519">
        <v>1</v>
      </c>
      <c r="R519">
        <f t="shared" si="23"/>
        <v>49</v>
      </c>
      <c r="S519">
        <v>1</v>
      </c>
      <c r="T519">
        <v>1</v>
      </c>
      <c r="U519">
        <v>1</v>
      </c>
      <c r="V519">
        <v>1</v>
      </c>
      <c r="W519">
        <v>1</v>
      </c>
      <c r="AA519">
        <v>-7469.3995999999997</v>
      </c>
      <c r="AB519">
        <v>-7469.3995999999997</v>
      </c>
      <c r="AC519">
        <v>-7469.3995999999997</v>
      </c>
      <c r="AD519">
        <v>-7469.3995999999997</v>
      </c>
      <c r="AE519">
        <v>-7469.3995999999997</v>
      </c>
      <c r="AF519">
        <v>-944521.72470000002</v>
      </c>
    </row>
    <row r="520" spans="2:32" x14ac:dyDescent="0.25">
      <c r="B520">
        <f t="shared" si="21"/>
        <v>50</v>
      </c>
      <c r="C520">
        <v>1</v>
      </c>
      <c r="D520">
        <v>1</v>
      </c>
      <c r="E520">
        <v>1</v>
      </c>
      <c r="F520">
        <v>1</v>
      </c>
      <c r="G520">
        <v>1</v>
      </c>
      <c r="J520">
        <f t="shared" si="22"/>
        <v>50</v>
      </c>
      <c r="K520">
        <v>1</v>
      </c>
      <c r="L520">
        <v>1</v>
      </c>
      <c r="M520">
        <v>1</v>
      </c>
      <c r="N520">
        <v>1</v>
      </c>
      <c r="O520">
        <v>1</v>
      </c>
      <c r="R520">
        <f t="shared" si="23"/>
        <v>50</v>
      </c>
      <c r="S520">
        <v>1</v>
      </c>
      <c r="T520">
        <v>1</v>
      </c>
      <c r="U520">
        <v>1</v>
      </c>
      <c r="V520">
        <v>1</v>
      </c>
      <c r="W520">
        <v>1</v>
      </c>
      <c r="AA520">
        <v>-7341.9502000000002</v>
      </c>
      <c r="AB520">
        <v>-7341.9502000000002</v>
      </c>
      <c r="AC520">
        <v>-7341.9502000000002</v>
      </c>
      <c r="AD520">
        <v>-7341.9502000000002</v>
      </c>
      <c r="AE520">
        <v>-7341.9502000000002</v>
      </c>
      <c r="AF520">
        <v>-963257.14989999996</v>
      </c>
    </row>
    <row r="521" spans="2:32" x14ac:dyDescent="0.25">
      <c r="B521">
        <f t="shared" si="21"/>
        <v>51</v>
      </c>
      <c r="C521">
        <v>1</v>
      </c>
      <c r="D521">
        <v>1</v>
      </c>
      <c r="E521">
        <v>1</v>
      </c>
      <c r="F521">
        <v>1</v>
      </c>
      <c r="G521">
        <v>1</v>
      </c>
      <c r="J521">
        <f t="shared" si="22"/>
        <v>51</v>
      </c>
      <c r="K521">
        <v>1</v>
      </c>
      <c r="L521">
        <v>1</v>
      </c>
      <c r="M521">
        <v>1</v>
      </c>
      <c r="N521">
        <v>1</v>
      </c>
      <c r="O521">
        <v>1</v>
      </c>
      <c r="R521">
        <f t="shared" si="23"/>
        <v>51</v>
      </c>
      <c r="S521">
        <v>1</v>
      </c>
      <c r="T521">
        <v>1</v>
      </c>
      <c r="U521">
        <v>1</v>
      </c>
      <c r="V521">
        <v>1</v>
      </c>
      <c r="W521">
        <v>1</v>
      </c>
      <c r="AA521">
        <v>-7212.0646999999999</v>
      </c>
      <c r="AB521">
        <v>-7212.0646999999999</v>
      </c>
      <c r="AC521">
        <v>-7212.0646999999999</v>
      </c>
      <c r="AD521">
        <v>-7212.0646999999999</v>
      </c>
      <c r="AE521">
        <v>-7212.0646999999999</v>
      </c>
      <c r="AF521">
        <v>-981592.90729999996</v>
      </c>
    </row>
    <row r="522" spans="2:32" x14ac:dyDescent="0.25">
      <c r="B522">
        <f t="shared" si="21"/>
        <v>52</v>
      </c>
      <c r="C522">
        <v>1</v>
      </c>
      <c r="D522">
        <v>1</v>
      </c>
      <c r="E522">
        <v>1</v>
      </c>
      <c r="F522">
        <v>1</v>
      </c>
      <c r="G522">
        <v>1</v>
      </c>
      <c r="J522">
        <f t="shared" si="22"/>
        <v>52</v>
      </c>
      <c r="K522">
        <v>1</v>
      </c>
      <c r="L522">
        <v>1</v>
      </c>
      <c r="M522">
        <v>1</v>
      </c>
      <c r="N522">
        <v>1</v>
      </c>
      <c r="O522">
        <v>1</v>
      </c>
      <c r="R522">
        <f t="shared" si="23"/>
        <v>52</v>
      </c>
      <c r="S522">
        <v>1</v>
      </c>
      <c r="T522">
        <v>1</v>
      </c>
      <c r="U522">
        <v>1</v>
      </c>
      <c r="V522">
        <v>1</v>
      </c>
      <c r="W522">
        <v>1</v>
      </c>
      <c r="AA522">
        <v>-7079.7435999999998</v>
      </c>
      <c r="AB522">
        <v>-7079.7435999999998</v>
      </c>
      <c r="AC522">
        <v>-7079.7435999999998</v>
      </c>
      <c r="AD522">
        <v>-7079.7435999999998</v>
      </c>
      <c r="AE522">
        <v>-7079.7435999999998</v>
      </c>
      <c r="AF522">
        <v>-998556.10360000003</v>
      </c>
    </row>
    <row r="523" spans="2:32" x14ac:dyDescent="0.25">
      <c r="B523">
        <f t="shared" si="21"/>
        <v>53</v>
      </c>
      <c r="C523">
        <v>1</v>
      </c>
      <c r="D523">
        <v>1</v>
      </c>
      <c r="E523">
        <v>1</v>
      </c>
      <c r="F523">
        <v>1</v>
      </c>
      <c r="G523">
        <v>1</v>
      </c>
      <c r="J523">
        <f t="shared" si="22"/>
        <v>53</v>
      </c>
      <c r="K523">
        <v>1</v>
      </c>
      <c r="L523">
        <v>1</v>
      </c>
      <c r="M523">
        <v>1</v>
      </c>
      <c r="N523">
        <v>1</v>
      </c>
      <c r="O523">
        <v>1</v>
      </c>
      <c r="R523">
        <f t="shared" si="23"/>
        <v>53</v>
      </c>
      <c r="S523">
        <v>1</v>
      </c>
      <c r="T523">
        <v>1</v>
      </c>
      <c r="U523">
        <v>1</v>
      </c>
      <c r="V523">
        <v>1</v>
      </c>
      <c r="W523">
        <v>1</v>
      </c>
      <c r="AA523">
        <v>-6945.0875999999998</v>
      </c>
      <c r="AB523">
        <v>-6945.0875999999998</v>
      </c>
      <c r="AC523">
        <v>-6945.0875999999998</v>
      </c>
      <c r="AD523">
        <v>-6945.0875999999998</v>
      </c>
      <c r="AE523">
        <v>-6945.0875999999998</v>
      </c>
      <c r="AF523">
        <v>-1015461.3278</v>
      </c>
    </row>
    <row r="524" spans="2:32" x14ac:dyDescent="0.25">
      <c r="B524">
        <f t="shared" si="21"/>
        <v>54</v>
      </c>
      <c r="C524">
        <v>1</v>
      </c>
      <c r="D524">
        <v>1</v>
      </c>
      <c r="E524">
        <v>1</v>
      </c>
      <c r="F524">
        <v>1</v>
      </c>
      <c r="G524">
        <v>1</v>
      </c>
      <c r="J524">
        <f t="shared" si="22"/>
        <v>54</v>
      </c>
      <c r="K524">
        <v>1</v>
      </c>
      <c r="L524">
        <v>1</v>
      </c>
      <c r="M524">
        <v>1</v>
      </c>
      <c r="N524">
        <v>1</v>
      </c>
      <c r="O524">
        <v>1</v>
      </c>
      <c r="R524">
        <f t="shared" si="23"/>
        <v>54</v>
      </c>
      <c r="S524">
        <v>1</v>
      </c>
      <c r="T524">
        <v>1</v>
      </c>
      <c r="U524">
        <v>1</v>
      </c>
      <c r="V524">
        <v>1</v>
      </c>
      <c r="W524">
        <v>1</v>
      </c>
      <c r="AA524">
        <v>-6808.2438000000002</v>
      </c>
      <c r="AB524">
        <v>-6808.2438000000002</v>
      </c>
      <c r="AC524">
        <v>-6808.2438000000002</v>
      </c>
      <c r="AD524">
        <v>-6808.2438000000002</v>
      </c>
      <c r="AE524">
        <v>-6808.2438000000002</v>
      </c>
      <c r="AF524">
        <v>-1033869.6813000001</v>
      </c>
    </row>
    <row r="525" spans="2:32" x14ac:dyDescent="0.25">
      <c r="B525">
        <f t="shared" si="21"/>
        <v>55</v>
      </c>
      <c r="C525">
        <v>1</v>
      </c>
      <c r="D525">
        <v>1</v>
      </c>
      <c r="E525">
        <v>1</v>
      </c>
      <c r="F525">
        <v>1</v>
      </c>
      <c r="G525">
        <v>1</v>
      </c>
      <c r="J525">
        <f t="shared" si="22"/>
        <v>55</v>
      </c>
      <c r="K525">
        <v>1</v>
      </c>
      <c r="L525">
        <v>1</v>
      </c>
      <c r="M525">
        <v>1</v>
      </c>
      <c r="N525">
        <v>1</v>
      </c>
      <c r="O525">
        <v>1</v>
      </c>
      <c r="R525">
        <f t="shared" si="23"/>
        <v>55</v>
      </c>
      <c r="S525">
        <v>1</v>
      </c>
      <c r="T525">
        <v>1</v>
      </c>
      <c r="U525">
        <v>1</v>
      </c>
      <c r="V525">
        <v>1</v>
      </c>
      <c r="W525">
        <v>1</v>
      </c>
      <c r="AA525">
        <v>-6669.2525999999998</v>
      </c>
      <c r="AB525">
        <v>-6669.2525999999998</v>
      </c>
      <c r="AC525">
        <v>-6669.2525999999998</v>
      </c>
      <c r="AD525">
        <v>-6669.2525999999998</v>
      </c>
      <c r="AE525">
        <v>-6669.2525999999998</v>
      </c>
      <c r="AF525">
        <v>-1050810.2549999999</v>
      </c>
    </row>
    <row r="526" spans="2:32" x14ac:dyDescent="0.25">
      <c r="B526">
        <f t="shared" si="21"/>
        <v>56</v>
      </c>
      <c r="C526">
        <v>1</v>
      </c>
      <c r="D526">
        <v>1</v>
      </c>
      <c r="E526">
        <v>1</v>
      </c>
      <c r="F526">
        <v>1</v>
      </c>
      <c r="G526">
        <v>1</v>
      </c>
      <c r="J526">
        <f t="shared" si="22"/>
        <v>56</v>
      </c>
      <c r="K526">
        <v>1</v>
      </c>
      <c r="L526">
        <v>1</v>
      </c>
      <c r="M526">
        <v>1</v>
      </c>
      <c r="N526">
        <v>1</v>
      </c>
      <c r="O526">
        <v>1</v>
      </c>
      <c r="R526">
        <f t="shared" si="23"/>
        <v>56</v>
      </c>
      <c r="S526">
        <v>1</v>
      </c>
      <c r="T526">
        <v>1</v>
      </c>
      <c r="U526">
        <v>1</v>
      </c>
      <c r="V526">
        <v>1</v>
      </c>
      <c r="W526">
        <v>1</v>
      </c>
      <c r="AA526">
        <v>-6528.2992000000004</v>
      </c>
      <c r="AB526">
        <v>-6528.2992000000004</v>
      </c>
      <c r="AC526">
        <v>-6528.2992000000004</v>
      </c>
      <c r="AD526">
        <v>-6528.2992000000004</v>
      </c>
      <c r="AE526">
        <v>-6528.2992000000004</v>
      </c>
      <c r="AF526">
        <v>-1073295.8774000001</v>
      </c>
    </row>
    <row r="527" spans="2:32" x14ac:dyDescent="0.25">
      <c r="B527">
        <f t="shared" si="21"/>
        <v>57</v>
      </c>
      <c r="C527">
        <v>1</v>
      </c>
      <c r="D527">
        <v>1</v>
      </c>
      <c r="E527">
        <v>1</v>
      </c>
      <c r="F527">
        <v>1</v>
      </c>
      <c r="G527">
        <v>1</v>
      </c>
      <c r="J527">
        <f t="shared" si="22"/>
        <v>57</v>
      </c>
      <c r="K527">
        <v>1</v>
      </c>
      <c r="L527">
        <v>1</v>
      </c>
      <c r="M527">
        <v>1</v>
      </c>
      <c r="N527">
        <v>1</v>
      </c>
      <c r="O527">
        <v>1</v>
      </c>
      <c r="R527">
        <f t="shared" si="23"/>
        <v>57</v>
      </c>
      <c r="S527">
        <v>1</v>
      </c>
      <c r="T527">
        <v>1</v>
      </c>
      <c r="U527">
        <v>1</v>
      </c>
      <c r="V527">
        <v>1</v>
      </c>
      <c r="W527">
        <v>1</v>
      </c>
      <c r="AA527">
        <v>-6385.5230000000001</v>
      </c>
      <c r="AB527">
        <v>-6385.5230000000001</v>
      </c>
      <c r="AC527">
        <v>-6385.5230000000001</v>
      </c>
      <c r="AD527">
        <v>-6385.5230000000001</v>
      </c>
      <c r="AE527">
        <v>-6385.5230000000001</v>
      </c>
      <c r="AF527">
        <v>-1093242.6832999999</v>
      </c>
    </row>
    <row r="528" spans="2:32" x14ac:dyDescent="0.25">
      <c r="B528">
        <f t="shared" si="21"/>
        <v>58</v>
      </c>
      <c r="C528">
        <v>1</v>
      </c>
      <c r="D528">
        <v>1</v>
      </c>
      <c r="E528">
        <v>1</v>
      </c>
      <c r="F528">
        <v>1</v>
      </c>
      <c r="G528">
        <v>1</v>
      </c>
      <c r="J528">
        <f t="shared" si="22"/>
        <v>58</v>
      </c>
      <c r="K528">
        <v>1</v>
      </c>
      <c r="L528">
        <v>1</v>
      </c>
      <c r="M528">
        <v>1</v>
      </c>
      <c r="N528">
        <v>1</v>
      </c>
      <c r="O528">
        <v>1</v>
      </c>
      <c r="R528">
        <f t="shared" si="23"/>
        <v>58</v>
      </c>
      <c r="S528">
        <v>1</v>
      </c>
      <c r="T528">
        <v>1</v>
      </c>
      <c r="U528">
        <v>1</v>
      </c>
      <c r="V528">
        <v>1</v>
      </c>
      <c r="W528">
        <v>1</v>
      </c>
      <c r="AA528">
        <v>-6240.8730999999998</v>
      </c>
      <c r="AB528">
        <v>-6240.8730999999998</v>
      </c>
      <c r="AC528">
        <v>-6240.8730999999998</v>
      </c>
      <c r="AD528">
        <v>-6240.8730999999998</v>
      </c>
      <c r="AE528">
        <v>-6240.8730999999998</v>
      </c>
      <c r="AF528">
        <v>-1114366.6444000001</v>
      </c>
    </row>
    <row r="529" spans="2:32" x14ac:dyDescent="0.25">
      <c r="B529">
        <f t="shared" si="21"/>
        <v>59</v>
      </c>
      <c r="C529">
        <v>1</v>
      </c>
      <c r="D529">
        <v>1</v>
      </c>
      <c r="E529">
        <v>1</v>
      </c>
      <c r="F529">
        <v>1</v>
      </c>
      <c r="G529">
        <v>1</v>
      </c>
      <c r="J529">
        <f t="shared" si="22"/>
        <v>59</v>
      </c>
      <c r="K529">
        <v>1</v>
      </c>
      <c r="L529">
        <v>1</v>
      </c>
      <c r="M529">
        <v>1</v>
      </c>
      <c r="N529">
        <v>1</v>
      </c>
      <c r="O529">
        <v>1</v>
      </c>
      <c r="R529">
        <f t="shared" si="23"/>
        <v>59</v>
      </c>
      <c r="S529">
        <v>1</v>
      </c>
      <c r="T529">
        <v>1</v>
      </c>
      <c r="U529">
        <v>1</v>
      </c>
      <c r="V529">
        <v>1</v>
      </c>
      <c r="W529">
        <v>1</v>
      </c>
      <c r="AA529">
        <v>-6094.3262999999997</v>
      </c>
      <c r="AB529">
        <v>-6094.3262999999997</v>
      </c>
      <c r="AC529">
        <v>-6094.3262999999997</v>
      </c>
      <c r="AD529">
        <v>-6094.3262999999997</v>
      </c>
      <c r="AE529">
        <v>-6094.3262999999997</v>
      </c>
      <c r="AF529">
        <v>-1136284.0146999999</v>
      </c>
    </row>
    <row r="530" spans="2:32" x14ac:dyDescent="0.25">
      <c r="B530">
        <f t="shared" si="21"/>
        <v>60</v>
      </c>
      <c r="C530">
        <v>1</v>
      </c>
      <c r="D530">
        <v>1</v>
      </c>
      <c r="E530">
        <v>1</v>
      </c>
      <c r="F530">
        <v>1</v>
      </c>
      <c r="G530">
        <v>1</v>
      </c>
      <c r="J530">
        <f t="shared" si="22"/>
        <v>60</v>
      </c>
      <c r="K530">
        <v>1</v>
      </c>
      <c r="L530">
        <v>1</v>
      </c>
      <c r="M530">
        <v>1</v>
      </c>
      <c r="N530">
        <v>1</v>
      </c>
      <c r="O530">
        <v>1</v>
      </c>
      <c r="R530">
        <f t="shared" si="23"/>
        <v>60</v>
      </c>
      <c r="S530">
        <v>1</v>
      </c>
      <c r="T530">
        <v>1</v>
      </c>
      <c r="U530">
        <v>1</v>
      </c>
      <c r="V530">
        <v>1</v>
      </c>
      <c r="W530">
        <v>1</v>
      </c>
      <c r="AA530">
        <v>-5945.9960000000001</v>
      </c>
      <c r="AB530">
        <v>-5945.9960000000001</v>
      </c>
      <c r="AC530">
        <v>-5945.9960000000001</v>
      </c>
      <c r="AD530">
        <v>-5945.9960000000001</v>
      </c>
      <c r="AE530">
        <v>-5945.9960000000001</v>
      </c>
      <c r="AF530">
        <v>-1157801.6717999999</v>
      </c>
    </row>
    <row r="531" spans="2:32" x14ac:dyDescent="0.25">
      <c r="B531">
        <f t="shared" si="21"/>
        <v>61</v>
      </c>
      <c r="C531">
        <v>1</v>
      </c>
      <c r="D531">
        <v>1</v>
      </c>
      <c r="E531">
        <v>1</v>
      </c>
      <c r="F531">
        <v>1</v>
      </c>
      <c r="G531">
        <v>1</v>
      </c>
      <c r="J531">
        <f t="shared" si="22"/>
        <v>61</v>
      </c>
      <c r="K531">
        <v>1</v>
      </c>
      <c r="L531">
        <v>1</v>
      </c>
      <c r="M531">
        <v>1</v>
      </c>
      <c r="N531">
        <v>1</v>
      </c>
      <c r="O531">
        <v>1</v>
      </c>
      <c r="R531">
        <f t="shared" si="23"/>
        <v>61</v>
      </c>
      <c r="S531">
        <v>1</v>
      </c>
      <c r="T531">
        <v>1</v>
      </c>
      <c r="U531">
        <v>1</v>
      </c>
      <c r="V531">
        <v>1</v>
      </c>
      <c r="W531">
        <v>1</v>
      </c>
      <c r="AA531">
        <v>-5796.3015999999998</v>
      </c>
      <c r="AB531">
        <v>-5796.3015999999998</v>
      </c>
      <c r="AC531">
        <v>-5796.3015999999998</v>
      </c>
      <c r="AD531">
        <v>-5796.3015999999998</v>
      </c>
      <c r="AE531">
        <v>-5796.3015999999998</v>
      </c>
      <c r="AF531">
        <v>-1178581.4038</v>
      </c>
    </row>
    <row r="532" spans="2:32" x14ac:dyDescent="0.25">
      <c r="B532">
        <f t="shared" si="21"/>
        <v>62</v>
      </c>
      <c r="C532">
        <v>1</v>
      </c>
      <c r="D532">
        <v>1</v>
      </c>
      <c r="E532">
        <v>1</v>
      </c>
      <c r="F532">
        <v>1</v>
      </c>
      <c r="G532">
        <v>1</v>
      </c>
      <c r="J532">
        <f t="shared" si="22"/>
        <v>62</v>
      </c>
      <c r="K532">
        <v>1</v>
      </c>
      <c r="L532">
        <v>1</v>
      </c>
      <c r="M532">
        <v>1</v>
      </c>
      <c r="N532">
        <v>1</v>
      </c>
      <c r="O532">
        <v>1</v>
      </c>
      <c r="R532">
        <f t="shared" si="23"/>
        <v>62</v>
      </c>
      <c r="S532">
        <v>1</v>
      </c>
      <c r="T532">
        <v>1</v>
      </c>
      <c r="U532">
        <v>1</v>
      </c>
      <c r="V532">
        <v>1</v>
      </c>
      <c r="W532">
        <v>1</v>
      </c>
      <c r="AA532">
        <v>-5645.2415000000001</v>
      </c>
      <c r="AB532">
        <v>-5645.2415000000001</v>
      </c>
      <c r="AC532">
        <v>-5645.2415000000001</v>
      </c>
      <c r="AD532">
        <v>-5645.2415000000001</v>
      </c>
      <c r="AE532">
        <v>-5645.2415000000001</v>
      </c>
      <c r="AF532">
        <v>-1199521.5327000001</v>
      </c>
    </row>
    <row r="533" spans="2:32" x14ac:dyDescent="0.25">
      <c r="B533">
        <f t="shared" si="21"/>
        <v>63</v>
      </c>
      <c r="C533">
        <v>1</v>
      </c>
      <c r="D533">
        <v>1</v>
      </c>
      <c r="E533">
        <v>1</v>
      </c>
      <c r="F533">
        <v>1</v>
      </c>
      <c r="G533">
        <v>1</v>
      </c>
      <c r="J533">
        <f t="shared" si="22"/>
        <v>63</v>
      </c>
      <c r="K533">
        <v>1</v>
      </c>
      <c r="L533">
        <v>1</v>
      </c>
      <c r="M533">
        <v>1</v>
      </c>
      <c r="N533">
        <v>1</v>
      </c>
      <c r="O533">
        <v>1</v>
      </c>
      <c r="R533">
        <f t="shared" si="23"/>
        <v>63</v>
      </c>
      <c r="S533">
        <v>1</v>
      </c>
      <c r="T533">
        <v>1</v>
      </c>
      <c r="U533">
        <v>1</v>
      </c>
      <c r="V533">
        <v>1</v>
      </c>
      <c r="W533">
        <v>1</v>
      </c>
      <c r="AA533">
        <v>-5492.4920000000002</v>
      </c>
      <c r="AB533">
        <v>-5492.4920000000002</v>
      </c>
      <c r="AC533">
        <v>-5492.4920000000002</v>
      </c>
      <c r="AD533">
        <v>-5492.4920000000002</v>
      </c>
      <c r="AE533">
        <v>-5492.4920000000002</v>
      </c>
      <c r="AF533">
        <v>-1220461.6269</v>
      </c>
    </row>
    <row r="534" spans="2:32" x14ac:dyDescent="0.25">
      <c r="B534">
        <f t="shared" si="21"/>
        <v>64</v>
      </c>
      <c r="C534">
        <v>1</v>
      </c>
      <c r="D534">
        <v>1</v>
      </c>
      <c r="E534">
        <v>1</v>
      </c>
      <c r="F534">
        <v>1</v>
      </c>
      <c r="G534">
        <v>1</v>
      </c>
      <c r="J534">
        <f t="shared" si="22"/>
        <v>64</v>
      </c>
      <c r="K534">
        <v>1</v>
      </c>
      <c r="L534">
        <v>1</v>
      </c>
      <c r="M534">
        <v>1</v>
      </c>
      <c r="N534">
        <v>1</v>
      </c>
      <c r="O534">
        <v>1</v>
      </c>
      <c r="R534">
        <f t="shared" si="23"/>
        <v>64</v>
      </c>
      <c r="S534">
        <v>1</v>
      </c>
      <c r="T534">
        <v>1</v>
      </c>
      <c r="U534">
        <v>1</v>
      </c>
      <c r="V534">
        <v>1</v>
      </c>
      <c r="W534">
        <v>1</v>
      </c>
      <c r="AA534">
        <v>-5338.1817000000001</v>
      </c>
      <c r="AB534">
        <v>-5338.1817000000001</v>
      </c>
      <c r="AC534">
        <v>-5338.1817000000001</v>
      </c>
      <c r="AD534">
        <v>-5338.1817000000001</v>
      </c>
      <c r="AE534">
        <v>-5338.1817000000001</v>
      </c>
      <c r="AF534">
        <v>-1240652.2526</v>
      </c>
    </row>
    <row r="535" spans="2:32" x14ac:dyDescent="0.25">
      <c r="B535">
        <f t="shared" si="21"/>
        <v>65</v>
      </c>
      <c r="C535">
        <v>1</v>
      </c>
      <c r="D535">
        <v>1</v>
      </c>
      <c r="E535">
        <v>1</v>
      </c>
      <c r="F535">
        <v>1</v>
      </c>
      <c r="G535">
        <v>1</v>
      </c>
      <c r="J535">
        <f t="shared" si="22"/>
        <v>65</v>
      </c>
      <c r="K535">
        <v>1</v>
      </c>
      <c r="L535">
        <v>1</v>
      </c>
      <c r="M535">
        <v>1</v>
      </c>
      <c r="N535">
        <v>1</v>
      </c>
      <c r="O535">
        <v>1</v>
      </c>
      <c r="R535">
        <f t="shared" si="23"/>
        <v>65</v>
      </c>
      <c r="S535">
        <v>1</v>
      </c>
      <c r="T535">
        <v>1</v>
      </c>
      <c r="U535">
        <v>1</v>
      </c>
      <c r="V535">
        <v>1</v>
      </c>
      <c r="W535">
        <v>1</v>
      </c>
      <c r="AA535">
        <v>-5182.2268999999997</v>
      </c>
      <c r="AB535">
        <v>-5182.2268999999997</v>
      </c>
      <c r="AC535">
        <v>-5182.2268999999997</v>
      </c>
      <c r="AD535">
        <v>-5182.2268999999997</v>
      </c>
      <c r="AE535">
        <v>-5182.2268999999997</v>
      </c>
      <c r="AF535">
        <v>-1260049.8302</v>
      </c>
    </row>
    <row r="538" spans="2:32" x14ac:dyDescent="0.25">
      <c r="B538" t="s">
        <v>46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47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48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2:32" x14ac:dyDescent="0.25">
      <c r="B539">
        <v>26</v>
      </c>
      <c r="C539">
        <v>1</v>
      </c>
      <c r="D539">
        <v>1</v>
      </c>
      <c r="E539">
        <v>1</v>
      </c>
      <c r="F539">
        <v>1</v>
      </c>
      <c r="G539">
        <v>1</v>
      </c>
      <c r="H539">
        <v>1</v>
      </c>
      <c r="J539">
        <v>26</v>
      </c>
      <c r="K539">
        <v>1</v>
      </c>
      <c r="L539">
        <v>1</v>
      </c>
      <c r="M539">
        <v>1</v>
      </c>
      <c r="N539">
        <v>1</v>
      </c>
      <c r="O539">
        <v>1</v>
      </c>
      <c r="P539">
        <v>1</v>
      </c>
      <c r="R539">
        <v>26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AA539">
        <v>-5174.8482999999997</v>
      </c>
      <c r="AB539">
        <v>-5174.8482999999997</v>
      </c>
      <c r="AC539">
        <v>-5174.8482999999997</v>
      </c>
      <c r="AD539">
        <v>-5174.8482999999997</v>
      </c>
      <c r="AE539">
        <v>-5174.8482999999997</v>
      </c>
      <c r="AF539">
        <v>-5174.8482999999997</v>
      </c>
    </row>
    <row r="540" spans="2:32" x14ac:dyDescent="0.25">
      <c r="B540">
        <v>27</v>
      </c>
      <c r="C540">
        <v>1</v>
      </c>
      <c r="D540">
        <v>1</v>
      </c>
      <c r="E540">
        <v>1</v>
      </c>
      <c r="F540">
        <v>1</v>
      </c>
      <c r="G540">
        <v>1</v>
      </c>
      <c r="H540">
        <v>1</v>
      </c>
      <c r="J540">
        <v>27</v>
      </c>
      <c r="K540">
        <v>1</v>
      </c>
      <c r="L540">
        <v>1</v>
      </c>
      <c r="M540">
        <v>1</v>
      </c>
      <c r="N540">
        <v>1</v>
      </c>
      <c r="O540">
        <v>1</v>
      </c>
      <c r="P540">
        <v>1</v>
      </c>
      <c r="R540">
        <v>27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AA540">
        <v>-5173.6036999999997</v>
      </c>
      <c r="AB540">
        <v>-5173.6036999999997</v>
      </c>
      <c r="AC540">
        <v>-5173.6036999999997</v>
      </c>
      <c r="AD540">
        <v>-5173.6036999999997</v>
      </c>
      <c r="AE540">
        <v>-5173.6036999999997</v>
      </c>
      <c r="AF540">
        <v>-5173.6036999999997</v>
      </c>
    </row>
    <row r="541" spans="2:32" x14ac:dyDescent="0.25">
      <c r="B541">
        <v>28</v>
      </c>
      <c r="C541">
        <v>1</v>
      </c>
      <c r="D541">
        <v>1</v>
      </c>
      <c r="E541">
        <v>1</v>
      </c>
      <c r="F541">
        <v>1</v>
      </c>
      <c r="G541">
        <v>1</v>
      </c>
      <c r="H541">
        <v>1</v>
      </c>
      <c r="J541">
        <v>28</v>
      </c>
      <c r="K541">
        <v>1</v>
      </c>
      <c r="L541">
        <v>1</v>
      </c>
      <c r="M541">
        <v>1</v>
      </c>
      <c r="N541">
        <v>1</v>
      </c>
      <c r="O541">
        <v>1</v>
      </c>
      <c r="P541">
        <v>1</v>
      </c>
      <c r="R541">
        <v>28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AA541">
        <v>-5172.1755999999996</v>
      </c>
      <c r="AB541">
        <v>-5172.1755999999996</v>
      </c>
      <c r="AC541">
        <v>-5172.1755999999996</v>
      </c>
      <c r="AD541">
        <v>-5172.1755999999996</v>
      </c>
      <c r="AE541">
        <v>-5172.1755999999996</v>
      </c>
      <c r="AF541">
        <v>-5172.1755999999996</v>
      </c>
    </row>
    <row r="542" spans="2:32" x14ac:dyDescent="0.25">
      <c r="B542">
        <v>29</v>
      </c>
      <c r="C542">
        <v>1</v>
      </c>
      <c r="D542">
        <v>1</v>
      </c>
      <c r="E542">
        <v>1</v>
      </c>
      <c r="F542">
        <v>1</v>
      </c>
      <c r="G542">
        <v>1</v>
      </c>
      <c r="H542">
        <v>1</v>
      </c>
      <c r="J542">
        <v>29</v>
      </c>
      <c r="K542">
        <v>1</v>
      </c>
      <c r="L542">
        <v>1</v>
      </c>
      <c r="M542">
        <v>1</v>
      </c>
      <c r="N542">
        <v>1</v>
      </c>
      <c r="O542">
        <v>1</v>
      </c>
      <c r="P542">
        <v>1</v>
      </c>
      <c r="R542">
        <v>29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AA542">
        <v>-5170.5482000000002</v>
      </c>
      <c r="AB542">
        <v>-5170.5482000000002</v>
      </c>
      <c r="AC542">
        <v>-5170.5482000000002</v>
      </c>
      <c r="AD542">
        <v>-5170.5482000000002</v>
      </c>
      <c r="AE542">
        <v>-5170.5482000000002</v>
      </c>
      <c r="AF542">
        <v>-5170.5482000000002</v>
      </c>
    </row>
    <row r="543" spans="2:32" x14ac:dyDescent="0.25">
      <c r="B543">
        <v>30</v>
      </c>
      <c r="C543">
        <v>1</v>
      </c>
      <c r="D543">
        <v>1</v>
      </c>
      <c r="E543">
        <v>1</v>
      </c>
      <c r="F543">
        <v>1</v>
      </c>
      <c r="G543">
        <v>1</v>
      </c>
      <c r="H543">
        <v>1</v>
      </c>
      <c r="J543">
        <v>30</v>
      </c>
      <c r="K543">
        <v>1</v>
      </c>
      <c r="L543">
        <v>1</v>
      </c>
      <c r="M543">
        <v>1</v>
      </c>
      <c r="N543">
        <v>1</v>
      </c>
      <c r="O543">
        <v>1</v>
      </c>
      <c r="P543">
        <v>1</v>
      </c>
      <c r="R543">
        <v>30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AA543">
        <v>-5168.6908999999996</v>
      </c>
      <c r="AB543">
        <v>-5168.6908999999996</v>
      </c>
      <c r="AC543">
        <v>-5168.6908999999996</v>
      </c>
      <c r="AD543">
        <v>-5168.6908999999996</v>
      </c>
      <c r="AE543">
        <v>-5168.6908999999996</v>
      </c>
      <c r="AF543">
        <v>-5168.6908999999996</v>
      </c>
    </row>
    <row r="544" spans="2:32" x14ac:dyDescent="0.25">
      <c r="B544">
        <v>31</v>
      </c>
      <c r="C544">
        <v>1</v>
      </c>
      <c r="D544">
        <v>1</v>
      </c>
      <c r="E544">
        <v>1</v>
      </c>
      <c r="F544">
        <v>1</v>
      </c>
      <c r="G544">
        <v>1</v>
      </c>
      <c r="H544">
        <v>1</v>
      </c>
      <c r="J544">
        <v>31</v>
      </c>
      <c r="K544">
        <v>1</v>
      </c>
      <c r="L544">
        <v>1</v>
      </c>
      <c r="M544">
        <v>1</v>
      </c>
      <c r="N544">
        <v>1</v>
      </c>
      <c r="O544">
        <v>1</v>
      </c>
      <c r="P544">
        <v>1</v>
      </c>
      <c r="R544">
        <v>31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AA544">
        <v>-5166.5891000000001</v>
      </c>
      <c r="AB544">
        <v>-5166.5891000000001</v>
      </c>
      <c r="AC544">
        <v>-5166.5891000000001</v>
      </c>
      <c r="AD544">
        <v>-5166.5891000000001</v>
      </c>
      <c r="AE544">
        <v>-5166.5891000000001</v>
      </c>
      <c r="AF544">
        <v>-5166.5891000000001</v>
      </c>
    </row>
    <row r="545" spans="2:32" x14ac:dyDescent="0.25">
      <c r="B545">
        <v>32</v>
      </c>
      <c r="C545">
        <v>1</v>
      </c>
      <c r="D545">
        <v>1</v>
      </c>
      <c r="E545">
        <v>1</v>
      </c>
      <c r="F545">
        <v>1</v>
      </c>
      <c r="G545">
        <v>1</v>
      </c>
      <c r="H545">
        <v>1</v>
      </c>
      <c r="J545">
        <v>32</v>
      </c>
      <c r="K545">
        <v>1</v>
      </c>
      <c r="L545">
        <v>1</v>
      </c>
      <c r="M545">
        <v>1</v>
      </c>
      <c r="N545">
        <v>1</v>
      </c>
      <c r="O545">
        <v>1</v>
      </c>
      <c r="P545">
        <v>1</v>
      </c>
      <c r="R545">
        <v>32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AA545">
        <v>-5164.2407000000003</v>
      </c>
      <c r="AB545">
        <v>-5164.2407000000003</v>
      </c>
      <c r="AC545">
        <v>-5164.2407000000003</v>
      </c>
      <c r="AD545">
        <v>-5164.2407000000003</v>
      </c>
      <c r="AE545">
        <v>-5164.2407000000003</v>
      </c>
      <c r="AF545">
        <v>-5164.2407000000003</v>
      </c>
    </row>
    <row r="546" spans="2:32" x14ac:dyDescent="0.25">
      <c r="B546">
        <v>33</v>
      </c>
      <c r="C546">
        <v>1</v>
      </c>
      <c r="D546">
        <v>1</v>
      </c>
      <c r="E546">
        <v>1</v>
      </c>
      <c r="F546">
        <v>1</v>
      </c>
      <c r="G546">
        <v>1</v>
      </c>
      <c r="H546">
        <v>1</v>
      </c>
      <c r="J546">
        <v>33</v>
      </c>
      <c r="K546">
        <v>1</v>
      </c>
      <c r="L546">
        <v>1</v>
      </c>
      <c r="M546">
        <v>1</v>
      </c>
      <c r="N546">
        <v>1</v>
      </c>
      <c r="O546">
        <v>1</v>
      </c>
      <c r="P546">
        <v>1</v>
      </c>
      <c r="R546">
        <v>33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AA546">
        <v>-5161.6318000000001</v>
      </c>
      <c r="AB546">
        <v>-5161.6318000000001</v>
      </c>
      <c r="AC546">
        <v>-5161.6318000000001</v>
      </c>
      <c r="AD546">
        <v>-5161.6318000000001</v>
      </c>
      <c r="AE546">
        <v>-5161.6318000000001</v>
      </c>
      <c r="AF546">
        <v>-5161.6318000000001</v>
      </c>
    </row>
    <row r="547" spans="2:32" x14ac:dyDescent="0.25">
      <c r="B547">
        <v>34</v>
      </c>
      <c r="C547">
        <v>1</v>
      </c>
      <c r="D547">
        <v>1</v>
      </c>
      <c r="E547">
        <v>1</v>
      </c>
      <c r="F547">
        <v>1</v>
      </c>
      <c r="G547">
        <v>1</v>
      </c>
      <c r="H547">
        <v>1</v>
      </c>
      <c r="J547">
        <v>34</v>
      </c>
      <c r="K547">
        <v>1</v>
      </c>
      <c r="L547">
        <v>1</v>
      </c>
      <c r="M547">
        <v>1</v>
      </c>
      <c r="N547">
        <v>1</v>
      </c>
      <c r="O547">
        <v>1</v>
      </c>
      <c r="P547">
        <v>1</v>
      </c>
      <c r="R547">
        <v>34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AA547">
        <v>-5158.7194</v>
      </c>
      <c r="AB547">
        <v>-5158.7194</v>
      </c>
      <c r="AC547">
        <v>-5158.7194</v>
      </c>
      <c r="AD547">
        <v>-5158.7194</v>
      </c>
      <c r="AE547">
        <v>-5158.7194</v>
      </c>
      <c r="AF547">
        <v>-5158.7194</v>
      </c>
    </row>
    <row r="548" spans="2:32" x14ac:dyDescent="0.25">
      <c r="B548">
        <v>35</v>
      </c>
      <c r="C548">
        <v>1</v>
      </c>
      <c r="D548">
        <v>1</v>
      </c>
      <c r="E548">
        <v>1</v>
      </c>
      <c r="F548">
        <v>1</v>
      </c>
      <c r="G548">
        <v>1</v>
      </c>
      <c r="H548">
        <v>1</v>
      </c>
      <c r="J548">
        <v>35</v>
      </c>
      <c r="K548">
        <v>1</v>
      </c>
      <c r="L548">
        <v>1</v>
      </c>
      <c r="M548">
        <v>1</v>
      </c>
      <c r="N548">
        <v>1</v>
      </c>
      <c r="O548">
        <v>1</v>
      </c>
      <c r="P548">
        <v>1</v>
      </c>
      <c r="R548">
        <v>35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AA548">
        <v>-5155.4901</v>
      </c>
      <c r="AB548">
        <v>-5155.4901</v>
      </c>
      <c r="AC548">
        <v>-5155.4901</v>
      </c>
      <c r="AD548">
        <v>-5155.4901</v>
      </c>
      <c r="AE548">
        <v>-5155.4901</v>
      </c>
      <c r="AF548">
        <v>-5155.4901</v>
      </c>
    </row>
    <row r="549" spans="2:32" x14ac:dyDescent="0.25">
      <c r="B549">
        <v>36</v>
      </c>
      <c r="C549">
        <v>1</v>
      </c>
      <c r="D549">
        <v>1</v>
      </c>
      <c r="E549">
        <v>1</v>
      </c>
      <c r="F549">
        <v>1</v>
      </c>
      <c r="G549">
        <v>1</v>
      </c>
      <c r="H549">
        <v>1</v>
      </c>
      <c r="J549">
        <v>36</v>
      </c>
      <c r="K549">
        <v>1</v>
      </c>
      <c r="L549">
        <v>1</v>
      </c>
      <c r="M549">
        <v>1</v>
      </c>
      <c r="N549">
        <v>1</v>
      </c>
      <c r="O549">
        <v>1</v>
      </c>
      <c r="P549">
        <v>1</v>
      </c>
      <c r="R549">
        <v>36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AA549">
        <v>-5151.8950999999997</v>
      </c>
      <c r="AB549">
        <v>-5151.8950999999997</v>
      </c>
      <c r="AC549">
        <v>-5151.8950999999997</v>
      </c>
      <c r="AD549">
        <v>-5151.8950999999997</v>
      </c>
      <c r="AE549">
        <v>-5151.8950999999997</v>
      </c>
      <c r="AF549">
        <v>-5151.8950999999997</v>
      </c>
    </row>
    <row r="550" spans="2:32" x14ac:dyDescent="0.25">
      <c r="B550">
        <v>37</v>
      </c>
      <c r="C550">
        <v>1</v>
      </c>
      <c r="D550">
        <v>1</v>
      </c>
      <c r="E550">
        <v>1</v>
      </c>
      <c r="F550">
        <v>1</v>
      </c>
      <c r="G550">
        <v>1</v>
      </c>
      <c r="H550">
        <v>1</v>
      </c>
      <c r="J550">
        <v>37</v>
      </c>
      <c r="K550">
        <v>1</v>
      </c>
      <c r="L550">
        <v>1</v>
      </c>
      <c r="M550">
        <v>1</v>
      </c>
      <c r="N550">
        <v>1</v>
      </c>
      <c r="O550">
        <v>1</v>
      </c>
      <c r="P550">
        <v>1</v>
      </c>
      <c r="R550">
        <v>37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AA550">
        <v>-5147.9106000000002</v>
      </c>
      <c r="AB550">
        <v>-5147.9106000000002</v>
      </c>
      <c r="AC550">
        <v>-5147.9106000000002</v>
      </c>
      <c r="AD550">
        <v>-5147.9106000000002</v>
      </c>
      <c r="AE550">
        <v>-5147.9106000000002</v>
      </c>
      <c r="AF550">
        <v>-5147.9106000000002</v>
      </c>
    </row>
    <row r="551" spans="2:32" x14ac:dyDescent="0.25">
      <c r="B551">
        <v>38</v>
      </c>
      <c r="C551">
        <v>1</v>
      </c>
      <c r="D551">
        <v>1</v>
      </c>
      <c r="E551">
        <v>1</v>
      </c>
      <c r="F551">
        <v>1</v>
      </c>
      <c r="G551">
        <v>1</v>
      </c>
      <c r="H551">
        <v>1</v>
      </c>
      <c r="J551">
        <v>38</v>
      </c>
      <c r="K551">
        <v>1</v>
      </c>
      <c r="L551">
        <v>1</v>
      </c>
      <c r="M551">
        <v>1</v>
      </c>
      <c r="N551">
        <v>1</v>
      </c>
      <c r="O551">
        <v>1</v>
      </c>
      <c r="P551">
        <v>1</v>
      </c>
      <c r="R551">
        <v>38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AA551">
        <v>-5143.5393999999997</v>
      </c>
      <c r="AB551">
        <v>-5143.5393999999997</v>
      </c>
      <c r="AC551">
        <v>-5143.5393999999997</v>
      </c>
      <c r="AD551">
        <v>-5143.5393999999997</v>
      </c>
      <c r="AE551">
        <v>-5143.5393999999997</v>
      </c>
      <c r="AF551">
        <v>-5143.5393999999997</v>
      </c>
    </row>
    <row r="552" spans="2:32" x14ac:dyDescent="0.25">
      <c r="B552">
        <v>39</v>
      </c>
      <c r="C552">
        <v>1</v>
      </c>
      <c r="D552">
        <v>1</v>
      </c>
      <c r="E552">
        <v>1</v>
      </c>
      <c r="F552">
        <v>1</v>
      </c>
      <c r="G552">
        <v>1</v>
      </c>
      <c r="H552">
        <v>1</v>
      </c>
      <c r="J552">
        <v>39</v>
      </c>
      <c r="K552">
        <v>1</v>
      </c>
      <c r="L552">
        <v>1</v>
      </c>
      <c r="M552">
        <v>1</v>
      </c>
      <c r="N552">
        <v>1</v>
      </c>
      <c r="O552">
        <v>1</v>
      </c>
      <c r="P552">
        <v>1</v>
      </c>
      <c r="R552">
        <v>39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AA552">
        <v>-5138.76</v>
      </c>
      <c r="AB552">
        <v>-5138.76</v>
      </c>
      <c r="AC552">
        <v>-5138.76</v>
      </c>
      <c r="AD552">
        <v>-5138.76</v>
      </c>
      <c r="AE552">
        <v>-5138.76</v>
      </c>
      <c r="AF552">
        <v>-5138.76</v>
      </c>
    </row>
    <row r="553" spans="2:32" x14ac:dyDescent="0.25">
      <c r="B553">
        <v>40</v>
      </c>
      <c r="C553">
        <v>1</v>
      </c>
      <c r="D553">
        <v>1</v>
      </c>
      <c r="E553">
        <v>1</v>
      </c>
      <c r="F553">
        <v>1</v>
      </c>
      <c r="G553">
        <v>1</v>
      </c>
      <c r="H553">
        <v>1</v>
      </c>
      <c r="J553">
        <v>40</v>
      </c>
      <c r="K553">
        <v>1</v>
      </c>
      <c r="L553">
        <v>1</v>
      </c>
      <c r="M553">
        <v>1</v>
      </c>
      <c r="N553">
        <v>1</v>
      </c>
      <c r="O553">
        <v>1</v>
      </c>
      <c r="P553">
        <v>1</v>
      </c>
      <c r="R553">
        <v>40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AA553">
        <v>-5133.5084999999999</v>
      </c>
      <c r="AB553">
        <v>-5133.5084999999999</v>
      </c>
      <c r="AC553">
        <v>-5133.5084999999999</v>
      </c>
      <c r="AD553">
        <v>-5133.5084999999999</v>
      </c>
      <c r="AE553">
        <v>-5133.5084999999999</v>
      </c>
      <c r="AF553">
        <v>-5133.5084999999999</v>
      </c>
    </row>
    <row r="554" spans="2:32" x14ac:dyDescent="0.25">
      <c r="B554">
        <v>41</v>
      </c>
      <c r="C554">
        <v>1</v>
      </c>
      <c r="D554">
        <v>1</v>
      </c>
      <c r="E554">
        <v>1</v>
      </c>
      <c r="F554">
        <v>1</v>
      </c>
      <c r="G554">
        <v>1</v>
      </c>
      <c r="H554">
        <v>1</v>
      </c>
      <c r="J554">
        <v>41</v>
      </c>
      <c r="K554">
        <v>1</v>
      </c>
      <c r="L554">
        <v>1</v>
      </c>
      <c r="M554">
        <v>1</v>
      </c>
      <c r="N554">
        <v>1</v>
      </c>
      <c r="O554">
        <v>1</v>
      </c>
      <c r="P554">
        <v>1</v>
      </c>
      <c r="R554">
        <v>41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AA554">
        <v>-5127.7236000000003</v>
      </c>
      <c r="AB554">
        <v>-5127.7236000000003</v>
      </c>
      <c r="AC554">
        <v>-5127.7236000000003</v>
      </c>
      <c r="AD554">
        <v>-5127.7236000000003</v>
      </c>
      <c r="AE554">
        <v>-5127.7236000000003</v>
      </c>
      <c r="AF554">
        <v>-5127.7236000000003</v>
      </c>
    </row>
    <row r="555" spans="2:32" x14ac:dyDescent="0.25">
      <c r="B555">
        <v>42</v>
      </c>
      <c r="C555">
        <v>1</v>
      </c>
      <c r="D555">
        <v>1</v>
      </c>
      <c r="E555">
        <v>1</v>
      </c>
      <c r="F555">
        <v>1</v>
      </c>
      <c r="G555">
        <v>1</v>
      </c>
      <c r="H555">
        <v>1</v>
      </c>
      <c r="J555">
        <v>42</v>
      </c>
      <c r="K555">
        <v>1</v>
      </c>
      <c r="L555">
        <v>1</v>
      </c>
      <c r="M555">
        <v>1</v>
      </c>
      <c r="N555">
        <v>1</v>
      </c>
      <c r="O555">
        <v>1</v>
      </c>
      <c r="P555">
        <v>1</v>
      </c>
      <c r="R555">
        <v>42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AA555">
        <v>-5121.3726999999999</v>
      </c>
      <c r="AB555">
        <v>-5121.3726999999999</v>
      </c>
      <c r="AC555">
        <v>-5121.3726999999999</v>
      </c>
      <c r="AD555">
        <v>-5121.3726999999999</v>
      </c>
      <c r="AE555">
        <v>-5121.3726999999999</v>
      </c>
      <c r="AF555">
        <v>-5121.3726999999999</v>
      </c>
    </row>
    <row r="556" spans="2:32" x14ac:dyDescent="0.25">
      <c r="B556">
        <v>43</v>
      </c>
      <c r="C556">
        <v>1</v>
      </c>
      <c r="D556">
        <v>1</v>
      </c>
      <c r="E556">
        <v>1</v>
      </c>
      <c r="F556">
        <v>1</v>
      </c>
      <c r="G556">
        <v>1</v>
      </c>
      <c r="H556">
        <v>1</v>
      </c>
      <c r="J556">
        <v>43</v>
      </c>
      <c r="K556">
        <v>1</v>
      </c>
      <c r="L556">
        <v>1</v>
      </c>
      <c r="M556">
        <v>1</v>
      </c>
      <c r="N556">
        <v>1</v>
      </c>
      <c r="O556">
        <v>1</v>
      </c>
      <c r="P556">
        <v>1</v>
      </c>
      <c r="R556">
        <v>43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AA556">
        <v>-5114.3449000000001</v>
      </c>
      <c r="AB556">
        <v>-5114.3449000000001</v>
      </c>
      <c r="AC556">
        <v>-5114.3449000000001</v>
      </c>
      <c r="AD556">
        <v>-5114.3449000000001</v>
      </c>
      <c r="AE556">
        <v>-5114.3449000000001</v>
      </c>
      <c r="AF556">
        <v>-5114.3449000000001</v>
      </c>
    </row>
    <row r="557" spans="2:32" x14ac:dyDescent="0.25">
      <c r="B557">
        <v>44</v>
      </c>
      <c r="C557">
        <v>1</v>
      </c>
      <c r="D557">
        <v>1</v>
      </c>
      <c r="E557">
        <v>1</v>
      </c>
      <c r="F557">
        <v>1</v>
      </c>
      <c r="G557">
        <v>1</v>
      </c>
      <c r="H557">
        <v>1</v>
      </c>
      <c r="J557">
        <v>44</v>
      </c>
      <c r="K557">
        <v>1</v>
      </c>
      <c r="L557">
        <v>1</v>
      </c>
      <c r="M557">
        <v>1</v>
      </c>
      <c r="N557">
        <v>1</v>
      </c>
      <c r="O557">
        <v>1</v>
      </c>
      <c r="P557">
        <v>1</v>
      </c>
      <c r="R557">
        <v>44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AA557">
        <v>-5106.5976000000001</v>
      </c>
      <c r="AB557">
        <v>-5106.5976000000001</v>
      </c>
      <c r="AC557">
        <v>-5106.5976000000001</v>
      </c>
      <c r="AD557">
        <v>-5106.5976000000001</v>
      </c>
      <c r="AE557">
        <v>-5106.5976000000001</v>
      </c>
      <c r="AF557">
        <v>-5106.5976000000001</v>
      </c>
    </row>
    <row r="558" spans="2:32" x14ac:dyDescent="0.25">
      <c r="B558">
        <v>45</v>
      </c>
      <c r="C558">
        <v>1</v>
      </c>
      <c r="D558">
        <v>1</v>
      </c>
      <c r="E558">
        <v>1</v>
      </c>
      <c r="F558">
        <v>1</v>
      </c>
      <c r="G558">
        <v>1</v>
      </c>
      <c r="H558">
        <v>1</v>
      </c>
      <c r="J558">
        <v>45</v>
      </c>
      <c r="K558">
        <v>1</v>
      </c>
      <c r="L558">
        <v>1</v>
      </c>
      <c r="M558">
        <v>1</v>
      </c>
      <c r="N558">
        <v>1</v>
      </c>
      <c r="O558">
        <v>1</v>
      </c>
      <c r="P558">
        <v>1</v>
      </c>
      <c r="R558">
        <v>45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AA558">
        <v>-5098.0524999999998</v>
      </c>
      <c r="AB558">
        <v>-5098.0524999999998</v>
      </c>
      <c r="AC558">
        <v>-5098.0524999999998</v>
      </c>
      <c r="AD558">
        <v>-5098.0524999999998</v>
      </c>
      <c r="AE558">
        <v>-5098.0524999999998</v>
      </c>
      <c r="AF558">
        <v>-5098.0524999999998</v>
      </c>
    </row>
    <row r="559" spans="2:32" x14ac:dyDescent="0.25">
      <c r="B559">
        <v>46</v>
      </c>
      <c r="C559">
        <v>1</v>
      </c>
      <c r="D559">
        <v>1</v>
      </c>
      <c r="E559">
        <v>1</v>
      </c>
      <c r="F559">
        <v>1</v>
      </c>
      <c r="G559">
        <v>1</v>
      </c>
      <c r="H559">
        <v>1</v>
      </c>
      <c r="J559">
        <v>46</v>
      </c>
      <c r="K559">
        <v>1</v>
      </c>
      <c r="L559">
        <v>1</v>
      </c>
      <c r="M559">
        <v>1</v>
      </c>
      <c r="N559">
        <v>1</v>
      </c>
      <c r="O559">
        <v>1</v>
      </c>
      <c r="P559">
        <v>1</v>
      </c>
      <c r="R559">
        <v>46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AA559">
        <v>-5088.6378000000004</v>
      </c>
      <c r="AB559">
        <v>-5088.6378000000004</v>
      </c>
      <c r="AC559">
        <v>-5088.6378000000004</v>
      </c>
      <c r="AD559">
        <v>-5088.6378000000004</v>
      </c>
      <c r="AE559">
        <v>-5088.6378000000004</v>
      </c>
      <c r="AF559">
        <v>-5088.6378000000004</v>
      </c>
    </row>
    <row r="560" spans="2:32" x14ac:dyDescent="0.25">
      <c r="B560">
        <v>47</v>
      </c>
      <c r="C560">
        <v>1</v>
      </c>
      <c r="D560">
        <v>1</v>
      </c>
      <c r="E560">
        <v>1</v>
      </c>
      <c r="F560">
        <v>1</v>
      </c>
      <c r="G560">
        <v>1</v>
      </c>
      <c r="H560">
        <v>1</v>
      </c>
      <c r="J560">
        <v>47</v>
      </c>
      <c r="K560">
        <v>1</v>
      </c>
      <c r="L560">
        <v>1</v>
      </c>
      <c r="M560">
        <v>1</v>
      </c>
      <c r="N560">
        <v>1</v>
      </c>
      <c r="O560">
        <v>1</v>
      </c>
      <c r="P560">
        <v>1</v>
      </c>
      <c r="R560">
        <v>47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AA560">
        <v>-5078.2593999999999</v>
      </c>
      <c r="AB560">
        <v>-5078.2593999999999</v>
      </c>
      <c r="AC560">
        <v>-5078.2593999999999</v>
      </c>
      <c r="AD560">
        <v>-5078.2593999999999</v>
      </c>
      <c r="AE560">
        <v>-5078.2593999999999</v>
      </c>
      <c r="AF560">
        <v>-5078.2593999999999</v>
      </c>
    </row>
    <row r="561" spans="2:32" x14ac:dyDescent="0.25">
      <c r="B561">
        <v>48</v>
      </c>
      <c r="C561">
        <v>1</v>
      </c>
      <c r="D561">
        <v>1</v>
      </c>
      <c r="E561">
        <v>1</v>
      </c>
      <c r="F561">
        <v>1</v>
      </c>
      <c r="G561">
        <v>1</v>
      </c>
      <c r="H561">
        <v>1</v>
      </c>
      <c r="J561">
        <v>48</v>
      </c>
      <c r="K561">
        <v>1</v>
      </c>
      <c r="L561">
        <v>1</v>
      </c>
      <c r="M561">
        <v>1</v>
      </c>
      <c r="N561">
        <v>1</v>
      </c>
      <c r="O561">
        <v>1</v>
      </c>
      <c r="P561">
        <v>1</v>
      </c>
      <c r="R561">
        <v>48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AA561">
        <v>-5066.8732</v>
      </c>
      <c r="AB561">
        <v>-5066.8732</v>
      </c>
      <c r="AC561">
        <v>-5066.8732</v>
      </c>
      <c r="AD561">
        <v>-5066.8732</v>
      </c>
      <c r="AE561">
        <v>-5066.8732</v>
      </c>
      <c r="AF561">
        <v>-5066.8732</v>
      </c>
    </row>
    <row r="562" spans="2:32" x14ac:dyDescent="0.25">
      <c r="B562">
        <v>49</v>
      </c>
      <c r="C562">
        <v>1</v>
      </c>
      <c r="D562">
        <v>1</v>
      </c>
      <c r="E562">
        <v>1</v>
      </c>
      <c r="F562">
        <v>1</v>
      </c>
      <c r="G562">
        <v>1</v>
      </c>
      <c r="H562">
        <v>1</v>
      </c>
      <c r="J562">
        <v>49</v>
      </c>
      <c r="K562">
        <v>1</v>
      </c>
      <c r="L562">
        <v>1</v>
      </c>
      <c r="M562">
        <v>1</v>
      </c>
      <c r="N562">
        <v>1</v>
      </c>
      <c r="O562">
        <v>1</v>
      </c>
      <c r="P562">
        <v>1</v>
      </c>
      <c r="R562">
        <v>49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AA562">
        <v>-5054.4124000000002</v>
      </c>
      <c r="AB562">
        <v>-5054.4124000000002</v>
      </c>
      <c r="AC562">
        <v>-5054.4124000000002</v>
      </c>
      <c r="AD562">
        <v>-5054.4124000000002</v>
      </c>
      <c r="AE562">
        <v>-5054.4124000000002</v>
      </c>
      <c r="AF562">
        <v>-5054.4124000000002</v>
      </c>
    </row>
    <row r="563" spans="2:32" x14ac:dyDescent="0.25">
      <c r="B563">
        <v>50</v>
      </c>
      <c r="C563">
        <v>1</v>
      </c>
      <c r="D563">
        <v>1</v>
      </c>
      <c r="E563">
        <v>1</v>
      </c>
      <c r="F563">
        <v>1</v>
      </c>
      <c r="G563">
        <v>1</v>
      </c>
      <c r="H563">
        <v>1</v>
      </c>
      <c r="J563">
        <v>50</v>
      </c>
      <c r="K563">
        <v>1</v>
      </c>
      <c r="L563">
        <v>1</v>
      </c>
      <c r="M563">
        <v>1</v>
      </c>
      <c r="N563">
        <v>1</v>
      </c>
      <c r="O563">
        <v>1</v>
      </c>
      <c r="P563">
        <v>1</v>
      </c>
      <c r="R563">
        <v>50</v>
      </c>
      <c r="S563">
        <v>1</v>
      </c>
      <c r="T563">
        <v>1</v>
      </c>
      <c r="U563">
        <v>1</v>
      </c>
      <c r="V563">
        <v>1</v>
      </c>
      <c r="W563">
        <v>1</v>
      </c>
      <c r="X563">
        <v>1</v>
      </c>
      <c r="AA563">
        <v>-5040.7671</v>
      </c>
      <c r="AB563">
        <v>-5040.7671</v>
      </c>
      <c r="AC563">
        <v>-5040.7671</v>
      </c>
      <c r="AD563">
        <v>-5040.7671</v>
      </c>
      <c r="AE563">
        <v>-5040.7671</v>
      </c>
      <c r="AF563">
        <v>-5040.7671</v>
      </c>
    </row>
    <row r="564" spans="2:32" x14ac:dyDescent="0.25">
      <c r="B564">
        <v>51</v>
      </c>
      <c r="C564">
        <v>1</v>
      </c>
      <c r="D564">
        <v>1</v>
      </c>
      <c r="E564">
        <v>1</v>
      </c>
      <c r="F564">
        <v>1</v>
      </c>
      <c r="G564">
        <v>1</v>
      </c>
      <c r="H564">
        <v>1</v>
      </c>
      <c r="J564">
        <v>51</v>
      </c>
      <c r="K564">
        <v>1</v>
      </c>
      <c r="L564">
        <v>1</v>
      </c>
      <c r="M564">
        <v>1</v>
      </c>
      <c r="N564">
        <v>1</v>
      </c>
      <c r="O564">
        <v>1</v>
      </c>
      <c r="P564">
        <v>1</v>
      </c>
      <c r="R564">
        <v>51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AA564">
        <v>-5025.8329000000003</v>
      </c>
      <c r="AB564">
        <v>-5025.8329000000003</v>
      </c>
      <c r="AC564">
        <v>-5025.8329000000003</v>
      </c>
      <c r="AD564">
        <v>-5025.8329000000003</v>
      </c>
      <c r="AE564">
        <v>-5025.8329000000003</v>
      </c>
      <c r="AF564">
        <v>-5025.8329000000003</v>
      </c>
    </row>
    <row r="565" spans="2:32" x14ac:dyDescent="0.25">
      <c r="B565">
        <v>52</v>
      </c>
      <c r="C565">
        <v>1</v>
      </c>
      <c r="D565">
        <v>1</v>
      </c>
      <c r="E565">
        <v>1</v>
      </c>
      <c r="F565">
        <v>1</v>
      </c>
      <c r="G565">
        <v>1</v>
      </c>
      <c r="H565">
        <v>1</v>
      </c>
      <c r="J565">
        <v>52</v>
      </c>
      <c r="K565">
        <v>1</v>
      </c>
      <c r="L565">
        <v>1</v>
      </c>
      <c r="M565">
        <v>1</v>
      </c>
      <c r="N565">
        <v>1</v>
      </c>
      <c r="O565">
        <v>1</v>
      </c>
      <c r="P565">
        <v>1</v>
      </c>
      <c r="R565">
        <v>52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AA565">
        <v>-5009.4771000000001</v>
      </c>
      <c r="AB565">
        <v>-5009.4771000000001</v>
      </c>
      <c r="AC565">
        <v>-5009.4771000000001</v>
      </c>
      <c r="AD565">
        <v>-5009.4771000000001</v>
      </c>
      <c r="AE565">
        <v>-5009.4771000000001</v>
      </c>
      <c r="AF565">
        <v>-5009.4771000000001</v>
      </c>
    </row>
    <row r="566" spans="2:32" x14ac:dyDescent="0.25">
      <c r="B566">
        <v>53</v>
      </c>
      <c r="C566">
        <v>1</v>
      </c>
      <c r="D566">
        <v>1</v>
      </c>
      <c r="E566">
        <v>1</v>
      </c>
      <c r="F566">
        <v>1</v>
      </c>
      <c r="G566">
        <v>1</v>
      </c>
      <c r="H566">
        <v>1</v>
      </c>
      <c r="J566">
        <v>53</v>
      </c>
      <c r="K566">
        <v>1</v>
      </c>
      <c r="L566">
        <v>1</v>
      </c>
      <c r="M566">
        <v>1</v>
      </c>
      <c r="N566">
        <v>1</v>
      </c>
      <c r="O566">
        <v>1</v>
      </c>
      <c r="P566">
        <v>1</v>
      </c>
      <c r="R566">
        <v>53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AA566">
        <v>-4991.6184000000003</v>
      </c>
      <c r="AB566">
        <v>-4991.6184000000003</v>
      </c>
      <c r="AC566">
        <v>-4991.6184000000003</v>
      </c>
      <c r="AD566">
        <v>-4991.6184000000003</v>
      </c>
      <c r="AE566">
        <v>-4991.6184000000003</v>
      </c>
      <c r="AF566">
        <v>-4991.6184000000003</v>
      </c>
    </row>
    <row r="567" spans="2:32" x14ac:dyDescent="0.25">
      <c r="B567">
        <v>54</v>
      </c>
      <c r="C567">
        <v>1</v>
      </c>
      <c r="D567">
        <v>1</v>
      </c>
      <c r="E567">
        <v>1</v>
      </c>
      <c r="F567">
        <v>1</v>
      </c>
      <c r="G567">
        <v>1</v>
      </c>
      <c r="H567">
        <v>1</v>
      </c>
      <c r="J567">
        <v>54</v>
      </c>
      <c r="K567">
        <v>1</v>
      </c>
      <c r="L567">
        <v>1</v>
      </c>
      <c r="M567">
        <v>1</v>
      </c>
      <c r="N567">
        <v>1</v>
      </c>
      <c r="O567">
        <v>1</v>
      </c>
      <c r="P567">
        <v>1</v>
      </c>
      <c r="R567">
        <v>54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AA567">
        <v>-4972.1588000000002</v>
      </c>
      <c r="AB567">
        <v>-4972.1588000000002</v>
      </c>
      <c r="AC567">
        <v>-4972.1588000000002</v>
      </c>
      <c r="AD567">
        <v>-4972.1588000000002</v>
      </c>
      <c r="AE567">
        <v>-4972.1588000000002</v>
      </c>
      <c r="AF567">
        <v>-4972.1588000000002</v>
      </c>
    </row>
    <row r="568" spans="2:32" x14ac:dyDescent="0.25">
      <c r="B568">
        <v>55</v>
      </c>
      <c r="C568">
        <v>1</v>
      </c>
      <c r="D568">
        <v>1</v>
      </c>
      <c r="E568">
        <v>1</v>
      </c>
      <c r="F568">
        <v>1</v>
      </c>
      <c r="G568">
        <v>1</v>
      </c>
      <c r="H568">
        <v>1</v>
      </c>
      <c r="J568">
        <v>55</v>
      </c>
      <c r="K568">
        <v>1</v>
      </c>
      <c r="L568">
        <v>1</v>
      </c>
      <c r="M568">
        <v>1</v>
      </c>
      <c r="N568">
        <v>1</v>
      </c>
      <c r="O568">
        <v>1</v>
      </c>
      <c r="P568">
        <v>1</v>
      </c>
      <c r="R568">
        <v>55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AA568">
        <v>-4950.9426000000003</v>
      </c>
      <c r="AB568">
        <v>-4950.9426000000003</v>
      </c>
      <c r="AC568">
        <v>-4950.9426000000003</v>
      </c>
      <c r="AD568">
        <v>-4950.9426000000003</v>
      </c>
      <c r="AE568">
        <v>-4950.9426000000003</v>
      </c>
      <c r="AF568">
        <v>-4950.9426000000003</v>
      </c>
    </row>
    <row r="571" spans="2:32" x14ac:dyDescent="0.25">
      <c r="B571" t="s">
        <v>46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32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48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2:32" x14ac:dyDescent="0.25">
      <c r="B572">
        <v>35</v>
      </c>
      <c r="C572">
        <v>1</v>
      </c>
      <c r="D572">
        <v>1</v>
      </c>
      <c r="E572">
        <v>1</v>
      </c>
      <c r="F572">
        <v>1</v>
      </c>
      <c r="G572">
        <v>1</v>
      </c>
      <c r="J572">
        <v>35</v>
      </c>
      <c r="K572">
        <v>1</v>
      </c>
      <c r="L572">
        <v>1</v>
      </c>
      <c r="M572">
        <v>1</v>
      </c>
      <c r="N572">
        <v>1</v>
      </c>
      <c r="O572">
        <v>1</v>
      </c>
      <c r="R572">
        <v>35</v>
      </c>
      <c r="S572">
        <v>1</v>
      </c>
      <c r="T572">
        <v>1</v>
      </c>
      <c r="U572">
        <v>1</v>
      </c>
      <c r="V572">
        <v>1</v>
      </c>
      <c r="W572">
        <v>1</v>
      </c>
      <c r="AA572">
        <v>-8996.1419000000005</v>
      </c>
      <c r="AB572">
        <v>-8996.1419000000005</v>
      </c>
      <c r="AC572">
        <v>-8996.1419000000005</v>
      </c>
      <c r="AD572">
        <v>-8996.1419000000005</v>
      </c>
      <c r="AE572">
        <v>-8996.1419000000005</v>
      </c>
      <c r="AF572">
        <v>-759112.79520000005</v>
      </c>
    </row>
    <row r="573" spans="2:32" x14ac:dyDescent="0.25">
      <c r="B573">
        <f t="shared" ref="B573:B602" si="24">B572+1</f>
        <v>36</v>
      </c>
      <c r="C573">
        <v>1</v>
      </c>
      <c r="D573">
        <v>1</v>
      </c>
      <c r="E573">
        <v>1</v>
      </c>
      <c r="F573">
        <v>1</v>
      </c>
      <c r="G573">
        <v>1</v>
      </c>
      <c r="J573">
        <f t="shared" ref="J573:J602" si="25">J572+1</f>
        <v>36</v>
      </c>
      <c r="K573">
        <v>1</v>
      </c>
      <c r="L573">
        <v>1</v>
      </c>
      <c r="M573">
        <v>1</v>
      </c>
      <c r="N573">
        <v>1</v>
      </c>
      <c r="O573">
        <v>1</v>
      </c>
      <c r="R573">
        <f t="shared" ref="R573:R602" si="26">R572+1</f>
        <v>36</v>
      </c>
      <c r="S573">
        <v>1</v>
      </c>
      <c r="T573">
        <v>1</v>
      </c>
      <c r="U573">
        <v>1</v>
      </c>
      <c r="V573">
        <v>1</v>
      </c>
      <c r="W573">
        <v>1</v>
      </c>
      <c r="AA573">
        <v>-8902.6679999999997</v>
      </c>
      <c r="AB573">
        <v>-8902.6679999999997</v>
      </c>
      <c r="AC573">
        <v>-8902.6679999999997</v>
      </c>
      <c r="AD573">
        <v>-8902.6679999999997</v>
      </c>
      <c r="AE573">
        <v>-8902.6679999999997</v>
      </c>
      <c r="AF573">
        <v>-737070.86179999996</v>
      </c>
    </row>
    <row r="574" spans="2:32" x14ac:dyDescent="0.25">
      <c r="B574">
        <f t="shared" si="24"/>
        <v>37</v>
      </c>
      <c r="C574">
        <v>1</v>
      </c>
      <c r="D574">
        <v>1</v>
      </c>
      <c r="E574">
        <v>1</v>
      </c>
      <c r="F574">
        <v>1</v>
      </c>
      <c r="G574">
        <v>1</v>
      </c>
      <c r="J574">
        <f t="shared" si="25"/>
        <v>37</v>
      </c>
      <c r="K574">
        <v>1</v>
      </c>
      <c r="L574">
        <v>1</v>
      </c>
      <c r="M574">
        <v>1</v>
      </c>
      <c r="N574">
        <v>1</v>
      </c>
      <c r="O574">
        <v>1</v>
      </c>
      <c r="R574">
        <f t="shared" si="26"/>
        <v>37</v>
      </c>
      <c r="S574">
        <v>1</v>
      </c>
      <c r="T574">
        <v>1</v>
      </c>
      <c r="U574">
        <v>1</v>
      </c>
      <c r="V574">
        <v>1</v>
      </c>
      <c r="W574">
        <v>1</v>
      </c>
      <c r="AA574">
        <v>-8806.7960000000003</v>
      </c>
      <c r="AB574">
        <v>-8806.7960000000003</v>
      </c>
      <c r="AC574">
        <v>-8806.7960000000003</v>
      </c>
      <c r="AD574">
        <v>-8806.7960000000003</v>
      </c>
      <c r="AE574">
        <v>-8806.7960000000003</v>
      </c>
      <c r="AF574">
        <v>-765978.91940000001</v>
      </c>
    </row>
    <row r="575" spans="2:32" x14ac:dyDescent="0.25">
      <c r="B575">
        <f t="shared" si="24"/>
        <v>38</v>
      </c>
      <c r="C575">
        <v>1</v>
      </c>
      <c r="D575">
        <v>1</v>
      </c>
      <c r="E575">
        <v>1</v>
      </c>
      <c r="F575">
        <v>1</v>
      </c>
      <c r="G575">
        <v>1</v>
      </c>
      <c r="J575">
        <f t="shared" si="25"/>
        <v>38</v>
      </c>
      <c r="K575">
        <v>1</v>
      </c>
      <c r="L575">
        <v>1</v>
      </c>
      <c r="M575">
        <v>1</v>
      </c>
      <c r="N575">
        <v>1</v>
      </c>
      <c r="O575">
        <v>1</v>
      </c>
      <c r="R575">
        <f t="shared" si="26"/>
        <v>38</v>
      </c>
      <c r="S575">
        <v>1</v>
      </c>
      <c r="T575">
        <v>1</v>
      </c>
      <c r="U575">
        <v>1</v>
      </c>
      <c r="V575">
        <v>1</v>
      </c>
      <c r="W575">
        <v>1</v>
      </c>
      <c r="AA575">
        <v>-8708.6234000000004</v>
      </c>
      <c r="AB575">
        <v>-8708.6234000000004</v>
      </c>
      <c r="AC575">
        <v>-8708.6234000000004</v>
      </c>
      <c r="AD575">
        <v>-8708.6234000000004</v>
      </c>
      <c r="AE575">
        <v>-8708.6234000000004</v>
      </c>
      <c r="AF575">
        <v>-783780.576</v>
      </c>
    </row>
    <row r="576" spans="2:32" x14ac:dyDescent="0.25">
      <c r="B576">
        <f t="shared" si="24"/>
        <v>39</v>
      </c>
      <c r="C576">
        <v>1</v>
      </c>
      <c r="D576">
        <v>1</v>
      </c>
      <c r="E576">
        <v>1</v>
      </c>
      <c r="F576">
        <v>1</v>
      </c>
      <c r="G576">
        <v>1</v>
      </c>
      <c r="J576">
        <f t="shared" si="25"/>
        <v>39</v>
      </c>
      <c r="K576">
        <v>1</v>
      </c>
      <c r="L576">
        <v>1</v>
      </c>
      <c r="M576">
        <v>1</v>
      </c>
      <c r="N576">
        <v>1</v>
      </c>
      <c r="O576">
        <v>1</v>
      </c>
      <c r="R576">
        <f t="shared" si="26"/>
        <v>39</v>
      </c>
      <c r="S576">
        <v>1</v>
      </c>
      <c r="T576">
        <v>1</v>
      </c>
      <c r="U576">
        <v>1</v>
      </c>
      <c r="V576">
        <v>1</v>
      </c>
      <c r="W576">
        <v>1</v>
      </c>
      <c r="AA576">
        <v>-8608.1594000000005</v>
      </c>
      <c r="AB576">
        <v>-8608.1594000000005</v>
      </c>
      <c r="AC576">
        <v>-8608.1594000000005</v>
      </c>
      <c r="AD576">
        <v>-8608.1594000000005</v>
      </c>
      <c r="AE576">
        <v>-8608.1594000000005</v>
      </c>
      <c r="AF576">
        <v>-769662.22069999995</v>
      </c>
    </row>
    <row r="577" spans="2:32" x14ac:dyDescent="0.25">
      <c r="B577">
        <f t="shared" si="24"/>
        <v>40</v>
      </c>
      <c r="C577">
        <v>1</v>
      </c>
      <c r="D577">
        <v>1</v>
      </c>
      <c r="E577">
        <v>1</v>
      </c>
      <c r="F577">
        <v>1</v>
      </c>
      <c r="G577">
        <v>1</v>
      </c>
      <c r="J577">
        <f t="shared" si="25"/>
        <v>40</v>
      </c>
      <c r="K577">
        <v>1</v>
      </c>
      <c r="L577">
        <v>1</v>
      </c>
      <c r="M577">
        <v>1</v>
      </c>
      <c r="N577">
        <v>1</v>
      </c>
      <c r="O577">
        <v>1</v>
      </c>
      <c r="R577">
        <f t="shared" si="26"/>
        <v>40</v>
      </c>
      <c r="S577">
        <v>1</v>
      </c>
      <c r="T577">
        <v>1</v>
      </c>
      <c r="U577">
        <v>1</v>
      </c>
      <c r="V577">
        <v>1</v>
      </c>
      <c r="W577">
        <v>1</v>
      </c>
      <c r="AA577">
        <v>-8505.3439999999991</v>
      </c>
      <c r="AB577">
        <v>-8505.3439999999991</v>
      </c>
      <c r="AC577">
        <v>-8505.3439999999991</v>
      </c>
      <c r="AD577">
        <v>-8505.3439999999991</v>
      </c>
      <c r="AE577">
        <v>-8505.3439999999991</v>
      </c>
      <c r="AF577">
        <v>-798570.41119999997</v>
      </c>
    </row>
    <row r="578" spans="2:32" x14ac:dyDescent="0.25">
      <c r="B578">
        <f t="shared" si="24"/>
        <v>41</v>
      </c>
      <c r="C578">
        <v>1</v>
      </c>
      <c r="D578">
        <v>1</v>
      </c>
      <c r="E578">
        <v>1</v>
      </c>
      <c r="F578">
        <v>1</v>
      </c>
      <c r="G578">
        <v>1</v>
      </c>
      <c r="J578">
        <f t="shared" si="25"/>
        <v>41</v>
      </c>
      <c r="K578">
        <v>1</v>
      </c>
      <c r="L578">
        <v>1</v>
      </c>
      <c r="M578">
        <v>1</v>
      </c>
      <c r="N578">
        <v>1</v>
      </c>
      <c r="O578">
        <v>1</v>
      </c>
      <c r="R578">
        <f t="shared" si="26"/>
        <v>41</v>
      </c>
      <c r="S578">
        <v>1</v>
      </c>
      <c r="T578">
        <v>1</v>
      </c>
      <c r="U578">
        <v>1</v>
      </c>
      <c r="V578">
        <v>1</v>
      </c>
      <c r="W578">
        <v>1</v>
      </c>
      <c r="AA578">
        <v>-8400.1087000000007</v>
      </c>
      <c r="AB578">
        <v>-8400.1087000000007</v>
      </c>
      <c r="AC578">
        <v>-8400.1087000000007</v>
      </c>
      <c r="AD578">
        <v>-8400.1087000000007</v>
      </c>
      <c r="AE578">
        <v>-8400.1087000000007</v>
      </c>
      <c r="AF578">
        <v>-803549.96459999995</v>
      </c>
    </row>
    <row r="579" spans="2:32" x14ac:dyDescent="0.25">
      <c r="B579">
        <f t="shared" si="24"/>
        <v>42</v>
      </c>
      <c r="C579">
        <v>1</v>
      </c>
      <c r="D579">
        <v>1</v>
      </c>
      <c r="E579">
        <v>1</v>
      </c>
      <c r="F579">
        <v>1</v>
      </c>
      <c r="G579">
        <v>1</v>
      </c>
      <c r="J579">
        <f t="shared" si="25"/>
        <v>42</v>
      </c>
      <c r="K579">
        <v>1</v>
      </c>
      <c r="L579">
        <v>1</v>
      </c>
      <c r="M579">
        <v>1</v>
      </c>
      <c r="N579">
        <v>1</v>
      </c>
      <c r="O579">
        <v>1</v>
      </c>
      <c r="R579">
        <f t="shared" si="26"/>
        <v>42</v>
      </c>
      <c r="S579">
        <v>1</v>
      </c>
      <c r="T579">
        <v>1</v>
      </c>
      <c r="U579">
        <v>1</v>
      </c>
      <c r="V579">
        <v>1</v>
      </c>
      <c r="W579">
        <v>1</v>
      </c>
      <c r="AA579">
        <v>-8292.4974999999995</v>
      </c>
      <c r="AB579">
        <v>-8292.4974999999995</v>
      </c>
      <c r="AC579">
        <v>-8292.4974999999995</v>
      </c>
      <c r="AD579">
        <v>-8292.4974999999995</v>
      </c>
      <c r="AE579">
        <v>-8292.4974999999995</v>
      </c>
      <c r="AF579">
        <v>-833551.75890000002</v>
      </c>
    </row>
    <row r="580" spans="2:32" x14ac:dyDescent="0.25">
      <c r="B580">
        <f t="shared" si="24"/>
        <v>43</v>
      </c>
      <c r="C580">
        <v>1</v>
      </c>
      <c r="D580">
        <v>1</v>
      </c>
      <c r="E580">
        <v>1</v>
      </c>
      <c r="F580">
        <v>1</v>
      </c>
      <c r="G580">
        <v>1</v>
      </c>
      <c r="J580">
        <f t="shared" si="25"/>
        <v>43</v>
      </c>
      <c r="K580">
        <v>1</v>
      </c>
      <c r="L580">
        <v>1</v>
      </c>
      <c r="M580">
        <v>1</v>
      </c>
      <c r="N580">
        <v>1</v>
      </c>
      <c r="O580">
        <v>1</v>
      </c>
      <c r="R580">
        <f t="shared" si="26"/>
        <v>43</v>
      </c>
      <c r="S580">
        <v>1</v>
      </c>
      <c r="T580">
        <v>1</v>
      </c>
      <c r="U580">
        <v>1</v>
      </c>
      <c r="V580">
        <v>1</v>
      </c>
      <c r="W580">
        <v>1</v>
      </c>
      <c r="AA580">
        <v>-8182.3909999999996</v>
      </c>
      <c r="AB580">
        <v>-8182.3909999999996</v>
      </c>
      <c r="AC580">
        <v>-8182.3909999999996</v>
      </c>
      <c r="AD580">
        <v>-8182.3909999999996</v>
      </c>
      <c r="AE580">
        <v>-8182.3909999999996</v>
      </c>
      <c r="AF580">
        <v>-844950.93949999998</v>
      </c>
    </row>
    <row r="581" spans="2:32" x14ac:dyDescent="0.25">
      <c r="B581">
        <f t="shared" si="24"/>
        <v>44</v>
      </c>
      <c r="C581">
        <v>1</v>
      </c>
      <c r="D581">
        <v>1</v>
      </c>
      <c r="E581">
        <v>1</v>
      </c>
      <c r="F581">
        <v>1</v>
      </c>
      <c r="G581">
        <v>1</v>
      </c>
      <c r="J581">
        <f t="shared" si="25"/>
        <v>44</v>
      </c>
      <c r="K581">
        <v>1</v>
      </c>
      <c r="L581">
        <v>1</v>
      </c>
      <c r="M581">
        <v>1</v>
      </c>
      <c r="N581">
        <v>1</v>
      </c>
      <c r="O581">
        <v>1</v>
      </c>
      <c r="R581">
        <f t="shared" si="26"/>
        <v>44</v>
      </c>
      <c r="S581">
        <v>1</v>
      </c>
      <c r="T581">
        <v>1</v>
      </c>
      <c r="U581">
        <v>1</v>
      </c>
      <c r="V581">
        <v>1</v>
      </c>
      <c r="W581">
        <v>1</v>
      </c>
      <c r="AA581">
        <v>-8069.8261000000002</v>
      </c>
      <c r="AB581">
        <v>-8069.8261000000002</v>
      </c>
      <c r="AC581">
        <v>-8069.8261000000002</v>
      </c>
      <c r="AD581">
        <v>-8069.8261000000002</v>
      </c>
      <c r="AE581">
        <v>-8069.8261000000002</v>
      </c>
      <c r="AF581">
        <v>-851265.64670000004</v>
      </c>
    </row>
    <row r="582" spans="2:32" x14ac:dyDescent="0.25">
      <c r="B582">
        <f t="shared" si="24"/>
        <v>45</v>
      </c>
      <c r="C582">
        <v>1</v>
      </c>
      <c r="D582">
        <v>1</v>
      </c>
      <c r="E582">
        <v>1</v>
      </c>
      <c r="F582">
        <v>1</v>
      </c>
      <c r="G582">
        <v>1</v>
      </c>
      <c r="J582">
        <f t="shared" si="25"/>
        <v>45</v>
      </c>
      <c r="K582">
        <v>1</v>
      </c>
      <c r="L582">
        <v>1</v>
      </c>
      <c r="M582">
        <v>1</v>
      </c>
      <c r="N582">
        <v>1</v>
      </c>
      <c r="O582">
        <v>1</v>
      </c>
      <c r="R582">
        <f t="shared" si="26"/>
        <v>45</v>
      </c>
      <c r="S582">
        <v>1</v>
      </c>
      <c r="T582">
        <v>1</v>
      </c>
      <c r="U582">
        <v>1</v>
      </c>
      <c r="V582">
        <v>1</v>
      </c>
      <c r="W582">
        <v>1</v>
      </c>
      <c r="AA582">
        <v>-7954.7533999999996</v>
      </c>
      <c r="AB582">
        <v>-7954.7533999999996</v>
      </c>
      <c r="AC582">
        <v>-7954.7533999999996</v>
      </c>
      <c r="AD582">
        <v>-7954.7533999999996</v>
      </c>
      <c r="AE582">
        <v>-7954.7533999999996</v>
      </c>
      <c r="AF582">
        <v>-870649.02139999997</v>
      </c>
    </row>
    <row r="583" spans="2:32" x14ac:dyDescent="0.25">
      <c r="B583">
        <f t="shared" si="24"/>
        <v>46</v>
      </c>
      <c r="C583">
        <v>1</v>
      </c>
      <c r="D583">
        <v>1</v>
      </c>
      <c r="E583">
        <v>1</v>
      </c>
      <c r="F583">
        <v>1</v>
      </c>
      <c r="G583">
        <v>1</v>
      </c>
      <c r="J583">
        <f t="shared" si="25"/>
        <v>46</v>
      </c>
      <c r="K583">
        <v>1</v>
      </c>
      <c r="L583">
        <v>1</v>
      </c>
      <c r="M583">
        <v>1</v>
      </c>
      <c r="N583">
        <v>1</v>
      </c>
      <c r="O583">
        <v>1</v>
      </c>
      <c r="R583">
        <f t="shared" si="26"/>
        <v>46</v>
      </c>
      <c r="S583">
        <v>1</v>
      </c>
      <c r="T583">
        <v>1</v>
      </c>
      <c r="U583">
        <v>1</v>
      </c>
      <c r="V583">
        <v>1</v>
      </c>
      <c r="W583">
        <v>1</v>
      </c>
      <c r="AA583">
        <v>-7837.1754000000001</v>
      </c>
      <c r="AB583">
        <v>-7837.1754000000001</v>
      </c>
      <c r="AC583">
        <v>-7837.1754000000001</v>
      </c>
      <c r="AD583">
        <v>-7837.1754000000001</v>
      </c>
      <c r="AE583">
        <v>-7837.1754000000001</v>
      </c>
      <c r="AF583">
        <v>-892550.54509999999</v>
      </c>
    </row>
    <row r="584" spans="2:32" x14ac:dyDescent="0.25">
      <c r="B584">
        <f t="shared" si="24"/>
        <v>47</v>
      </c>
      <c r="C584">
        <v>1</v>
      </c>
      <c r="D584">
        <v>1</v>
      </c>
      <c r="E584">
        <v>1</v>
      </c>
      <c r="F584">
        <v>1</v>
      </c>
      <c r="G584">
        <v>1</v>
      </c>
      <c r="J584">
        <f t="shared" si="25"/>
        <v>47</v>
      </c>
      <c r="K584">
        <v>1</v>
      </c>
      <c r="L584">
        <v>1</v>
      </c>
      <c r="M584">
        <v>1</v>
      </c>
      <c r="N584">
        <v>1</v>
      </c>
      <c r="O584">
        <v>1</v>
      </c>
      <c r="R584">
        <f t="shared" si="26"/>
        <v>47</v>
      </c>
      <c r="S584">
        <v>1</v>
      </c>
      <c r="T584">
        <v>1</v>
      </c>
      <c r="U584">
        <v>1</v>
      </c>
      <c r="V584">
        <v>1</v>
      </c>
      <c r="W584">
        <v>1</v>
      </c>
      <c r="AA584">
        <v>-7717.0294999999996</v>
      </c>
      <c r="AB584">
        <v>-7717.0294999999996</v>
      </c>
      <c r="AC584">
        <v>-7717.0294999999996</v>
      </c>
      <c r="AD584">
        <v>-7717.0294999999996</v>
      </c>
      <c r="AE584">
        <v>-7717.0294999999996</v>
      </c>
      <c r="AF584">
        <v>-910915.81969999999</v>
      </c>
    </row>
    <row r="585" spans="2:32" x14ac:dyDescent="0.25">
      <c r="B585">
        <f t="shared" si="24"/>
        <v>48</v>
      </c>
      <c r="C585">
        <v>1</v>
      </c>
      <c r="D585">
        <v>1</v>
      </c>
      <c r="E585">
        <v>1</v>
      </c>
      <c r="F585">
        <v>1</v>
      </c>
      <c r="G585">
        <v>1</v>
      </c>
      <c r="J585">
        <f t="shared" si="25"/>
        <v>48</v>
      </c>
      <c r="K585">
        <v>1</v>
      </c>
      <c r="L585">
        <v>1</v>
      </c>
      <c r="M585">
        <v>1</v>
      </c>
      <c r="N585">
        <v>1</v>
      </c>
      <c r="O585">
        <v>1</v>
      </c>
      <c r="R585">
        <f t="shared" si="26"/>
        <v>48</v>
      </c>
      <c r="S585">
        <v>1</v>
      </c>
      <c r="T585">
        <v>1</v>
      </c>
      <c r="U585">
        <v>1</v>
      </c>
      <c r="V585">
        <v>1</v>
      </c>
      <c r="W585">
        <v>1</v>
      </c>
      <c r="AA585">
        <v>-7594.4201000000003</v>
      </c>
      <c r="AB585">
        <v>-7594.4201000000003</v>
      </c>
      <c r="AC585">
        <v>-7594.4201000000003</v>
      </c>
      <c r="AD585">
        <v>-7594.4201000000003</v>
      </c>
      <c r="AE585">
        <v>-7594.4201000000003</v>
      </c>
      <c r="AF585">
        <v>-917891.87360000005</v>
      </c>
    </row>
    <row r="586" spans="2:32" x14ac:dyDescent="0.25">
      <c r="B586">
        <f t="shared" si="24"/>
        <v>49</v>
      </c>
      <c r="C586">
        <v>1</v>
      </c>
      <c r="D586">
        <v>1</v>
      </c>
      <c r="E586">
        <v>1</v>
      </c>
      <c r="F586">
        <v>1</v>
      </c>
      <c r="G586">
        <v>1</v>
      </c>
      <c r="J586">
        <f t="shared" si="25"/>
        <v>49</v>
      </c>
      <c r="K586">
        <v>1</v>
      </c>
      <c r="L586">
        <v>1</v>
      </c>
      <c r="M586">
        <v>1</v>
      </c>
      <c r="N586">
        <v>1</v>
      </c>
      <c r="O586">
        <v>1</v>
      </c>
      <c r="R586">
        <f t="shared" si="26"/>
        <v>49</v>
      </c>
      <c r="S586">
        <v>1</v>
      </c>
      <c r="T586">
        <v>1</v>
      </c>
      <c r="U586">
        <v>1</v>
      </c>
      <c r="V586">
        <v>1</v>
      </c>
      <c r="W586">
        <v>1</v>
      </c>
      <c r="AA586">
        <v>-7469.3995999999997</v>
      </c>
      <c r="AB586">
        <v>-7469.3995999999997</v>
      </c>
      <c r="AC586">
        <v>-7469.3995999999997</v>
      </c>
      <c r="AD586">
        <v>-7469.3995999999997</v>
      </c>
      <c r="AE586">
        <v>-7469.3995999999997</v>
      </c>
      <c r="AF586">
        <v>-944521.72470000002</v>
      </c>
    </row>
    <row r="587" spans="2:32" x14ac:dyDescent="0.25">
      <c r="B587">
        <f t="shared" si="24"/>
        <v>50</v>
      </c>
      <c r="C587">
        <v>1</v>
      </c>
      <c r="D587">
        <v>1</v>
      </c>
      <c r="E587">
        <v>1</v>
      </c>
      <c r="F587">
        <v>1</v>
      </c>
      <c r="G587">
        <v>1</v>
      </c>
      <c r="J587">
        <f t="shared" si="25"/>
        <v>50</v>
      </c>
      <c r="K587">
        <v>1</v>
      </c>
      <c r="L587">
        <v>1</v>
      </c>
      <c r="M587">
        <v>1</v>
      </c>
      <c r="N587">
        <v>1</v>
      </c>
      <c r="O587">
        <v>1</v>
      </c>
      <c r="R587">
        <f t="shared" si="26"/>
        <v>50</v>
      </c>
      <c r="S587">
        <v>1</v>
      </c>
      <c r="T587">
        <v>1</v>
      </c>
      <c r="U587">
        <v>1</v>
      </c>
      <c r="V587">
        <v>1</v>
      </c>
      <c r="W587">
        <v>1</v>
      </c>
      <c r="AA587">
        <v>-7341.9502000000002</v>
      </c>
      <c r="AB587">
        <v>-7341.9502000000002</v>
      </c>
      <c r="AC587">
        <v>-7341.9502000000002</v>
      </c>
      <c r="AD587">
        <v>-7341.9502000000002</v>
      </c>
      <c r="AE587">
        <v>-7341.9502000000002</v>
      </c>
      <c r="AF587">
        <v>-963257.14989999996</v>
      </c>
    </row>
    <row r="588" spans="2:32" x14ac:dyDescent="0.25">
      <c r="B588">
        <f t="shared" si="24"/>
        <v>51</v>
      </c>
      <c r="C588">
        <v>1</v>
      </c>
      <c r="D588">
        <v>1</v>
      </c>
      <c r="E588">
        <v>1</v>
      </c>
      <c r="F588">
        <v>1</v>
      </c>
      <c r="G588">
        <v>1</v>
      </c>
      <c r="J588">
        <f t="shared" si="25"/>
        <v>51</v>
      </c>
      <c r="K588">
        <v>1</v>
      </c>
      <c r="L588">
        <v>1</v>
      </c>
      <c r="M588">
        <v>1</v>
      </c>
      <c r="N588">
        <v>1</v>
      </c>
      <c r="O588">
        <v>1</v>
      </c>
      <c r="R588">
        <f t="shared" si="26"/>
        <v>51</v>
      </c>
      <c r="S588">
        <v>1</v>
      </c>
      <c r="T588">
        <v>1</v>
      </c>
      <c r="U588">
        <v>1</v>
      </c>
      <c r="V588">
        <v>1</v>
      </c>
      <c r="W588">
        <v>1</v>
      </c>
      <c r="AA588">
        <v>-7212.0646999999999</v>
      </c>
      <c r="AB588">
        <v>-7212.0646999999999</v>
      </c>
      <c r="AC588">
        <v>-7212.0646999999999</v>
      </c>
      <c r="AD588">
        <v>-7212.0646999999999</v>
      </c>
      <c r="AE588">
        <v>-7212.0646999999999</v>
      </c>
      <c r="AF588">
        <v>-981592.90729999996</v>
      </c>
    </row>
    <row r="589" spans="2:32" x14ac:dyDescent="0.25">
      <c r="B589">
        <f t="shared" si="24"/>
        <v>52</v>
      </c>
      <c r="C589">
        <v>1</v>
      </c>
      <c r="D589">
        <v>1</v>
      </c>
      <c r="E589">
        <v>1</v>
      </c>
      <c r="F589">
        <v>1</v>
      </c>
      <c r="G589">
        <v>1</v>
      </c>
      <c r="J589">
        <f t="shared" si="25"/>
        <v>52</v>
      </c>
      <c r="K589">
        <v>1</v>
      </c>
      <c r="L589">
        <v>1</v>
      </c>
      <c r="M589">
        <v>1</v>
      </c>
      <c r="N589">
        <v>1</v>
      </c>
      <c r="O589">
        <v>1</v>
      </c>
      <c r="R589">
        <f t="shared" si="26"/>
        <v>52</v>
      </c>
      <c r="S589">
        <v>1</v>
      </c>
      <c r="T589">
        <v>1</v>
      </c>
      <c r="U589">
        <v>1</v>
      </c>
      <c r="V589">
        <v>1</v>
      </c>
      <c r="W589">
        <v>1</v>
      </c>
      <c r="AA589">
        <v>-7079.7435999999998</v>
      </c>
      <c r="AB589">
        <v>-7079.7435999999998</v>
      </c>
      <c r="AC589">
        <v>-7079.7435999999998</v>
      </c>
      <c r="AD589">
        <v>-7079.7435999999998</v>
      </c>
      <c r="AE589">
        <v>-7079.7435999999998</v>
      </c>
      <c r="AF589">
        <v>-998556.10360000003</v>
      </c>
    </row>
    <row r="590" spans="2:32" x14ac:dyDescent="0.25">
      <c r="B590">
        <f t="shared" si="24"/>
        <v>53</v>
      </c>
      <c r="C590">
        <v>1</v>
      </c>
      <c r="D590">
        <v>1</v>
      </c>
      <c r="E590">
        <v>1</v>
      </c>
      <c r="F590">
        <v>1</v>
      </c>
      <c r="G590">
        <v>1</v>
      </c>
      <c r="J590">
        <f t="shared" si="25"/>
        <v>53</v>
      </c>
      <c r="K590">
        <v>1</v>
      </c>
      <c r="L590">
        <v>1</v>
      </c>
      <c r="M590">
        <v>1</v>
      </c>
      <c r="N590">
        <v>1</v>
      </c>
      <c r="O590">
        <v>1</v>
      </c>
      <c r="R590">
        <f t="shared" si="26"/>
        <v>53</v>
      </c>
      <c r="S590">
        <v>1</v>
      </c>
      <c r="T590">
        <v>1</v>
      </c>
      <c r="U590">
        <v>1</v>
      </c>
      <c r="V590">
        <v>1</v>
      </c>
      <c r="W590">
        <v>1</v>
      </c>
      <c r="AA590">
        <v>-6945.0875999999998</v>
      </c>
      <c r="AB590">
        <v>-6945.0875999999998</v>
      </c>
      <c r="AC590">
        <v>-6945.0875999999998</v>
      </c>
      <c r="AD590">
        <v>-6945.0875999999998</v>
      </c>
      <c r="AE590">
        <v>-6945.0875999999998</v>
      </c>
      <c r="AF590">
        <v>-1015461.3278</v>
      </c>
    </row>
    <row r="591" spans="2:32" x14ac:dyDescent="0.25">
      <c r="B591">
        <f t="shared" si="24"/>
        <v>54</v>
      </c>
      <c r="C591">
        <v>1</v>
      </c>
      <c r="D591">
        <v>1</v>
      </c>
      <c r="E591">
        <v>1</v>
      </c>
      <c r="F591">
        <v>1</v>
      </c>
      <c r="G591">
        <v>1</v>
      </c>
      <c r="J591">
        <f t="shared" si="25"/>
        <v>54</v>
      </c>
      <c r="K591">
        <v>1</v>
      </c>
      <c r="L591">
        <v>1</v>
      </c>
      <c r="M591">
        <v>1</v>
      </c>
      <c r="N591">
        <v>1</v>
      </c>
      <c r="O591">
        <v>1</v>
      </c>
      <c r="R591">
        <f t="shared" si="26"/>
        <v>54</v>
      </c>
      <c r="S591">
        <v>1</v>
      </c>
      <c r="T591">
        <v>1</v>
      </c>
      <c r="U591">
        <v>1</v>
      </c>
      <c r="V591">
        <v>1</v>
      </c>
      <c r="W591">
        <v>1</v>
      </c>
      <c r="AA591">
        <v>-6808.2438000000002</v>
      </c>
      <c r="AB591">
        <v>-6808.2438000000002</v>
      </c>
      <c r="AC591">
        <v>-6808.2438000000002</v>
      </c>
      <c r="AD591">
        <v>-6808.2438000000002</v>
      </c>
      <c r="AE591">
        <v>-6808.2438000000002</v>
      </c>
      <c r="AF591">
        <v>-1033869.6813000001</v>
      </c>
    </row>
    <row r="592" spans="2:32" x14ac:dyDescent="0.25">
      <c r="B592">
        <f t="shared" si="24"/>
        <v>55</v>
      </c>
      <c r="C592">
        <v>1</v>
      </c>
      <c r="D592">
        <v>1</v>
      </c>
      <c r="E592">
        <v>1</v>
      </c>
      <c r="F592">
        <v>1</v>
      </c>
      <c r="G592">
        <v>1</v>
      </c>
      <c r="J592">
        <f t="shared" si="25"/>
        <v>55</v>
      </c>
      <c r="K592">
        <v>1</v>
      </c>
      <c r="L592">
        <v>1</v>
      </c>
      <c r="M592">
        <v>1</v>
      </c>
      <c r="N592">
        <v>1</v>
      </c>
      <c r="O592">
        <v>1</v>
      </c>
      <c r="R592">
        <f t="shared" si="26"/>
        <v>55</v>
      </c>
      <c r="S592">
        <v>1</v>
      </c>
      <c r="T592">
        <v>1</v>
      </c>
      <c r="U592">
        <v>1</v>
      </c>
      <c r="V592">
        <v>1</v>
      </c>
      <c r="W592">
        <v>1</v>
      </c>
      <c r="AA592">
        <v>-6669.2525999999998</v>
      </c>
      <c r="AB592">
        <v>-6669.2525999999998</v>
      </c>
      <c r="AC592">
        <v>-6669.2525999999998</v>
      </c>
      <c r="AD592">
        <v>-6669.2525999999998</v>
      </c>
      <c r="AE592">
        <v>-6669.2525999999998</v>
      </c>
      <c r="AF592">
        <v>-1050810.2549999999</v>
      </c>
    </row>
    <row r="593" spans="2:32" x14ac:dyDescent="0.25">
      <c r="B593">
        <f t="shared" si="24"/>
        <v>56</v>
      </c>
      <c r="C593">
        <v>1</v>
      </c>
      <c r="D593">
        <v>1</v>
      </c>
      <c r="E593">
        <v>1</v>
      </c>
      <c r="F593">
        <v>1</v>
      </c>
      <c r="G593">
        <v>1</v>
      </c>
      <c r="J593">
        <f t="shared" si="25"/>
        <v>56</v>
      </c>
      <c r="K593">
        <v>1</v>
      </c>
      <c r="L593">
        <v>1</v>
      </c>
      <c r="M593">
        <v>1</v>
      </c>
      <c r="N593">
        <v>1</v>
      </c>
      <c r="O593">
        <v>1</v>
      </c>
      <c r="R593">
        <f t="shared" si="26"/>
        <v>56</v>
      </c>
      <c r="S593">
        <v>1</v>
      </c>
      <c r="T593">
        <v>1</v>
      </c>
      <c r="U593">
        <v>1</v>
      </c>
      <c r="V593">
        <v>1</v>
      </c>
      <c r="W593">
        <v>1</v>
      </c>
      <c r="AA593">
        <v>-6528.2992000000004</v>
      </c>
      <c r="AB593">
        <v>-6528.2992000000004</v>
      </c>
      <c r="AC593">
        <v>-6528.2992000000004</v>
      </c>
      <c r="AD593">
        <v>-6528.2992000000004</v>
      </c>
      <c r="AE593">
        <v>-6528.2992000000004</v>
      </c>
      <c r="AF593">
        <v>-1073295.8774000001</v>
      </c>
    </row>
    <row r="594" spans="2:32" x14ac:dyDescent="0.25">
      <c r="B594">
        <f t="shared" si="24"/>
        <v>57</v>
      </c>
      <c r="C594">
        <v>1</v>
      </c>
      <c r="D594">
        <v>1</v>
      </c>
      <c r="E594">
        <v>1</v>
      </c>
      <c r="F594">
        <v>1</v>
      </c>
      <c r="G594">
        <v>1</v>
      </c>
      <c r="J594">
        <f t="shared" si="25"/>
        <v>57</v>
      </c>
      <c r="K594">
        <v>1</v>
      </c>
      <c r="L594">
        <v>1</v>
      </c>
      <c r="M594">
        <v>1</v>
      </c>
      <c r="N594">
        <v>1</v>
      </c>
      <c r="O594">
        <v>1</v>
      </c>
      <c r="R594">
        <f t="shared" si="26"/>
        <v>57</v>
      </c>
      <c r="S594">
        <v>1</v>
      </c>
      <c r="T594">
        <v>1</v>
      </c>
      <c r="U594">
        <v>1</v>
      </c>
      <c r="V594">
        <v>1</v>
      </c>
      <c r="W594">
        <v>1</v>
      </c>
      <c r="AA594">
        <v>-6385.5230000000001</v>
      </c>
      <c r="AB594">
        <v>-6385.5230000000001</v>
      </c>
      <c r="AC594">
        <v>-6385.5230000000001</v>
      </c>
      <c r="AD594">
        <v>-6385.5230000000001</v>
      </c>
      <c r="AE594">
        <v>-6385.5230000000001</v>
      </c>
      <c r="AF594">
        <v>-1093242.6832999999</v>
      </c>
    </row>
    <row r="595" spans="2:32" x14ac:dyDescent="0.25">
      <c r="B595">
        <f t="shared" si="24"/>
        <v>58</v>
      </c>
      <c r="C595">
        <v>1</v>
      </c>
      <c r="D595">
        <v>1</v>
      </c>
      <c r="E595">
        <v>1</v>
      </c>
      <c r="F595">
        <v>1</v>
      </c>
      <c r="G595">
        <v>1</v>
      </c>
      <c r="J595">
        <f t="shared" si="25"/>
        <v>58</v>
      </c>
      <c r="K595">
        <v>1</v>
      </c>
      <c r="L595">
        <v>1</v>
      </c>
      <c r="M595">
        <v>1</v>
      </c>
      <c r="N595">
        <v>1</v>
      </c>
      <c r="O595">
        <v>1</v>
      </c>
      <c r="R595">
        <f t="shared" si="26"/>
        <v>58</v>
      </c>
      <c r="S595">
        <v>1</v>
      </c>
      <c r="T595">
        <v>1</v>
      </c>
      <c r="U595">
        <v>1</v>
      </c>
      <c r="V595">
        <v>1</v>
      </c>
      <c r="W595">
        <v>1</v>
      </c>
      <c r="AA595">
        <v>-6240.8730999999998</v>
      </c>
      <c r="AB595">
        <v>-6240.8730999999998</v>
      </c>
      <c r="AC595">
        <v>-6240.8730999999998</v>
      </c>
      <c r="AD595">
        <v>-6240.8730999999998</v>
      </c>
      <c r="AE595">
        <v>-6240.8730999999998</v>
      </c>
      <c r="AF595">
        <v>-1114366.6444000001</v>
      </c>
    </row>
    <row r="596" spans="2:32" x14ac:dyDescent="0.25">
      <c r="B596">
        <f t="shared" si="24"/>
        <v>59</v>
      </c>
      <c r="C596">
        <v>1</v>
      </c>
      <c r="D596">
        <v>1</v>
      </c>
      <c r="E596">
        <v>1</v>
      </c>
      <c r="F596">
        <v>1</v>
      </c>
      <c r="G596">
        <v>1</v>
      </c>
      <c r="J596">
        <f t="shared" si="25"/>
        <v>59</v>
      </c>
      <c r="K596">
        <v>1</v>
      </c>
      <c r="L596">
        <v>1</v>
      </c>
      <c r="M596">
        <v>1</v>
      </c>
      <c r="N596">
        <v>1</v>
      </c>
      <c r="O596">
        <v>1</v>
      </c>
      <c r="R596">
        <f t="shared" si="26"/>
        <v>59</v>
      </c>
      <c r="S596">
        <v>1</v>
      </c>
      <c r="T596">
        <v>1</v>
      </c>
      <c r="U596">
        <v>1</v>
      </c>
      <c r="V596">
        <v>1</v>
      </c>
      <c r="W596">
        <v>1</v>
      </c>
      <c r="AA596">
        <v>-6094.3262999999997</v>
      </c>
      <c r="AB596">
        <v>-6094.3262999999997</v>
      </c>
      <c r="AC596">
        <v>-6094.3262999999997</v>
      </c>
      <c r="AD596">
        <v>-6094.3262999999997</v>
      </c>
      <c r="AE596">
        <v>-6094.3262999999997</v>
      </c>
      <c r="AF596">
        <v>-1136284.0146999999</v>
      </c>
    </row>
    <row r="597" spans="2:32" x14ac:dyDescent="0.25">
      <c r="B597">
        <f t="shared" si="24"/>
        <v>60</v>
      </c>
      <c r="C597">
        <v>1</v>
      </c>
      <c r="D597">
        <v>1</v>
      </c>
      <c r="E597">
        <v>1</v>
      </c>
      <c r="F597">
        <v>1</v>
      </c>
      <c r="G597">
        <v>1</v>
      </c>
      <c r="J597">
        <f t="shared" si="25"/>
        <v>60</v>
      </c>
      <c r="K597">
        <v>1</v>
      </c>
      <c r="L597">
        <v>1</v>
      </c>
      <c r="M597">
        <v>1</v>
      </c>
      <c r="N597">
        <v>1</v>
      </c>
      <c r="O597">
        <v>1</v>
      </c>
      <c r="R597">
        <f t="shared" si="26"/>
        <v>60</v>
      </c>
      <c r="S597">
        <v>1</v>
      </c>
      <c r="T597">
        <v>1</v>
      </c>
      <c r="U597">
        <v>1</v>
      </c>
      <c r="V597">
        <v>1</v>
      </c>
      <c r="W597">
        <v>1</v>
      </c>
      <c r="AA597">
        <v>-5945.9960000000001</v>
      </c>
      <c r="AB597">
        <v>-5945.9960000000001</v>
      </c>
      <c r="AC597">
        <v>-5945.9960000000001</v>
      </c>
      <c r="AD597">
        <v>-5945.9960000000001</v>
      </c>
      <c r="AE597">
        <v>-5945.9960000000001</v>
      </c>
      <c r="AF597">
        <v>-1157801.6717999999</v>
      </c>
    </row>
    <row r="598" spans="2:32" x14ac:dyDescent="0.25">
      <c r="B598">
        <f t="shared" si="24"/>
        <v>61</v>
      </c>
      <c r="C598">
        <v>1</v>
      </c>
      <c r="D598">
        <v>1</v>
      </c>
      <c r="E598">
        <v>1</v>
      </c>
      <c r="F598">
        <v>1</v>
      </c>
      <c r="G598">
        <v>1</v>
      </c>
      <c r="J598">
        <f t="shared" si="25"/>
        <v>61</v>
      </c>
      <c r="K598">
        <v>1</v>
      </c>
      <c r="L598">
        <v>1</v>
      </c>
      <c r="M598">
        <v>1</v>
      </c>
      <c r="N598">
        <v>1</v>
      </c>
      <c r="O598">
        <v>1</v>
      </c>
      <c r="R598">
        <f t="shared" si="26"/>
        <v>61</v>
      </c>
      <c r="S598">
        <v>1</v>
      </c>
      <c r="T598">
        <v>1</v>
      </c>
      <c r="U598">
        <v>1</v>
      </c>
      <c r="V598">
        <v>1</v>
      </c>
      <c r="W598">
        <v>1</v>
      </c>
      <c r="AA598">
        <v>-5796.3015999999998</v>
      </c>
      <c r="AB598">
        <v>-5796.3015999999998</v>
      </c>
      <c r="AC598">
        <v>-5796.3015999999998</v>
      </c>
      <c r="AD598">
        <v>-5796.3015999999998</v>
      </c>
      <c r="AE598">
        <v>-5796.3015999999998</v>
      </c>
      <c r="AF598">
        <v>-1178581.4038</v>
      </c>
    </row>
    <row r="599" spans="2:32" x14ac:dyDescent="0.25">
      <c r="B599">
        <f t="shared" si="24"/>
        <v>62</v>
      </c>
      <c r="C599">
        <v>1</v>
      </c>
      <c r="D599">
        <v>1</v>
      </c>
      <c r="E599">
        <v>1</v>
      </c>
      <c r="F599">
        <v>1</v>
      </c>
      <c r="G599">
        <v>1</v>
      </c>
      <c r="J599">
        <f t="shared" si="25"/>
        <v>62</v>
      </c>
      <c r="K599">
        <v>1</v>
      </c>
      <c r="L599">
        <v>1</v>
      </c>
      <c r="M599">
        <v>1</v>
      </c>
      <c r="N599">
        <v>1</v>
      </c>
      <c r="O599">
        <v>1</v>
      </c>
      <c r="R599">
        <f t="shared" si="26"/>
        <v>62</v>
      </c>
      <c r="S599">
        <v>1</v>
      </c>
      <c r="T599">
        <v>1</v>
      </c>
      <c r="U599">
        <v>1</v>
      </c>
      <c r="V599">
        <v>1</v>
      </c>
      <c r="W599">
        <v>1</v>
      </c>
      <c r="AA599">
        <v>-5645.2415000000001</v>
      </c>
      <c r="AB599">
        <v>-5645.2415000000001</v>
      </c>
      <c r="AC599">
        <v>-5645.2415000000001</v>
      </c>
      <c r="AD599">
        <v>-5645.2415000000001</v>
      </c>
      <c r="AE599">
        <v>-5645.2415000000001</v>
      </c>
      <c r="AF599">
        <v>-1199521.5327000001</v>
      </c>
    </row>
    <row r="600" spans="2:32" x14ac:dyDescent="0.25">
      <c r="B600">
        <f t="shared" si="24"/>
        <v>63</v>
      </c>
      <c r="C600">
        <v>1</v>
      </c>
      <c r="D600">
        <v>1</v>
      </c>
      <c r="E600">
        <v>1</v>
      </c>
      <c r="F600">
        <v>1</v>
      </c>
      <c r="G600">
        <v>1</v>
      </c>
      <c r="J600">
        <f t="shared" si="25"/>
        <v>63</v>
      </c>
      <c r="K600">
        <v>1</v>
      </c>
      <c r="L600">
        <v>1</v>
      </c>
      <c r="M600">
        <v>1</v>
      </c>
      <c r="N600">
        <v>1</v>
      </c>
      <c r="O600">
        <v>1</v>
      </c>
      <c r="R600">
        <f t="shared" si="26"/>
        <v>63</v>
      </c>
      <c r="S600">
        <v>1</v>
      </c>
      <c r="T600">
        <v>1</v>
      </c>
      <c r="U600">
        <v>1</v>
      </c>
      <c r="V600">
        <v>1</v>
      </c>
      <c r="W600">
        <v>1</v>
      </c>
      <c r="AA600">
        <v>-5492.4920000000002</v>
      </c>
      <c r="AB600">
        <v>-5492.4920000000002</v>
      </c>
      <c r="AC600">
        <v>-5492.4920000000002</v>
      </c>
      <c r="AD600">
        <v>-5492.4920000000002</v>
      </c>
      <c r="AE600">
        <v>-5492.4920000000002</v>
      </c>
      <c r="AF600">
        <v>-1220461.6269</v>
      </c>
    </row>
    <row r="601" spans="2:32" x14ac:dyDescent="0.25">
      <c r="B601">
        <f t="shared" si="24"/>
        <v>64</v>
      </c>
      <c r="C601">
        <v>1</v>
      </c>
      <c r="D601">
        <v>1</v>
      </c>
      <c r="E601">
        <v>1</v>
      </c>
      <c r="F601">
        <v>1</v>
      </c>
      <c r="G601">
        <v>1</v>
      </c>
      <c r="J601">
        <f t="shared" si="25"/>
        <v>64</v>
      </c>
      <c r="K601">
        <v>1</v>
      </c>
      <c r="L601">
        <v>1</v>
      </c>
      <c r="M601">
        <v>1</v>
      </c>
      <c r="N601">
        <v>1</v>
      </c>
      <c r="O601">
        <v>1</v>
      </c>
      <c r="R601">
        <f t="shared" si="26"/>
        <v>64</v>
      </c>
      <c r="S601">
        <v>1</v>
      </c>
      <c r="T601">
        <v>1</v>
      </c>
      <c r="U601">
        <v>1</v>
      </c>
      <c r="V601">
        <v>1</v>
      </c>
      <c r="W601">
        <v>1</v>
      </c>
      <c r="AA601">
        <v>-5338.1817000000001</v>
      </c>
      <c r="AB601">
        <v>-5338.1817000000001</v>
      </c>
      <c r="AC601">
        <v>-5338.1817000000001</v>
      </c>
      <c r="AD601">
        <v>-5338.1817000000001</v>
      </c>
      <c r="AE601">
        <v>-5338.1817000000001</v>
      </c>
      <c r="AF601">
        <v>-1240652.2526</v>
      </c>
    </row>
    <row r="602" spans="2:32" x14ac:dyDescent="0.25">
      <c r="B602">
        <f t="shared" si="24"/>
        <v>65</v>
      </c>
      <c r="C602">
        <v>1</v>
      </c>
      <c r="D602">
        <v>1</v>
      </c>
      <c r="E602">
        <v>1</v>
      </c>
      <c r="F602">
        <v>1</v>
      </c>
      <c r="G602">
        <v>1</v>
      </c>
      <c r="J602">
        <f t="shared" si="25"/>
        <v>65</v>
      </c>
      <c r="K602">
        <v>1</v>
      </c>
      <c r="L602">
        <v>1</v>
      </c>
      <c r="M602">
        <v>1</v>
      </c>
      <c r="N602">
        <v>1</v>
      </c>
      <c r="O602">
        <v>1</v>
      </c>
      <c r="R602">
        <f t="shared" si="26"/>
        <v>65</v>
      </c>
      <c r="S602">
        <v>1</v>
      </c>
      <c r="T602">
        <v>1</v>
      </c>
      <c r="U602">
        <v>1</v>
      </c>
      <c r="V602">
        <v>1</v>
      </c>
      <c r="W602">
        <v>1</v>
      </c>
      <c r="AA602">
        <v>-5182.2268999999997</v>
      </c>
      <c r="AB602">
        <v>-5182.2268999999997</v>
      </c>
      <c r="AC602">
        <v>-5182.2268999999997</v>
      </c>
      <c r="AD602">
        <v>-5182.2268999999997</v>
      </c>
      <c r="AE602">
        <v>-5182.2268999999997</v>
      </c>
      <c r="AF602">
        <v>-1260049.8302</v>
      </c>
    </row>
    <row r="605" spans="2:32" x14ac:dyDescent="0.25">
      <c r="B605" t="s">
        <v>46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47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48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2:32" x14ac:dyDescent="0.25">
      <c r="B606">
        <v>26</v>
      </c>
      <c r="C606">
        <v>1</v>
      </c>
      <c r="D606">
        <v>1</v>
      </c>
      <c r="E606">
        <v>1</v>
      </c>
      <c r="F606">
        <v>1</v>
      </c>
      <c r="G606">
        <v>1</v>
      </c>
      <c r="H606">
        <v>1</v>
      </c>
      <c r="J606">
        <v>26</v>
      </c>
      <c r="K606">
        <v>1</v>
      </c>
      <c r="L606">
        <v>1</v>
      </c>
      <c r="M606">
        <v>1</v>
      </c>
      <c r="N606">
        <v>1</v>
      </c>
      <c r="O606">
        <v>1</v>
      </c>
      <c r="P606">
        <v>1</v>
      </c>
      <c r="R606">
        <v>26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AA606">
        <v>-5174.8482999999997</v>
      </c>
      <c r="AB606">
        <v>-5174.8482999999997</v>
      </c>
      <c r="AC606">
        <v>-5174.8482999999997</v>
      </c>
      <c r="AD606">
        <v>-5174.8482999999997</v>
      </c>
      <c r="AE606">
        <v>-5174.8482999999997</v>
      </c>
      <c r="AF606">
        <v>-5174.8482999999997</v>
      </c>
    </row>
    <row r="607" spans="2:32" x14ac:dyDescent="0.25">
      <c r="B607">
        <v>27</v>
      </c>
      <c r="C607">
        <v>1</v>
      </c>
      <c r="D607">
        <v>1</v>
      </c>
      <c r="E607">
        <v>1</v>
      </c>
      <c r="F607">
        <v>1</v>
      </c>
      <c r="G607">
        <v>1</v>
      </c>
      <c r="H607">
        <v>1</v>
      </c>
      <c r="J607">
        <v>27</v>
      </c>
      <c r="K607">
        <v>1</v>
      </c>
      <c r="L607">
        <v>1</v>
      </c>
      <c r="M607">
        <v>1</v>
      </c>
      <c r="N607">
        <v>1</v>
      </c>
      <c r="O607">
        <v>1</v>
      </c>
      <c r="P607">
        <v>1</v>
      </c>
      <c r="R607">
        <v>27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AA607">
        <v>-5173.6036999999997</v>
      </c>
      <c r="AB607">
        <v>-5173.6036999999997</v>
      </c>
      <c r="AC607">
        <v>-5173.6036999999997</v>
      </c>
      <c r="AD607">
        <v>-5173.6036999999997</v>
      </c>
      <c r="AE607">
        <v>-5173.6036999999997</v>
      </c>
      <c r="AF607">
        <v>-5173.6036999999997</v>
      </c>
    </row>
    <row r="608" spans="2:32" x14ac:dyDescent="0.25">
      <c r="B608">
        <v>28</v>
      </c>
      <c r="C608">
        <v>1</v>
      </c>
      <c r="D608">
        <v>1</v>
      </c>
      <c r="E608">
        <v>1</v>
      </c>
      <c r="F608">
        <v>1</v>
      </c>
      <c r="G608">
        <v>1</v>
      </c>
      <c r="H608">
        <v>1</v>
      </c>
      <c r="J608">
        <v>28</v>
      </c>
      <c r="K608">
        <v>1</v>
      </c>
      <c r="L608">
        <v>1</v>
      </c>
      <c r="M608">
        <v>1</v>
      </c>
      <c r="N608">
        <v>1</v>
      </c>
      <c r="O608">
        <v>1</v>
      </c>
      <c r="P608">
        <v>1</v>
      </c>
      <c r="R608">
        <v>28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AA608">
        <v>-5172.1755999999996</v>
      </c>
      <c r="AB608">
        <v>-5172.1755999999996</v>
      </c>
      <c r="AC608">
        <v>-5172.1755999999996</v>
      </c>
      <c r="AD608">
        <v>-5172.1755999999996</v>
      </c>
      <c r="AE608">
        <v>-5172.1755999999996</v>
      </c>
      <c r="AF608">
        <v>-5172.1755999999996</v>
      </c>
    </row>
    <row r="609" spans="2:32" x14ac:dyDescent="0.25">
      <c r="B609">
        <v>29</v>
      </c>
      <c r="C609">
        <v>1</v>
      </c>
      <c r="D609">
        <v>1</v>
      </c>
      <c r="E609">
        <v>1</v>
      </c>
      <c r="F609">
        <v>1</v>
      </c>
      <c r="G609">
        <v>1</v>
      </c>
      <c r="H609">
        <v>1</v>
      </c>
      <c r="J609">
        <v>29</v>
      </c>
      <c r="K609">
        <v>1</v>
      </c>
      <c r="L609">
        <v>1</v>
      </c>
      <c r="M609">
        <v>1</v>
      </c>
      <c r="N609">
        <v>1</v>
      </c>
      <c r="O609">
        <v>1</v>
      </c>
      <c r="P609">
        <v>1</v>
      </c>
      <c r="R609">
        <v>29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AA609">
        <v>-5170.5482000000002</v>
      </c>
      <c r="AB609">
        <v>-5170.5482000000002</v>
      </c>
      <c r="AC609">
        <v>-5170.5482000000002</v>
      </c>
      <c r="AD609">
        <v>-5170.5482000000002</v>
      </c>
      <c r="AE609">
        <v>-5170.5482000000002</v>
      </c>
      <c r="AF609">
        <v>-5170.5482000000002</v>
      </c>
    </row>
    <row r="610" spans="2:32" x14ac:dyDescent="0.25">
      <c r="B610">
        <v>30</v>
      </c>
      <c r="C610">
        <v>1</v>
      </c>
      <c r="D610">
        <v>1</v>
      </c>
      <c r="E610">
        <v>1</v>
      </c>
      <c r="F610">
        <v>1</v>
      </c>
      <c r="G610">
        <v>1</v>
      </c>
      <c r="H610">
        <v>1</v>
      </c>
      <c r="J610">
        <v>30</v>
      </c>
      <c r="K610">
        <v>1</v>
      </c>
      <c r="L610">
        <v>1</v>
      </c>
      <c r="M610">
        <v>1</v>
      </c>
      <c r="N610">
        <v>1</v>
      </c>
      <c r="O610">
        <v>1</v>
      </c>
      <c r="P610">
        <v>1</v>
      </c>
      <c r="R610">
        <v>30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AA610">
        <v>-5168.6908999999996</v>
      </c>
      <c r="AB610">
        <v>-5168.6908999999996</v>
      </c>
      <c r="AC610">
        <v>-5168.6908999999996</v>
      </c>
      <c r="AD610">
        <v>-5168.6908999999996</v>
      </c>
      <c r="AE610">
        <v>-5168.6908999999996</v>
      </c>
      <c r="AF610">
        <v>-5168.6908999999996</v>
      </c>
    </row>
    <row r="611" spans="2:32" x14ac:dyDescent="0.25">
      <c r="B611">
        <v>31</v>
      </c>
      <c r="C611">
        <v>1</v>
      </c>
      <c r="D611">
        <v>1</v>
      </c>
      <c r="E611">
        <v>1</v>
      </c>
      <c r="F611">
        <v>1</v>
      </c>
      <c r="G611">
        <v>1</v>
      </c>
      <c r="H611">
        <v>1</v>
      </c>
      <c r="J611">
        <v>31</v>
      </c>
      <c r="K611">
        <v>1</v>
      </c>
      <c r="L611">
        <v>1</v>
      </c>
      <c r="M611">
        <v>1</v>
      </c>
      <c r="N611">
        <v>1</v>
      </c>
      <c r="O611">
        <v>1</v>
      </c>
      <c r="P611">
        <v>1</v>
      </c>
      <c r="R611">
        <v>31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AA611">
        <v>-5166.5891000000001</v>
      </c>
      <c r="AB611">
        <v>-5166.5891000000001</v>
      </c>
      <c r="AC611">
        <v>-5166.5891000000001</v>
      </c>
      <c r="AD611">
        <v>-5166.5891000000001</v>
      </c>
      <c r="AE611">
        <v>-5166.5891000000001</v>
      </c>
      <c r="AF611">
        <v>-5166.5891000000001</v>
      </c>
    </row>
    <row r="612" spans="2:32" x14ac:dyDescent="0.25">
      <c r="B612">
        <v>32</v>
      </c>
      <c r="C612">
        <v>1</v>
      </c>
      <c r="D612">
        <v>1</v>
      </c>
      <c r="E612">
        <v>1</v>
      </c>
      <c r="F612">
        <v>1</v>
      </c>
      <c r="G612">
        <v>1</v>
      </c>
      <c r="H612">
        <v>1</v>
      </c>
      <c r="J612">
        <v>32</v>
      </c>
      <c r="K612">
        <v>1</v>
      </c>
      <c r="L612">
        <v>1</v>
      </c>
      <c r="M612">
        <v>1</v>
      </c>
      <c r="N612">
        <v>1</v>
      </c>
      <c r="O612">
        <v>1</v>
      </c>
      <c r="P612">
        <v>1</v>
      </c>
      <c r="R612">
        <v>32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AA612">
        <v>-5164.2407000000003</v>
      </c>
      <c r="AB612">
        <v>-5164.2407000000003</v>
      </c>
      <c r="AC612">
        <v>-5164.2407000000003</v>
      </c>
      <c r="AD612">
        <v>-5164.2407000000003</v>
      </c>
      <c r="AE612">
        <v>-5164.2407000000003</v>
      </c>
      <c r="AF612">
        <v>-5164.2407000000003</v>
      </c>
    </row>
    <row r="613" spans="2:32" x14ac:dyDescent="0.25">
      <c r="B613">
        <v>33</v>
      </c>
      <c r="C613">
        <v>1</v>
      </c>
      <c r="D613">
        <v>1</v>
      </c>
      <c r="E613">
        <v>1</v>
      </c>
      <c r="F613">
        <v>1</v>
      </c>
      <c r="G613">
        <v>1</v>
      </c>
      <c r="H613">
        <v>1</v>
      </c>
      <c r="J613">
        <v>33</v>
      </c>
      <c r="K613">
        <v>1</v>
      </c>
      <c r="L613">
        <v>1</v>
      </c>
      <c r="M613">
        <v>1</v>
      </c>
      <c r="N613">
        <v>1</v>
      </c>
      <c r="O613">
        <v>1</v>
      </c>
      <c r="P613">
        <v>1</v>
      </c>
      <c r="R613">
        <v>33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AA613">
        <v>-5161.6318000000001</v>
      </c>
      <c r="AB613">
        <v>-5161.6318000000001</v>
      </c>
      <c r="AC613">
        <v>-5161.6318000000001</v>
      </c>
      <c r="AD613">
        <v>-5161.6318000000001</v>
      </c>
      <c r="AE613">
        <v>-5161.6318000000001</v>
      </c>
      <c r="AF613">
        <v>-5161.6318000000001</v>
      </c>
    </row>
    <row r="614" spans="2:32" x14ac:dyDescent="0.25">
      <c r="B614">
        <v>34</v>
      </c>
      <c r="C614">
        <v>1</v>
      </c>
      <c r="D614">
        <v>1</v>
      </c>
      <c r="E614">
        <v>1</v>
      </c>
      <c r="F614">
        <v>1</v>
      </c>
      <c r="G614">
        <v>1</v>
      </c>
      <c r="H614">
        <v>1</v>
      </c>
      <c r="J614">
        <v>34</v>
      </c>
      <c r="K614">
        <v>1</v>
      </c>
      <c r="L614">
        <v>1</v>
      </c>
      <c r="M614">
        <v>1</v>
      </c>
      <c r="N614">
        <v>1</v>
      </c>
      <c r="O614">
        <v>1</v>
      </c>
      <c r="P614">
        <v>1</v>
      </c>
      <c r="R614">
        <v>34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AA614">
        <v>-5158.7194</v>
      </c>
      <c r="AB614">
        <v>-5158.7194</v>
      </c>
      <c r="AC614">
        <v>-5158.7194</v>
      </c>
      <c r="AD614">
        <v>-5158.7194</v>
      </c>
      <c r="AE614">
        <v>-5158.7194</v>
      </c>
      <c r="AF614">
        <v>-5158.7194</v>
      </c>
    </row>
    <row r="615" spans="2:32" x14ac:dyDescent="0.25">
      <c r="B615">
        <v>35</v>
      </c>
      <c r="C615">
        <v>1</v>
      </c>
      <c r="D615">
        <v>1</v>
      </c>
      <c r="E615">
        <v>1</v>
      </c>
      <c r="F615">
        <v>1</v>
      </c>
      <c r="G615">
        <v>1</v>
      </c>
      <c r="H615">
        <v>1</v>
      </c>
      <c r="J615">
        <v>35</v>
      </c>
      <c r="K615">
        <v>1</v>
      </c>
      <c r="L615">
        <v>1</v>
      </c>
      <c r="M615">
        <v>1</v>
      </c>
      <c r="N615">
        <v>1</v>
      </c>
      <c r="O615">
        <v>1</v>
      </c>
      <c r="P615">
        <v>1</v>
      </c>
      <c r="R615">
        <v>35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AA615">
        <v>-5155.4901</v>
      </c>
      <c r="AB615">
        <v>-5155.4901</v>
      </c>
      <c r="AC615">
        <v>-5155.4901</v>
      </c>
      <c r="AD615">
        <v>-5155.4901</v>
      </c>
      <c r="AE615">
        <v>-5155.4901</v>
      </c>
      <c r="AF615">
        <v>-5155.4901</v>
      </c>
    </row>
    <row r="616" spans="2:32" x14ac:dyDescent="0.25">
      <c r="B616">
        <v>36</v>
      </c>
      <c r="C616">
        <v>1</v>
      </c>
      <c r="D616">
        <v>1</v>
      </c>
      <c r="E616">
        <v>1</v>
      </c>
      <c r="F616">
        <v>1</v>
      </c>
      <c r="G616">
        <v>1</v>
      </c>
      <c r="H616">
        <v>1</v>
      </c>
      <c r="J616">
        <v>36</v>
      </c>
      <c r="K616">
        <v>1</v>
      </c>
      <c r="L616">
        <v>1</v>
      </c>
      <c r="M616">
        <v>1</v>
      </c>
      <c r="N616">
        <v>1</v>
      </c>
      <c r="O616">
        <v>1</v>
      </c>
      <c r="P616">
        <v>1</v>
      </c>
      <c r="R616">
        <v>36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AA616">
        <v>-5151.8950999999997</v>
      </c>
      <c r="AB616">
        <v>-5151.8950999999997</v>
      </c>
      <c r="AC616">
        <v>-5151.8950999999997</v>
      </c>
      <c r="AD616">
        <v>-5151.8950999999997</v>
      </c>
      <c r="AE616">
        <v>-5151.8950999999997</v>
      </c>
      <c r="AF616">
        <v>-5151.8950999999997</v>
      </c>
    </row>
    <row r="617" spans="2:32" x14ac:dyDescent="0.25">
      <c r="B617">
        <v>37</v>
      </c>
      <c r="C617">
        <v>1</v>
      </c>
      <c r="D617">
        <v>1</v>
      </c>
      <c r="E617">
        <v>1</v>
      </c>
      <c r="F617">
        <v>1</v>
      </c>
      <c r="G617">
        <v>1</v>
      </c>
      <c r="H617">
        <v>1</v>
      </c>
      <c r="J617">
        <v>37</v>
      </c>
      <c r="K617">
        <v>1</v>
      </c>
      <c r="L617">
        <v>1</v>
      </c>
      <c r="M617">
        <v>1</v>
      </c>
      <c r="N617">
        <v>1</v>
      </c>
      <c r="O617">
        <v>1</v>
      </c>
      <c r="P617">
        <v>1</v>
      </c>
      <c r="R617">
        <v>37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AA617">
        <v>-5147.9106000000002</v>
      </c>
      <c r="AB617">
        <v>-5147.9106000000002</v>
      </c>
      <c r="AC617">
        <v>-5147.9106000000002</v>
      </c>
      <c r="AD617">
        <v>-5147.9106000000002</v>
      </c>
      <c r="AE617">
        <v>-5147.9106000000002</v>
      </c>
      <c r="AF617">
        <v>-5147.9106000000002</v>
      </c>
    </row>
    <row r="618" spans="2:32" x14ac:dyDescent="0.25">
      <c r="B618">
        <v>38</v>
      </c>
      <c r="C618">
        <v>1</v>
      </c>
      <c r="D618">
        <v>1</v>
      </c>
      <c r="E618">
        <v>1</v>
      </c>
      <c r="F618">
        <v>1</v>
      </c>
      <c r="G618">
        <v>1</v>
      </c>
      <c r="H618">
        <v>1</v>
      </c>
      <c r="J618">
        <v>38</v>
      </c>
      <c r="K618">
        <v>1</v>
      </c>
      <c r="L618">
        <v>1</v>
      </c>
      <c r="M618">
        <v>1</v>
      </c>
      <c r="N618">
        <v>1</v>
      </c>
      <c r="O618">
        <v>1</v>
      </c>
      <c r="P618">
        <v>1</v>
      </c>
      <c r="R618">
        <v>38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AA618">
        <v>-5143.5393999999997</v>
      </c>
      <c r="AB618">
        <v>-5143.5393999999997</v>
      </c>
      <c r="AC618">
        <v>-5143.5393999999997</v>
      </c>
      <c r="AD618">
        <v>-5143.5393999999997</v>
      </c>
      <c r="AE618">
        <v>-5143.5393999999997</v>
      </c>
      <c r="AF618">
        <v>-5143.5393999999997</v>
      </c>
    </row>
    <row r="619" spans="2:32" x14ac:dyDescent="0.25">
      <c r="B619">
        <v>39</v>
      </c>
      <c r="C619">
        <v>1</v>
      </c>
      <c r="D619">
        <v>1</v>
      </c>
      <c r="E619">
        <v>1</v>
      </c>
      <c r="F619">
        <v>1</v>
      </c>
      <c r="G619">
        <v>1</v>
      </c>
      <c r="H619">
        <v>1</v>
      </c>
      <c r="J619">
        <v>39</v>
      </c>
      <c r="K619">
        <v>1</v>
      </c>
      <c r="L619">
        <v>1</v>
      </c>
      <c r="M619">
        <v>1</v>
      </c>
      <c r="N619">
        <v>1</v>
      </c>
      <c r="O619">
        <v>1</v>
      </c>
      <c r="P619">
        <v>1</v>
      </c>
      <c r="R619">
        <v>39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AA619">
        <v>-5138.76</v>
      </c>
      <c r="AB619">
        <v>-5138.76</v>
      </c>
      <c r="AC619">
        <v>-5138.76</v>
      </c>
      <c r="AD619">
        <v>-5138.76</v>
      </c>
      <c r="AE619">
        <v>-5138.76</v>
      </c>
      <c r="AF619">
        <v>-5138.76</v>
      </c>
    </row>
    <row r="620" spans="2:32" x14ac:dyDescent="0.25">
      <c r="B620">
        <v>40</v>
      </c>
      <c r="C620">
        <v>1</v>
      </c>
      <c r="D620">
        <v>1</v>
      </c>
      <c r="E620">
        <v>1</v>
      </c>
      <c r="F620">
        <v>1</v>
      </c>
      <c r="G620">
        <v>1</v>
      </c>
      <c r="H620">
        <v>1</v>
      </c>
      <c r="J620">
        <v>40</v>
      </c>
      <c r="K620">
        <v>1</v>
      </c>
      <c r="L620">
        <v>1</v>
      </c>
      <c r="M620">
        <v>1</v>
      </c>
      <c r="N620">
        <v>1</v>
      </c>
      <c r="O620">
        <v>1</v>
      </c>
      <c r="P620">
        <v>1</v>
      </c>
      <c r="R620">
        <v>40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AA620">
        <v>-5133.5084999999999</v>
      </c>
      <c r="AB620">
        <v>-5133.5084999999999</v>
      </c>
      <c r="AC620">
        <v>-5133.5084999999999</v>
      </c>
      <c r="AD620">
        <v>-5133.5084999999999</v>
      </c>
      <c r="AE620">
        <v>-5133.5084999999999</v>
      </c>
      <c r="AF620">
        <v>-5133.5084999999999</v>
      </c>
    </row>
    <row r="621" spans="2:32" x14ac:dyDescent="0.25">
      <c r="B621">
        <v>41</v>
      </c>
      <c r="C621">
        <v>1</v>
      </c>
      <c r="D621">
        <v>1</v>
      </c>
      <c r="E621">
        <v>1</v>
      </c>
      <c r="F621">
        <v>1</v>
      </c>
      <c r="G621">
        <v>1</v>
      </c>
      <c r="H621">
        <v>1</v>
      </c>
      <c r="J621">
        <v>41</v>
      </c>
      <c r="K621">
        <v>1</v>
      </c>
      <c r="L621">
        <v>1</v>
      </c>
      <c r="M621">
        <v>1</v>
      </c>
      <c r="N621">
        <v>1</v>
      </c>
      <c r="O621">
        <v>1</v>
      </c>
      <c r="P621">
        <v>1</v>
      </c>
      <c r="R621">
        <v>41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AA621">
        <v>-5127.7236000000003</v>
      </c>
      <c r="AB621">
        <v>-5127.7236000000003</v>
      </c>
      <c r="AC621">
        <v>-5127.7236000000003</v>
      </c>
      <c r="AD621">
        <v>-5127.7236000000003</v>
      </c>
      <c r="AE621">
        <v>-5127.7236000000003</v>
      </c>
      <c r="AF621">
        <v>-5127.7236000000003</v>
      </c>
    </row>
    <row r="622" spans="2:32" x14ac:dyDescent="0.25">
      <c r="B622">
        <v>42</v>
      </c>
      <c r="C622">
        <v>1</v>
      </c>
      <c r="D622">
        <v>1</v>
      </c>
      <c r="E622">
        <v>1</v>
      </c>
      <c r="F622">
        <v>1</v>
      </c>
      <c r="G622">
        <v>1</v>
      </c>
      <c r="H622">
        <v>1</v>
      </c>
      <c r="J622">
        <v>42</v>
      </c>
      <c r="K622">
        <v>1</v>
      </c>
      <c r="L622">
        <v>1</v>
      </c>
      <c r="M622">
        <v>1</v>
      </c>
      <c r="N622">
        <v>1</v>
      </c>
      <c r="O622">
        <v>1</v>
      </c>
      <c r="P622">
        <v>1</v>
      </c>
      <c r="R622">
        <v>42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AA622">
        <v>-5121.3726999999999</v>
      </c>
      <c r="AB622">
        <v>-5121.3726999999999</v>
      </c>
      <c r="AC622">
        <v>-5121.3726999999999</v>
      </c>
      <c r="AD622">
        <v>-5121.3726999999999</v>
      </c>
      <c r="AE622">
        <v>-5121.3726999999999</v>
      </c>
      <c r="AF622">
        <v>-5121.3726999999999</v>
      </c>
    </row>
    <row r="623" spans="2:32" x14ac:dyDescent="0.25">
      <c r="B623">
        <v>43</v>
      </c>
      <c r="C623">
        <v>1</v>
      </c>
      <c r="D623">
        <v>1</v>
      </c>
      <c r="E623">
        <v>1</v>
      </c>
      <c r="F623">
        <v>1</v>
      </c>
      <c r="G623">
        <v>1</v>
      </c>
      <c r="H623">
        <v>1</v>
      </c>
      <c r="J623">
        <v>43</v>
      </c>
      <c r="K623">
        <v>1</v>
      </c>
      <c r="L623">
        <v>1</v>
      </c>
      <c r="M623">
        <v>1</v>
      </c>
      <c r="N623">
        <v>1</v>
      </c>
      <c r="O623">
        <v>1</v>
      </c>
      <c r="P623">
        <v>1</v>
      </c>
      <c r="R623">
        <v>43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AA623">
        <v>-5114.3449000000001</v>
      </c>
      <c r="AB623">
        <v>-5114.3449000000001</v>
      </c>
      <c r="AC623">
        <v>-5114.3449000000001</v>
      </c>
      <c r="AD623">
        <v>-5114.3449000000001</v>
      </c>
      <c r="AE623">
        <v>-5114.3449000000001</v>
      </c>
      <c r="AF623">
        <v>-5114.3449000000001</v>
      </c>
    </row>
    <row r="624" spans="2:32" x14ac:dyDescent="0.25">
      <c r="B624">
        <v>44</v>
      </c>
      <c r="C624">
        <v>1</v>
      </c>
      <c r="D624">
        <v>1</v>
      </c>
      <c r="E624">
        <v>1</v>
      </c>
      <c r="F624">
        <v>1</v>
      </c>
      <c r="G624">
        <v>1</v>
      </c>
      <c r="H624">
        <v>1</v>
      </c>
      <c r="J624">
        <v>44</v>
      </c>
      <c r="K624">
        <v>1</v>
      </c>
      <c r="L624">
        <v>1</v>
      </c>
      <c r="M624">
        <v>1</v>
      </c>
      <c r="N624">
        <v>1</v>
      </c>
      <c r="O624">
        <v>1</v>
      </c>
      <c r="P624">
        <v>1</v>
      </c>
      <c r="R624">
        <v>44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AA624">
        <v>-5106.5976000000001</v>
      </c>
      <c r="AB624">
        <v>-5106.5976000000001</v>
      </c>
      <c r="AC624">
        <v>-5106.5976000000001</v>
      </c>
      <c r="AD624">
        <v>-5106.5976000000001</v>
      </c>
      <c r="AE624">
        <v>-5106.5976000000001</v>
      </c>
      <c r="AF624">
        <v>-5106.5976000000001</v>
      </c>
    </row>
    <row r="625" spans="2:32" x14ac:dyDescent="0.25">
      <c r="B625">
        <v>45</v>
      </c>
      <c r="C625">
        <v>1</v>
      </c>
      <c r="D625">
        <v>1</v>
      </c>
      <c r="E625">
        <v>1</v>
      </c>
      <c r="F625">
        <v>1</v>
      </c>
      <c r="G625">
        <v>1</v>
      </c>
      <c r="H625">
        <v>1</v>
      </c>
      <c r="J625">
        <v>45</v>
      </c>
      <c r="K625">
        <v>1</v>
      </c>
      <c r="L625">
        <v>1</v>
      </c>
      <c r="M625">
        <v>1</v>
      </c>
      <c r="N625">
        <v>1</v>
      </c>
      <c r="O625">
        <v>1</v>
      </c>
      <c r="P625">
        <v>1</v>
      </c>
      <c r="R625">
        <v>45</v>
      </c>
      <c r="S625">
        <v>1</v>
      </c>
      <c r="T625">
        <v>1</v>
      </c>
      <c r="U625">
        <v>1</v>
      </c>
      <c r="V625">
        <v>1</v>
      </c>
      <c r="W625">
        <v>1</v>
      </c>
      <c r="X625">
        <v>1</v>
      </c>
      <c r="AA625">
        <v>-5098.0524999999998</v>
      </c>
      <c r="AB625">
        <v>-5098.0524999999998</v>
      </c>
      <c r="AC625">
        <v>-5098.0524999999998</v>
      </c>
      <c r="AD625">
        <v>-5098.0524999999998</v>
      </c>
      <c r="AE625">
        <v>-5098.0524999999998</v>
      </c>
      <c r="AF625">
        <v>-5098.0524999999998</v>
      </c>
    </row>
    <row r="626" spans="2:32" x14ac:dyDescent="0.25">
      <c r="B626">
        <v>46</v>
      </c>
      <c r="C626">
        <v>1</v>
      </c>
      <c r="D626">
        <v>1</v>
      </c>
      <c r="E626">
        <v>1</v>
      </c>
      <c r="F626">
        <v>1</v>
      </c>
      <c r="G626">
        <v>1</v>
      </c>
      <c r="H626">
        <v>1</v>
      </c>
      <c r="J626">
        <v>46</v>
      </c>
      <c r="K626">
        <v>1</v>
      </c>
      <c r="L626">
        <v>1</v>
      </c>
      <c r="M626">
        <v>1</v>
      </c>
      <c r="N626">
        <v>1</v>
      </c>
      <c r="O626">
        <v>1</v>
      </c>
      <c r="P626">
        <v>1</v>
      </c>
      <c r="R626">
        <v>46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AA626">
        <v>-5088.6378000000004</v>
      </c>
      <c r="AB626">
        <v>-5088.6378000000004</v>
      </c>
      <c r="AC626">
        <v>-5088.6378000000004</v>
      </c>
      <c r="AD626">
        <v>-5088.6378000000004</v>
      </c>
      <c r="AE626">
        <v>-5088.6378000000004</v>
      </c>
      <c r="AF626">
        <v>-5088.6378000000004</v>
      </c>
    </row>
    <row r="627" spans="2:32" x14ac:dyDescent="0.25">
      <c r="B627">
        <v>47</v>
      </c>
      <c r="C627">
        <v>1</v>
      </c>
      <c r="D627">
        <v>1</v>
      </c>
      <c r="E627">
        <v>1</v>
      </c>
      <c r="F627">
        <v>1</v>
      </c>
      <c r="G627">
        <v>1</v>
      </c>
      <c r="H627">
        <v>1</v>
      </c>
      <c r="J627">
        <v>47</v>
      </c>
      <c r="K627">
        <v>1</v>
      </c>
      <c r="L627">
        <v>1</v>
      </c>
      <c r="M627">
        <v>1</v>
      </c>
      <c r="N627">
        <v>1</v>
      </c>
      <c r="O627">
        <v>1</v>
      </c>
      <c r="P627">
        <v>1</v>
      </c>
      <c r="R627">
        <v>47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AA627">
        <v>-5078.2593999999999</v>
      </c>
      <c r="AB627">
        <v>-5078.2593999999999</v>
      </c>
      <c r="AC627">
        <v>-5078.2593999999999</v>
      </c>
      <c r="AD627">
        <v>-5078.2593999999999</v>
      </c>
      <c r="AE627">
        <v>-5078.2593999999999</v>
      </c>
      <c r="AF627">
        <v>-5078.2593999999999</v>
      </c>
    </row>
    <row r="628" spans="2:32" x14ac:dyDescent="0.25">
      <c r="B628">
        <v>48</v>
      </c>
      <c r="C628">
        <v>1</v>
      </c>
      <c r="D628">
        <v>1</v>
      </c>
      <c r="E628">
        <v>1</v>
      </c>
      <c r="F628">
        <v>1</v>
      </c>
      <c r="G628">
        <v>1</v>
      </c>
      <c r="H628">
        <v>1</v>
      </c>
      <c r="J628">
        <v>48</v>
      </c>
      <c r="K628">
        <v>1</v>
      </c>
      <c r="L628">
        <v>1</v>
      </c>
      <c r="M628">
        <v>1</v>
      </c>
      <c r="N628">
        <v>1</v>
      </c>
      <c r="O628">
        <v>1</v>
      </c>
      <c r="P628">
        <v>1</v>
      </c>
      <c r="R628">
        <v>48</v>
      </c>
      <c r="S628">
        <v>1</v>
      </c>
      <c r="T628">
        <v>1</v>
      </c>
      <c r="U628">
        <v>1</v>
      </c>
      <c r="V628">
        <v>1</v>
      </c>
      <c r="W628">
        <v>1</v>
      </c>
      <c r="X628">
        <v>1</v>
      </c>
      <c r="AA628">
        <v>-5066.8732</v>
      </c>
      <c r="AB628">
        <v>-5066.8732</v>
      </c>
      <c r="AC628">
        <v>-5066.8732</v>
      </c>
      <c r="AD628">
        <v>-5066.8732</v>
      </c>
      <c r="AE628">
        <v>-5066.8732</v>
      </c>
      <c r="AF628">
        <v>-5066.8732</v>
      </c>
    </row>
    <row r="629" spans="2:32" x14ac:dyDescent="0.25">
      <c r="B629">
        <v>49</v>
      </c>
      <c r="C629">
        <v>1</v>
      </c>
      <c r="D629">
        <v>1</v>
      </c>
      <c r="E629">
        <v>1</v>
      </c>
      <c r="F629">
        <v>1</v>
      </c>
      <c r="G629">
        <v>1</v>
      </c>
      <c r="H629">
        <v>1</v>
      </c>
      <c r="J629">
        <v>49</v>
      </c>
      <c r="K629">
        <v>1</v>
      </c>
      <c r="L629">
        <v>1</v>
      </c>
      <c r="M629">
        <v>1</v>
      </c>
      <c r="N629">
        <v>1</v>
      </c>
      <c r="O629">
        <v>1</v>
      </c>
      <c r="P629">
        <v>1</v>
      </c>
      <c r="R629">
        <v>49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AA629">
        <v>-5054.4124000000002</v>
      </c>
      <c r="AB629">
        <v>-5054.4124000000002</v>
      </c>
      <c r="AC629">
        <v>-5054.4124000000002</v>
      </c>
      <c r="AD629">
        <v>-5054.4124000000002</v>
      </c>
      <c r="AE629">
        <v>-5054.4124000000002</v>
      </c>
      <c r="AF629">
        <v>-5054.4124000000002</v>
      </c>
    </row>
    <row r="630" spans="2:32" x14ac:dyDescent="0.25">
      <c r="B630">
        <v>50</v>
      </c>
      <c r="C630">
        <v>1</v>
      </c>
      <c r="D630">
        <v>1</v>
      </c>
      <c r="E630">
        <v>1</v>
      </c>
      <c r="F630">
        <v>1</v>
      </c>
      <c r="G630">
        <v>1</v>
      </c>
      <c r="H630">
        <v>1</v>
      </c>
      <c r="J630">
        <v>50</v>
      </c>
      <c r="K630">
        <v>1</v>
      </c>
      <c r="L630">
        <v>1</v>
      </c>
      <c r="M630">
        <v>1</v>
      </c>
      <c r="N630">
        <v>1</v>
      </c>
      <c r="O630">
        <v>1</v>
      </c>
      <c r="P630">
        <v>1</v>
      </c>
      <c r="R630">
        <v>50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AA630">
        <v>-5040.7671</v>
      </c>
      <c r="AB630">
        <v>-5040.7671</v>
      </c>
      <c r="AC630">
        <v>-5040.7671</v>
      </c>
      <c r="AD630">
        <v>-5040.7671</v>
      </c>
      <c r="AE630">
        <v>-5040.7671</v>
      </c>
      <c r="AF630">
        <v>-5040.7671</v>
      </c>
    </row>
    <row r="631" spans="2:32" x14ac:dyDescent="0.25">
      <c r="B631">
        <v>51</v>
      </c>
      <c r="C631">
        <v>1</v>
      </c>
      <c r="D631">
        <v>1</v>
      </c>
      <c r="E631">
        <v>1</v>
      </c>
      <c r="F631">
        <v>1</v>
      </c>
      <c r="G631">
        <v>1</v>
      </c>
      <c r="H631">
        <v>1</v>
      </c>
      <c r="J631">
        <v>51</v>
      </c>
      <c r="K631">
        <v>1</v>
      </c>
      <c r="L631">
        <v>1</v>
      </c>
      <c r="M631">
        <v>1</v>
      </c>
      <c r="N631">
        <v>1</v>
      </c>
      <c r="O631">
        <v>1</v>
      </c>
      <c r="P631">
        <v>1</v>
      </c>
      <c r="R631">
        <v>51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AA631">
        <v>-5025.8329000000003</v>
      </c>
      <c r="AB631">
        <v>-5025.8329000000003</v>
      </c>
      <c r="AC631">
        <v>-5025.8329000000003</v>
      </c>
      <c r="AD631">
        <v>-5025.8329000000003</v>
      </c>
      <c r="AE631">
        <v>-5025.8329000000003</v>
      </c>
      <c r="AF631">
        <v>-5025.8329000000003</v>
      </c>
    </row>
    <row r="632" spans="2:32" x14ac:dyDescent="0.25">
      <c r="B632">
        <v>52</v>
      </c>
      <c r="C632">
        <v>1</v>
      </c>
      <c r="D632">
        <v>1</v>
      </c>
      <c r="E632">
        <v>1</v>
      </c>
      <c r="F632">
        <v>1</v>
      </c>
      <c r="G632">
        <v>1</v>
      </c>
      <c r="H632">
        <v>1</v>
      </c>
      <c r="J632">
        <v>52</v>
      </c>
      <c r="K632">
        <v>1</v>
      </c>
      <c r="L632">
        <v>1</v>
      </c>
      <c r="M632">
        <v>1</v>
      </c>
      <c r="N632">
        <v>1</v>
      </c>
      <c r="O632">
        <v>1</v>
      </c>
      <c r="P632">
        <v>1</v>
      </c>
      <c r="R632">
        <v>52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AA632">
        <v>-5009.4771000000001</v>
      </c>
      <c r="AB632">
        <v>-5009.4771000000001</v>
      </c>
      <c r="AC632">
        <v>-5009.4771000000001</v>
      </c>
      <c r="AD632">
        <v>-5009.4771000000001</v>
      </c>
      <c r="AE632">
        <v>-5009.4771000000001</v>
      </c>
      <c r="AF632">
        <v>-5009.4771000000001</v>
      </c>
    </row>
    <row r="633" spans="2:32" x14ac:dyDescent="0.25">
      <c r="B633">
        <v>53</v>
      </c>
      <c r="C633">
        <v>1</v>
      </c>
      <c r="D633">
        <v>1</v>
      </c>
      <c r="E633">
        <v>1</v>
      </c>
      <c r="F633">
        <v>1</v>
      </c>
      <c r="G633">
        <v>1</v>
      </c>
      <c r="H633">
        <v>1</v>
      </c>
      <c r="J633">
        <v>53</v>
      </c>
      <c r="K633">
        <v>1</v>
      </c>
      <c r="L633">
        <v>1</v>
      </c>
      <c r="M633">
        <v>1</v>
      </c>
      <c r="N633">
        <v>1</v>
      </c>
      <c r="O633">
        <v>1</v>
      </c>
      <c r="P633">
        <v>1</v>
      </c>
      <c r="R633">
        <v>53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AA633">
        <v>-4991.6184000000003</v>
      </c>
      <c r="AB633">
        <v>-4991.6184000000003</v>
      </c>
      <c r="AC633">
        <v>-4991.6184000000003</v>
      </c>
      <c r="AD633">
        <v>-4991.6184000000003</v>
      </c>
      <c r="AE633">
        <v>-4991.6184000000003</v>
      </c>
      <c r="AF633">
        <v>-4991.6184000000003</v>
      </c>
    </row>
    <row r="634" spans="2:32" x14ac:dyDescent="0.25">
      <c r="B634">
        <v>54</v>
      </c>
      <c r="C634">
        <v>1</v>
      </c>
      <c r="D634">
        <v>1</v>
      </c>
      <c r="E634">
        <v>1</v>
      </c>
      <c r="F634">
        <v>1</v>
      </c>
      <c r="G634">
        <v>1</v>
      </c>
      <c r="H634">
        <v>1</v>
      </c>
      <c r="J634">
        <v>54</v>
      </c>
      <c r="K634">
        <v>1</v>
      </c>
      <c r="L634">
        <v>1</v>
      </c>
      <c r="M634">
        <v>1</v>
      </c>
      <c r="N634">
        <v>1</v>
      </c>
      <c r="O634">
        <v>1</v>
      </c>
      <c r="P634">
        <v>1</v>
      </c>
      <c r="R634">
        <v>54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AA634">
        <v>-4972.1588000000002</v>
      </c>
      <c r="AB634">
        <v>-4972.1588000000002</v>
      </c>
      <c r="AC634">
        <v>-4972.1588000000002</v>
      </c>
      <c r="AD634">
        <v>-4972.1588000000002</v>
      </c>
      <c r="AE634">
        <v>-4972.1588000000002</v>
      </c>
      <c r="AF634">
        <v>-4972.1588000000002</v>
      </c>
    </row>
    <row r="635" spans="2:32" x14ac:dyDescent="0.25">
      <c r="B635">
        <v>55</v>
      </c>
      <c r="C635">
        <v>1</v>
      </c>
      <c r="D635">
        <v>1</v>
      </c>
      <c r="E635">
        <v>1</v>
      </c>
      <c r="F635">
        <v>1</v>
      </c>
      <c r="G635">
        <v>1</v>
      </c>
      <c r="H635">
        <v>1</v>
      </c>
      <c r="J635">
        <v>55</v>
      </c>
      <c r="K635">
        <v>1</v>
      </c>
      <c r="L635">
        <v>1</v>
      </c>
      <c r="M635">
        <v>1</v>
      </c>
      <c r="N635">
        <v>1</v>
      </c>
      <c r="O635">
        <v>1</v>
      </c>
      <c r="P635">
        <v>1</v>
      </c>
      <c r="R635">
        <v>55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AA635">
        <v>-4950.9426000000003</v>
      </c>
      <c r="AB635">
        <v>-4950.9426000000003</v>
      </c>
      <c r="AC635">
        <v>-4950.9426000000003</v>
      </c>
      <c r="AD635">
        <v>-4950.9426000000003</v>
      </c>
      <c r="AE635">
        <v>-4950.9426000000003</v>
      </c>
      <c r="AF635">
        <v>-4950.9426000000003</v>
      </c>
    </row>
    <row r="638" spans="2:32" x14ac:dyDescent="0.25">
      <c r="B638" t="s">
        <v>46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32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48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2:32" x14ac:dyDescent="0.25">
      <c r="B639">
        <v>35</v>
      </c>
      <c r="C639">
        <v>1</v>
      </c>
      <c r="D639">
        <v>1</v>
      </c>
      <c r="E639">
        <v>1</v>
      </c>
      <c r="F639">
        <v>1</v>
      </c>
      <c r="G639">
        <v>1</v>
      </c>
      <c r="J639">
        <v>35</v>
      </c>
      <c r="K639">
        <v>1</v>
      </c>
      <c r="L639">
        <v>1</v>
      </c>
      <c r="M639">
        <v>1</v>
      </c>
      <c r="N639">
        <v>1</v>
      </c>
      <c r="O639">
        <v>1</v>
      </c>
      <c r="R639">
        <v>35</v>
      </c>
      <c r="S639">
        <v>1</v>
      </c>
      <c r="T639">
        <v>1</v>
      </c>
      <c r="U639">
        <v>1</v>
      </c>
      <c r="V639">
        <v>1</v>
      </c>
      <c r="W639">
        <v>1</v>
      </c>
      <c r="AA639">
        <v>-8996.1419000000005</v>
      </c>
      <c r="AB639">
        <v>-8996.1419000000005</v>
      </c>
      <c r="AC639">
        <v>-8996.1419000000005</v>
      </c>
      <c r="AD639">
        <v>-8996.1419000000005</v>
      </c>
      <c r="AE639">
        <v>-8996.1419000000005</v>
      </c>
      <c r="AF639">
        <v>-759112.79520000005</v>
      </c>
    </row>
    <row r="640" spans="2:32" x14ac:dyDescent="0.25">
      <c r="B640">
        <f t="shared" ref="B640:B669" si="27">B639+1</f>
        <v>36</v>
      </c>
      <c r="C640">
        <v>1</v>
      </c>
      <c r="D640">
        <v>1</v>
      </c>
      <c r="E640">
        <v>1</v>
      </c>
      <c r="F640">
        <v>1</v>
      </c>
      <c r="G640">
        <v>1</v>
      </c>
      <c r="J640">
        <f t="shared" ref="J640:J669" si="28">J639+1</f>
        <v>36</v>
      </c>
      <c r="K640">
        <v>1</v>
      </c>
      <c r="L640">
        <v>1</v>
      </c>
      <c r="M640">
        <v>1</v>
      </c>
      <c r="N640">
        <v>1</v>
      </c>
      <c r="O640">
        <v>1</v>
      </c>
      <c r="R640">
        <f t="shared" ref="R640:R669" si="29">R639+1</f>
        <v>36</v>
      </c>
      <c r="S640">
        <v>1</v>
      </c>
      <c r="T640">
        <v>1</v>
      </c>
      <c r="U640">
        <v>1</v>
      </c>
      <c r="V640">
        <v>1</v>
      </c>
      <c r="W640">
        <v>1</v>
      </c>
      <c r="AA640">
        <v>-8902.6679999999997</v>
      </c>
      <c r="AB640">
        <v>-8902.6679999999997</v>
      </c>
      <c r="AC640">
        <v>-8902.6679999999997</v>
      </c>
      <c r="AD640">
        <v>-8902.6679999999997</v>
      </c>
      <c r="AE640">
        <v>-8902.6679999999997</v>
      </c>
      <c r="AF640">
        <v>-737070.86179999996</v>
      </c>
    </row>
    <row r="641" spans="2:32" x14ac:dyDescent="0.25">
      <c r="B641">
        <f t="shared" si="27"/>
        <v>37</v>
      </c>
      <c r="C641">
        <v>1</v>
      </c>
      <c r="D641">
        <v>1</v>
      </c>
      <c r="E641">
        <v>1</v>
      </c>
      <c r="F641">
        <v>1</v>
      </c>
      <c r="G641">
        <v>1</v>
      </c>
      <c r="J641">
        <f t="shared" si="28"/>
        <v>37</v>
      </c>
      <c r="K641">
        <v>1</v>
      </c>
      <c r="L641">
        <v>1</v>
      </c>
      <c r="M641">
        <v>1</v>
      </c>
      <c r="N641">
        <v>1</v>
      </c>
      <c r="O641">
        <v>1</v>
      </c>
      <c r="R641">
        <f t="shared" si="29"/>
        <v>37</v>
      </c>
      <c r="S641">
        <v>1</v>
      </c>
      <c r="T641">
        <v>1</v>
      </c>
      <c r="U641">
        <v>1</v>
      </c>
      <c r="V641">
        <v>1</v>
      </c>
      <c r="W641">
        <v>1</v>
      </c>
      <c r="AA641">
        <v>-8806.7960000000003</v>
      </c>
      <c r="AB641">
        <v>-8806.7960000000003</v>
      </c>
      <c r="AC641">
        <v>-8806.7960000000003</v>
      </c>
      <c r="AD641">
        <v>-8806.7960000000003</v>
      </c>
      <c r="AE641">
        <v>-8806.7960000000003</v>
      </c>
      <c r="AF641">
        <v>-765978.91940000001</v>
      </c>
    </row>
    <row r="642" spans="2:32" x14ac:dyDescent="0.25">
      <c r="B642">
        <f t="shared" si="27"/>
        <v>38</v>
      </c>
      <c r="C642">
        <v>1</v>
      </c>
      <c r="D642">
        <v>1</v>
      </c>
      <c r="E642">
        <v>1</v>
      </c>
      <c r="F642">
        <v>1</v>
      </c>
      <c r="G642">
        <v>1</v>
      </c>
      <c r="J642">
        <f t="shared" si="28"/>
        <v>38</v>
      </c>
      <c r="K642">
        <v>1</v>
      </c>
      <c r="L642">
        <v>1</v>
      </c>
      <c r="M642">
        <v>1</v>
      </c>
      <c r="N642">
        <v>1</v>
      </c>
      <c r="O642">
        <v>1</v>
      </c>
      <c r="R642">
        <f t="shared" si="29"/>
        <v>38</v>
      </c>
      <c r="S642">
        <v>1</v>
      </c>
      <c r="T642">
        <v>1</v>
      </c>
      <c r="U642">
        <v>1</v>
      </c>
      <c r="V642">
        <v>1</v>
      </c>
      <c r="W642">
        <v>1</v>
      </c>
      <c r="AA642">
        <v>-8708.6234000000004</v>
      </c>
      <c r="AB642">
        <v>-8708.6234000000004</v>
      </c>
      <c r="AC642">
        <v>-8708.6234000000004</v>
      </c>
      <c r="AD642">
        <v>-8708.6234000000004</v>
      </c>
      <c r="AE642">
        <v>-8708.6234000000004</v>
      </c>
      <c r="AF642">
        <v>-783780.576</v>
      </c>
    </row>
    <row r="643" spans="2:32" x14ac:dyDescent="0.25">
      <c r="B643">
        <f t="shared" si="27"/>
        <v>39</v>
      </c>
      <c r="C643">
        <v>1</v>
      </c>
      <c r="D643">
        <v>1</v>
      </c>
      <c r="E643">
        <v>1</v>
      </c>
      <c r="F643">
        <v>1</v>
      </c>
      <c r="G643">
        <v>1</v>
      </c>
      <c r="J643">
        <f t="shared" si="28"/>
        <v>39</v>
      </c>
      <c r="K643">
        <v>1</v>
      </c>
      <c r="L643">
        <v>1</v>
      </c>
      <c r="M643">
        <v>1</v>
      </c>
      <c r="N643">
        <v>1</v>
      </c>
      <c r="O643">
        <v>1</v>
      </c>
      <c r="R643">
        <f t="shared" si="29"/>
        <v>39</v>
      </c>
      <c r="S643">
        <v>1</v>
      </c>
      <c r="T643">
        <v>1</v>
      </c>
      <c r="U643">
        <v>1</v>
      </c>
      <c r="V643">
        <v>1</v>
      </c>
      <c r="W643">
        <v>1</v>
      </c>
      <c r="AA643">
        <v>-8608.1594000000005</v>
      </c>
      <c r="AB643">
        <v>-8608.1594000000005</v>
      </c>
      <c r="AC643">
        <v>-8608.1594000000005</v>
      </c>
      <c r="AD643">
        <v>-8608.1594000000005</v>
      </c>
      <c r="AE643">
        <v>-8608.1594000000005</v>
      </c>
      <c r="AF643">
        <v>-769662.22069999995</v>
      </c>
    </row>
    <row r="644" spans="2:32" x14ac:dyDescent="0.25">
      <c r="B644">
        <f t="shared" si="27"/>
        <v>40</v>
      </c>
      <c r="C644">
        <v>1</v>
      </c>
      <c r="D644">
        <v>1</v>
      </c>
      <c r="E644">
        <v>1</v>
      </c>
      <c r="F644">
        <v>1</v>
      </c>
      <c r="G644">
        <v>1</v>
      </c>
      <c r="J644">
        <f t="shared" si="28"/>
        <v>40</v>
      </c>
      <c r="K644">
        <v>1</v>
      </c>
      <c r="L644">
        <v>1</v>
      </c>
      <c r="M644">
        <v>1</v>
      </c>
      <c r="N644">
        <v>1</v>
      </c>
      <c r="O644">
        <v>1</v>
      </c>
      <c r="R644">
        <f t="shared" si="29"/>
        <v>40</v>
      </c>
      <c r="S644">
        <v>1</v>
      </c>
      <c r="T644">
        <v>1</v>
      </c>
      <c r="U644">
        <v>1</v>
      </c>
      <c r="V644">
        <v>1</v>
      </c>
      <c r="W644">
        <v>1</v>
      </c>
      <c r="AA644">
        <v>-8505.3439999999991</v>
      </c>
      <c r="AB644">
        <v>-8505.3439999999991</v>
      </c>
      <c r="AC644">
        <v>-8505.3439999999991</v>
      </c>
      <c r="AD644">
        <v>-8505.3439999999991</v>
      </c>
      <c r="AE644">
        <v>-8505.3439999999991</v>
      </c>
      <c r="AF644">
        <v>-798570.41119999997</v>
      </c>
    </row>
    <row r="645" spans="2:32" x14ac:dyDescent="0.25">
      <c r="B645">
        <f t="shared" si="27"/>
        <v>41</v>
      </c>
      <c r="C645">
        <v>1</v>
      </c>
      <c r="D645">
        <v>1</v>
      </c>
      <c r="E645">
        <v>1</v>
      </c>
      <c r="F645">
        <v>1</v>
      </c>
      <c r="G645">
        <v>1</v>
      </c>
      <c r="J645">
        <f t="shared" si="28"/>
        <v>41</v>
      </c>
      <c r="K645">
        <v>1</v>
      </c>
      <c r="L645">
        <v>1</v>
      </c>
      <c r="M645">
        <v>1</v>
      </c>
      <c r="N645">
        <v>1</v>
      </c>
      <c r="O645">
        <v>1</v>
      </c>
      <c r="R645">
        <f t="shared" si="29"/>
        <v>41</v>
      </c>
      <c r="S645">
        <v>1</v>
      </c>
      <c r="T645">
        <v>1</v>
      </c>
      <c r="U645">
        <v>1</v>
      </c>
      <c r="V645">
        <v>1</v>
      </c>
      <c r="W645">
        <v>1</v>
      </c>
      <c r="AA645">
        <v>-8400.1087000000007</v>
      </c>
      <c r="AB645">
        <v>-8400.1087000000007</v>
      </c>
      <c r="AC645">
        <v>-8400.1087000000007</v>
      </c>
      <c r="AD645">
        <v>-8400.1087000000007</v>
      </c>
      <c r="AE645">
        <v>-8400.1087000000007</v>
      </c>
      <c r="AF645">
        <v>-803549.96459999995</v>
      </c>
    </row>
    <row r="646" spans="2:32" x14ac:dyDescent="0.25">
      <c r="B646">
        <f t="shared" si="27"/>
        <v>42</v>
      </c>
      <c r="C646">
        <v>1</v>
      </c>
      <c r="D646">
        <v>1</v>
      </c>
      <c r="E646">
        <v>1</v>
      </c>
      <c r="F646">
        <v>1</v>
      </c>
      <c r="G646">
        <v>1</v>
      </c>
      <c r="J646">
        <f t="shared" si="28"/>
        <v>42</v>
      </c>
      <c r="K646">
        <v>1</v>
      </c>
      <c r="L646">
        <v>1</v>
      </c>
      <c r="M646">
        <v>1</v>
      </c>
      <c r="N646">
        <v>1</v>
      </c>
      <c r="O646">
        <v>1</v>
      </c>
      <c r="R646">
        <f t="shared" si="29"/>
        <v>42</v>
      </c>
      <c r="S646">
        <v>1</v>
      </c>
      <c r="T646">
        <v>1</v>
      </c>
      <c r="U646">
        <v>1</v>
      </c>
      <c r="V646">
        <v>1</v>
      </c>
      <c r="W646">
        <v>1</v>
      </c>
      <c r="AA646">
        <v>-8292.4974999999995</v>
      </c>
      <c r="AB646">
        <v>-8292.4974999999995</v>
      </c>
      <c r="AC646">
        <v>-8292.4974999999995</v>
      </c>
      <c r="AD646">
        <v>-8292.4974999999995</v>
      </c>
      <c r="AE646">
        <v>-8292.4974999999995</v>
      </c>
      <c r="AF646">
        <v>-833551.75890000002</v>
      </c>
    </row>
    <row r="647" spans="2:32" x14ac:dyDescent="0.25">
      <c r="B647">
        <f t="shared" si="27"/>
        <v>43</v>
      </c>
      <c r="C647">
        <v>1</v>
      </c>
      <c r="D647">
        <v>1</v>
      </c>
      <c r="E647">
        <v>1</v>
      </c>
      <c r="F647">
        <v>1</v>
      </c>
      <c r="G647">
        <v>1</v>
      </c>
      <c r="J647">
        <f t="shared" si="28"/>
        <v>43</v>
      </c>
      <c r="K647">
        <v>1</v>
      </c>
      <c r="L647">
        <v>1</v>
      </c>
      <c r="M647">
        <v>1</v>
      </c>
      <c r="N647">
        <v>1</v>
      </c>
      <c r="O647">
        <v>1</v>
      </c>
      <c r="R647">
        <f t="shared" si="29"/>
        <v>43</v>
      </c>
      <c r="S647">
        <v>1</v>
      </c>
      <c r="T647">
        <v>1</v>
      </c>
      <c r="U647">
        <v>1</v>
      </c>
      <c r="V647">
        <v>1</v>
      </c>
      <c r="W647">
        <v>1</v>
      </c>
      <c r="AA647">
        <v>-8182.3909999999996</v>
      </c>
      <c r="AB647">
        <v>-8182.3909999999996</v>
      </c>
      <c r="AC647">
        <v>-8182.3909999999996</v>
      </c>
      <c r="AD647">
        <v>-8182.3909999999996</v>
      </c>
      <c r="AE647">
        <v>-8182.3909999999996</v>
      </c>
      <c r="AF647">
        <v>-844950.93949999998</v>
      </c>
    </row>
    <row r="648" spans="2:32" x14ac:dyDescent="0.25">
      <c r="B648">
        <f t="shared" si="27"/>
        <v>44</v>
      </c>
      <c r="C648">
        <v>1</v>
      </c>
      <c r="D648">
        <v>1</v>
      </c>
      <c r="E648">
        <v>1</v>
      </c>
      <c r="F648">
        <v>1</v>
      </c>
      <c r="G648">
        <v>1</v>
      </c>
      <c r="J648">
        <f t="shared" si="28"/>
        <v>44</v>
      </c>
      <c r="K648">
        <v>1</v>
      </c>
      <c r="L648">
        <v>1</v>
      </c>
      <c r="M648">
        <v>1</v>
      </c>
      <c r="N648">
        <v>1</v>
      </c>
      <c r="O648">
        <v>1</v>
      </c>
      <c r="R648">
        <f t="shared" si="29"/>
        <v>44</v>
      </c>
      <c r="S648">
        <v>1</v>
      </c>
      <c r="T648">
        <v>1</v>
      </c>
      <c r="U648">
        <v>1</v>
      </c>
      <c r="V648">
        <v>1</v>
      </c>
      <c r="W648">
        <v>1</v>
      </c>
      <c r="AA648">
        <v>-8069.8261000000002</v>
      </c>
      <c r="AB648">
        <v>-8069.8261000000002</v>
      </c>
      <c r="AC648">
        <v>-8069.8261000000002</v>
      </c>
      <c r="AD648">
        <v>-8069.8261000000002</v>
      </c>
      <c r="AE648">
        <v>-8069.8261000000002</v>
      </c>
      <c r="AF648">
        <v>-851265.64670000004</v>
      </c>
    </row>
    <row r="649" spans="2:32" x14ac:dyDescent="0.25">
      <c r="B649">
        <f t="shared" si="27"/>
        <v>45</v>
      </c>
      <c r="C649">
        <v>1</v>
      </c>
      <c r="D649">
        <v>1</v>
      </c>
      <c r="E649">
        <v>1</v>
      </c>
      <c r="F649">
        <v>1</v>
      </c>
      <c r="G649">
        <v>1</v>
      </c>
      <c r="J649">
        <f t="shared" si="28"/>
        <v>45</v>
      </c>
      <c r="K649">
        <v>1</v>
      </c>
      <c r="L649">
        <v>1</v>
      </c>
      <c r="M649">
        <v>1</v>
      </c>
      <c r="N649">
        <v>1</v>
      </c>
      <c r="O649">
        <v>1</v>
      </c>
      <c r="R649">
        <f t="shared" si="29"/>
        <v>45</v>
      </c>
      <c r="S649">
        <v>1</v>
      </c>
      <c r="T649">
        <v>1</v>
      </c>
      <c r="U649">
        <v>1</v>
      </c>
      <c r="V649">
        <v>1</v>
      </c>
      <c r="W649">
        <v>1</v>
      </c>
      <c r="AA649">
        <v>-7954.7533999999996</v>
      </c>
      <c r="AB649">
        <v>-7954.7533999999996</v>
      </c>
      <c r="AC649">
        <v>-7954.7533999999996</v>
      </c>
      <c r="AD649">
        <v>-7954.7533999999996</v>
      </c>
      <c r="AE649">
        <v>-7954.7533999999996</v>
      </c>
      <c r="AF649">
        <v>-870649.02139999997</v>
      </c>
    </row>
    <row r="650" spans="2:32" x14ac:dyDescent="0.25">
      <c r="B650">
        <f t="shared" si="27"/>
        <v>46</v>
      </c>
      <c r="C650">
        <v>1</v>
      </c>
      <c r="D650">
        <v>1</v>
      </c>
      <c r="E650">
        <v>1</v>
      </c>
      <c r="F650">
        <v>1</v>
      </c>
      <c r="G650">
        <v>1</v>
      </c>
      <c r="J650">
        <f t="shared" si="28"/>
        <v>46</v>
      </c>
      <c r="K650">
        <v>1</v>
      </c>
      <c r="L650">
        <v>1</v>
      </c>
      <c r="M650">
        <v>1</v>
      </c>
      <c r="N650">
        <v>1</v>
      </c>
      <c r="O650">
        <v>1</v>
      </c>
      <c r="R650">
        <f t="shared" si="29"/>
        <v>46</v>
      </c>
      <c r="S650">
        <v>1</v>
      </c>
      <c r="T650">
        <v>1</v>
      </c>
      <c r="U650">
        <v>1</v>
      </c>
      <c r="V650">
        <v>1</v>
      </c>
      <c r="W650">
        <v>1</v>
      </c>
      <c r="AA650">
        <v>-7837.1754000000001</v>
      </c>
      <c r="AB650">
        <v>-7837.1754000000001</v>
      </c>
      <c r="AC650">
        <v>-7837.1754000000001</v>
      </c>
      <c r="AD650">
        <v>-7837.1754000000001</v>
      </c>
      <c r="AE650">
        <v>-7837.1754000000001</v>
      </c>
      <c r="AF650">
        <v>-892550.54509999999</v>
      </c>
    </row>
    <row r="651" spans="2:32" x14ac:dyDescent="0.25">
      <c r="B651">
        <f t="shared" si="27"/>
        <v>47</v>
      </c>
      <c r="C651">
        <v>1</v>
      </c>
      <c r="D651">
        <v>1</v>
      </c>
      <c r="E651">
        <v>1</v>
      </c>
      <c r="F651">
        <v>1</v>
      </c>
      <c r="G651">
        <v>1</v>
      </c>
      <c r="J651">
        <f t="shared" si="28"/>
        <v>47</v>
      </c>
      <c r="K651">
        <v>1</v>
      </c>
      <c r="L651">
        <v>1</v>
      </c>
      <c r="M651">
        <v>1</v>
      </c>
      <c r="N651">
        <v>1</v>
      </c>
      <c r="O651">
        <v>1</v>
      </c>
      <c r="R651">
        <f t="shared" si="29"/>
        <v>47</v>
      </c>
      <c r="S651">
        <v>1</v>
      </c>
      <c r="T651">
        <v>1</v>
      </c>
      <c r="U651">
        <v>1</v>
      </c>
      <c r="V651">
        <v>1</v>
      </c>
      <c r="W651">
        <v>1</v>
      </c>
      <c r="AA651">
        <v>-7717.0294999999996</v>
      </c>
      <c r="AB651">
        <v>-7717.0294999999996</v>
      </c>
      <c r="AC651">
        <v>-7717.0294999999996</v>
      </c>
      <c r="AD651">
        <v>-7717.0294999999996</v>
      </c>
      <c r="AE651">
        <v>-7717.0294999999996</v>
      </c>
      <c r="AF651">
        <v>-910915.81969999999</v>
      </c>
    </row>
    <row r="652" spans="2:32" x14ac:dyDescent="0.25">
      <c r="B652">
        <f t="shared" si="27"/>
        <v>48</v>
      </c>
      <c r="C652">
        <v>1</v>
      </c>
      <c r="D652">
        <v>1</v>
      </c>
      <c r="E652">
        <v>1</v>
      </c>
      <c r="F652">
        <v>1</v>
      </c>
      <c r="G652">
        <v>1</v>
      </c>
      <c r="J652">
        <f t="shared" si="28"/>
        <v>48</v>
      </c>
      <c r="K652">
        <v>1</v>
      </c>
      <c r="L652">
        <v>1</v>
      </c>
      <c r="M652">
        <v>1</v>
      </c>
      <c r="N652">
        <v>1</v>
      </c>
      <c r="O652">
        <v>1</v>
      </c>
      <c r="R652">
        <f t="shared" si="29"/>
        <v>48</v>
      </c>
      <c r="S652">
        <v>1</v>
      </c>
      <c r="T652">
        <v>1</v>
      </c>
      <c r="U652">
        <v>1</v>
      </c>
      <c r="V652">
        <v>1</v>
      </c>
      <c r="W652">
        <v>1</v>
      </c>
      <c r="AA652">
        <v>-7594.4201000000003</v>
      </c>
      <c r="AB652">
        <v>-7594.4201000000003</v>
      </c>
      <c r="AC652">
        <v>-7594.4201000000003</v>
      </c>
      <c r="AD652">
        <v>-7594.4201000000003</v>
      </c>
      <c r="AE652">
        <v>-7594.4201000000003</v>
      </c>
      <c r="AF652">
        <v>-917891.87360000005</v>
      </c>
    </row>
    <row r="653" spans="2:32" x14ac:dyDescent="0.25">
      <c r="B653">
        <f t="shared" si="27"/>
        <v>49</v>
      </c>
      <c r="C653">
        <v>1</v>
      </c>
      <c r="D653">
        <v>1</v>
      </c>
      <c r="E653">
        <v>1</v>
      </c>
      <c r="F653">
        <v>1</v>
      </c>
      <c r="G653">
        <v>1</v>
      </c>
      <c r="J653">
        <f t="shared" si="28"/>
        <v>49</v>
      </c>
      <c r="K653">
        <v>1</v>
      </c>
      <c r="L653">
        <v>1</v>
      </c>
      <c r="M653">
        <v>1</v>
      </c>
      <c r="N653">
        <v>1</v>
      </c>
      <c r="O653">
        <v>1</v>
      </c>
      <c r="R653">
        <f t="shared" si="29"/>
        <v>49</v>
      </c>
      <c r="S653">
        <v>1</v>
      </c>
      <c r="T653">
        <v>1</v>
      </c>
      <c r="U653">
        <v>1</v>
      </c>
      <c r="V653">
        <v>1</v>
      </c>
      <c r="W653">
        <v>1</v>
      </c>
      <c r="AA653">
        <v>-7469.3995999999997</v>
      </c>
      <c r="AB653">
        <v>-7469.3995999999997</v>
      </c>
      <c r="AC653">
        <v>-7469.3995999999997</v>
      </c>
      <c r="AD653">
        <v>-7469.3995999999997</v>
      </c>
      <c r="AE653">
        <v>-7469.3995999999997</v>
      </c>
      <c r="AF653">
        <v>-944521.72470000002</v>
      </c>
    </row>
    <row r="654" spans="2:32" x14ac:dyDescent="0.25">
      <c r="B654">
        <f t="shared" si="27"/>
        <v>50</v>
      </c>
      <c r="C654">
        <v>1</v>
      </c>
      <c r="D654">
        <v>1</v>
      </c>
      <c r="E654">
        <v>1</v>
      </c>
      <c r="F654">
        <v>1</v>
      </c>
      <c r="G654">
        <v>1</v>
      </c>
      <c r="J654">
        <f t="shared" si="28"/>
        <v>50</v>
      </c>
      <c r="K654">
        <v>1</v>
      </c>
      <c r="L654">
        <v>1</v>
      </c>
      <c r="M654">
        <v>1</v>
      </c>
      <c r="N654">
        <v>1</v>
      </c>
      <c r="O654">
        <v>1</v>
      </c>
      <c r="R654">
        <f t="shared" si="29"/>
        <v>50</v>
      </c>
      <c r="S654">
        <v>1</v>
      </c>
      <c r="T654">
        <v>1</v>
      </c>
      <c r="U654">
        <v>1</v>
      </c>
      <c r="V654">
        <v>1</v>
      </c>
      <c r="W654">
        <v>1</v>
      </c>
      <c r="AA654">
        <v>-7341.9502000000002</v>
      </c>
      <c r="AB654">
        <v>-7341.9502000000002</v>
      </c>
      <c r="AC654">
        <v>-7341.9502000000002</v>
      </c>
      <c r="AD654">
        <v>-7341.9502000000002</v>
      </c>
      <c r="AE654">
        <v>-7341.9502000000002</v>
      </c>
      <c r="AF654">
        <v>-963257.14989999996</v>
      </c>
    </row>
    <row r="655" spans="2:32" x14ac:dyDescent="0.25">
      <c r="B655">
        <f t="shared" si="27"/>
        <v>51</v>
      </c>
      <c r="C655">
        <v>1</v>
      </c>
      <c r="D655">
        <v>1</v>
      </c>
      <c r="E655">
        <v>1</v>
      </c>
      <c r="F655">
        <v>1</v>
      </c>
      <c r="G655">
        <v>1</v>
      </c>
      <c r="J655">
        <f t="shared" si="28"/>
        <v>51</v>
      </c>
      <c r="K655">
        <v>1</v>
      </c>
      <c r="L655">
        <v>1</v>
      </c>
      <c r="M655">
        <v>1</v>
      </c>
      <c r="N655">
        <v>1</v>
      </c>
      <c r="O655">
        <v>1</v>
      </c>
      <c r="R655">
        <f t="shared" si="29"/>
        <v>51</v>
      </c>
      <c r="S655">
        <v>1</v>
      </c>
      <c r="T655">
        <v>1</v>
      </c>
      <c r="U655">
        <v>1</v>
      </c>
      <c r="V655">
        <v>1</v>
      </c>
      <c r="W655">
        <v>1</v>
      </c>
      <c r="AA655">
        <v>-7212.0646999999999</v>
      </c>
      <c r="AB655">
        <v>-7212.0646999999999</v>
      </c>
      <c r="AC655">
        <v>-7212.0646999999999</v>
      </c>
      <c r="AD655">
        <v>-7212.0646999999999</v>
      </c>
      <c r="AE655">
        <v>-7212.0646999999999</v>
      </c>
      <c r="AF655">
        <v>-981592.90729999996</v>
      </c>
    </row>
    <row r="656" spans="2:32" x14ac:dyDescent="0.25">
      <c r="B656">
        <f t="shared" si="27"/>
        <v>52</v>
      </c>
      <c r="C656">
        <v>1</v>
      </c>
      <c r="D656">
        <v>1</v>
      </c>
      <c r="E656">
        <v>1</v>
      </c>
      <c r="F656">
        <v>1</v>
      </c>
      <c r="G656">
        <v>1</v>
      </c>
      <c r="J656">
        <f t="shared" si="28"/>
        <v>52</v>
      </c>
      <c r="K656">
        <v>1</v>
      </c>
      <c r="L656">
        <v>1</v>
      </c>
      <c r="M656">
        <v>1</v>
      </c>
      <c r="N656">
        <v>1</v>
      </c>
      <c r="O656">
        <v>1</v>
      </c>
      <c r="R656">
        <f t="shared" si="29"/>
        <v>52</v>
      </c>
      <c r="S656">
        <v>1</v>
      </c>
      <c r="T656">
        <v>1</v>
      </c>
      <c r="U656">
        <v>1</v>
      </c>
      <c r="V656">
        <v>1</v>
      </c>
      <c r="W656">
        <v>1</v>
      </c>
      <c r="AA656">
        <v>-7079.7435999999998</v>
      </c>
      <c r="AB656">
        <v>-7079.7435999999998</v>
      </c>
      <c r="AC656">
        <v>-7079.7435999999998</v>
      </c>
      <c r="AD656">
        <v>-7079.7435999999998</v>
      </c>
      <c r="AE656">
        <v>-7079.7435999999998</v>
      </c>
      <c r="AF656">
        <v>-998556.10360000003</v>
      </c>
    </row>
    <row r="657" spans="2:32" x14ac:dyDescent="0.25">
      <c r="B657">
        <f t="shared" si="27"/>
        <v>53</v>
      </c>
      <c r="C657">
        <v>1</v>
      </c>
      <c r="D657">
        <v>1</v>
      </c>
      <c r="E657">
        <v>1</v>
      </c>
      <c r="F657">
        <v>1</v>
      </c>
      <c r="G657">
        <v>1</v>
      </c>
      <c r="J657">
        <f t="shared" si="28"/>
        <v>53</v>
      </c>
      <c r="K657">
        <v>1</v>
      </c>
      <c r="L657">
        <v>1</v>
      </c>
      <c r="M657">
        <v>1</v>
      </c>
      <c r="N657">
        <v>1</v>
      </c>
      <c r="O657">
        <v>1</v>
      </c>
      <c r="R657">
        <f t="shared" si="29"/>
        <v>53</v>
      </c>
      <c r="S657">
        <v>1</v>
      </c>
      <c r="T657">
        <v>1</v>
      </c>
      <c r="U657">
        <v>1</v>
      </c>
      <c r="V657">
        <v>1</v>
      </c>
      <c r="W657">
        <v>1</v>
      </c>
      <c r="AA657">
        <v>-6945.0875999999998</v>
      </c>
      <c r="AB657">
        <v>-6945.0875999999998</v>
      </c>
      <c r="AC657">
        <v>-6945.0875999999998</v>
      </c>
      <c r="AD657">
        <v>-6945.0875999999998</v>
      </c>
      <c r="AE657">
        <v>-6945.0875999999998</v>
      </c>
      <c r="AF657">
        <v>-1015461.3278</v>
      </c>
    </row>
    <row r="658" spans="2:32" x14ac:dyDescent="0.25">
      <c r="B658">
        <f t="shared" si="27"/>
        <v>54</v>
      </c>
      <c r="C658">
        <v>1</v>
      </c>
      <c r="D658">
        <v>1</v>
      </c>
      <c r="E658">
        <v>1</v>
      </c>
      <c r="F658">
        <v>1</v>
      </c>
      <c r="G658">
        <v>1</v>
      </c>
      <c r="J658">
        <f t="shared" si="28"/>
        <v>54</v>
      </c>
      <c r="K658">
        <v>1</v>
      </c>
      <c r="L658">
        <v>1</v>
      </c>
      <c r="M658">
        <v>1</v>
      </c>
      <c r="N658">
        <v>1</v>
      </c>
      <c r="O658">
        <v>1</v>
      </c>
      <c r="R658">
        <f t="shared" si="29"/>
        <v>54</v>
      </c>
      <c r="S658">
        <v>1</v>
      </c>
      <c r="T658">
        <v>1</v>
      </c>
      <c r="U658">
        <v>1</v>
      </c>
      <c r="V658">
        <v>1</v>
      </c>
      <c r="W658">
        <v>1</v>
      </c>
      <c r="AA658">
        <v>-6808.2438000000002</v>
      </c>
      <c r="AB658">
        <v>-6808.2438000000002</v>
      </c>
      <c r="AC658">
        <v>-6808.2438000000002</v>
      </c>
      <c r="AD658">
        <v>-6808.2438000000002</v>
      </c>
      <c r="AE658">
        <v>-6808.2438000000002</v>
      </c>
      <c r="AF658">
        <v>-1033869.6813000001</v>
      </c>
    </row>
    <row r="659" spans="2:32" x14ac:dyDescent="0.25">
      <c r="B659">
        <f t="shared" si="27"/>
        <v>55</v>
      </c>
      <c r="C659">
        <v>1</v>
      </c>
      <c r="D659">
        <v>1</v>
      </c>
      <c r="E659">
        <v>1</v>
      </c>
      <c r="F659">
        <v>1</v>
      </c>
      <c r="G659">
        <v>1</v>
      </c>
      <c r="J659">
        <f t="shared" si="28"/>
        <v>55</v>
      </c>
      <c r="K659">
        <v>1</v>
      </c>
      <c r="L659">
        <v>1</v>
      </c>
      <c r="M659">
        <v>1</v>
      </c>
      <c r="N659">
        <v>1</v>
      </c>
      <c r="O659">
        <v>1</v>
      </c>
      <c r="R659">
        <f t="shared" si="29"/>
        <v>55</v>
      </c>
      <c r="S659">
        <v>1</v>
      </c>
      <c r="T659">
        <v>1</v>
      </c>
      <c r="U659">
        <v>1</v>
      </c>
      <c r="V659">
        <v>1</v>
      </c>
      <c r="W659">
        <v>1</v>
      </c>
      <c r="AA659">
        <v>-6669.2525999999998</v>
      </c>
      <c r="AB659">
        <v>-6669.2525999999998</v>
      </c>
      <c r="AC659">
        <v>-6669.2525999999998</v>
      </c>
      <c r="AD659">
        <v>-6669.2525999999998</v>
      </c>
      <c r="AE659">
        <v>-6669.2525999999998</v>
      </c>
      <c r="AF659">
        <v>-1050810.2549999999</v>
      </c>
    </row>
    <row r="660" spans="2:32" x14ac:dyDescent="0.25">
      <c r="B660">
        <f t="shared" si="27"/>
        <v>56</v>
      </c>
      <c r="C660">
        <v>1</v>
      </c>
      <c r="D660">
        <v>1</v>
      </c>
      <c r="E660">
        <v>1</v>
      </c>
      <c r="F660">
        <v>1</v>
      </c>
      <c r="G660">
        <v>1</v>
      </c>
      <c r="J660">
        <f t="shared" si="28"/>
        <v>56</v>
      </c>
      <c r="K660">
        <v>1</v>
      </c>
      <c r="L660">
        <v>1</v>
      </c>
      <c r="M660">
        <v>1</v>
      </c>
      <c r="N660">
        <v>1</v>
      </c>
      <c r="O660">
        <v>1</v>
      </c>
      <c r="R660">
        <f t="shared" si="29"/>
        <v>56</v>
      </c>
      <c r="S660">
        <v>1</v>
      </c>
      <c r="T660">
        <v>1</v>
      </c>
      <c r="U660">
        <v>1</v>
      </c>
      <c r="V660">
        <v>1</v>
      </c>
      <c r="W660">
        <v>1</v>
      </c>
      <c r="AA660">
        <v>-6528.2992000000004</v>
      </c>
      <c r="AB660">
        <v>-6528.2992000000004</v>
      </c>
      <c r="AC660">
        <v>-6528.2992000000004</v>
      </c>
      <c r="AD660">
        <v>-6528.2992000000004</v>
      </c>
      <c r="AE660">
        <v>-6528.2992000000004</v>
      </c>
      <c r="AF660">
        <v>-1073295.8774000001</v>
      </c>
    </row>
    <row r="661" spans="2:32" x14ac:dyDescent="0.25">
      <c r="B661">
        <f t="shared" si="27"/>
        <v>57</v>
      </c>
      <c r="C661">
        <v>1</v>
      </c>
      <c r="D661">
        <v>1</v>
      </c>
      <c r="E661">
        <v>1</v>
      </c>
      <c r="F661">
        <v>1</v>
      </c>
      <c r="G661">
        <v>1</v>
      </c>
      <c r="J661">
        <f t="shared" si="28"/>
        <v>57</v>
      </c>
      <c r="K661">
        <v>1</v>
      </c>
      <c r="L661">
        <v>1</v>
      </c>
      <c r="M661">
        <v>1</v>
      </c>
      <c r="N661">
        <v>1</v>
      </c>
      <c r="O661">
        <v>1</v>
      </c>
      <c r="R661">
        <f t="shared" si="29"/>
        <v>57</v>
      </c>
      <c r="S661">
        <v>1</v>
      </c>
      <c r="T661">
        <v>1</v>
      </c>
      <c r="U661">
        <v>1</v>
      </c>
      <c r="V661">
        <v>1</v>
      </c>
      <c r="W661">
        <v>1</v>
      </c>
      <c r="AA661">
        <v>-6385.5230000000001</v>
      </c>
      <c r="AB661">
        <v>-6385.5230000000001</v>
      </c>
      <c r="AC661">
        <v>-6385.5230000000001</v>
      </c>
      <c r="AD661">
        <v>-6385.5230000000001</v>
      </c>
      <c r="AE661">
        <v>-6385.5230000000001</v>
      </c>
      <c r="AF661">
        <v>-1093242.6832999999</v>
      </c>
    </row>
    <row r="662" spans="2:32" x14ac:dyDescent="0.25">
      <c r="B662">
        <f t="shared" si="27"/>
        <v>58</v>
      </c>
      <c r="C662">
        <v>1</v>
      </c>
      <c r="D662">
        <v>1</v>
      </c>
      <c r="E662">
        <v>1</v>
      </c>
      <c r="F662">
        <v>1</v>
      </c>
      <c r="G662">
        <v>1</v>
      </c>
      <c r="J662">
        <f t="shared" si="28"/>
        <v>58</v>
      </c>
      <c r="K662">
        <v>1</v>
      </c>
      <c r="L662">
        <v>1</v>
      </c>
      <c r="M662">
        <v>1</v>
      </c>
      <c r="N662">
        <v>1</v>
      </c>
      <c r="O662">
        <v>1</v>
      </c>
      <c r="R662">
        <f t="shared" si="29"/>
        <v>58</v>
      </c>
      <c r="S662">
        <v>1</v>
      </c>
      <c r="T662">
        <v>1</v>
      </c>
      <c r="U662">
        <v>1</v>
      </c>
      <c r="V662">
        <v>1</v>
      </c>
      <c r="W662">
        <v>1</v>
      </c>
      <c r="AA662">
        <v>-6240.8730999999998</v>
      </c>
      <c r="AB662">
        <v>-6240.8730999999998</v>
      </c>
      <c r="AC662">
        <v>-6240.8730999999998</v>
      </c>
      <c r="AD662">
        <v>-6240.8730999999998</v>
      </c>
      <c r="AE662">
        <v>-6240.8730999999998</v>
      </c>
      <c r="AF662">
        <v>-1114366.6444000001</v>
      </c>
    </row>
    <row r="663" spans="2:32" x14ac:dyDescent="0.25">
      <c r="B663">
        <f t="shared" si="27"/>
        <v>59</v>
      </c>
      <c r="C663">
        <v>1</v>
      </c>
      <c r="D663">
        <v>1</v>
      </c>
      <c r="E663">
        <v>1</v>
      </c>
      <c r="F663">
        <v>1</v>
      </c>
      <c r="G663">
        <v>1</v>
      </c>
      <c r="J663">
        <f t="shared" si="28"/>
        <v>59</v>
      </c>
      <c r="K663">
        <v>1</v>
      </c>
      <c r="L663">
        <v>1</v>
      </c>
      <c r="M663">
        <v>1</v>
      </c>
      <c r="N663">
        <v>1</v>
      </c>
      <c r="O663">
        <v>1</v>
      </c>
      <c r="R663">
        <f t="shared" si="29"/>
        <v>59</v>
      </c>
      <c r="S663">
        <v>1</v>
      </c>
      <c r="T663">
        <v>1</v>
      </c>
      <c r="U663">
        <v>1</v>
      </c>
      <c r="V663">
        <v>1</v>
      </c>
      <c r="W663">
        <v>1</v>
      </c>
      <c r="AA663">
        <v>-6094.3262999999997</v>
      </c>
      <c r="AB663">
        <v>-6094.3262999999997</v>
      </c>
      <c r="AC663">
        <v>-6094.3262999999997</v>
      </c>
      <c r="AD663">
        <v>-6094.3262999999997</v>
      </c>
      <c r="AE663">
        <v>-6094.3262999999997</v>
      </c>
      <c r="AF663">
        <v>-1136284.0146999999</v>
      </c>
    </row>
    <row r="664" spans="2:32" x14ac:dyDescent="0.25">
      <c r="B664">
        <f t="shared" si="27"/>
        <v>60</v>
      </c>
      <c r="C664">
        <v>1</v>
      </c>
      <c r="D664">
        <v>1</v>
      </c>
      <c r="E664">
        <v>1</v>
      </c>
      <c r="F664">
        <v>1</v>
      </c>
      <c r="G664">
        <v>1</v>
      </c>
      <c r="J664">
        <f t="shared" si="28"/>
        <v>60</v>
      </c>
      <c r="K664">
        <v>1</v>
      </c>
      <c r="L664">
        <v>1</v>
      </c>
      <c r="M664">
        <v>1</v>
      </c>
      <c r="N664">
        <v>1</v>
      </c>
      <c r="O664">
        <v>1</v>
      </c>
      <c r="R664">
        <f t="shared" si="29"/>
        <v>60</v>
      </c>
      <c r="S664">
        <v>1</v>
      </c>
      <c r="T664">
        <v>1</v>
      </c>
      <c r="U664">
        <v>1</v>
      </c>
      <c r="V664">
        <v>1</v>
      </c>
      <c r="W664">
        <v>1</v>
      </c>
      <c r="AA664">
        <v>-5945.9960000000001</v>
      </c>
      <c r="AB664">
        <v>-5945.9960000000001</v>
      </c>
      <c r="AC664">
        <v>-5945.9960000000001</v>
      </c>
      <c r="AD664">
        <v>-5945.9960000000001</v>
      </c>
      <c r="AE664">
        <v>-5945.9960000000001</v>
      </c>
      <c r="AF664">
        <v>-1157801.6717999999</v>
      </c>
    </row>
    <row r="665" spans="2:32" x14ac:dyDescent="0.25">
      <c r="B665">
        <f t="shared" si="27"/>
        <v>61</v>
      </c>
      <c r="C665">
        <v>1</v>
      </c>
      <c r="D665">
        <v>1</v>
      </c>
      <c r="E665">
        <v>1</v>
      </c>
      <c r="F665">
        <v>1</v>
      </c>
      <c r="G665">
        <v>1</v>
      </c>
      <c r="J665">
        <f t="shared" si="28"/>
        <v>61</v>
      </c>
      <c r="K665">
        <v>1</v>
      </c>
      <c r="L665">
        <v>1</v>
      </c>
      <c r="M665">
        <v>1</v>
      </c>
      <c r="N665">
        <v>1</v>
      </c>
      <c r="O665">
        <v>1</v>
      </c>
      <c r="R665">
        <f t="shared" si="29"/>
        <v>61</v>
      </c>
      <c r="S665">
        <v>1</v>
      </c>
      <c r="T665">
        <v>1</v>
      </c>
      <c r="U665">
        <v>1</v>
      </c>
      <c r="V665">
        <v>1</v>
      </c>
      <c r="W665">
        <v>1</v>
      </c>
      <c r="AA665">
        <v>-5796.3015999999998</v>
      </c>
      <c r="AB665">
        <v>-5796.3015999999998</v>
      </c>
      <c r="AC665">
        <v>-5796.3015999999998</v>
      </c>
      <c r="AD665">
        <v>-5796.3015999999998</v>
      </c>
      <c r="AE665">
        <v>-5796.3015999999998</v>
      </c>
      <c r="AF665">
        <v>-1178581.4038</v>
      </c>
    </row>
    <row r="666" spans="2:32" x14ac:dyDescent="0.25">
      <c r="B666">
        <f t="shared" si="27"/>
        <v>62</v>
      </c>
      <c r="C666">
        <v>1</v>
      </c>
      <c r="D666">
        <v>1</v>
      </c>
      <c r="E666">
        <v>1</v>
      </c>
      <c r="F666">
        <v>1</v>
      </c>
      <c r="G666">
        <v>1</v>
      </c>
      <c r="J666">
        <f t="shared" si="28"/>
        <v>62</v>
      </c>
      <c r="K666">
        <v>1</v>
      </c>
      <c r="L666">
        <v>1</v>
      </c>
      <c r="M666">
        <v>1</v>
      </c>
      <c r="N666">
        <v>1</v>
      </c>
      <c r="O666">
        <v>1</v>
      </c>
      <c r="R666">
        <f t="shared" si="29"/>
        <v>62</v>
      </c>
      <c r="S666">
        <v>1</v>
      </c>
      <c r="T666">
        <v>1</v>
      </c>
      <c r="U666">
        <v>1</v>
      </c>
      <c r="V666">
        <v>1</v>
      </c>
      <c r="W666">
        <v>1</v>
      </c>
      <c r="AA666">
        <v>-5645.2415000000001</v>
      </c>
      <c r="AB666">
        <v>-5645.2415000000001</v>
      </c>
      <c r="AC666">
        <v>-5645.2415000000001</v>
      </c>
      <c r="AD666">
        <v>-5645.2415000000001</v>
      </c>
      <c r="AE666">
        <v>-5645.2415000000001</v>
      </c>
      <c r="AF666">
        <v>-1199521.5327000001</v>
      </c>
    </row>
    <row r="667" spans="2:32" x14ac:dyDescent="0.25">
      <c r="B667">
        <f t="shared" si="27"/>
        <v>63</v>
      </c>
      <c r="C667">
        <v>1</v>
      </c>
      <c r="D667">
        <v>1</v>
      </c>
      <c r="E667">
        <v>1</v>
      </c>
      <c r="F667">
        <v>1</v>
      </c>
      <c r="G667">
        <v>1</v>
      </c>
      <c r="J667">
        <f t="shared" si="28"/>
        <v>63</v>
      </c>
      <c r="K667">
        <v>1</v>
      </c>
      <c r="L667">
        <v>1</v>
      </c>
      <c r="M667">
        <v>1</v>
      </c>
      <c r="N667">
        <v>1</v>
      </c>
      <c r="O667">
        <v>1</v>
      </c>
      <c r="R667">
        <f t="shared" si="29"/>
        <v>63</v>
      </c>
      <c r="S667">
        <v>1</v>
      </c>
      <c r="T667">
        <v>1</v>
      </c>
      <c r="U667">
        <v>1</v>
      </c>
      <c r="V667">
        <v>1</v>
      </c>
      <c r="W667">
        <v>1</v>
      </c>
      <c r="AA667">
        <v>-5492.4920000000002</v>
      </c>
      <c r="AB667">
        <v>-5492.4920000000002</v>
      </c>
      <c r="AC667">
        <v>-5492.4920000000002</v>
      </c>
      <c r="AD667">
        <v>-5492.4920000000002</v>
      </c>
      <c r="AE667">
        <v>-5492.4920000000002</v>
      </c>
      <c r="AF667">
        <v>-1220461.6269</v>
      </c>
    </row>
    <row r="668" spans="2:32" x14ac:dyDescent="0.25">
      <c r="B668">
        <f t="shared" si="27"/>
        <v>64</v>
      </c>
      <c r="C668">
        <v>1</v>
      </c>
      <c r="D668">
        <v>1</v>
      </c>
      <c r="E668">
        <v>1</v>
      </c>
      <c r="F668">
        <v>1</v>
      </c>
      <c r="G668">
        <v>1</v>
      </c>
      <c r="J668">
        <f t="shared" si="28"/>
        <v>64</v>
      </c>
      <c r="K668">
        <v>1</v>
      </c>
      <c r="L668">
        <v>1</v>
      </c>
      <c r="M668">
        <v>1</v>
      </c>
      <c r="N668">
        <v>1</v>
      </c>
      <c r="O668">
        <v>1</v>
      </c>
      <c r="R668">
        <f t="shared" si="29"/>
        <v>64</v>
      </c>
      <c r="S668">
        <v>1</v>
      </c>
      <c r="T668">
        <v>1</v>
      </c>
      <c r="U668">
        <v>1</v>
      </c>
      <c r="V668">
        <v>1</v>
      </c>
      <c r="W668">
        <v>1</v>
      </c>
      <c r="AA668">
        <v>-5338.1817000000001</v>
      </c>
      <c r="AB668">
        <v>-5338.1817000000001</v>
      </c>
      <c r="AC668">
        <v>-5338.1817000000001</v>
      </c>
      <c r="AD668">
        <v>-5338.1817000000001</v>
      </c>
      <c r="AE668">
        <v>-5338.1817000000001</v>
      </c>
      <c r="AF668">
        <v>-1240652.2526</v>
      </c>
    </row>
    <row r="669" spans="2:32" x14ac:dyDescent="0.25">
      <c r="B669">
        <f t="shared" si="27"/>
        <v>65</v>
      </c>
      <c r="C669">
        <v>1</v>
      </c>
      <c r="D669">
        <v>1</v>
      </c>
      <c r="E669">
        <v>1</v>
      </c>
      <c r="F669">
        <v>1</v>
      </c>
      <c r="G669">
        <v>1</v>
      </c>
      <c r="J669">
        <f t="shared" si="28"/>
        <v>65</v>
      </c>
      <c r="K669">
        <v>1</v>
      </c>
      <c r="L669">
        <v>1</v>
      </c>
      <c r="M669">
        <v>1</v>
      </c>
      <c r="N669">
        <v>1</v>
      </c>
      <c r="O669">
        <v>1</v>
      </c>
      <c r="R669">
        <f t="shared" si="29"/>
        <v>65</v>
      </c>
      <c r="S669">
        <v>1</v>
      </c>
      <c r="T669">
        <v>1</v>
      </c>
      <c r="U669">
        <v>1</v>
      </c>
      <c r="V669">
        <v>1</v>
      </c>
      <c r="W669">
        <v>1</v>
      </c>
      <c r="AA669">
        <v>-5182.2268999999997</v>
      </c>
      <c r="AB669">
        <v>-5182.2268999999997</v>
      </c>
      <c r="AC669">
        <v>-5182.2268999999997</v>
      </c>
      <c r="AD669">
        <v>-5182.2268999999997</v>
      </c>
      <c r="AE669">
        <v>-5182.2268999999997</v>
      </c>
      <c r="AF669">
        <v>-1260049.8302</v>
      </c>
    </row>
    <row r="672" spans="2:32" x14ac:dyDescent="0.25">
      <c r="B672" t="s">
        <v>46</v>
      </c>
      <c r="C672">
        <v>50000</v>
      </c>
      <c r="D672">
        <v>100000</v>
      </c>
      <c r="E672">
        <v>250000</v>
      </c>
      <c r="F672">
        <v>500000</v>
      </c>
      <c r="G672">
        <v>1000000</v>
      </c>
      <c r="H672">
        <v>2000000</v>
      </c>
      <c r="J672" t="s">
        <v>47</v>
      </c>
      <c r="K672">
        <v>50000</v>
      </c>
      <c r="L672">
        <v>100000</v>
      </c>
      <c r="M672">
        <v>250000</v>
      </c>
      <c r="N672">
        <v>500000</v>
      </c>
      <c r="O672">
        <v>1000000</v>
      </c>
      <c r="P672">
        <v>2000000</v>
      </c>
      <c r="R672" t="s">
        <v>48</v>
      </c>
      <c r="S672">
        <v>50000</v>
      </c>
      <c r="T672">
        <v>100000</v>
      </c>
      <c r="U672">
        <v>250000</v>
      </c>
      <c r="V672">
        <v>500000</v>
      </c>
      <c r="W672">
        <v>1000000</v>
      </c>
      <c r="X672">
        <v>2000000</v>
      </c>
    </row>
    <row r="673" spans="2:32" x14ac:dyDescent="0.25">
      <c r="B673">
        <v>26</v>
      </c>
      <c r="C673">
        <v>1</v>
      </c>
      <c r="D673">
        <v>1</v>
      </c>
      <c r="E673">
        <v>1</v>
      </c>
      <c r="F673">
        <v>1</v>
      </c>
      <c r="G673">
        <v>1</v>
      </c>
      <c r="H673">
        <v>1</v>
      </c>
      <c r="J673">
        <v>26</v>
      </c>
      <c r="K673">
        <v>1</v>
      </c>
      <c r="L673">
        <v>1</v>
      </c>
      <c r="M673">
        <v>1</v>
      </c>
      <c r="N673">
        <v>1</v>
      </c>
      <c r="O673">
        <v>1</v>
      </c>
      <c r="P673">
        <v>1</v>
      </c>
      <c r="R673">
        <v>26</v>
      </c>
      <c r="S673">
        <v>1</v>
      </c>
      <c r="T673">
        <v>1</v>
      </c>
      <c r="U673">
        <v>1</v>
      </c>
      <c r="V673">
        <v>1</v>
      </c>
      <c r="W673">
        <v>1</v>
      </c>
      <c r="X673">
        <v>1</v>
      </c>
      <c r="AA673">
        <v>-5174.8482999999997</v>
      </c>
      <c r="AB673">
        <v>-5174.8482999999997</v>
      </c>
      <c r="AC673">
        <v>-5174.8482999999997</v>
      </c>
      <c r="AD673">
        <v>-5174.8482999999997</v>
      </c>
      <c r="AE673">
        <v>-5174.8482999999997</v>
      </c>
      <c r="AF673">
        <v>-5174.8482999999997</v>
      </c>
    </row>
    <row r="674" spans="2:32" x14ac:dyDescent="0.25">
      <c r="B674">
        <v>27</v>
      </c>
      <c r="C674">
        <v>1</v>
      </c>
      <c r="D674">
        <v>1</v>
      </c>
      <c r="E674">
        <v>1</v>
      </c>
      <c r="F674">
        <v>1</v>
      </c>
      <c r="G674">
        <v>1</v>
      </c>
      <c r="H674">
        <v>1</v>
      </c>
      <c r="J674">
        <v>27</v>
      </c>
      <c r="K674">
        <v>1</v>
      </c>
      <c r="L674">
        <v>1</v>
      </c>
      <c r="M674">
        <v>1</v>
      </c>
      <c r="N674">
        <v>1</v>
      </c>
      <c r="O674">
        <v>1</v>
      </c>
      <c r="P674">
        <v>1</v>
      </c>
      <c r="R674">
        <v>27</v>
      </c>
      <c r="S674">
        <v>1</v>
      </c>
      <c r="T674">
        <v>1</v>
      </c>
      <c r="U674">
        <v>1</v>
      </c>
      <c r="V674">
        <v>1</v>
      </c>
      <c r="W674">
        <v>1</v>
      </c>
      <c r="X674">
        <v>1</v>
      </c>
      <c r="AA674">
        <v>-5173.6036999999997</v>
      </c>
      <c r="AB674">
        <v>-5173.6036999999997</v>
      </c>
      <c r="AC674">
        <v>-5173.6036999999997</v>
      </c>
      <c r="AD674">
        <v>-5173.6036999999997</v>
      </c>
      <c r="AE674">
        <v>-5173.6036999999997</v>
      </c>
      <c r="AF674">
        <v>-5173.6036999999997</v>
      </c>
    </row>
    <row r="675" spans="2:32" x14ac:dyDescent="0.25">
      <c r="B675">
        <v>28</v>
      </c>
      <c r="C675">
        <v>1</v>
      </c>
      <c r="D675">
        <v>1</v>
      </c>
      <c r="E675">
        <v>1</v>
      </c>
      <c r="F675">
        <v>1</v>
      </c>
      <c r="G675">
        <v>1</v>
      </c>
      <c r="H675">
        <v>1</v>
      </c>
      <c r="J675">
        <v>28</v>
      </c>
      <c r="K675">
        <v>1</v>
      </c>
      <c r="L675">
        <v>1</v>
      </c>
      <c r="M675">
        <v>1</v>
      </c>
      <c r="N675">
        <v>1</v>
      </c>
      <c r="O675">
        <v>1</v>
      </c>
      <c r="P675">
        <v>1</v>
      </c>
      <c r="R675">
        <v>28</v>
      </c>
      <c r="S675">
        <v>1</v>
      </c>
      <c r="T675">
        <v>1</v>
      </c>
      <c r="U675">
        <v>1</v>
      </c>
      <c r="V675">
        <v>1</v>
      </c>
      <c r="W675">
        <v>1</v>
      </c>
      <c r="X675">
        <v>1</v>
      </c>
      <c r="AA675">
        <v>-5172.1755999999996</v>
      </c>
      <c r="AB675">
        <v>-5172.1755999999996</v>
      </c>
      <c r="AC675">
        <v>-5172.1755999999996</v>
      </c>
      <c r="AD675">
        <v>-5172.1755999999996</v>
      </c>
      <c r="AE675">
        <v>-5172.1755999999996</v>
      </c>
      <c r="AF675">
        <v>-5172.1755999999996</v>
      </c>
    </row>
    <row r="676" spans="2:32" x14ac:dyDescent="0.25">
      <c r="B676">
        <v>29</v>
      </c>
      <c r="C676">
        <v>1</v>
      </c>
      <c r="D676">
        <v>1</v>
      </c>
      <c r="E676">
        <v>1</v>
      </c>
      <c r="F676">
        <v>1</v>
      </c>
      <c r="G676">
        <v>1</v>
      </c>
      <c r="H676">
        <v>1</v>
      </c>
      <c r="J676">
        <v>29</v>
      </c>
      <c r="K676">
        <v>1</v>
      </c>
      <c r="L676">
        <v>1</v>
      </c>
      <c r="M676">
        <v>1</v>
      </c>
      <c r="N676">
        <v>1</v>
      </c>
      <c r="O676">
        <v>1</v>
      </c>
      <c r="P676">
        <v>1</v>
      </c>
      <c r="R676">
        <v>29</v>
      </c>
      <c r="S676">
        <v>1</v>
      </c>
      <c r="T676">
        <v>1</v>
      </c>
      <c r="U676">
        <v>1</v>
      </c>
      <c r="V676">
        <v>1</v>
      </c>
      <c r="W676">
        <v>1</v>
      </c>
      <c r="X676">
        <v>1</v>
      </c>
      <c r="AA676">
        <v>-5170.5482000000002</v>
      </c>
      <c r="AB676">
        <v>-5170.5482000000002</v>
      </c>
      <c r="AC676">
        <v>-5170.5482000000002</v>
      </c>
      <c r="AD676">
        <v>-5170.5482000000002</v>
      </c>
      <c r="AE676">
        <v>-5170.5482000000002</v>
      </c>
      <c r="AF676">
        <v>-5170.5482000000002</v>
      </c>
    </row>
    <row r="677" spans="2:32" x14ac:dyDescent="0.25">
      <c r="B677">
        <v>30</v>
      </c>
      <c r="C677">
        <v>1</v>
      </c>
      <c r="D677">
        <v>1</v>
      </c>
      <c r="E677">
        <v>1</v>
      </c>
      <c r="F677">
        <v>1</v>
      </c>
      <c r="G677">
        <v>1</v>
      </c>
      <c r="H677">
        <v>1</v>
      </c>
      <c r="J677">
        <v>30</v>
      </c>
      <c r="K677">
        <v>1</v>
      </c>
      <c r="L677">
        <v>1</v>
      </c>
      <c r="M677">
        <v>1</v>
      </c>
      <c r="N677">
        <v>1</v>
      </c>
      <c r="O677">
        <v>1</v>
      </c>
      <c r="P677">
        <v>1</v>
      </c>
      <c r="R677">
        <v>30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AA677">
        <v>-5168.6908999999996</v>
      </c>
      <c r="AB677">
        <v>-5168.6908999999996</v>
      </c>
      <c r="AC677">
        <v>-5168.6908999999996</v>
      </c>
      <c r="AD677">
        <v>-5168.6908999999996</v>
      </c>
      <c r="AE677">
        <v>-5168.6908999999996</v>
      </c>
      <c r="AF677">
        <v>-5168.6908999999996</v>
      </c>
    </row>
    <row r="678" spans="2:32" x14ac:dyDescent="0.25">
      <c r="B678">
        <v>31</v>
      </c>
      <c r="C678">
        <v>1</v>
      </c>
      <c r="D678">
        <v>1</v>
      </c>
      <c r="E678">
        <v>1</v>
      </c>
      <c r="F678">
        <v>1</v>
      </c>
      <c r="G678">
        <v>1</v>
      </c>
      <c r="H678">
        <v>1</v>
      </c>
      <c r="J678">
        <v>31</v>
      </c>
      <c r="K678">
        <v>1</v>
      </c>
      <c r="L678">
        <v>1</v>
      </c>
      <c r="M678">
        <v>1</v>
      </c>
      <c r="N678">
        <v>1</v>
      </c>
      <c r="O678">
        <v>1</v>
      </c>
      <c r="P678">
        <v>1</v>
      </c>
      <c r="R678">
        <v>31</v>
      </c>
      <c r="S678">
        <v>1</v>
      </c>
      <c r="T678">
        <v>1</v>
      </c>
      <c r="U678">
        <v>1</v>
      </c>
      <c r="V678">
        <v>1</v>
      </c>
      <c r="W678">
        <v>1</v>
      </c>
      <c r="X678">
        <v>1</v>
      </c>
      <c r="AA678">
        <v>-5166.5891000000001</v>
      </c>
      <c r="AB678">
        <v>-5166.5891000000001</v>
      </c>
      <c r="AC678">
        <v>-5166.5891000000001</v>
      </c>
      <c r="AD678">
        <v>-5166.5891000000001</v>
      </c>
      <c r="AE678">
        <v>-5166.5891000000001</v>
      </c>
      <c r="AF678">
        <v>-5166.5891000000001</v>
      </c>
    </row>
    <row r="679" spans="2:32" x14ac:dyDescent="0.25">
      <c r="B679">
        <v>32</v>
      </c>
      <c r="C679">
        <v>1</v>
      </c>
      <c r="D679">
        <v>1</v>
      </c>
      <c r="E679">
        <v>1</v>
      </c>
      <c r="F679">
        <v>1</v>
      </c>
      <c r="G679">
        <v>1</v>
      </c>
      <c r="H679">
        <v>1</v>
      </c>
      <c r="J679">
        <v>32</v>
      </c>
      <c r="K679">
        <v>1</v>
      </c>
      <c r="L679">
        <v>1</v>
      </c>
      <c r="M679">
        <v>1</v>
      </c>
      <c r="N679">
        <v>1</v>
      </c>
      <c r="O679">
        <v>1</v>
      </c>
      <c r="P679">
        <v>1</v>
      </c>
      <c r="R679">
        <v>32</v>
      </c>
      <c r="S679">
        <v>1</v>
      </c>
      <c r="T679">
        <v>1</v>
      </c>
      <c r="U679">
        <v>1</v>
      </c>
      <c r="V679">
        <v>1</v>
      </c>
      <c r="W679">
        <v>1</v>
      </c>
      <c r="X679">
        <v>1</v>
      </c>
      <c r="AA679">
        <v>-5164.2407000000003</v>
      </c>
      <c r="AB679">
        <v>-5164.2407000000003</v>
      </c>
      <c r="AC679">
        <v>-5164.2407000000003</v>
      </c>
      <c r="AD679">
        <v>-5164.2407000000003</v>
      </c>
      <c r="AE679">
        <v>-5164.2407000000003</v>
      </c>
      <c r="AF679">
        <v>-5164.2407000000003</v>
      </c>
    </row>
    <row r="680" spans="2:32" x14ac:dyDescent="0.25">
      <c r="B680">
        <v>33</v>
      </c>
      <c r="C680">
        <v>1</v>
      </c>
      <c r="D680">
        <v>1</v>
      </c>
      <c r="E680">
        <v>1</v>
      </c>
      <c r="F680">
        <v>1</v>
      </c>
      <c r="G680">
        <v>1</v>
      </c>
      <c r="H680">
        <v>1</v>
      </c>
      <c r="J680">
        <v>33</v>
      </c>
      <c r="K680">
        <v>1</v>
      </c>
      <c r="L680">
        <v>1</v>
      </c>
      <c r="M680">
        <v>1</v>
      </c>
      <c r="N680">
        <v>1</v>
      </c>
      <c r="O680">
        <v>1</v>
      </c>
      <c r="P680">
        <v>1</v>
      </c>
      <c r="R680">
        <v>33</v>
      </c>
      <c r="S680">
        <v>1</v>
      </c>
      <c r="T680">
        <v>1</v>
      </c>
      <c r="U680">
        <v>1</v>
      </c>
      <c r="V680">
        <v>1</v>
      </c>
      <c r="W680">
        <v>1</v>
      </c>
      <c r="X680">
        <v>1</v>
      </c>
      <c r="AA680">
        <v>-5161.6318000000001</v>
      </c>
      <c r="AB680">
        <v>-5161.6318000000001</v>
      </c>
      <c r="AC680">
        <v>-5161.6318000000001</v>
      </c>
      <c r="AD680">
        <v>-5161.6318000000001</v>
      </c>
      <c r="AE680">
        <v>-5161.6318000000001</v>
      </c>
      <c r="AF680">
        <v>-5161.6318000000001</v>
      </c>
    </row>
    <row r="681" spans="2:32" x14ac:dyDescent="0.25">
      <c r="B681">
        <v>34</v>
      </c>
      <c r="C681">
        <v>1</v>
      </c>
      <c r="D681">
        <v>1</v>
      </c>
      <c r="E681">
        <v>1</v>
      </c>
      <c r="F681">
        <v>1</v>
      </c>
      <c r="G681">
        <v>1</v>
      </c>
      <c r="H681">
        <v>1</v>
      </c>
      <c r="J681">
        <v>34</v>
      </c>
      <c r="K681">
        <v>1</v>
      </c>
      <c r="L681">
        <v>1</v>
      </c>
      <c r="M681">
        <v>1</v>
      </c>
      <c r="N681">
        <v>1</v>
      </c>
      <c r="O681">
        <v>1</v>
      </c>
      <c r="P681">
        <v>1</v>
      </c>
      <c r="R681">
        <v>34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AA681">
        <v>-5158.7194</v>
      </c>
      <c r="AB681">
        <v>-5158.7194</v>
      </c>
      <c r="AC681">
        <v>-5158.7194</v>
      </c>
      <c r="AD681">
        <v>-5158.7194</v>
      </c>
      <c r="AE681">
        <v>-5158.7194</v>
      </c>
      <c r="AF681">
        <v>-5158.7194</v>
      </c>
    </row>
    <row r="682" spans="2:32" x14ac:dyDescent="0.25">
      <c r="B682">
        <v>35</v>
      </c>
      <c r="C682">
        <v>1</v>
      </c>
      <c r="D682">
        <v>1</v>
      </c>
      <c r="E682">
        <v>1</v>
      </c>
      <c r="F682">
        <v>1</v>
      </c>
      <c r="G682">
        <v>1</v>
      </c>
      <c r="H682">
        <v>1</v>
      </c>
      <c r="J682">
        <v>35</v>
      </c>
      <c r="K682">
        <v>1</v>
      </c>
      <c r="L682">
        <v>1</v>
      </c>
      <c r="M682">
        <v>1</v>
      </c>
      <c r="N682">
        <v>1</v>
      </c>
      <c r="O682">
        <v>1</v>
      </c>
      <c r="P682">
        <v>1</v>
      </c>
      <c r="R682">
        <v>35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AA682">
        <v>-5155.4901</v>
      </c>
      <c r="AB682">
        <v>-5155.4901</v>
      </c>
      <c r="AC682">
        <v>-5155.4901</v>
      </c>
      <c r="AD682">
        <v>-5155.4901</v>
      </c>
      <c r="AE682">
        <v>-5155.4901</v>
      </c>
      <c r="AF682">
        <v>-5155.4901</v>
      </c>
    </row>
    <row r="683" spans="2:32" x14ac:dyDescent="0.25">
      <c r="B683">
        <v>36</v>
      </c>
      <c r="C683">
        <v>1</v>
      </c>
      <c r="D683">
        <v>1</v>
      </c>
      <c r="E683">
        <v>1</v>
      </c>
      <c r="F683">
        <v>1</v>
      </c>
      <c r="G683">
        <v>1</v>
      </c>
      <c r="H683">
        <v>1</v>
      </c>
      <c r="J683">
        <v>36</v>
      </c>
      <c r="K683">
        <v>1</v>
      </c>
      <c r="L683">
        <v>1</v>
      </c>
      <c r="M683">
        <v>1</v>
      </c>
      <c r="N683">
        <v>1</v>
      </c>
      <c r="O683">
        <v>1</v>
      </c>
      <c r="P683">
        <v>1</v>
      </c>
      <c r="R683">
        <v>36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AA683">
        <v>-5151.8950999999997</v>
      </c>
      <c r="AB683">
        <v>-5151.8950999999997</v>
      </c>
      <c r="AC683">
        <v>-5151.8950999999997</v>
      </c>
      <c r="AD683">
        <v>-5151.8950999999997</v>
      </c>
      <c r="AE683">
        <v>-5151.8950999999997</v>
      </c>
      <c r="AF683">
        <v>-5151.8950999999997</v>
      </c>
    </row>
    <row r="684" spans="2:32" x14ac:dyDescent="0.25">
      <c r="B684">
        <v>37</v>
      </c>
      <c r="C684">
        <v>1</v>
      </c>
      <c r="D684">
        <v>1</v>
      </c>
      <c r="E684">
        <v>1</v>
      </c>
      <c r="F684">
        <v>1</v>
      </c>
      <c r="G684">
        <v>1</v>
      </c>
      <c r="H684">
        <v>1</v>
      </c>
      <c r="J684">
        <v>37</v>
      </c>
      <c r="K684">
        <v>1</v>
      </c>
      <c r="L684">
        <v>1</v>
      </c>
      <c r="M684">
        <v>1</v>
      </c>
      <c r="N684">
        <v>1</v>
      </c>
      <c r="O684">
        <v>1</v>
      </c>
      <c r="P684">
        <v>1</v>
      </c>
      <c r="R684">
        <v>37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AA684">
        <v>-5147.9106000000002</v>
      </c>
      <c r="AB684">
        <v>-5147.9106000000002</v>
      </c>
      <c r="AC684">
        <v>-5147.9106000000002</v>
      </c>
      <c r="AD684">
        <v>-5147.9106000000002</v>
      </c>
      <c r="AE684">
        <v>-5147.9106000000002</v>
      </c>
      <c r="AF684">
        <v>-5147.9106000000002</v>
      </c>
    </row>
    <row r="685" spans="2:32" x14ac:dyDescent="0.25">
      <c r="B685">
        <v>38</v>
      </c>
      <c r="C685">
        <v>1</v>
      </c>
      <c r="D685">
        <v>1</v>
      </c>
      <c r="E685">
        <v>1</v>
      </c>
      <c r="F685">
        <v>1</v>
      </c>
      <c r="G685">
        <v>1</v>
      </c>
      <c r="H685">
        <v>1</v>
      </c>
      <c r="J685">
        <v>38</v>
      </c>
      <c r="K685">
        <v>1</v>
      </c>
      <c r="L685">
        <v>1</v>
      </c>
      <c r="M685">
        <v>1</v>
      </c>
      <c r="N685">
        <v>1</v>
      </c>
      <c r="O685">
        <v>1</v>
      </c>
      <c r="P685">
        <v>1</v>
      </c>
      <c r="R685">
        <v>38</v>
      </c>
      <c r="S685">
        <v>1</v>
      </c>
      <c r="T685">
        <v>1</v>
      </c>
      <c r="U685">
        <v>1</v>
      </c>
      <c r="V685">
        <v>1</v>
      </c>
      <c r="W685">
        <v>1</v>
      </c>
      <c r="X685">
        <v>1</v>
      </c>
      <c r="AA685">
        <v>-5143.5393999999997</v>
      </c>
      <c r="AB685">
        <v>-5143.5393999999997</v>
      </c>
      <c r="AC685">
        <v>-5143.5393999999997</v>
      </c>
      <c r="AD685">
        <v>-5143.5393999999997</v>
      </c>
      <c r="AE685">
        <v>-5143.5393999999997</v>
      </c>
      <c r="AF685">
        <v>-5143.5393999999997</v>
      </c>
    </row>
    <row r="686" spans="2:32" x14ac:dyDescent="0.25">
      <c r="B686">
        <v>39</v>
      </c>
      <c r="C686">
        <v>1</v>
      </c>
      <c r="D686">
        <v>1</v>
      </c>
      <c r="E686">
        <v>1</v>
      </c>
      <c r="F686">
        <v>1</v>
      </c>
      <c r="G686">
        <v>1</v>
      </c>
      <c r="H686">
        <v>1</v>
      </c>
      <c r="J686">
        <v>39</v>
      </c>
      <c r="K686">
        <v>1</v>
      </c>
      <c r="L686">
        <v>1</v>
      </c>
      <c r="M686">
        <v>1</v>
      </c>
      <c r="N686">
        <v>1</v>
      </c>
      <c r="O686">
        <v>1</v>
      </c>
      <c r="P686">
        <v>1</v>
      </c>
      <c r="R686">
        <v>39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AA686">
        <v>-5138.76</v>
      </c>
      <c r="AB686">
        <v>-5138.76</v>
      </c>
      <c r="AC686">
        <v>-5138.76</v>
      </c>
      <c r="AD686">
        <v>-5138.76</v>
      </c>
      <c r="AE686">
        <v>-5138.76</v>
      </c>
      <c r="AF686">
        <v>-5138.76</v>
      </c>
    </row>
    <row r="687" spans="2:32" x14ac:dyDescent="0.25">
      <c r="B687">
        <v>40</v>
      </c>
      <c r="C687">
        <v>1</v>
      </c>
      <c r="D687">
        <v>1</v>
      </c>
      <c r="E687">
        <v>1</v>
      </c>
      <c r="F687">
        <v>1</v>
      </c>
      <c r="G687">
        <v>1</v>
      </c>
      <c r="H687">
        <v>1</v>
      </c>
      <c r="J687">
        <v>40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1</v>
      </c>
      <c r="R687">
        <v>40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AA687">
        <v>-5133.5084999999999</v>
      </c>
      <c r="AB687">
        <v>-5133.5084999999999</v>
      </c>
      <c r="AC687">
        <v>-5133.5084999999999</v>
      </c>
      <c r="AD687">
        <v>-5133.5084999999999</v>
      </c>
      <c r="AE687">
        <v>-5133.5084999999999</v>
      </c>
      <c r="AF687">
        <v>-5133.5084999999999</v>
      </c>
    </row>
    <row r="688" spans="2:32" x14ac:dyDescent="0.25">
      <c r="B688">
        <v>41</v>
      </c>
      <c r="C688">
        <v>1</v>
      </c>
      <c r="D688">
        <v>1</v>
      </c>
      <c r="E688">
        <v>1</v>
      </c>
      <c r="F688">
        <v>1</v>
      </c>
      <c r="G688">
        <v>1</v>
      </c>
      <c r="H688">
        <v>1</v>
      </c>
      <c r="J688">
        <v>41</v>
      </c>
      <c r="K688">
        <v>1</v>
      </c>
      <c r="L688">
        <v>1</v>
      </c>
      <c r="M688">
        <v>1</v>
      </c>
      <c r="N688">
        <v>1</v>
      </c>
      <c r="O688">
        <v>1</v>
      </c>
      <c r="P688">
        <v>1</v>
      </c>
      <c r="R688">
        <v>41</v>
      </c>
      <c r="S688">
        <v>1</v>
      </c>
      <c r="T688">
        <v>1</v>
      </c>
      <c r="U688">
        <v>1</v>
      </c>
      <c r="V688">
        <v>1</v>
      </c>
      <c r="W688">
        <v>1</v>
      </c>
      <c r="X688">
        <v>1</v>
      </c>
      <c r="AA688">
        <v>-5127.7236000000003</v>
      </c>
      <c r="AB688">
        <v>-5127.7236000000003</v>
      </c>
      <c r="AC688">
        <v>-5127.7236000000003</v>
      </c>
      <c r="AD688">
        <v>-5127.7236000000003</v>
      </c>
      <c r="AE688">
        <v>-5127.7236000000003</v>
      </c>
      <c r="AF688">
        <v>-5127.7236000000003</v>
      </c>
    </row>
    <row r="689" spans="2:32" x14ac:dyDescent="0.25">
      <c r="B689">
        <v>42</v>
      </c>
      <c r="C689">
        <v>1</v>
      </c>
      <c r="D689">
        <v>1</v>
      </c>
      <c r="E689">
        <v>1</v>
      </c>
      <c r="F689">
        <v>1</v>
      </c>
      <c r="G689">
        <v>1</v>
      </c>
      <c r="H689">
        <v>1</v>
      </c>
      <c r="J689">
        <v>42</v>
      </c>
      <c r="K689">
        <v>1</v>
      </c>
      <c r="L689">
        <v>1</v>
      </c>
      <c r="M689">
        <v>1</v>
      </c>
      <c r="N689">
        <v>1</v>
      </c>
      <c r="O689">
        <v>1</v>
      </c>
      <c r="P689">
        <v>1</v>
      </c>
      <c r="R689">
        <v>42</v>
      </c>
      <c r="S689">
        <v>1</v>
      </c>
      <c r="T689">
        <v>1</v>
      </c>
      <c r="U689">
        <v>1</v>
      </c>
      <c r="V689">
        <v>1</v>
      </c>
      <c r="W689">
        <v>1</v>
      </c>
      <c r="X689">
        <v>1</v>
      </c>
      <c r="AA689">
        <v>-5121.3726999999999</v>
      </c>
      <c r="AB689">
        <v>-5121.3726999999999</v>
      </c>
      <c r="AC689">
        <v>-5121.3726999999999</v>
      </c>
      <c r="AD689">
        <v>-5121.3726999999999</v>
      </c>
      <c r="AE689">
        <v>-5121.3726999999999</v>
      </c>
      <c r="AF689">
        <v>-5121.3726999999999</v>
      </c>
    </row>
    <row r="690" spans="2:32" x14ac:dyDescent="0.25">
      <c r="B690">
        <v>43</v>
      </c>
      <c r="C690">
        <v>1</v>
      </c>
      <c r="D690">
        <v>1</v>
      </c>
      <c r="E690">
        <v>1</v>
      </c>
      <c r="F690">
        <v>1</v>
      </c>
      <c r="G690">
        <v>1</v>
      </c>
      <c r="H690">
        <v>1</v>
      </c>
      <c r="J690">
        <v>43</v>
      </c>
      <c r="K690">
        <v>1</v>
      </c>
      <c r="L690">
        <v>1</v>
      </c>
      <c r="M690">
        <v>1</v>
      </c>
      <c r="N690">
        <v>1</v>
      </c>
      <c r="O690">
        <v>1</v>
      </c>
      <c r="P690">
        <v>1</v>
      </c>
      <c r="R690">
        <v>43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AA690">
        <v>-5114.3449000000001</v>
      </c>
      <c r="AB690">
        <v>-5114.3449000000001</v>
      </c>
      <c r="AC690">
        <v>-5114.3449000000001</v>
      </c>
      <c r="AD690">
        <v>-5114.3449000000001</v>
      </c>
      <c r="AE690">
        <v>-5114.3449000000001</v>
      </c>
      <c r="AF690">
        <v>-5114.3449000000001</v>
      </c>
    </row>
    <row r="691" spans="2:32" x14ac:dyDescent="0.25">
      <c r="B691">
        <v>44</v>
      </c>
      <c r="C691">
        <v>1</v>
      </c>
      <c r="D691">
        <v>1</v>
      </c>
      <c r="E691">
        <v>1</v>
      </c>
      <c r="F691">
        <v>1</v>
      </c>
      <c r="G691">
        <v>1</v>
      </c>
      <c r="H691">
        <v>1</v>
      </c>
      <c r="J691">
        <v>44</v>
      </c>
      <c r="K691">
        <v>1</v>
      </c>
      <c r="L691">
        <v>1</v>
      </c>
      <c r="M691">
        <v>1</v>
      </c>
      <c r="N691">
        <v>1</v>
      </c>
      <c r="O691">
        <v>1</v>
      </c>
      <c r="P691">
        <v>1</v>
      </c>
      <c r="R691">
        <v>44</v>
      </c>
      <c r="S691">
        <v>1</v>
      </c>
      <c r="T691">
        <v>1</v>
      </c>
      <c r="U691">
        <v>1</v>
      </c>
      <c r="V691">
        <v>1</v>
      </c>
      <c r="W691">
        <v>1</v>
      </c>
      <c r="X691">
        <v>1</v>
      </c>
      <c r="AA691">
        <v>-5106.5976000000001</v>
      </c>
      <c r="AB691">
        <v>-5106.5976000000001</v>
      </c>
      <c r="AC691">
        <v>-5106.5976000000001</v>
      </c>
      <c r="AD691">
        <v>-5106.5976000000001</v>
      </c>
      <c r="AE691">
        <v>-5106.5976000000001</v>
      </c>
      <c r="AF691">
        <v>-5106.5976000000001</v>
      </c>
    </row>
    <row r="692" spans="2:32" x14ac:dyDescent="0.25">
      <c r="B692">
        <v>45</v>
      </c>
      <c r="C692">
        <v>1</v>
      </c>
      <c r="D692">
        <v>1</v>
      </c>
      <c r="E692">
        <v>1</v>
      </c>
      <c r="F692">
        <v>1</v>
      </c>
      <c r="G692">
        <v>1</v>
      </c>
      <c r="H692">
        <v>1</v>
      </c>
      <c r="J692">
        <v>45</v>
      </c>
      <c r="K692">
        <v>1</v>
      </c>
      <c r="L692">
        <v>1</v>
      </c>
      <c r="M692">
        <v>1</v>
      </c>
      <c r="N692">
        <v>1</v>
      </c>
      <c r="O692">
        <v>1</v>
      </c>
      <c r="P692">
        <v>1</v>
      </c>
      <c r="R692">
        <v>45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AA692">
        <v>-5098.0524999999998</v>
      </c>
      <c r="AB692">
        <v>-5098.0524999999998</v>
      </c>
      <c r="AC692">
        <v>-5098.0524999999998</v>
      </c>
      <c r="AD692">
        <v>-5098.0524999999998</v>
      </c>
      <c r="AE692">
        <v>-5098.0524999999998</v>
      </c>
      <c r="AF692">
        <v>-5098.0524999999998</v>
      </c>
    </row>
    <row r="693" spans="2:32" x14ac:dyDescent="0.25">
      <c r="B693">
        <v>46</v>
      </c>
      <c r="C693">
        <v>1</v>
      </c>
      <c r="D693">
        <v>1</v>
      </c>
      <c r="E693">
        <v>1</v>
      </c>
      <c r="F693">
        <v>1</v>
      </c>
      <c r="G693">
        <v>1</v>
      </c>
      <c r="H693">
        <v>1</v>
      </c>
      <c r="J693">
        <v>46</v>
      </c>
      <c r="K693">
        <v>1</v>
      </c>
      <c r="L693">
        <v>1</v>
      </c>
      <c r="M693">
        <v>1</v>
      </c>
      <c r="N693">
        <v>1</v>
      </c>
      <c r="O693">
        <v>1</v>
      </c>
      <c r="P693">
        <v>1</v>
      </c>
      <c r="R693">
        <v>46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AA693">
        <v>-5088.6378000000004</v>
      </c>
      <c r="AB693">
        <v>-5088.6378000000004</v>
      </c>
      <c r="AC693">
        <v>-5088.6378000000004</v>
      </c>
      <c r="AD693">
        <v>-5088.6378000000004</v>
      </c>
      <c r="AE693">
        <v>-5088.6378000000004</v>
      </c>
      <c r="AF693">
        <v>-5088.6378000000004</v>
      </c>
    </row>
    <row r="694" spans="2:32" x14ac:dyDescent="0.25">
      <c r="B694">
        <v>47</v>
      </c>
      <c r="C694">
        <v>1</v>
      </c>
      <c r="D694">
        <v>1</v>
      </c>
      <c r="E694">
        <v>1</v>
      </c>
      <c r="F694">
        <v>1</v>
      </c>
      <c r="G694">
        <v>1</v>
      </c>
      <c r="H694">
        <v>1</v>
      </c>
      <c r="J694">
        <v>47</v>
      </c>
      <c r="K694">
        <v>1</v>
      </c>
      <c r="L694">
        <v>1</v>
      </c>
      <c r="M694">
        <v>1</v>
      </c>
      <c r="N694">
        <v>1</v>
      </c>
      <c r="O694">
        <v>1</v>
      </c>
      <c r="P694">
        <v>1</v>
      </c>
      <c r="R694">
        <v>47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AA694">
        <v>-5078.2593999999999</v>
      </c>
      <c r="AB694">
        <v>-5078.2593999999999</v>
      </c>
      <c r="AC694">
        <v>-5078.2593999999999</v>
      </c>
      <c r="AD694">
        <v>-5078.2593999999999</v>
      </c>
      <c r="AE694">
        <v>-5078.2593999999999</v>
      </c>
      <c r="AF694">
        <v>-5078.2593999999999</v>
      </c>
    </row>
    <row r="695" spans="2:32" x14ac:dyDescent="0.25">
      <c r="B695">
        <v>48</v>
      </c>
      <c r="C695">
        <v>1</v>
      </c>
      <c r="D695">
        <v>1</v>
      </c>
      <c r="E695">
        <v>1</v>
      </c>
      <c r="F695">
        <v>1</v>
      </c>
      <c r="G695">
        <v>1</v>
      </c>
      <c r="H695">
        <v>1</v>
      </c>
      <c r="J695">
        <v>48</v>
      </c>
      <c r="K695">
        <v>1</v>
      </c>
      <c r="L695">
        <v>1</v>
      </c>
      <c r="M695">
        <v>1</v>
      </c>
      <c r="N695">
        <v>1</v>
      </c>
      <c r="O695">
        <v>1</v>
      </c>
      <c r="P695">
        <v>1</v>
      </c>
      <c r="R695">
        <v>48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AA695">
        <v>-5066.8732</v>
      </c>
      <c r="AB695">
        <v>-5066.8732</v>
      </c>
      <c r="AC695">
        <v>-5066.8732</v>
      </c>
      <c r="AD695">
        <v>-5066.8732</v>
      </c>
      <c r="AE695">
        <v>-5066.8732</v>
      </c>
      <c r="AF695">
        <v>-5066.8732</v>
      </c>
    </row>
    <row r="696" spans="2:32" x14ac:dyDescent="0.25">
      <c r="B696">
        <v>49</v>
      </c>
      <c r="C696">
        <v>1</v>
      </c>
      <c r="D696">
        <v>1</v>
      </c>
      <c r="E696">
        <v>1</v>
      </c>
      <c r="F696">
        <v>1</v>
      </c>
      <c r="G696">
        <v>1</v>
      </c>
      <c r="H696">
        <v>1</v>
      </c>
      <c r="J696">
        <v>49</v>
      </c>
      <c r="K696">
        <v>1</v>
      </c>
      <c r="L696">
        <v>1</v>
      </c>
      <c r="M696">
        <v>1</v>
      </c>
      <c r="N696">
        <v>1</v>
      </c>
      <c r="O696">
        <v>1</v>
      </c>
      <c r="P696">
        <v>1</v>
      </c>
      <c r="R696">
        <v>49</v>
      </c>
      <c r="S696">
        <v>1</v>
      </c>
      <c r="T696">
        <v>1</v>
      </c>
      <c r="U696">
        <v>1</v>
      </c>
      <c r="V696">
        <v>1</v>
      </c>
      <c r="W696">
        <v>1</v>
      </c>
      <c r="X696">
        <v>1</v>
      </c>
      <c r="AA696">
        <v>-5054.4124000000002</v>
      </c>
      <c r="AB696">
        <v>-5054.4124000000002</v>
      </c>
      <c r="AC696">
        <v>-5054.4124000000002</v>
      </c>
      <c r="AD696">
        <v>-5054.4124000000002</v>
      </c>
      <c r="AE696">
        <v>-5054.4124000000002</v>
      </c>
      <c r="AF696">
        <v>-5054.4124000000002</v>
      </c>
    </row>
    <row r="697" spans="2:32" x14ac:dyDescent="0.25">
      <c r="B697">
        <v>50</v>
      </c>
      <c r="C697">
        <v>1</v>
      </c>
      <c r="D697">
        <v>1</v>
      </c>
      <c r="E697">
        <v>1</v>
      </c>
      <c r="F697">
        <v>1</v>
      </c>
      <c r="G697">
        <v>1</v>
      </c>
      <c r="H697">
        <v>1</v>
      </c>
      <c r="J697">
        <v>50</v>
      </c>
      <c r="K697">
        <v>1</v>
      </c>
      <c r="L697">
        <v>1</v>
      </c>
      <c r="M697">
        <v>1</v>
      </c>
      <c r="N697">
        <v>1</v>
      </c>
      <c r="O697">
        <v>1</v>
      </c>
      <c r="P697">
        <v>1</v>
      </c>
      <c r="R697">
        <v>50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AA697">
        <v>-5040.7671</v>
      </c>
      <c r="AB697">
        <v>-5040.7671</v>
      </c>
      <c r="AC697">
        <v>-5040.7671</v>
      </c>
      <c r="AD697">
        <v>-5040.7671</v>
      </c>
      <c r="AE697">
        <v>-5040.7671</v>
      </c>
      <c r="AF697">
        <v>-5040.7671</v>
      </c>
    </row>
    <row r="698" spans="2:32" x14ac:dyDescent="0.25">
      <c r="B698">
        <v>51</v>
      </c>
      <c r="C698">
        <v>1</v>
      </c>
      <c r="D698">
        <v>1</v>
      </c>
      <c r="E698">
        <v>1</v>
      </c>
      <c r="F698">
        <v>1</v>
      </c>
      <c r="G698">
        <v>1</v>
      </c>
      <c r="H698">
        <v>1</v>
      </c>
      <c r="J698">
        <v>51</v>
      </c>
      <c r="K698">
        <v>1</v>
      </c>
      <c r="L698">
        <v>1</v>
      </c>
      <c r="M698">
        <v>1</v>
      </c>
      <c r="N698">
        <v>1</v>
      </c>
      <c r="O698">
        <v>1</v>
      </c>
      <c r="P698">
        <v>1</v>
      </c>
      <c r="R698">
        <v>51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AA698">
        <v>-5025.8329000000003</v>
      </c>
      <c r="AB698">
        <v>-5025.8329000000003</v>
      </c>
      <c r="AC698">
        <v>-5025.8329000000003</v>
      </c>
      <c r="AD698">
        <v>-5025.8329000000003</v>
      </c>
      <c r="AE698">
        <v>-5025.8329000000003</v>
      </c>
      <c r="AF698">
        <v>-5025.8329000000003</v>
      </c>
    </row>
    <row r="699" spans="2:32" x14ac:dyDescent="0.25">
      <c r="B699">
        <v>52</v>
      </c>
      <c r="C699">
        <v>1</v>
      </c>
      <c r="D699">
        <v>1</v>
      </c>
      <c r="E699">
        <v>1</v>
      </c>
      <c r="F699">
        <v>1</v>
      </c>
      <c r="G699">
        <v>1</v>
      </c>
      <c r="H699">
        <v>1</v>
      </c>
      <c r="J699">
        <v>52</v>
      </c>
      <c r="K699">
        <v>1</v>
      </c>
      <c r="L699">
        <v>1</v>
      </c>
      <c r="M699">
        <v>1</v>
      </c>
      <c r="N699">
        <v>1</v>
      </c>
      <c r="O699">
        <v>1</v>
      </c>
      <c r="P699">
        <v>1</v>
      </c>
      <c r="R699">
        <v>52</v>
      </c>
      <c r="S699">
        <v>1</v>
      </c>
      <c r="T699">
        <v>1</v>
      </c>
      <c r="U699">
        <v>1</v>
      </c>
      <c r="V699">
        <v>1</v>
      </c>
      <c r="W699">
        <v>1</v>
      </c>
      <c r="X699">
        <v>1</v>
      </c>
      <c r="AA699">
        <v>-5009.4771000000001</v>
      </c>
      <c r="AB699">
        <v>-5009.4771000000001</v>
      </c>
      <c r="AC699">
        <v>-5009.4771000000001</v>
      </c>
      <c r="AD699">
        <v>-5009.4771000000001</v>
      </c>
      <c r="AE699">
        <v>-5009.4771000000001</v>
      </c>
      <c r="AF699">
        <v>-5009.4771000000001</v>
      </c>
    </row>
    <row r="700" spans="2:32" x14ac:dyDescent="0.25">
      <c r="B700">
        <v>53</v>
      </c>
      <c r="C700">
        <v>1</v>
      </c>
      <c r="D700">
        <v>1</v>
      </c>
      <c r="E700">
        <v>1</v>
      </c>
      <c r="F700">
        <v>1</v>
      </c>
      <c r="G700">
        <v>1</v>
      </c>
      <c r="H700">
        <v>1</v>
      </c>
      <c r="J700">
        <v>53</v>
      </c>
      <c r="K700">
        <v>1</v>
      </c>
      <c r="L700">
        <v>1</v>
      </c>
      <c r="M700">
        <v>1</v>
      </c>
      <c r="N700">
        <v>1</v>
      </c>
      <c r="O700">
        <v>1</v>
      </c>
      <c r="P700">
        <v>1</v>
      </c>
      <c r="R700">
        <v>53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AA700">
        <v>-4991.6184000000003</v>
      </c>
      <c r="AB700">
        <v>-4991.6184000000003</v>
      </c>
      <c r="AC700">
        <v>-4991.6184000000003</v>
      </c>
      <c r="AD700">
        <v>-4991.6184000000003</v>
      </c>
      <c r="AE700">
        <v>-4991.6184000000003</v>
      </c>
      <c r="AF700">
        <v>-4991.6184000000003</v>
      </c>
    </row>
    <row r="701" spans="2:32" x14ac:dyDescent="0.25">
      <c r="B701">
        <v>54</v>
      </c>
      <c r="C701">
        <v>1</v>
      </c>
      <c r="D701">
        <v>1</v>
      </c>
      <c r="E701">
        <v>1</v>
      </c>
      <c r="F701">
        <v>1</v>
      </c>
      <c r="G701">
        <v>1</v>
      </c>
      <c r="H701">
        <v>1</v>
      </c>
      <c r="J701">
        <v>54</v>
      </c>
      <c r="K701">
        <v>1</v>
      </c>
      <c r="L701">
        <v>1</v>
      </c>
      <c r="M701">
        <v>1</v>
      </c>
      <c r="N701">
        <v>1</v>
      </c>
      <c r="O701">
        <v>1</v>
      </c>
      <c r="P701">
        <v>1</v>
      </c>
      <c r="R701">
        <v>54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AA701">
        <v>-4972.1588000000002</v>
      </c>
      <c r="AB701">
        <v>-4972.1588000000002</v>
      </c>
      <c r="AC701">
        <v>-4972.1588000000002</v>
      </c>
      <c r="AD701">
        <v>-4972.1588000000002</v>
      </c>
      <c r="AE701">
        <v>-4972.1588000000002</v>
      </c>
      <c r="AF701">
        <v>-4972.1588000000002</v>
      </c>
    </row>
    <row r="702" spans="2:32" x14ac:dyDescent="0.25">
      <c r="B702">
        <v>55</v>
      </c>
      <c r="C702">
        <v>1</v>
      </c>
      <c r="D702">
        <v>1</v>
      </c>
      <c r="E702">
        <v>1</v>
      </c>
      <c r="F702">
        <v>1</v>
      </c>
      <c r="G702">
        <v>1</v>
      </c>
      <c r="H702">
        <v>1</v>
      </c>
      <c r="J702">
        <v>55</v>
      </c>
      <c r="K702">
        <v>1</v>
      </c>
      <c r="L702">
        <v>1</v>
      </c>
      <c r="M702">
        <v>1</v>
      </c>
      <c r="N702">
        <v>1</v>
      </c>
      <c r="O702">
        <v>1</v>
      </c>
      <c r="P702">
        <v>1</v>
      </c>
      <c r="R702">
        <v>55</v>
      </c>
      <c r="S702">
        <v>1</v>
      </c>
      <c r="T702">
        <v>1</v>
      </c>
      <c r="U702">
        <v>1</v>
      </c>
      <c r="V702">
        <v>1</v>
      </c>
      <c r="W702">
        <v>1</v>
      </c>
      <c r="X702">
        <v>1</v>
      </c>
      <c r="AA702">
        <v>-4950.9426000000003</v>
      </c>
      <c r="AB702">
        <v>-4950.9426000000003</v>
      </c>
      <c r="AC702">
        <v>-4950.9426000000003</v>
      </c>
      <c r="AD702">
        <v>-4950.9426000000003</v>
      </c>
      <c r="AE702">
        <v>-4950.9426000000003</v>
      </c>
      <c r="AF702">
        <v>-4950.9426000000003</v>
      </c>
    </row>
    <row r="705" spans="2:32" x14ac:dyDescent="0.25">
      <c r="B705" t="s">
        <v>46</v>
      </c>
      <c r="C705">
        <v>100000</v>
      </c>
      <c r="D705">
        <v>250000</v>
      </c>
      <c r="E705">
        <v>500000</v>
      </c>
      <c r="F705">
        <v>1000000</v>
      </c>
      <c r="G705">
        <v>2000000</v>
      </c>
      <c r="J705" t="s">
        <v>32</v>
      </c>
      <c r="K705">
        <v>100000</v>
      </c>
      <c r="L705">
        <v>250000</v>
      </c>
      <c r="M705">
        <v>500000</v>
      </c>
      <c r="N705">
        <v>1000000</v>
      </c>
      <c r="O705">
        <v>2000000</v>
      </c>
      <c r="R705" t="s">
        <v>48</v>
      </c>
      <c r="S705">
        <v>100000</v>
      </c>
      <c r="T705">
        <v>250000</v>
      </c>
      <c r="U705">
        <v>500000</v>
      </c>
      <c r="V705">
        <v>1000000</v>
      </c>
      <c r="W705">
        <v>2000000</v>
      </c>
    </row>
    <row r="706" spans="2:32" x14ac:dyDescent="0.25">
      <c r="B706">
        <v>35</v>
      </c>
      <c r="C706">
        <v>1</v>
      </c>
      <c r="D706">
        <v>1</v>
      </c>
      <c r="E706">
        <v>1</v>
      </c>
      <c r="F706">
        <v>1</v>
      </c>
      <c r="G706">
        <v>1</v>
      </c>
      <c r="J706">
        <v>35</v>
      </c>
      <c r="K706">
        <v>1</v>
      </c>
      <c r="L706">
        <v>1</v>
      </c>
      <c r="M706">
        <v>1</v>
      </c>
      <c r="N706">
        <v>1</v>
      </c>
      <c r="O706">
        <v>1</v>
      </c>
      <c r="R706">
        <v>35</v>
      </c>
      <c r="S706">
        <v>1</v>
      </c>
      <c r="T706">
        <v>1</v>
      </c>
      <c r="U706">
        <v>1</v>
      </c>
      <c r="V706">
        <v>1</v>
      </c>
      <c r="W706">
        <v>1</v>
      </c>
      <c r="AA706">
        <v>-8996.1419000000005</v>
      </c>
      <c r="AB706">
        <v>-8996.1419000000005</v>
      </c>
      <c r="AC706">
        <v>-8996.1419000000005</v>
      </c>
      <c r="AD706">
        <v>-8996.1419000000005</v>
      </c>
      <c r="AE706">
        <v>-8996.1419000000005</v>
      </c>
      <c r="AF706">
        <v>-759112.79520000005</v>
      </c>
    </row>
    <row r="707" spans="2:32" x14ac:dyDescent="0.25">
      <c r="B707">
        <f t="shared" ref="B707:B736" si="30">B706+1</f>
        <v>36</v>
      </c>
      <c r="C707">
        <v>1</v>
      </c>
      <c r="D707">
        <v>1</v>
      </c>
      <c r="E707">
        <v>1</v>
      </c>
      <c r="F707">
        <v>1</v>
      </c>
      <c r="G707">
        <v>1</v>
      </c>
      <c r="J707">
        <f t="shared" ref="J707:J736" si="31">J706+1</f>
        <v>36</v>
      </c>
      <c r="K707">
        <v>1</v>
      </c>
      <c r="L707">
        <v>1</v>
      </c>
      <c r="M707">
        <v>1</v>
      </c>
      <c r="N707">
        <v>1</v>
      </c>
      <c r="O707">
        <v>1</v>
      </c>
      <c r="R707">
        <f t="shared" ref="R707:R736" si="32">R706+1</f>
        <v>36</v>
      </c>
      <c r="S707">
        <v>1</v>
      </c>
      <c r="T707">
        <v>1</v>
      </c>
      <c r="U707">
        <v>1</v>
      </c>
      <c r="V707">
        <v>1</v>
      </c>
      <c r="W707">
        <v>1</v>
      </c>
      <c r="AA707">
        <v>-8902.6679999999997</v>
      </c>
      <c r="AB707">
        <v>-8902.6679999999997</v>
      </c>
      <c r="AC707">
        <v>-8902.6679999999997</v>
      </c>
      <c r="AD707">
        <v>-8902.6679999999997</v>
      </c>
      <c r="AE707">
        <v>-8902.6679999999997</v>
      </c>
      <c r="AF707">
        <v>-737070.86179999996</v>
      </c>
    </row>
    <row r="708" spans="2:32" x14ac:dyDescent="0.25">
      <c r="B708">
        <f t="shared" si="30"/>
        <v>37</v>
      </c>
      <c r="C708">
        <v>1</v>
      </c>
      <c r="D708">
        <v>1</v>
      </c>
      <c r="E708">
        <v>1</v>
      </c>
      <c r="F708">
        <v>1</v>
      </c>
      <c r="G708">
        <v>1</v>
      </c>
      <c r="J708">
        <f t="shared" si="31"/>
        <v>37</v>
      </c>
      <c r="K708">
        <v>1</v>
      </c>
      <c r="L708">
        <v>1</v>
      </c>
      <c r="M708">
        <v>1</v>
      </c>
      <c r="N708">
        <v>1</v>
      </c>
      <c r="O708">
        <v>1</v>
      </c>
      <c r="R708">
        <f t="shared" si="32"/>
        <v>37</v>
      </c>
      <c r="S708">
        <v>1</v>
      </c>
      <c r="T708">
        <v>1</v>
      </c>
      <c r="U708">
        <v>1</v>
      </c>
      <c r="V708">
        <v>1</v>
      </c>
      <c r="W708">
        <v>1</v>
      </c>
      <c r="AA708">
        <v>-8806.7960000000003</v>
      </c>
      <c r="AB708">
        <v>-8806.7960000000003</v>
      </c>
      <c r="AC708">
        <v>-8806.7960000000003</v>
      </c>
      <c r="AD708">
        <v>-8806.7960000000003</v>
      </c>
      <c r="AE708">
        <v>-8806.7960000000003</v>
      </c>
      <c r="AF708">
        <v>-765978.91940000001</v>
      </c>
    </row>
    <row r="709" spans="2:32" x14ac:dyDescent="0.25">
      <c r="B709">
        <f t="shared" si="30"/>
        <v>38</v>
      </c>
      <c r="C709">
        <v>1</v>
      </c>
      <c r="D709">
        <v>1</v>
      </c>
      <c r="E709">
        <v>1</v>
      </c>
      <c r="F709">
        <v>1</v>
      </c>
      <c r="G709">
        <v>1</v>
      </c>
      <c r="J709">
        <f t="shared" si="31"/>
        <v>38</v>
      </c>
      <c r="K709">
        <v>1</v>
      </c>
      <c r="L709">
        <v>1</v>
      </c>
      <c r="M709">
        <v>1</v>
      </c>
      <c r="N709">
        <v>1</v>
      </c>
      <c r="O709">
        <v>1</v>
      </c>
      <c r="R709">
        <f t="shared" si="32"/>
        <v>38</v>
      </c>
      <c r="S709">
        <v>1</v>
      </c>
      <c r="T709">
        <v>1</v>
      </c>
      <c r="U709">
        <v>1</v>
      </c>
      <c r="V709">
        <v>1</v>
      </c>
      <c r="W709">
        <v>1</v>
      </c>
      <c r="AA709">
        <v>-8708.6234000000004</v>
      </c>
      <c r="AB709">
        <v>-8708.6234000000004</v>
      </c>
      <c r="AC709">
        <v>-8708.6234000000004</v>
      </c>
      <c r="AD709">
        <v>-8708.6234000000004</v>
      </c>
      <c r="AE709">
        <v>-8708.6234000000004</v>
      </c>
      <c r="AF709">
        <v>-783780.576</v>
      </c>
    </row>
    <row r="710" spans="2:32" x14ac:dyDescent="0.25">
      <c r="B710">
        <f t="shared" si="30"/>
        <v>39</v>
      </c>
      <c r="C710">
        <v>1</v>
      </c>
      <c r="D710">
        <v>1</v>
      </c>
      <c r="E710">
        <v>1</v>
      </c>
      <c r="F710">
        <v>1</v>
      </c>
      <c r="G710">
        <v>1</v>
      </c>
      <c r="J710">
        <f t="shared" si="31"/>
        <v>39</v>
      </c>
      <c r="K710">
        <v>1</v>
      </c>
      <c r="L710">
        <v>1</v>
      </c>
      <c r="M710">
        <v>1</v>
      </c>
      <c r="N710">
        <v>1</v>
      </c>
      <c r="O710">
        <v>1</v>
      </c>
      <c r="R710">
        <f t="shared" si="32"/>
        <v>39</v>
      </c>
      <c r="S710">
        <v>1</v>
      </c>
      <c r="T710">
        <v>1</v>
      </c>
      <c r="U710">
        <v>1</v>
      </c>
      <c r="V710">
        <v>1</v>
      </c>
      <c r="W710">
        <v>1</v>
      </c>
      <c r="AA710">
        <v>-8608.1594000000005</v>
      </c>
      <c r="AB710">
        <v>-8608.1594000000005</v>
      </c>
      <c r="AC710">
        <v>-8608.1594000000005</v>
      </c>
      <c r="AD710">
        <v>-8608.1594000000005</v>
      </c>
      <c r="AE710">
        <v>-8608.1594000000005</v>
      </c>
      <c r="AF710">
        <v>-769662.22069999995</v>
      </c>
    </row>
    <row r="711" spans="2:32" x14ac:dyDescent="0.25">
      <c r="B711">
        <f t="shared" si="30"/>
        <v>40</v>
      </c>
      <c r="C711">
        <v>1</v>
      </c>
      <c r="D711">
        <v>1</v>
      </c>
      <c r="E711">
        <v>1</v>
      </c>
      <c r="F711">
        <v>1</v>
      </c>
      <c r="G711">
        <v>1</v>
      </c>
      <c r="J711">
        <f t="shared" si="31"/>
        <v>40</v>
      </c>
      <c r="K711">
        <v>1</v>
      </c>
      <c r="L711">
        <v>1</v>
      </c>
      <c r="M711">
        <v>1</v>
      </c>
      <c r="N711">
        <v>1</v>
      </c>
      <c r="O711">
        <v>1</v>
      </c>
      <c r="R711">
        <f t="shared" si="32"/>
        <v>40</v>
      </c>
      <c r="S711">
        <v>1</v>
      </c>
      <c r="T711">
        <v>1</v>
      </c>
      <c r="U711">
        <v>1</v>
      </c>
      <c r="V711">
        <v>1</v>
      </c>
      <c r="W711">
        <v>1</v>
      </c>
      <c r="AA711">
        <v>-8505.3439999999991</v>
      </c>
      <c r="AB711">
        <v>-8505.3439999999991</v>
      </c>
      <c r="AC711">
        <v>-8505.3439999999991</v>
      </c>
      <c r="AD711">
        <v>-8505.3439999999991</v>
      </c>
      <c r="AE711">
        <v>-8505.3439999999991</v>
      </c>
      <c r="AF711">
        <v>-798570.41119999997</v>
      </c>
    </row>
    <row r="712" spans="2:32" x14ac:dyDescent="0.25">
      <c r="B712">
        <f t="shared" si="30"/>
        <v>41</v>
      </c>
      <c r="C712">
        <v>1</v>
      </c>
      <c r="D712">
        <v>1</v>
      </c>
      <c r="E712">
        <v>1</v>
      </c>
      <c r="F712">
        <v>1</v>
      </c>
      <c r="G712">
        <v>1</v>
      </c>
      <c r="J712">
        <f t="shared" si="31"/>
        <v>41</v>
      </c>
      <c r="K712">
        <v>1</v>
      </c>
      <c r="L712">
        <v>1</v>
      </c>
      <c r="M712">
        <v>1</v>
      </c>
      <c r="N712">
        <v>1</v>
      </c>
      <c r="O712">
        <v>1</v>
      </c>
      <c r="R712">
        <f t="shared" si="32"/>
        <v>41</v>
      </c>
      <c r="S712">
        <v>1</v>
      </c>
      <c r="T712">
        <v>1</v>
      </c>
      <c r="U712">
        <v>1</v>
      </c>
      <c r="V712">
        <v>1</v>
      </c>
      <c r="W712">
        <v>1</v>
      </c>
      <c r="AA712">
        <v>-8400.1087000000007</v>
      </c>
      <c r="AB712">
        <v>-8400.1087000000007</v>
      </c>
      <c r="AC712">
        <v>-8400.1087000000007</v>
      </c>
      <c r="AD712">
        <v>-8400.1087000000007</v>
      </c>
      <c r="AE712">
        <v>-8400.1087000000007</v>
      </c>
      <c r="AF712">
        <v>-803549.96459999995</v>
      </c>
    </row>
    <row r="713" spans="2:32" x14ac:dyDescent="0.25">
      <c r="B713">
        <f t="shared" si="30"/>
        <v>42</v>
      </c>
      <c r="C713">
        <v>1</v>
      </c>
      <c r="D713">
        <v>1</v>
      </c>
      <c r="E713">
        <v>1</v>
      </c>
      <c r="F713">
        <v>1</v>
      </c>
      <c r="G713">
        <v>1</v>
      </c>
      <c r="J713">
        <f t="shared" si="31"/>
        <v>42</v>
      </c>
      <c r="K713">
        <v>1</v>
      </c>
      <c r="L713">
        <v>1</v>
      </c>
      <c r="M713">
        <v>1</v>
      </c>
      <c r="N713">
        <v>1</v>
      </c>
      <c r="O713">
        <v>1</v>
      </c>
      <c r="R713">
        <f t="shared" si="32"/>
        <v>42</v>
      </c>
      <c r="S713">
        <v>1</v>
      </c>
      <c r="T713">
        <v>1</v>
      </c>
      <c r="U713">
        <v>1</v>
      </c>
      <c r="V713">
        <v>1</v>
      </c>
      <c r="W713">
        <v>1</v>
      </c>
      <c r="AA713">
        <v>-8292.4974999999995</v>
      </c>
      <c r="AB713">
        <v>-8292.4974999999995</v>
      </c>
      <c r="AC713">
        <v>-8292.4974999999995</v>
      </c>
      <c r="AD713">
        <v>-8292.4974999999995</v>
      </c>
      <c r="AE713">
        <v>-8292.4974999999995</v>
      </c>
      <c r="AF713">
        <v>-833551.75890000002</v>
      </c>
    </row>
    <row r="714" spans="2:32" x14ac:dyDescent="0.25">
      <c r="B714">
        <f t="shared" si="30"/>
        <v>43</v>
      </c>
      <c r="C714">
        <v>1</v>
      </c>
      <c r="D714">
        <v>1</v>
      </c>
      <c r="E714">
        <v>1</v>
      </c>
      <c r="F714">
        <v>1</v>
      </c>
      <c r="G714">
        <v>1</v>
      </c>
      <c r="J714">
        <f t="shared" si="31"/>
        <v>43</v>
      </c>
      <c r="K714">
        <v>1</v>
      </c>
      <c r="L714">
        <v>1</v>
      </c>
      <c r="M714">
        <v>1</v>
      </c>
      <c r="N714">
        <v>1</v>
      </c>
      <c r="O714">
        <v>1</v>
      </c>
      <c r="R714">
        <f t="shared" si="32"/>
        <v>43</v>
      </c>
      <c r="S714">
        <v>1</v>
      </c>
      <c r="T714">
        <v>1</v>
      </c>
      <c r="U714">
        <v>1</v>
      </c>
      <c r="V714">
        <v>1</v>
      </c>
      <c r="W714">
        <v>1</v>
      </c>
      <c r="AA714">
        <v>-8182.3909999999996</v>
      </c>
      <c r="AB714">
        <v>-8182.3909999999996</v>
      </c>
      <c r="AC714">
        <v>-8182.3909999999996</v>
      </c>
      <c r="AD714">
        <v>-8182.3909999999996</v>
      </c>
      <c r="AE714">
        <v>-8182.3909999999996</v>
      </c>
      <c r="AF714">
        <v>-844950.93949999998</v>
      </c>
    </row>
    <row r="715" spans="2:32" x14ac:dyDescent="0.25">
      <c r="B715">
        <f t="shared" si="30"/>
        <v>44</v>
      </c>
      <c r="C715">
        <v>1</v>
      </c>
      <c r="D715">
        <v>1</v>
      </c>
      <c r="E715">
        <v>1</v>
      </c>
      <c r="F715">
        <v>1</v>
      </c>
      <c r="G715">
        <v>1</v>
      </c>
      <c r="J715">
        <f t="shared" si="31"/>
        <v>44</v>
      </c>
      <c r="K715">
        <v>1</v>
      </c>
      <c r="L715">
        <v>1</v>
      </c>
      <c r="M715">
        <v>1</v>
      </c>
      <c r="N715">
        <v>1</v>
      </c>
      <c r="O715">
        <v>1</v>
      </c>
      <c r="R715">
        <f t="shared" si="32"/>
        <v>44</v>
      </c>
      <c r="S715">
        <v>1</v>
      </c>
      <c r="T715">
        <v>1</v>
      </c>
      <c r="U715">
        <v>1</v>
      </c>
      <c r="V715">
        <v>1</v>
      </c>
      <c r="W715">
        <v>1</v>
      </c>
      <c r="AA715">
        <v>-8069.8261000000002</v>
      </c>
      <c r="AB715">
        <v>-8069.8261000000002</v>
      </c>
      <c r="AC715">
        <v>-8069.8261000000002</v>
      </c>
      <c r="AD715">
        <v>-8069.8261000000002</v>
      </c>
      <c r="AE715">
        <v>-8069.8261000000002</v>
      </c>
      <c r="AF715">
        <v>-851265.64670000004</v>
      </c>
    </row>
    <row r="716" spans="2:32" x14ac:dyDescent="0.25">
      <c r="B716">
        <f t="shared" si="30"/>
        <v>45</v>
      </c>
      <c r="C716">
        <v>1</v>
      </c>
      <c r="D716">
        <v>1</v>
      </c>
      <c r="E716">
        <v>1</v>
      </c>
      <c r="F716">
        <v>1</v>
      </c>
      <c r="G716">
        <v>1</v>
      </c>
      <c r="J716">
        <f t="shared" si="31"/>
        <v>45</v>
      </c>
      <c r="K716">
        <v>1</v>
      </c>
      <c r="L716">
        <v>1</v>
      </c>
      <c r="M716">
        <v>1</v>
      </c>
      <c r="N716">
        <v>1</v>
      </c>
      <c r="O716">
        <v>1</v>
      </c>
      <c r="R716">
        <f t="shared" si="32"/>
        <v>45</v>
      </c>
      <c r="S716">
        <v>1</v>
      </c>
      <c r="T716">
        <v>1</v>
      </c>
      <c r="U716">
        <v>1</v>
      </c>
      <c r="V716">
        <v>1</v>
      </c>
      <c r="W716">
        <v>1</v>
      </c>
      <c r="AA716">
        <v>-7954.7533999999996</v>
      </c>
      <c r="AB716">
        <v>-7954.7533999999996</v>
      </c>
      <c r="AC716">
        <v>-7954.7533999999996</v>
      </c>
      <c r="AD716">
        <v>-7954.7533999999996</v>
      </c>
      <c r="AE716">
        <v>-7954.7533999999996</v>
      </c>
      <c r="AF716">
        <v>-870649.02139999997</v>
      </c>
    </row>
    <row r="717" spans="2:32" x14ac:dyDescent="0.25">
      <c r="B717">
        <f t="shared" si="30"/>
        <v>46</v>
      </c>
      <c r="C717">
        <v>1</v>
      </c>
      <c r="D717">
        <v>1</v>
      </c>
      <c r="E717">
        <v>1</v>
      </c>
      <c r="F717">
        <v>1</v>
      </c>
      <c r="G717">
        <v>1</v>
      </c>
      <c r="J717">
        <f t="shared" si="31"/>
        <v>46</v>
      </c>
      <c r="K717">
        <v>1</v>
      </c>
      <c r="L717">
        <v>1</v>
      </c>
      <c r="M717">
        <v>1</v>
      </c>
      <c r="N717">
        <v>1</v>
      </c>
      <c r="O717">
        <v>1</v>
      </c>
      <c r="R717">
        <f t="shared" si="32"/>
        <v>46</v>
      </c>
      <c r="S717">
        <v>1</v>
      </c>
      <c r="T717">
        <v>1</v>
      </c>
      <c r="U717">
        <v>1</v>
      </c>
      <c r="V717">
        <v>1</v>
      </c>
      <c r="W717">
        <v>1</v>
      </c>
      <c r="AA717">
        <v>-7837.1754000000001</v>
      </c>
      <c r="AB717">
        <v>-7837.1754000000001</v>
      </c>
      <c r="AC717">
        <v>-7837.1754000000001</v>
      </c>
      <c r="AD717">
        <v>-7837.1754000000001</v>
      </c>
      <c r="AE717">
        <v>-7837.1754000000001</v>
      </c>
      <c r="AF717">
        <v>-892550.54509999999</v>
      </c>
    </row>
    <row r="718" spans="2:32" x14ac:dyDescent="0.25">
      <c r="B718">
        <f t="shared" si="30"/>
        <v>47</v>
      </c>
      <c r="C718">
        <v>1</v>
      </c>
      <c r="D718">
        <v>1</v>
      </c>
      <c r="E718">
        <v>1</v>
      </c>
      <c r="F718">
        <v>1</v>
      </c>
      <c r="G718">
        <v>1</v>
      </c>
      <c r="J718">
        <f t="shared" si="31"/>
        <v>47</v>
      </c>
      <c r="K718">
        <v>1</v>
      </c>
      <c r="L718">
        <v>1</v>
      </c>
      <c r="M718">
        <v>1</v>
      </c>
      <c r="N718">
        <v>1</v>
      </c>
      <c r="O718">
        <v>1</v>
      </c>
      <c r="R718">
        <f t="shared" si="32"/>
        <v>47</v>
      </c>
      <c r="S718">
        <v>1</v>
      </c>
      <c r="T718">
        <v>1</v>
      </c>
      <c r="U718">
        <v>1</v>
      </c>
      <c r="V718">
        <v>1</v>
      </c>
      <c r="W718">
        <v>1</v>
      </c>
      <c r="AA718">
        <v>-7717.0294999999996</v>
      </c>
      <c r="AB718">
        <v>-7717.0294999999996</v>
      </c>
      <c r="AC718">
        <v>-7717.0294999999996</v>
      </c>
      <c r="AD718">
        <v>-7717.0294999999996</v>
      </c>
      <c r="AE718">
        <v>-7717.0294999999996</v>
      </c>
      <c r="AF718">
        <v>-910915.81969999999</v>
      </c>
    </row>
    <row r="719" spans="2:32" x14ac:dyDescent="0.25">
      <c r="B719">
        <f t="shared" si="30"/>
        <v>48</v>
      </c>
      <c r="C719">
        <v>1</v>
      </c>
      <c r="D719">
        <v>1</v>
      </c>
      <c r="E719">
        <v>1</v>
      </c>
      <c r="F719">
        <v>1</v>
      </c>
      <c r="G719">
        <v>1</v>
      </c>
      <c r="J719">
        <f t="shared" si="31"/>
        <v>48</v>
      </c>
      <c r="K719">
        <v>1</v>
      </c>
      <c r="L719">
        <v>1</v>
      </c>
      <c r="M719">
        <v>1</v>
      </c>
      <c r="N719">
        <v>1</v>
      </c>
      <c r="O719">
        <v>1</v>
      </c>
      <c r="R719">
        <f t="shared" si="32"/>
        <v>48</v>
      </c>
      <c r="S719">
        <v>1</v>
      </c>
      <c r="T719">
        <v>1</v>
      </c>
      <c r="U719">
        <v>1</v>
      </c>
      <c r="V719">
        <v>1</v>
      </c>
      <c r="W719">
        <v>1</v>
      </c>
      <c r="AA719">
        <v>-7594.4201000000003</v>
      </c>
      <c r="AB719">
        <v>-7594.4201000000003</v>
      </c>
      <c r="AC719">
        <v>-7594.4201000000003</v>
      </c>
      <c r="AD719">
        <v>-7594.4201000000003</v>
      </c>
      <c r="AE719">
        <v>-7594.4201000000003</v>
      </c>
      <c r="AF719">
        <v>-917891.87360000005</v>
      </c>
    </row>
    <row r="720" spans="2:32" x14ac:dyDescent="0.25">
      <c r="B720">
        <f t="shared" si="30"/>
        <v>49</v>
      </c>
      <c r="C720">
        <v>1</v>
      </c>
      <c r="D720">
        <v>1</v>
      </c>
      <c r="E720">
        <v>1</v>
      </c>
      <c r="F720">
        <v>1</v>
      </c>
      <c r="G720">
        <v>1</v>
      </c>
      <c r="J720">
        <f t="shared" si="31"/>
        <v>49</v>
      </c>
      <c r="K720">
        <v>1</v>
      </c>
      <c r="L720">
        <v>1</v>
      </c>
      <c r="M720">
        <v>1</v>
      </c>
      <c r="N720">
        <v>1</v>
      </c>
      <c r="O720">
        <v>1</v>
      </c>
      <c r="R720">
        <f t="shared" si="32"/>
        <v>49</v>
      </c>
      <c r="S720">
        <v>1</v>
      </c>
      <c r="T720">
        <v>1</v>
      </c>
      <c r="U720">
        <v>1</v>
      </c>
      <c r="V720">
        <v>1</v>
      </c>
      <c r="W720">
        <v>1</v>
      </c>
      <c r="AA720">
        <v>-7469.3995999999997</v>
      </c>
      <c r="AB720">
        <v>-7469.3995999999997</v>
      </c>
      <c r="AC720">
        <v>-7469.3995999999997</v>
      </c>
      <c r="AD720">
        <v>-7469.3995999999997</v>
      </c>
      <c r="AE720">
        <v>-7469.3995999999997</v>
      </c>
      <c r="AF720">
        <v>-944521.72470000002</v>
      </c>
    </row>
    <row r="721" spans="2:32" x14ac:dyDescent="0.25">
      <c r="B721">
        <f t="shared" si="30"/>
        <v>50</v>
      </c>
      <c r="C721">
        <v>1</v>
      </c>
      <c r="D721">
        <v>1</v>
      </c>
      <c r="E721">
        <v>1</v>
      </c>
      <c r="F721">
        <v>1</v>
      </c>
      <c r="G721">
        <v>1</v>
      </c>
      <c r="J721">
        <f t="shared" si="31"/>
        <v>50</v>
      </c>
      <c r="K721">
        <v>1</v>
      </c>
      <c r="L721">
        <v>1</v>
      </c>
      <c r="M721">
        <v>1</v>
      </c>
      <c r="N721">
        <v>1</v>
      </c>
      <c r="O721">
        <v>1</v>
      </c>
      <c r="R721">
        <f t="shared" si="32"/>
        <v>50</v>
      </c>
      <c r="S721">
        <v>1</v>
      </c>
      <c r="T721">
        <v>1</v>
      </c>
      <c r="U721">
        <v>1</v>
      </c>
      <c r="V721">
        <v>1</v>
      </c>
      <c r="W721">
        <v>1</v>
      </c>
      <c r="AA721">
        <v>-7341.9502000000002</v>
      </c>
      <c r="AB721">
        <v>-7341.9502000000002</v>
      </c>
      <c r="AC721">
        <v>-7341.9502000000002</v>
      </c>
      <c r="AD721">
        <v>-7341.9502000000002</v>
      </c>
      <c r="AE721">
        <v>-7341.9502000000002</v>
      </c>
      <c r="AF721">
        <v>-963257.14989999996</v>
      </c>
    </row>
    <row r="722" spans="2:32" x14ac:dyDescent="0.25">
      <c r="B722">
        <f t="shared" si="30"/>
        <v>51</v>
      </c>
      <c r="C722">
        <v>1</v>
      </c>
      <c r="D722">
        <v>1</v>
      </c>
      <c r="E722">
        <v>1</v>
      </c>
      <c r="F722">
        <v>1</v>
      </c>
      <c r="G722">
        <v>1</v>
      </c>
      <c r="J722">
        <f t="shared" si="31"/>
        <v>51</v>
      </c>
      <c r="K722">
        <v>1</v>
      </c>
      <c r="L722">
        <v>1</v>
      </c>
      <c r="M722">
        <v>1</v>
      </c>
      <c r="N722">
        <v>1</v>
      </c>
      <c r="O722">
        <v>1</v>
      </c>
      <c r="R722">
        <f t="shared" si="32"/>
        <v>51</v>
      </c>
      <c r="S722">
        <v>1</v>
      </c>
      <c r="T722">
        <v>1</v>
      </c>
      <c r="U722">
        <v>1</v>
      </c>
      <c r="V722">
        <v>1</v>
      </c>
      <c r="W722">
        <v>1</v>
      </c>
      <c r="AA722">
        <v>-7212.0646999999999</v>
      </c>
      <c r="AB722">
        <v>-7212.0646999999999</v>
      </c>
      <c r="AC722">
        <v>-7212.0646999999999</v>
      </c>
      <c r="AD722">
        <v>-7212.0646999999999</v>
      </c>
      <c r="AE722">
        <v>-7212.0646999999999</v>
      </c>
      <c r="AF722">
        <v>-981592.90729999996</v>
      </c>
    </row>
    <row r="723" spans="2:32" x14ac:dyDescent="0.25">
      <c r="B723">
        <f t="shared" si="30"/>
        <v>52</v>
      </c>
      <c r="C723">
        <v>1</v>
      </c>
      <c r="D723">
        <v>1</v>
      </c>
      <c r="E723">
        <v>1</v>
      </c>
      <c r="F723">
        <v>1</v>
      </c>
      <c r="G723">
        <v>1</v>
      </c>
      <c r="J723">
        <f t="shared" si="31"/>
        <v>52</v>
      </c>
      <c r="K723">
        <v>1</v>
      </c>
      <c r="L723">
        <v>1</v>
      </c>
      <c r="M723">
        <v>1</v>
      </c>
      <c r="N723">
        <v>1</v>
      </c>
      <c r="O723">
        <v>1</v>
      </c>
      <c r="R723">
        <f t="shared" si="32"/>
        <v>52</v>
      </c>
      <c r="S723">
        <v>1</v>
      </c>
      <c r="T723">
        <v>1</v>
      </c>
      <c r="U723">
        <v>1</v>
      </c>
      <c r="V723">
        <v>1</v>
      </c>
      <c r="W723">
        <v>1</v>
      </c>
      <c r="AA723">
        <v>-7079.7435999999998</v>
      </c>
      <c r="AB723">
        <v>-7079.7435999999998</v>
      </c>
      <c r="AC723">
        <v>-7079.7435999999998</v>
      </c>
      <c r="AD723">
        <v>-7079.7435999999998</v>
      </c>
      <c r="AE723">
        <v>-7079.7435999999998</v>
      </c>
      <c r="AF723">
        <v>-998556.10360000003</v>
      </c>
    </row>
    <row r="724" spans="2:32" x14ac:dyDescent="0.25">
      <c r="B724">
        <f t="shared" si="30"/>
        <v>53</v>
      </c>
      <c r="C724">
        <v>1</v>
      </c>
      <c r="D724">
        <v>1</v>
      </c>
      <c r="E724">
        <v>1</v>
      </c>
      <c r="F724">
        <v>1</v>
      </c>
      <c r="G724">
        <v>1</v>
      </c>
      <c r="J724">
        <f t="shared" si="31"/>
        <v>53</v>
      </c>
      <c r="K724">
        <v>1</v>
      </c>
      <c r="L724">
        <v>1</v>
      </c>
      <c r="M724">
        <v>1</v>
      </c>
      <c r="N724">
        <v>1</v>
      </c>
      <c r="O724">
        <v>1</v>
      </c>
      <c r="R724">
        <f t="shared" si="32"/>
        <v>53</v>
      </c>
      <c r="S724">
        <v>1</v>
      </c>
      <c r="T724">
        <v>1</v>
      </c>
      <c r="U724">
        <v>1</v>
      </c>
      <c r="V724">
        <v>1</v>
      </c>
      <c r="W724">
        <v>1</v>
      </c>
      <c r="AA724">
        <v>-6945.0875999999998</v>
      </c>
      <c r="AB724">
        <v>-6945.0875999999998</v>
      </c>
      <c r="AC724">
        <v>-6945.0875999999998</v>
      </c>
      <c r="AD724">
        <v>-6945.0875999999998</v>
      </c>
      <c r="AE724">
        <v>-6945.0875999999998</v>
      </c>
      <c r="AF724">
        <v>-1015461.3278</v>
      </c>
    </row>
    <row r="725" spans="2:32" x14ac:dyDescent="0.25">
      <c r="B725">
        <f t="shared" si="30"/>
        <v>54</v>
      </c>
      <c r="C725">
        <v>1</v>
      </c>
      <c r="D725">
        <v>1</v>
      </c>
      <c r="E725">
        <v>1</v>
      </c>
      <c r="F725">
        <v>1</v>
      </c>
      <c r="G725">
        <v>1</v>
      </c>
      <c r="J725">
        <f t="shared" si="31"/>
        <v>54</v>
      </c>
      <c r="K725">
        <v>1</v>
      </c>
      <c r="L725">
        <v>1</v>
      </c>
      <c r="M725">
        <v>1</v>
      </c>
      <c r="N725">
        <v>1</v>
      </c>
      <c r="O725">
        <v>1</v>
      </c>
      <c r="R725">
        <f t="shared" si="32"/>
        <v>54</v>
      </c>
      <c r="S725">
        <v>1</v>
      </c>
      <c r="T725">
        <v>1</v>
      </c>
      <c r="U725">
        <v>1</v>
      </c>
      <c r="V725">
        <v>1</v>
      </c>
      <c r="W725">
        <v>1</v>
      </c>
      <c r="AA725">
        <v>-6808.2438000000002</v>
      </c>
      <c r="AB725">
        <v>-6808.2438000000002</v>
      </c>
      <c r="AC725">
        <v>-6808.2438000000002</v>
      </c>
      <c r="AD725">
        <v>-6808.2438000000002</v>
      </c>
      <c r="AE725">
        <v>-6808.2438000000002</v>
      </c>
      <c r="AF725">
        <v>-1033869.6813000001</v>
      </c>
    </row>
    <row r="726" spans="2:32" x14ac:dyDescent="0.25">
      <c r="B726">
        <f t="shared" si="30"/>
        <v>55</v>
      </c>
      <c r="C726">
        <v>1</v>
      </c>
      <c r="D726">
        <v>1</v>
      </c>
      <c r="E726">
        <v>1</v>
      </c>
      <c r="F726">
        <v>1</v>
      </c>
      <c r="G726">
        <v>1</v>
      </c>
      <c r="J726">
        <f t="shared" si="31"/>
        <v>55</v>
      </c>
      <c r="K726">
        <v>1</v>
      </c>
      <c r="L726">
        <v>1</v>
      </c>
      <c r="M726">
        <v>1</v>
      </c>
      <c r="N726">
        <v>1</v>
      </c>
      <c r="O726">
        <v>1</v>
      </c>
      <c r="R726">
        <f t="shared" si="32"/>
        <v>55</v>
      </c>
      <c r="S726">
        <v>1</v>
      </c>
      <c r="T726">
        <v>1</v>
      </c>
      <c r="U726">
        <v>1</v>
      </c>
      <c r="V726">
        <v>1</v>
      </c>
      <c r="W726">
        <v>1</v>
      </c>
      <c r="AA726">
        <v>-6669.2525999999998</v>
      </c>
      <c r="AB726">
        <v>-6669.2525999999998</v>
      </c>
      <c r="AC726">
        <v>-6669.2525999999998</v>
      </c>
      <c r="AD726">
        <v>-6669.2525999999998</v>
      </c>
      <c r="AE726">
        <v>-6669.2525999999998</v>
      </c>
      <c r="AF726">
        <v>-1050810.2549999999</v>
      </c>
    </row>
    <row r="727" spans="2:32" x14ac:dyDescent="0.25">
      <c r="B727">
        <f t="shared" si="30"/>
        <v>56</v>
      </c>
      <c r="C727">
        <v>1</v>
      </c>
      <c r="D727">
        <v>1</v>
      </c>
      <c r="E727">
        <v>1</v>
      </c>
      <c r="F727">
        <v>1</v>
      </c>
      <c r="G727">
        <v>1</v>
      </c>
      <c r="J727">
        <f t="shared" si="31"/>
        <v>56</v>
      </c>
      <c r="K727">
        <v>1</v>
      </c>
      <c r="L727">
        <v>1</v>
      </c>
      <c r="M727">
        <v>1</v>
      </c>
      <c r="N727">
        <v>1</v>
      </c>
      <c r="O727">
        <v>1</v>
      </c>
      <c r="R727">
        <f t="shared" si="32"/>
        <v>56</v>
      </c>
      <c r="S727">
        <v>1</v>
      </c>
      <c r="T727">
        <v>1</v>
      </c>
      <c r="U727">
        <v>1</v>
      </c>
      <c r="V727">
        <v>1</v>
      </c>
      <c r="W727">
        <v>1</v>
      </c>
      <c r="AA727">
        <v>-6528.2992000000004</v>
      </c>
      <c r="AB727">
        <v>-6528.2992000000004</v>
      </c>
      <c r="AC727">
        <v>-6528.2992000000004</v>
      </c>
      <c r="AD727">
        <v>-6528.2992000000004</v>
      </c>
      <c r="AE727">
        <v>-6528.2992000000004</v>
      </c>
      <c r="AF727">
        <v>-1073295.8774000001</v>
      </c>
    </row>
    <row r="728" spans="2:32" x14ac:dyDescent="0.25">
      <c r="B728">
        <f t="shared" si="30"/>
        <v>57</v>
      </c>
      <c r="C728">
        <v>1</v>
      </c>
      <c r="D728">
        <v>1</v>
      </c>
      <c r="E728">
        <v>1</v>
      </c>
      <c r="F728">
        <v>1</v>
      </c>
      <c r="G728">
        <v>1</v>
      </c>
      <c r="J728">
        <f t="shared" si="31"/>
        <v>57</v>
      </c>
      <c r="K728">
        <v>1</v>
      </c>
      <c r="L728">
        <v>1</v>
      </c>
      <c r="M728">
        <v>1</v>
      </c>
      <c r="N728">
        <v>1</v>
      </c>
      <c r="O728">
        <v>1</v>
      </c>
      <c r="R728">
        <f t="shared" si="32"/>
        <v>57</v>
      </c>
      <c r="S728">
        <v>1</v>
      </c>
      <c r="T728">
        <v>1</v>
      </c>
      <c r="U728">
        <v>1</v>
      </c>
      <c r="V728">
        <v>1</v>
      </c>
      <c r="W728">
        <v>1</v>
      </c>
      <c r="AA728">
        <v>-6385.5230000000001</v>
      </c>
      <c r="AB728">
        <v>-6385.5230000000001</v>
      </c>
      <c r="AC728">
        <v>-6385.5230000000001</v>
      </c>
      <c r="AD728">
        <v>-6385.5230000000001</v>
      </c>
      <c r="AE728">
        <v>-6385.5230000000001</v>
      </c>
      <c r="AF728">
        <v>-1093242.6832999999</v>
      </c>
    </row>
    <row r="729" spans="2:32" x14ac:dyDescent="0.25">
      <c r="B729">
        <f t="shared" si="30"/>
        <v>58</v>
      </c>
      <c r="C729">
        <v>1</v>
      </c>
      <c r="D729">
        <v>1</v>
      </c>
      <c r="E729">
        <v>1</v>
      </c>
      <c r="F729">
        <v>1</v>
      </c>
      <c r="G729">
        <v>1</v>
      </c>
      <c r="J729">
        <f t="shared" si="31"/>
        <v>58</v>
      </c>
      <c r="K729">
        <v>1</v>
      </c>
      <c r="L729">
        <v>1</v>
      </c>
      <c r="M729">
        <v>1</v>
      </c>
      <c r="N729">
        <v>1</v>
      </c>
      <c r="O729">
        <v>1</v>
      </c>
      <c r="R729">
        <f t="shared" si="32"/>
        <v>58</v>
      </c>
      <c r="S729">
        <v>1</v>
      </c>
      <c r="T729">
        <v>1</v>
      </c>
      <c r="U729">
        <v>1</v>
      </c>
      <c r="V729">
        <v>1</v>
      </c>
      <c r="W729">
        <v>1</v>
      </c>
      <c r="AA729">
        <v>-6240.8730999999998</v>
      </c>
      <c r="AB729">
        <v>-6240.8730999999998</v>
      </c>
      <c r="AC729">
        <v>-6240.8730999999998</v>
      </c>
      <c r="AD729">
        <v>-6240.8730999999998</v>
      </c>
      <c r="AE729">
        <v>-6240.8730999999998</v>
      </c>
      <c r="AF729">
        <v>-1114366.6444000001</v>
      </c>
    </row>
    <row r="730" spans="2:32" x14ac:dyDescent="0.25">
      <c r="B730">
        <f t="shared" si="30"/>
        <v>59</v>
      </c>
      <c r="C730">
        <v>1</v>
      </c>
      <c r="D730">
        <v>1</v>
      </c>
      <c r="E730">
        <v>1</v>
      </c>
      <c r="F730">
        <v>1</v>
      </c>
      <c r="G730">
        <v>1</v>
      </c>
      <c r="J730">
        <f t="shared" si="31"/>
        <v>59</v>
      </c>
      <c r="K730">
        <v>1</v>
      </c>
      <c r="L730">
        <v>1</v>
      </c>
      <c r="M730">
        <v>1</v>
      </c>
      <c r="N730">
        <v>1</v>
      </c>
      <c r="O730">
        <v>1</v>
      </c>
      <c r="R730">
        <f t="shared" si="32"/>
        <v>59</v>
      </c>
      <c r="S730">
        <v>1</v>
      </c>
      <c r="T730">
        <v>1</v>
      </c>
      <c r="U730">
        <v>1</v>
      </c>
      <c r="V730">
        <v>1</v>
      </c>
      <c r="W730">
        <v>1</v>
      </c>
      <c r="AA730">
        <v>-6094.3262999999997</v>
      </c>
      <c r="AB730">
        <v>-6094.3262999999997</v>
      </c>
      <c r="AC730">
        <v>-6094.3262999999997</v>
      </c>
      <c r="AD730">
        <v>-6094.3262999999997</v>
      </c>
      <c r="AE730">
        <v>-6094.3262999999997</v>
      </c>
      <c r="AF730">
        <v>-1114366.6444000001</v>
      </c>
    </row>
    <row r="731" spans="2:32" x14ac:dyDescent="0.25">
      <c r="B731">
        <f t="shared" si="30"/>
        <v>60</v>
      </c>
      <c r="C731">
        <v>1</v>
      </c>
      <c r="D731">
        <v>1</v>
      </c>
      <c r="E731">
        <v>1</v>
      </c>
      <c r="F731">
        <v>1</v>
      </c>
      <c r="G731">
        <v>1</v>
      </c>
      <c r="J731">
        <f t="shared" si="31"/>
        <v>60</v>
      </c>
      <c r="K731">
        <v>1</v>
      </c>
      <c r="L731">
        <v>1</v>
      </c>
      <c r="M731">
        <v>1</v>
      </c>
      <c r="N731">
        <v>1</v>
      </c>
      <c r="O731">
        <v>1</v>
      </c>
      <c r="R731">
        <f t="shared" si="32"/>
        <v>60</v>
      </c>
      <c r="S731">
        <v>1</v>
      </c>
      <c r="T731">
        <v>1</v>
      </c>
      <c r="U731">
        <v>1</v>
      </c>
      <c r="V731">
        <v>1</v>
      </c>
      <c r="W731">
        <v>1</v>
      </c>
      <c r="AA731">
        <v>-5945.9960000000001</v>
      </c>
      <c r="AB731">
        <v>-5945.9960000000001</v>
      </c>
      <c r="AC731">
        <v>-5945.9960000000001</v>
      </c>
      <c r="AD731">
        <v>-5945.9960000000001</v>
      </c>
      <c r="AE731">
        <v>-5945.9960000000001</v>
      </c>
      <c r="AF731">
        <v>-1157801.6717999999</v>
      </c>
    </row>
    <row r="732" spans="2:32" x14ac:dyDescent="0.25">
      <c r="B732">
        <f t="shared" si="30"/>
        <v>61</v>
      </c>
      <c r="C732">
        <v>1</v>
      </c>
      <c r="D732">
        <v>1</v>
      </c>
      <c r="E732">
        <v>1</v>
      </c>
      <c r="F732">
        <v>1</v>
      </c>
      <c r="G732">
        <v>1</v>
      </c>
      <c r="J732">
        <f t="shared" si="31"/>
        <v>61</v>
      </c>
      <c r="K732">
        <v>1</v>
      </c>
      <c r="L732">
        <v>1</v>
      </c>
      <c r="M732">
        <v>1</v>
      </c>
      <c r="N732">
        <v>1</v>
      </c>
      <c r="O732">
        <v>1</v>
      </c>
      <c r="R732">
        <f t="shared" si="32"/>
        <v>61</v>
      </c>
      <c r="S732">
        <v>1</v>
      </c>
      <c r="T732">
        <v>1</v>
      </c>
      <c r="U732">
        <v>1</v>
      </c>
      <c r="V732">
        <v>1</v>
      </c>
      <c r="W732">
        <v>1</v>
      </c>
      <c r="AA732">
        <v>-5796.3015999999998</v>
      </c>
      <c r="AB732">
        <v>-5796.3015999999998</v>
      </c>
      <c r="AC732">
        <v>-5796.3015999999998</v>
      </c>
      <c r="AD732">
        <v>-5796.3015999999998</v>
      </c>
      <c r="AE732">
        <v>-5796.3015999999998</v>
      </c>
      <c r="AF732">
        <v>-1178581.4038</v>
      </c>
    </row>
    <row r="733" spans="2:32" x14ac:dyDescent="0.25">
      <c r="B733">
        <f t="shared" si="30"/>
        <v>62</v>
      </c>
      <c r="C733">
        <v>1</v>
      </c>
      <c r="D733">
        <v>1</v>
      </c>
      <c r="E733">
        <v>1</v>
      </c>
      <c r="F733">
        <v>1</v>
      </c>
      <c r="G733">
        <v>1</v>
      </c>
      <c r="J733">
        <f t="shared" si="31"/>
        <v>62</v>
      </c>
      <c r="K733">
        <v>1</v>
      </c>
      <c r="L733">
        <v>1</v>
      </c>
      <c r="M733">
        <v>1</v>
      </c>
      <c r="N733">
        <v>1</v>
      </c>
      <c r="O733">
        <v>1</v>
      </c>
      <c r="R733">
        <f t="shared" si="32"/>
        <v>62</v>
      </c>
      <c r="S733">
        <v>1</v>
      </c>
      <c r="T733">
        <v>1</v>
      </c>
      <c r="U733">
        <v>1</v>
      </c>
      <c r="V733">
        <v>1</v>
      </c>
      <c r="W733">
        <v>1</v>
      </c>
      <c r="AA733">
        <v>-5645.2415000000001</v>
      </c>
      <c r="AB733">
        <v>-5645.2415000000001</v>
      </c>
      <c r="AC733">
        <v>-5645.2415000000001</v>
      </c>
      <c r="AD733">
        <v>-5645.2415000000001</v>
      </c>
      <c r="AE733">
        <v>-5645.2415000000001</v>
      </c>
      <c r="AF733">
        <v>-1199521.5327000001</v>
      </c>
    </row>
    <row r="734" spans="2:32" x14ac:dyDescent="0.25">
      <c r="B734">
        <f t="shared" si="30"/>
        <v>63</v>
      </c>
      <c r="C734">
        <v>1</v>
      </c>
      <c r="D734">
        <v>1</v>
      </c>
      <c r="E734">
        <v>1</v>
      </c>
      <c r="F734">
        <v>1</v>
      </c>
      <c r="G734">
        <v>1</v>
      </c>
      <c r="J734">
        <f t="shared" si="31"/>
        <v>63</v>
      </c>
      <c r="K734">
        <v>1</v>
      </c>
      <c r="L734">
        <v>1</v>
      </c>
      <c r="M734">
        <v>1</v>
      </c>
      <c r="N734">
        <v>1</v>
      </c>
      <c r="O734">
        <v>1</v>
      </c>
      <c r="R734">
        <f t="shared" si="32"/>
        <v>63</v>
      </c>
      <c r="S734">
        <v>1</v>
      </c>
      <c r="T734">
        <v>1</v>
      </c>
      <c r="U734">
        <v>1</v>
      </c>
      <c r="V734">
        <v>1</v>
      </c>
      <c r="W734">
        <v>1</v>
      </c>
      <c r="AA734">
        <v>-5492.4920000000002</v>
      </c>
      <c r="AB734">
        <v>-5492.4920000000002</v>
      </c>
      <c r="AC734">
        <v>-5492.4920000000002</v>
      </c>
      <c r="AD734">
        <v>-5492.4920000000002</v>
      </c>
      <c r="AE734">
        <v>-5492.4920000000002</v>
      </c>
      <c r="AF734">
        <v>-1220461.6269</v>
      </c>
    </row>
    <row r="735" spans="2:32" x14ac:dyDescent="0.25">
      <c r="B735">
        <f t="shared" si="30"/>
        <v>64</v>
      </c>
      <c r="C735">
        <v>1</v>
      </c>
      <c r="D735">
        <v>1</v>
      </c>
      <c r="E735">
        <v>1</v>
      </c>
      <c r="F735">
        <v>1</v>
      </c>
      <c r="G735">
        <v>1</v>
      </c>
      <c r="J735">
        <f t="shared" si="31"/>
        <v>64</v>
      </c>
      <c r="K735">
        <v>1</v>
      </c>
      <c r="L735">
        <v>1</v>
      </c>
      <c r="M735">
        <v>1</v>
      </c>
      <c r="N735">
        <v>1</v>
      </c>
      <c r="O735">
        <v>1</v>
      </c>
      <c r="R735">
        <f t="shared" si="32"/>
        <v>64</v>
      </c>
      <c r="S735">
        <v>1</v>
      </c>
      <c r="T735">
        <v>1</v>
      </c>
      <c r="U735">
        <v>1</v>
      </c>
      <c r="V735">
        <v>1</v>
      </c>
      <c r="W735">
        <v>1</v>
      </c>
      <c r="AA735">
        <v>-5338.1817000000001</v>
      </c>
      <c r="AB735">
        <v>-5338.1817000000001</v>
      </c>
      <c r="AC735">
        <v>-5338.1817000000001</v>
      </c>
      <c r="AD735">
        <v>-5338.1817000000001</v>
      </c>
      <c r="AE735">
        <v>-5338.1817000000001</v>
      </c>
      <c r="AF735">
        <v>-1240652.2526</v>
      </c>
    </row>
    <row r="736" spans="2:32" x14ac:dyDescent="0.25">
      <c r="B736">
        <f t="shared" si="30"/>
        <v>65</v>
      </c>
      <c r="C736">
        <v>1</v>
      </c>
      <c r="D736">
        <v>1</v>
      </c>
      <c r="E736">
        <v>1</v>
      </c>
      <c r="F736">
        <v>1</v>
      </c>
      <c r="G736">
        <v>1</v>
      </c>
      <c r="J736">
        <f t="shared" si="31"/>
        <v>65</v>
      </c>
      <c r="K736">
        <v>1</v>
      </c>
      <c r="L736">
        <v>1</v>
      </c>
      <c r="M736">
        <v>1</v>
      </c>
      <c r="N736">
        <v>1</v>
      </c>
      <c r="O736">
        <v>1</v>
      </c>
      <c r="R736">
        <f t="shared" si="32"/>
        <v>65</v>
      </c>
      <c r="S736">
        <v>1</v>
      </c>
      <c r="T736">
        <v>1</v>
      </c>
      <c r="U736">
        <v>1</v>
      </c>
      <c r="V736">
        <v>1</v>
      </c>
      <c r="W736">
        <v>1</v>
      </c>
      <c r="AA736">
        <v>-5182.2268999999997</v>
      </c>
      <c r="AB736">
        <v>-5182.2268999999997</v>
      </c>
      <c r="AC736">
        <v>-5182.2268999999997</v>
      </c>
      <c r="AD736">
        <v>-5182.2268999999997</v>
      </c>
      <c r="AE736">
        <v>-5182.2268999999997</v>
      </c>
      <c r="AF736">
        <v>-1260049.8302</v>
      </c>
    </row>
    <row r="739" spans="2:32" x14ac:dyDescent="0.25">
      <c r="B739" t="s">
        <v>46</v>
      </c>
      <c r="C739">
        <v>50000</v>
      </c>
      <c r="D739">
        <v>100000</v>
      </c>
      <c r="E739">
        <v>250000</v>
      </c>
      <c r="F739">
        <v>500000</v>
      </c>
      <c r="G739">
        <v>1000000</v>
      </c>
      <c r="H739">
        <v>2000000</v>
      </c>
      <c r="J739" t="s">
        <v>47</v>
      </c>
      <c r="K739">
        <v>50000</v>
      </c>
      <c r="L739">
        <v>100000</v>
      </c>
      <c r="M739">
        <v>250000</v>
      </c>
      <c r="N739">
        <v>500000</v>
      </c>
      <c r="O739">
        <v>1000000</v>
      </c>
      <c r="P739">
        <v>2000000</v>
      </c>
      <c r="R739" t="s">
        <v>48</v>
      </c>
      <c r="S739">
        <v>50000</v>
      </c>
      <c r="T739">
        <v>100000</v>
      </c>
      <c r="U739">
        <v>250000</v>
      </c>
      <c r="V739">
        <v>500000</v>
      </c>
      <c r="W739">
        <v>1000000</v>
      </c>
      <c r="X739">
        <v>2000000</v>
      </c>
    </row>
    <row r="740" spans="2:32" x14ac:dyDescent="0.25">
      <c r="B740">
        <v>26</v>
      </c>
      <c r="C740">
        <v>1</v>
      </c>
      <c r="D740">
        <v>1</v>
      </c>
      <c r="E740">
        <v>1</v>
      </c>
      <c r="F740">
        <v>1</v>
      </c>
      <c r="G740">
        <v>1</v>
      </c>
      <c r="H740">
        <v>1</v>
      </c>
      <c r="J740">
        <v>26</v>
      </c>
      <c r="K740">
        <v>1</v>
      </c>
      <c r="L740">
        <v>1</v>
      </c>
      <c r="M740">
        <v>1</v>
      </c>
      <c r="N740">
        <v>1</v>
      </c>
      <c r="O740">
        <v>1</v>
      </c>
      <c r="P740">
        <v>1</v>
      </c>
      <c r="R740">
        <v>26</v>
      </c>
      <c r="S740">
        <v>1</v>
      </c>
      <c r="T740">
        <v>1</v>
      </c>
      <c r="U740">
        <v>1</v>
      </c>
      <c r="V740">
        <v>1</v>
      </c>
      <c r="W740">
        <v>1</v>
      </c>
      <c r="X740">
        <v>1</v>
      </c>
      <c r="AA740">
        <v>-5174.8482999999997</v>
      </c>
      <c r="AB740">
        <v>-5174.8482999999997</v>
      </c>
      <c r="AC740">
        <v>-5174.8482999999997</v>
      </c>
      <c r="AD740">
        <v>-5174.8482999999997</v>
      </c>
      <c r="AE740">
        <v>-5174.8482999999997</v>
      </c>
      <c r="AF740">
        <v>-5174.8482999999997</v>
      </c>
    </row>
    <row r="741" spans="2:32" x14ac:dyDescent="0.25">
      <c r="B741">
        <v>27</v>
      </c>
      <c r="C741">
        <v>1</v>
      </c>
      <c r="D741">
        <v>1</v>
      </c>
      <c r="E741">
        <v>1</v>
      </c>
      <c r="F741">
        <v>1</v>
      </c>
      <c r="G741">
        <v>1</v>
      </c>
      <c r="H741">
        <v>1</v>
      </c>
      <c r="J741">
        <v>27</v>
      </c>
      <c r="K741">
        <v>1</v>
      </c>
      <c r="L741">
        <v>1</v>
      </c>
      <c r="M741">
        <v>1</v>
      </c>
      <c r="N741">
        <v>1</v>
      </c>
      <c r="O741">
        <v>1</v>
      </c>
      <c r="P741">
        <v>1</v>
      </c>
      <c r="R741">
        <v>27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AA741">
        <v>-5173.6036999999997</v>
      </c>
      <c r="AB741">
        <v>-5173.6036999999997</v>
      </c>
      <c r="AC741">
        <v>-5173.6036999999997</v>
      </c>
      <c r="AD741">
        <v>-5173.6036999999997</v>
      </c>
      <c r="AE741">
        <v>-5173.6036999999997</v>
      </c>
      <c r="AF741">
        <v>-5173.6036999999997</v>
      </c>
    </row>
    <row r="742" spans="2:32" x14ac:dyDescent="0.25">
      <c r="B742">
        <v>28</v>
      </c>
      <c r="C742">
        <v>1</v>
      </c>
      <c r="D742">
        <v>1</v>
      </c>
      <c r="E742">
        <v>1</v>
      </c>
      <c r="F742">
        <v>1</v>
      </c>
      <c r="G742">
        <v>1</v>
      </c>
      <c r="H742">
        <v>1</v>
      </c>
      <c r="J742">
        <v>28</v>
      </c>
      <c r="K742">
        <v>1</v>
      </c>
      <c r="L742">
        <v>1</v>
      </c>
      <c r="M742">
        <v>1</v>
      </c>
      <c r="N742">
        <v>1</v>
      </c>
      <c r="O742">
        <v>1</v>
      </c>
      <c r="P742">
        <v>1</v>
      </c>
      <c r="R742">
        <v>28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AA742">
        <v>-5172.1755999999996</v>
      </c>
      <c r="AB742">
        <v>-5172.1755999999996</v>
      </c>
      <c r="AC742">
        <v>-5172.1755999999996</v>
      </c>
      <c r="AD742">
        <v>-5172.1755999999996</v>
      </c>
      <c r="AE742">
        <v>-5172.1755999999996</v>
      </c>
      <c r="AF742">
        <v>-5172.1755999999996</v>
      </c>
    </row>
    <row r="743" spans="2:32" x14ac:dyDescent="0.25">
      <c r="B743">
        <v>29</v>
      </c>
      <c r="C743">
        <v>1</v>
      </c>
      <c r="D743">
        <v>1</v>
      </c>
      <c r="E743">
        <v>1</v>
      </c>
      <c r="F743">
        <v>1</v>
      </c>
      <c r="G743">
        <v>1</v>
      </c>
      <c r="H743">
        <v>1</v>
      </c>
      <c r="J743">
        <v>29</v>
      </c>
      <c r="K743">
        <v>1</v>
      </c>
      <c r="L743">
        <v>1</v>
      </c>
      <c r="M743">
        <v>1</v>
      </c>
      <c r="N743">
        <v>1</v>
      </c>
      <c r="O743">
        <v>1</v>
      </c>
      <c r="P743">
        <v>1</v>
      </c>
      <c r="R743">
        <v>29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1</v>
      </c>
      <c r="AA743">
        <v>-5170.5482000000002</v>
      </c>
      <c r="AB743">
        <v>-5170.5482000000002</v>
      </c>
      <c r="AC743">
        <v>-5170.5482000000002</v>
      </c>
      <c r="AD743">
        <v>-5170.5482000000002</v>
      </c>
      <c r="AE743">
        <v>-5170.5482000000002</v>
      </c>
      <c r="AF743">
        <v>-5170.5482000000002</v>
      </c>
    </row>
    <row r="744" spans="2:32" x14ac:dyDescent="0.25">
      <c r="B744">
        <v>30</v>
      </c>
      <c r="C744">
        <v>1</v>
      </c>
      <c r="D744">
        <v>1</v>
      </c>
      <c r="E744">
        <v>1</v>
      </c>
      <c r="F744">
        <v>1</v>
      </c>
      <c r="G744">
        <v>1</v>
      </c>
      <c r="H744">
        <v>1</v>
      </c>
      <c r="J744">
        <v>30</v>
      </c>
      <c r="K744">
        <v>1</v>
      </c>
      <c r="L744">
        <v>1</v>
      </c>
      <c r="M744">
        <v>1</v>
      </c>
      <c r="N744">
        <v>1</v>
      </c>
      <c r="O744">
        <v>1</v>
      </c>
      <c r="P744">
        <v>1</v>
      </c>
      <c r="R744">
        <v>30</v>
      </c>
      <c r="S744">
        <v>1</v>
      </c>
      <c r="T744">
        <v>1</v>
      </c>
      <c r="U744">
        <v>1</v>
      </c>
      <c r="V744">
        <v>1</v>
      </c>
      <c r="W744">
        <v>1</v>
      </c>
      <c r="X744">
        <v>1</v>
      </c>
      <c r="AA744">
        <v>-5168.6908999999996</v>
      </c>
      <c r="AB744">
        <v>-5168.6908999999996</v>
      </c>
      <c r="AC744">
        <v>-5168.6908999999996</v>
      </c>
      <c r="AD744">
        <v>-5168.6908999999996</v>
      </c>
      <c r="AE744">
        <v>-5168.6908999999996</v>
      </c>
      <c r="AF744">
        <v>-5168.6908999999996</v>
      </c>
    </row>
    <row r="745" spans="2:32" x14ac:dyDescent="0.25">
      <c r="B745">
        <v>31</v>
      </c>
      <c r="C745">
        <v>1</v>
      </c>
      <c r="D745">
        <v>1</v>
      </c>
      <c r="E745">
        <v>1</v>
      </c>
      <c r="F745">
        <v>1</v>
      </c>
      <c r="G745">
        <v>1</v>
      </c>
      <c r="H745">
        <v>1</v>
      </c>
      <c r="J745">
        <v>31</v>
      </c>
      <c r="K745">
        <v>1</v>
      </c>
      <c r="L745">
        <v>1</v>
      </c>
      <c r="M745">
        <v>1</v>
      </c>
      <c r="N745">
        <v>1</v>
      </c>
      <c r="O745">
        <v>1</v>
      </c>
      <c r="P745">
        <v>1</v>
      </c>
      <c r="R745">
        <v>31</v>
      </c>
      <c r="S745">
        <v>1</v>
      </c>
      <c r="T745">
        <v>1</v>
      </c>
      <c r="U745">
        <v>1</v>
      </c>
      <c r="V745">
        <v>1</v>
      </c>
      <c r="W745">
        <v>1</v>
      </c>
      <c r="X745">
        <v>1</v>
      </c>
      <c r="AA745">
        <v>-5166.5891000000001</v>
      </c>
      <c r="AB745">
        <v>-5166.5891000000001</v>
      </c>
      <c r="AC745">
        <v>-5166.5891000000001</v>
      </c>
      <c r="AD745">
        <v>-5166.5891000000001</v>
      </c>
      <c r="AE745">
        <v>-5166.5891000000001</v>
      </c>
      <c r="AF745">
        <v>-5166.5891000000001</v>
      </c>
    </row>
    <row r="746" spans="2:32" x14ac:dyDescent="0.25">
      <c r="B746">
        <v>32</v>
      </c>
      <c r="C746">
        <v>1</v>
      </c>
      <c r="D746">
        <v>1</v>
      </c>
      <c r="E746">
        <v>1</v>
      </c>
      <c r="F746">
        <v>1</v>
      </c>
      <c r="G746">
        <v>1</v>
      </c>
      <c r="H746">
        <v>1</v>
      </c>
      <c r="J746">
        <v>32</v>
      </c>
      <c r="K746">
        <v>1</v>
      </c>
      <c r="L746">
        <v>1</v>
      </c>
      <c r="M746">
        <v>1</v>
      </c>
      <c r="N746">
        <v>1</v>
      </c>
      <c r="O746">
        <v>1</v>
      </c>
      <c r="P746">
        <v>1</v>
      </c>
      <c r="R746">
        <v>32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AA746">
        <v>-5164.2407000000003</v>
      </c>
      <c r="AB746">
        <v>-5164.2407000000003</v>
      </c>
      <c r="AC746">
        <v>-5164.2407000000003</v>
      </c>
      <c r="AD746">
        <v>-5164.2407000000003</v>
      </c>
      <c r="AE746">
        <v>-5164.2407000000003</v>
      </c>
      <c r="AF746">
        <v>-5164.2407000000003</v>
      </c>
    </row>
    <row r="747" spans="2:32" x14ac:dyDescent="0.25">
      <c r="B747">
        <v>33</v>
      </c>
      <c r="C747">
        <v>1</v>
      </c>
      <c r="D747">
        <v>1</v>
      </c>
      <c r="E747">
        <v>1</v>
      </c>
      <c r="F747">
        <v>1</v>
      </c>
      <c r="G747">
        <v>1</v>
      </c>
      <c r="H747">
        <v>1</v>
      </c>
      <c r="J747">
        <v>33</v>
      </c>
      <c r="K747">
        <v>1</v>
      </c>
      <c r="L747">
        <v>1</v>
      </c>
      <c r="M747">
        <v>1</v>
      </c>
      <c r="N747">
        <v>1</v>
      </c>
      <c r="O747">
        <v>1</v>
      </c>
      <c r="P747">
        <v>1</v>
      </c>
      <c r="R747">
        <v>33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AA747">
        <v>-5161.6318000000001</v>
      </c>
      <c r="AB747">
        <v>-5161.6318000000001</v>
      </c>
      <c r="AC747">
        <v>-5161.6318000000001</v>
      </c>
      <c r="AD747">
        <v>-5161.6318000000001</v>
      </c>
      <c r="AE747">
        <v>-5161.6318000000001</v>
      </c>
      <c r="AF747">
        <v>-5161.6318000000001</v>
      </c>
    </row>
    <row r="748" spans="2:32" x14ac:dyDescent="0.25">
      <c r="B748">
        <v>34</v>
      </c>
      <c r="C748">
        <v>1</v>
      </c>
      <c r="D748">
        <v>1</v>
      </c>
      <c r="E748">
        <v>1</v>
      </c>
      <c r="F748">
        <v>1</v>
      </c>
      <c r="G748">
        <v>1</v>
      </c>
      <c r="H748">
        <v>1</v>
      </c>
      <c r="J748">
        <v>34</v>
      </c>
      <c r="K748">
        <v>1</v>
      </c>
      <c r="L748">
        <v>1</v>
      </c>
      <c r="M748">
        <v>1</v>
      </c>
      <c r="N748">
        <v>1</v>
      </c>
      <c r="O748">
        <v>1</v>
      </c>
      <c r="P748">
        <v>1</v>
      </c>
      <c r="R748">
        <v>34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AA748">
        <v>-5158.7194</v>
      </c>
      <c r="AB748">
        <v>-5158.7194</v>
      </c>
      <c r="AC748">
        <v>-5158.7194</v>
      </c>
      <c r="AD748">
        <v>-5158.7194</v>
      </c>
      <c r="AE748">
        <v>-5158.7194</v>
      </c>
      <c r="AF748">
        <v>-5158.7194</v>
      </c>
    </row>
    <row r="749" spans="2:32" x14ac:dyDescent="0.25">
      <c r="B749">
        <v>35</v>
      </c>
      <c r="C749">
        <v>1</v>
      </c>
      <c r="D749">
        <v>1</v>
      </c>
      <c r="E749">
        <v>1</v>
      </c>
      <c r="F749">
        <v>1</v>
      </c>
      <c r="G749">
        <v>1</v>
      </c>
      <c r="H749">
        <v>1</v>
      </c>
      <c r="J749">
        <v>35</v>
      </c>
      <c r="K749">
        <v>1</v>
      </c>
      <c r="L749">
        <v>1</v>
      </c>
      <c r="M749">
        <v>1</v>
      </c>
      <c r="N749">
        <v>1</v>
      </c>
      <c r="O749">
        <v>1</v>
      </c>
      <c r="P749">
        <v>1</v>
      </c>
      <c r="R749">
        <v>35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AA749">
        <v>-5155.4901</v>
      </c>
      <c r="AB749">
        <v>-5155.4901</v>
      </c>
      <c r="AC749">
        <v>-5155.4901</v>
      </c>
      <c r="AD749">
        <v>-5155.4901</v>
      </c>
      <c r="AE749">
        <v>-5155.4901</v>
      </c>
      <c r="AF749">
        <v>-5155.4901</v>
      </c>
    </row>
    <row r="750" spans="2:32" x14ac:dyDescent="0.25">
      <c r="B750">
        <v>36</v>
      </c>
      <c r="C750">
        <v>1</v>
      </c>
      <c r="D750">
        <v>1</v>
      </c>
      <c r="E750">
        <v>1</v>
      </c>
      <c r="F750">
        <v>1</v>
      </c>
      <c r="G750">
        <v>1</v>
      </c>
      <c r="H750">
        <v>1</v>
      </c>
      <c r="J750">
        <v>36</v>
      </c>
      <c r="K750">
        <v>1</v>
      </c>
      <c r="L750">
        <v>1</v>
      </c>
      <c r="M750">
        <v>1</v>
      </c>
      <c r="N750">
        <v>1</v>
      </c>
      <c r="O750">
        <v>1</v>
      </c>
      <c r="P750">
        <v>1</v>
      </c>
      <c r="R750">
        <v>36</v>
      </c>
      <c r="S750">
        <v>1</v>
      </c>
      <c r="T750">
        <v>1</v>
      </c>
      <c r="U750">
        <v>1</v>
      </c>
      <c r="V750">
        <v>1</v>
      </c>
      <c r="W750">
        <v>1</v>
      </c>
      <c r="X750">
        <v>1</v>
      </c>
      <c r="AA750">
        <v>-5151.8950999999997</v>
      </c>
      <c r="AB750">
        <v>-5151.8950999999997</v>
      </c>
      <c r="AC750">
        <v>-5151.8950999999997</v>
      </c>
      <c r="AD750">
        <v>-5151.8950999999997</v>
      </c>
      <c r="AE750">
        <v>-5151.8950999999997</v>
      </c>
      <c r="AF750">
        <v>-5151.8950999999997</v>
      </c>
    </row>
    <row r="751" spans="2:32" x14ac:dyDescent="0.25">
      <c r="B751">
        <v>37</v>
      </c>
      <c r="C751">
        <v>1</v>
      </c>
      <c r="D751">
        <v>1</v>
      </c>
      <c r="E751">
        <v>1</v>
      </c>
      <c r="F751">
        <v>1</v>
      </c>
      <c r="G751">
        <v>1</v>
      </c>
      <c r="H751">
        <v>1</v>
      </c>
      <c r="J751">
        <v>37</v>
      </c>
      <c r="K751">
        <v>1</v>
      </c>
      <c r="L751">
        <v>1</v>
      </c>
      <c r="M751">
        <v>1</v>
      </c>
      <c r="N751">
        <v>1</v>
      </c>
      <c r="O751">
        <v>1</v>
      </c>
      <c r="P751">
        <v>1</v>
      </c>
      <c r="R751">
        <v>37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AA751">
        <v>-5147.9106000000002</v>
      </c>
      <c r="AB751">
        <v>-5147.9106000000002</v>
      </c>
      <c r="AC751">
        <v>-5147.9106000000002</v>
      </c>
      <c r="AD751">
        <v>-5147.9106000000002</v>
      </c>
      <c r="AE751">
        <v>-5147.9106000000002</v>
      </c>
      <c r="AF751">
        <v>-5147.9106000000002</v>
      </c>
    </row>
    <row r="752" spans="2:32" x14ac:dyDescent="0.25">
      <c r="B752">
        <v>38</v>
      </c>
      <c r="C752">
        <v>1</v>
      </c>
      <c r="D752">
        <v>1</v>
      </c>
      <c r="E752">
        <v>1</v>
      </c>
      <c r="F752">
        <v>1</v>
      </c>
      <c r="G752">
        <v>1</v>
      </c>
      <c r="H752">
        <v>1</v>
      </c>
      <c r="J752">
        <v>38</v>
      </c>
      <c r="K752">
        <v>1</v>
      </c>
      <c r="L752">
        <v>1</v>
      </c>
      <c r="M752">
        <v>1</v>
      </c>
      <c r="N752">
        <v>1</v>
      </c>
      <c r="O752">
        <v>1</v>
      </c>
      <c r="P752">
        <v>1</v>
      </c>
      <c r="R752">
        <v>38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AA752">
        <v>-5143.5393999999997</v>
      </c>
      <c r="AB752">
        <v>-5143.5393999999997</v>
      </c>
      <c r="AC752">
        <v>-5143.5393999999997</v>
      </c>
      <c r="AD752">
        <v>-5143.5393999999997</v>
      </c>
      <c r="AE752">
        <v>-5143.5393999999997</v>
      </c>
      <c r="AF752">
        <v>-5143.5393999999997</v>
      </c>
    </row>
    <row r="753" spans="2:32" x14ac:dyDescent="0.25">
      <c r="B753">
        <v>39</v>
      </c>
      <c r="C753">
        <v>1</v>
      </c>
      <c r="D753">
        <v>1</v>
      </c>
      <c r="E753">
        <v>1</v>
      </c>
      <c r="F753">
        <v>1</v>
      </c>
      <c r="G753">
        <v>1</v>
      </c>
      <c r="H753">
        <v>1</v>
      </c>
      <c r="J753">
        <v>39</v>
      </c>
      <c r="K753">
        <v>1</v>
      </c>
      <c r="L753">
        <v>1</v>
      </c>
      <c r="M753">
        <v>1</v>
      </c>
      <c r="N753">
        <v>1</v>
      </c>
      <c r="O753">
        <v>1</v>
      </c>
      <c r="P753">
        <v>1</v>
      </c>
      <c r="R753">
        <v>39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AA753">
        <v>-5138.76</v>
      </c>
      <c r="AB753">
        <v>-5138.76</v>
      </c>
      <c r="AC753">
        <v>-5138.76</v>
      </c>
      <c r="AD753">
        <v>-5138.76</v>
      </c>
      <c r="AE753">
        <v>-5138.76</v>
      </c>
      <c r="AF753">
        <v>-5138.76</v>
      </c>
    </row>
    <row r="754" spans="2:32" x14ac:dyDescent="0.25">
      <c r="B754">
        <v>40</v>
      </c>
      <c r="C754">
        <v>1</v>
      </c>
      <c r="D754">
        <v>1</v>
      </c>
      <c r="E754">
        <v>1</v>
      </c>
      <c r="F754">
        <v>1</v>
      </c>
      <c r="G754">
        <v>1</v>
      </c>
      <c r="H754">
        <v>1</v>
      </c>
      <c r="J754">
        <v>40</v>
      </c>
      <c r="K754">
        <v>1</v>
      </c>
      <c r="L754">
        <v>1</v>
      </c>
      <c r="M754">
        <v>1</v>
      </c>
      <c r="N754">
        <v>1</v>
      </c>
      <c r="O754">
        <v>1</v>
      </c>
      <c r="P754">
        <v>1</v>
      </c>
      <c r="R754">
        <v>40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AA754">
        <v>-5133.5084999999999</v>
      </c>
      <c r="AB754">
        <v>-5133.5084999999999</v>
      </c>
      <c r="AC754">
        <v>-5133.5084999999999</v>
      </c>
      <c r="AD754">
        <v>-5133.5084999999999</v>
      </c>
      <c r="AE754">
        <v>-5133.5084999999999</v>
      </c>
      <c r="AF754">
        <v>-5133.5084999999999</v>
      </c>
    </row>
    <row r="755" spans="2:32" x14ac:dyDescent="0.25">
      <c r="B755">
        <v>41</v>
      </c>
      <c r="C755">
        <v>1</v>
      </c>
      <c r="D755">
        <v>1</v>
      </c>
      <c r="E755">
        <v>1</v>
      </c>
      <c r="F755">
        <v>1</v>
      </c>
      <c r="G755">
        <v>1</v>
      </c>
      <c r="H755">
        <v>1</v>
      </c>
      <c r="J755">
        <v>41</v>
      </c>
      <c r="K755">
        <v>1</v>
      </c>
      <c r="L755">
        <v>1</v>
      </c>
      <c r="M755">
        <v>1</v>
      </c>
      <c r="N755">
        <v>1</v>
      </c>
      <c r="O755">
        <v>1</v>
      </c>
      <c r="P755">
        <v>1</v>
      </c>
      <c r="R755">
        <v>41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AA755">
        <v>-5127.7236000000003</v>
      </c>
      <c r="AB755">
        <v>-5127.7236000000003</v>
      </c>
      <c r="AC755">
        <v>-5127.7236000000003</v>
      </c>
      <c r="AD755">
        <v>-5127.7236000000003</v>
      </c>
      <c r="AE755">
        <v>-5127.7236000000003</v>
      </c>
      <c r="AF755">
        <v>-5127.7236000000003</v>
      </c>
    </row>
    <row r="756" spans="2:32" x14ac:dyDescent="0.25">
      <c r="B756">
        <v>42</v>
      </c>
      <c r="C756">
        <v>1</v>
      </c>
      <c r="D756">
        <v>1</v>
      </c>
      <c r="E756">
        <v>1</v>
      </c>
      <c r="F756">
        <v>1</v>
      </c>
      <c r="G756">
        <v>1</v>
      </c>
      <c r="H756">
        <v>1</v>
      </c>
      <c r="J756">
        <v>42</v>
      </c>
      <c r="K756">
        <v>1</v>
      </c>
      <c r="L756">
        <v>1</v>
      </c>
      <c r="M756">
        <v>1</v>
      </c>
      <c r="N756">
        <v>1</v>
      </c>
      <c r="O756">
        <v>1</v>
      </c>
      <c r="P756">
        <v>1</v>
      </c>
      <c r="R756">
        <v>42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AA756">
        <v>-5121.3726999999999</v>
      </c>
      <c r="AB756">
        <v>-5121.3726999999999</v>
      </c>
      <c r="AC756">
        <v>-5121.3726999999999</v>
      </c>
      <c r="AD756">
        <v>-5121.3726999999999</v>
      </c>
      <c r="AE756">
        <v>-5121.3726999999999</v>
      </c>
      <c r="AF756">
        <v>-5121.3726999999999</v>
      </c>
    </row>
    <row r="757" spans="2:32" x14ac:dyDescent="0.25">
      <c r="B757">
        <v>43</v>
      </c>
      <c r="C757">
        <v>1</v>
      </c>
      <c r="D757">
        <v>1</v>
      </c>
      <c r="E757">
        <v>1</v>
      </c>
      <c r="F757">
        <v>1</v>
      </c>
      <c r="G757">
        <v>1</v>
      </c>
      <c r="H757">
        <v>1</v>
      </c>
      <c r="J757">
        <v>43</v>
      </c>
      <c r="K757">
        <v>1</v>
      </c>
      <c r="L757">
        <v>1</v>
      </c>
      <c r="M757">
        <v>1</v>
      </c>
      <c r="N757">
        <v>1</v>
      </c>
      <c r="O757">
        <v>1</v>
      </c>
      <c r="P757">
        <v>1</v>
      </c>
      <c r="R757">
        <v>43</v>
      </c>
      <c r="S757">
        <v>1</v>
      </c>
      <c r="T757">
        <v>1</v>
      </c>
      <c r="U757">
        <v>1</v>
      </c>
      <c r="V757">
        <v>1</v>
      </c>
      <c r="W757">
        <v>1</v>
      </c>
      <c r="X757">
        <v>1</v>
      </c>
      <c r="AA757">
        <v>-5114.3449000000001</v>
      </c>
      <c r="AB757">
        <v>-5114.3449000000001</v>
      </c>
      <c r="AC757">
        <v>-5114.3449000000001</v>
      </c>
      <c r="AD757">
        <v>-5114.3449000000001</v>
      </c>
      <c r="AE757">
        <v>-5114.3449000000001</v>
      </c>
      <c r="AF757">
        <v>-5114.3449000000001</v>
      </c>
    </row>
    <row r="758" spans="2:32" x14ac:dyDescent="0.25">
      <c r="B758">
        <v>44</v>
      </c>
      <c r="C758">
        <v>1</v>
      </c>
      <c r="D758">
        <v>1</v>
      </c>
      <c r="E758">
        <v>1</v>
      </c>
      <c r="F758">
        <v>1</v>
      </c>
      <c r="G758">
        <v>1</v>
      </c>
      <c r="H758">
        <v>1</v>
      </c>
      <c r="J758">
        <v>44</v>
      </c>
      <c r="K758">
        <v>1</v>
      </c>
      <c r="L758">
        <v>1</v>
      </c>
      <c r="M758">
        <v>1</v>
      </c>
      <c r="N758">
        <v>1</v>
      </c>
      <c r="O758">
        <v>1</v>
      </c>
      <c r="P758">
        <v>1</v>
      </c>
      <c r="R758">
        <v>44</v>
      </c>
      <c r="S758">
        <v>1</v>
      </c>
      <c r="T758">
        <v>1</v>
      </c>
      <c r="U758">
        <v>1</v>
      </c>
      <c r="V758">
        <v>1</v>
      </c>
      <c r="W758">
        <v>1</v>
      </c>
      <c r="X758">
        <v>1</v>
      </c>
      <c r="AA758">
        <v>-5106.5976000000001</v>
      </c>
      <c r="AB758">
        <v>-5106.5976000000001</v>
      </c>
      <c r="AC758">
        <v>-5106.5976000000001</v>
      </c>
      <c r="AD758">
        <v>-5106.5976000000001</v>
      </c>
      <c r="AE758">
        <v>-5106.5976000000001</v>
      </c>
      <c r="AF758">
        <v>-5106.5976000000001</v>
      </c>
    </row>
    <row r="759" spans="2:32" x14ac:dyDescent="0.25">
      <c r="B759">
        <v>45</v>
      </c>
      <c r="C759">
        <v>1</v>
      </c>
      <c r="D759">
        <v>1</v>
      </c>
      <c r="E759">
        <v>1</v>
      </c>
      <c r="F759">
        <v>1</v>
      </c>
      <c r="G759">
        <v>1</v>
      </c>
      <c r="H759">
        <v>1</v>
      </c>
      <c r="J759">
        <v>45</v>
      </c>
      <c r="K759">
        <v>1</v>
      </c>
      <c r="L759">
        <v>1</v>
      </c>
      <c r="M759">
        <v>1</v>
      </c>
      <c r="N759">
        <v>1</v>
      </c>
      <c r="O759">
        <v>1</v>
      </c>
      <c r="P759">
        <v>1</v>
      </c>
      <c r="R759">
        <v>45</v>
      </c>
      <c r="S759">
        <v>1</v>
      </c>
      <c r="T759">
        <v>1</v>
      </c>
      <c r="U759">
        <v>1</v>
      </c>
      <c r="V759">
        <v>1</v>
      </c>
      <c r="W759">
        <v>1</v>
      </c>
      <c r="X759">
        <v>1</v>
      </c>
      <c r="AA759">
        <v>-5098.0524999999998</v>
      </c>
      <c r="AB759">
        <v>-5098.0524999999998</v>
      </c>
      <c r="AC759">
        <v>-5098.0524999999998</v>
      </c>
      <c r="AD759">
        <v>-5098.0524999999998</v>
      </c>
      <c r="AE759">
        <v>-5098.0524999999998</v>
      </c>
      <c r="AF759">
        <v>-5098.0524999999998</v>
      </c>
    </row>
    <row r="760" spans="2:32" x14ac:dyDescent="0.25">
      <c r="B760">
        <v>46</v>
      </c>
      <c r="C760">
        <v>1</v>
      </c>
      <c r="D760">
        <v>1</v>
      </c>
      <c r="E760">
        <v>1</v>
      </c>
      <c r="F760">
        <v>1</v>
      </c>
      <c r="G760">
        <v>1</v>
      </c>
      <c r="H760">
        <v>1</v>
      </c>
      <c r="J760">
        <v>46</v>
      </c>
      <c r="K760">
        <v>1</v>
      </c>
      <c r="L760">
        <v>1</v>
      </c>
      <c r="M760">
        <v>1</v>
      </c>
      <c r="N760">
        <v>1</v>
      </c>
      <c r="O760">
        <v>1</v>
      </c>
      <c r="P760">
        <v>1</v>
      </c>
      <c r="R760">
        <v>46</v>
      </c>
      <c r="S760">
        <v>1</v>
      </c>
      <c r="T760">
        <v>1</v>
      </c>
      <c r="U760">
        <v>1</v>
      </c>
      <c r="V760">
        <v>1</v>
      </c>
      <c r="W760">
        <v>1</v>
      </c>
      <c r="X760">
        <v>1</v>
      </c>
      <c r="AA760">
        <v>-5088.6378000000004</v>
      </c>
      <c r="AB760">
        <v>-5088.6378000000004</v>
      </c>
      <c r="AC760">
        <v>-5088.6378000000004</v>
      </c>
      <c r="AD760">
        <v>-5088.6378000000004</v>
      </c>
      <c r="AE760">
        <v>-5088.6378000000004</v>
      </c>
      <c r="AF760">
        <v>-5088.6378000000004</v>
      </c>
    </row>
    <row r="761" spans="2:32" x14ac:dyDescent="0.25">
      <c r="B761">
        <v>47</v>
      </c>
      <c r="C761">
        <v>1</v>
      </c>
      <c r="D761">
        <v>1</v>
      </c>
      <c r="E761">
        <v>1</v>
      </c>
      <c r="F761">
        <v>1</v>
      </c>
      <c r="G761">
        <v>1</v>
      </c>
      <c r="H761">
        <v>1</v>
      </c>
      <c r="J761">
        <v>47</v>
      </c>
      <c r="K761">
        <v>1</v>
      </c>
      <c r="L761">
        <v>1</v>
      </c>
      <c r="M761">
        <v>1</v>
      </c>
      <c r="N761">
        <v>1</v>
      </c>
      <c r="O761">
        <v>1</v>
      </c>
      <c r="P761">
        <v>1</v>
      </c>
      <c r="R761">
        <v>47</v>
      </c>
      <c r="S761">
        <v>1</v>
      </c>
      <c r="T761">
        <v>1</v>
      </c>
      <c r="U761">
        <v>1</v>
      </c>
      <c r="V761">
        <v>1</v>
      </c>
      <c r="W761">
        <v>1</v>
      </c>
      <c r="X761">
        <v>1</v>
      </c>
      <c r="AA761">
        <v>-5078.2593999999999</v>
      </c>
      <c r="AB761">
        <v>-5078.2593999999999</v>
      </c>
      <c r="AC761">
        <v>-5078.2593999999999</v>
      </c>
      <c r="AD761">
        <v>-5078.2593999999999</v>
      </c>
      <c r="AE761">
        <v>-5078.2593999999999</v>
      </c>
      <c r="AF761">
        <v>-5078.2593999999999</v>
      </c>
    </row>
    <row r="762" spans="2:32" x14ac:dyDescent="0.25">
      <c r="B762">
        <v>48</v>
      </c>
      <c r="C762">
        <v>1</v>
      </c>
      <c r="D762">
        <v>1</v>
      </c>
      <c r="E762">
        <v>1</v>
      </c>
      <c r="F762">
        <v>1</v>
      </c>
      <c r="G762">
        <v>1</v>
      </c>
      <c r="H762">
        <v>1</v>
      </c>
      <c r="J762">
        <v>48</v>
      </c>
      <c r="K762">
        <v>1</v>
      </c>
      <c r="L762">
        <v>1</v>
      </c>
      <c r="M762">
        <v>1</v>
      </c>
      <c r="N762">
        <v>1</v>
      </c>
      <c r="O762">
        <v>1</v>
      </c>
      <c r="P762">
        <v>1</v>
      </c>
      <c r="R762">
        <v>48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1</v>
      </c>
      <c r="AA762">
        <v>-5066.8732</v>
      </c>
      <c r="AB762">
        <v>-5066.8732</v>
      </c>
      <c r="AC762">
        <v>-5066.8732</v>
      </c>
      <c r="AD762">
        <v>-5066.8732</v>
      </c>
      <c r="AE762">
        <v>-5066.8732</v>
      </c>
      <c r="AF762">
        <v>-5066.8732</v>
      </c>
    </row>
    <row r="763" spans="2:32" x14ac:dyDescent="0.25">
      <c r="B763">
        <v>49</v>
      </c>
      <c r="C763">
        <v>1</v>
      </c>
      <c r="D763">
        <v>1</v>
      </c>
      <c r="E763">
        <v>1</v>
      </c>
      <c r="F763">
        <v>1</v>
      </c>
      <c r="G763">
        <v>1</v>
      </c>
      <c r="H763">
        <v>1</v>
      </c>
      <c r="J763">
        <v>49</v>
      </c>
      <c r="K763">
        <v>1</v>
      </c>
      <c r="L763">
        <v>1</v>
      </c>
      <c r="M763">
        <v>1</v>
      </c>
      <c r="N763">
        <v>1</v>
      </c>
      <c r="O763">
        <v>1</v>
      </c>
      <c r="P763">
        <v>1</v>
      </c>
      <c r="R763">
        <v>49</v>
      </c>
      <c r="S763">
        <v>1</v>
      </c>
      <c r="T763">
        <v>1</v>
      </c>
      <c r="U763">
        <v>1</v>
      </c>
      <c r="V763">
        <v>1</v>
      </c>
      <c r="W763">
        <v>1</v>
      </c>
      <c r="X763">
        <v>1</v>
      </c>
      <c r="AA763">
        <v>-5054.4124000000002</v>
      </c>
      <c r="AB763">
        <v>-5054.4124000000002</v>
      </c>
      <c r="AC763">
        <v>-5054.4124000000002</v>
      </c>
      <c r="AD763">
        <v>-5054.4124000000002</v>
      </c>
      <c r="AE763">
        <v>-5054.4124000000002</v>
      </c>
      <c r="AF763">
        <v>-5054.4124000000002</v>
      </c>
    </row>
    <row r="764" spans="2:32" x14ac:dyDescent="0.25">
      <c r="B764">
        <v>50</v>
      </c>
      <c r="C764">
        <v>1</v>
      </c>
      <c r="D764">
        <v>1</v>
      </c>
      <c r="E764">
        <v>1</v>
      </c>
      <c r="F764">
        <v>1</v>
      </c>
      <c r="G764">
        <v>1</v>
      </c>
      <c r="H764">
        <v>1</v>
      </c>
      <c r="J764">
        <v>50</v>
      </c>
      <c r="K764">
        <v>1</v>
      </c>
      <c r="L764">
        <v>1</v>
      </c>
      <c r="M764">
        <v>1</v>
      </c>
      <c r="N764">
        <v>1</v>
      </c>
      <c r="O764">
        <v>1</v>
      </c>
      <c r="P764">
        <v>1</v>
      </c>
      <c r="R764">
        <v>50</v>
      </c>
      <c r="S764">
        <v>1</v>
      </c>
      <c r="T764">
        <v>1</v>
      </c>
      <c r="U764">
        <v>1</v>
      </c>
      <c r="V764">
        <v>1</v>
      </c>
      <c r="W764">
        <v>1</v>
      </c>
      <c r="X764">
        <v>1</v>
      </c>
      <c r="AA764">
        <v>-5040.7671</v>
      </c>
      <c r="AB764">
        <v>-5040.7671</v>
      </c>
      <c r="AC764">
        <v>-5040.7671</v>
      </c>
      <c r="AD764">
        <v>-5040.7671</v>
      </c>
      <c r="AE764">
        <v>-5040.7671</v>
      </c>
      <c r="AF764">
        <v>-5040.7671</v>
      </c>
    </row>
    <row r="765" spans="2:32" x14ac:dyDescent="0.25">
      <c r="B765">
        <v>51</v>
      </c>
      <c r="C765">
        <v>1</v>
      </c>
      <c r="D765">
        <v>1</v>
      </c>
      <c r="E765">
        <v>1</v>
      </c>
      <c r="F765">
        <v>1</v>
      </c>
      <c r="G765">
        <v>1</v>
      </c>
      <c r="H765">
        <v>1</v>
      </c>
      <c r="J765">
        <v>51</v>
      </c>
      <c r="K765">
        <v>1</v>
      </c>
      <c r="L765">
        <v>1</v>
      </c>
      <c r="M765">
        <v>1</v>
      </c>
      <c r="N765">
        <v>1</v>
      </c>
      <c r="O765">
        <v>1</v>
      </c>
      <c r="P765">
        <v>1</v>
      </c>
      <c r="R765">
        <v>51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AA765">
        <v>-5025.8329000000003</v>
      </c>
      <c r="AB765">
        <v>-5025.8329000000003</v>
      </c>
      <c r="AC765">
        <v>-5025.8329000000003</v>
      </c>
      <c r="AD765">
        <v>-5025.8329000000003</v>
      </c>
      <c r="AE765">
        <v>-5025.8329000000003</v>
      </c>
      <c r="AF765">
        <v>-5025.8329000000003</v>
      </c>
    </row>
    <row r="766" spans="2:32" x14ac:dyDescent="0.25">
      <c r="B766">
        <v>52</v>
      </c>
      <c r="C766">
        <v>1</v>
      </c>
      <c r="D766">
        <v>1</v>
      </c>
      <c r="E766">
        <v>1</v>
      </c>
      <c r="F766">
        <v>1</v>
      </c>
      <c r="G766">
        <v>1</v>
      </c>
      <c r="H766">
        <v>1</v>
      </c>
      <c r="J766">
        <v>52</v>
      </c>
      <c r="K766">
        <v>1</v>
      </c>
      <c r="L766">
        <v>1</v>
      </c>
      <c r="M766">
        <v>1</v>
      </c>
      <c r="N766">
        <v>1</v>
      </c>
      <c r="O766">
        <v>1</v>
      </c>
      <c r="P766">
        <v>1</v>
      </c>
      <c r="R766">
        <v>52</v>
      </c>
      <c r="S766">
        <v>1</v>
      </c>
      <c r="T766">
        <v>1</v>
      </c>
      <c r="U766">
        <v>1</v>
      </c>
      <c r="V766">
        <v>1</v>
      </c>
      <c r="W766">
        <v>1</v>
      </c>
      <c r="X766">
        <v>1</v>
      </c>
      <c r="AA766">
        <v>-5009.4771000000001</v>
      </c>
      <c r="AB766">
        <v>-5009.4771000000001</v>
      </c>
      <c r="AC766">
        <v>-5009.4771000000001</v>
      </c>
      <c r="AD766">
        <v>-5009.4771000000001</v>
      </c>
      <c r="AE766">
        <v>-5009.4771000000001</v>
      </c>
      <c r="AF766">
        <v>-5009.4771000000001</v>
      </c>
    </row>
    <row r="767" spans="2:32" x14ac:dyDescent="0.25">
      <c r="B767">
        <v>53</v>
      </c>
      <c r="C767">
        <v>1</v>
      </c>
      <c r="D767">
        <v>1</v>
      </c>
      <c r="E767">
        <v>1</v>
      </c>
      <c r="F767">
        <v>1</v>
      </c>
      <c r="G767">
        <v>1</v>
      </c>
      <c r="H767">
        <v>1</v>
      </c>
      <c r="J767">
        <v>53</v>
      </c>
      <c r="K767">
        <v>1</v>
      </c>
      <c r="L767">
        <v>1</v>
      </c>
      <c r="M767">
        <v>1</v>
      </c>
      <c r="N767">
        <v>1</v>
      </c>
      <c r="O767">
        <v>1</v>
      </c>
      <c r="P767">
        <v>1</v>
      </c>
      <c r="R767">
        <v>53</v>
      </c>
      <c r="S767">
        <v>1</v>
      </c>
      <c r="T767">
        <v>1</v>
      </c>
      <c r="U767">
        <v>1</v>
      </c>
      <c r="V767">
        <v>1</v>
      </c>
      <c r="W767">
        <v>1</v>
      </c>
      <c r="X767">
        <v>1</v>
      </c>
      <c r="AA767">
        <v>-4991.6184000000003</v>
      </c>
      <c r="AB767">
        <v>-4991.6184000000003</v>
      </c>
      <c r="AC767">
        <v>-4991.6184000000003</v>
      </c>
      <c r="AD767">
        <v>-4991.6184000000003</v>
      </c>
      <c r="AE767">
        <v>-4991.6184000000003</v>
      </c>
      <c r="AF767">
        <v>-4991.6184000000003</v>
      </c>
    </row>
    <row r="768" spans="2:32" x14ac:dyDescent="0.25">
      <c r="B768">
        <v>54</v>
      </c>
      <c r="C768">
        <v>1</v>
      </c>
      <c r="D768">
        <v>1</v>
      </c>
      <c r="E768">
        <v>1</v>
      </c>
      <c r="F768">
        <v>1</v>
      </c>
      <c r="G768">
        <v>1</v>
      </c>
      <c r="H768">
        <v>1</v>
      </c>
      <c r="J768">
        <v>54</v>
      </c>
      <c r="K768">
        <v>1</v>
      </c>
      <c r="L768">
        <v>1</v>
      </c>
      <c r="M768">
        <v>1</v>
      </c>
      <c r="N768">
        <v>1</v>
      </c>
      <c r="O768">
        <v>1</v>
      </c>
      <c r="P768">
        <v>1</v>
      </c>
      <c r="R768">
        <v>54</v>
      </c>
      <c r="S768">
        <v>1</v>
      </c>
      <c r="T768">
        <v>1</v>
      </c>
      <c r="U768">
        <v>1</v>
      </c>
      <c r="V768">
        <v>1</v>
      </c>
      <c r="W768">
        <v>1</v>
      </c>
      <c r="X768">
        <v>1</v>
      </c>
      <c r="AA768">
        <v>-4972.1588000000002</v>
      </c>
      <c r="AB768">
        <v>-4972.1588000000002</v>
      </c>
      <c r="AC768">
        <v>-4972.1588000000002</v>
      </c>
      <c r="AD768">
        <v>-4972.1588000000002</v>
      </c>
      <c r="AE768">
        <v>-4972.1588000000002</v>
      </c>
      <c r="AF768">
        <v>-4972.1588000000002</v>
      </c>
    </row>
    <row r="769" spans="2:32" x14ac:dyDescent="0.25">
      <c r="B769">
        <v>55</v>
      </c>
      <c r="C769">
        <v>1</v>
      </c>
      <c r="D769">
        <v>1</v>
      </c>
      <c r="E769">
        <v>1</v>
      </c>
      <c r="F769">
        <v>1</v>
      </c>
      <c r="G769">
        <v>1</v>
      </c>
      <c r="H769">
        <v>1</v>
      </c>
      <c r="J769">
        <v>55</v>
      </c>
      <c r="K769">
        <v>1</v>
      </c>
      <c r="L769">
        <v>1</v>
      </c>
      <c r="M769">
        <v>1</v>
      </c>
      <c r="N769">
        <v>1</v>
      </c>
      <c r="O769">
        <v>1</v>
      </c>
      <c r="P769">
        <v>1</v>
      </c>
      <c r="R769">
        <v>55</v>
      </c>
      <c r="S769">
        <v>1</v>
      </c>
      <c r="T769">
        <v>1</v>
      </c>
      <c r="U769">
        <v>1</v>
      </c>
      <c r="V769">
        <v>1</v>
      </c>
      <c r="W769">
        <v>1</v>
      </c>
      <c r="X769">
        <v>1</v>
      </c>
      <c r="AA769">
        <v>-4950.9426000000003</v>
      </c>
      <c r="AB769">
        <v>-4950.9426000000003</v>
      </c>
      <c r="AC769">
        <v>-4950.9426000000003</v>
      </c>
      <c r="AD769">
        <v>-4950.9426000000003</v>
      </c>
      <c r="AE769">
        <v>-4950.9426000000003</v>
      </c>
      <c r="AF769">
        <v>-4950.9426000000003</v>
      </c>
    </row>
    <row r="772" spans="2:32" x14ac:dyDescent="0.25">
      <c r="B772" t="s">
        <v>46</v>
      </c>
      <c r="C772">
        <v>100000</v>
      </c>
      <c r="D772">
        <v>250000</v>
      </c>
      <c r="E772">
        <v>500000</v>
      </c>
      <c r="F772">
        <v>1000000</v>
      </c>
      <c r="G772">
        <v>2000000</v>
      </c>
      <c r="J772" t="s">
        <v>32</v>
      </c>
      <c r="K772">
        <v>100000</v>
      </c>
      <c r="L772">
        <v>250000</v>
      </c>
      <c r="M772">
        <v>500000</v>
      </c>
      <c r="N772">
        <v>1000000</v>
      </c>
      <c r="O772">
        <v>2000000</v>
      </c>
      <c r="R772" t="s">
        <v>48</v>
      </c>
      <c r="S772">
        <v>100000</v>
      </c>
      <c r="T772">
        <v>250000</v>
      </c>
      <c r="U772">
        <v>500000</v>
      </c>
      <c r="V772">
        <v>1000000</v>
      </c>
      <c r="W772">
        <v>2000000</v>
      </c>
    </row>
    <row r="773" spans="2:32" x14ac:dyDescent="0.25">
      <c r="B773">
        <v>35</v>
      </c>
      <c r="C773">
        <v>1</v>
      </c>
      <c r="D773">
        <v>1</v>
      </c>
      <c r="E773">
        <v>1</v>
      </c>
      <c r="F773">
        <v>1</v>
      </c>
      <c r="G773">
        <v>1</v>
      </c>
      <c r="J773">
        <v>35</v>
      </c>
      <c r="K773">
        <v>1</v>
      </c>
      <c r="L773">
        <v>1</v>
      </c>
      <c r="M773">
        <v>1</v>
      </c>
      <c r="N773">
        <v>1</v>
      </c>
      <c r="O773">
        <v>1</v>
      </c>
      <c r="R773">
        <v>35</v>
      </c>
      <c r="S773">
        <v>1</v>
      </c>
      <c r="T773">
        <v>1</v>
      </c>
      <c r="U773">
        <v>1</v>
      </c>
      <c r="V773">
        <v>1</v>
      </c>
      <c r="W773">
        <v>1</v>
      </c>
      <c r="AA773">
        <v>-8996.1419000000005</v>
      </c>
      <c r="AB773">
        <v>-8996.1419000000005</v>
      </c>
      <c r="AC773">
        <v>-8996.1419000000005</v>
      </c>
      <c r="AD773">
        <v>-8996.1419000000005</v>
      </c>
      <c r="AE773">
        <v>-8996.1419000000005</v>
      </c>
      <c r="AF773">
        <v>-759112.79520000005</v>
      </c>
    </row>
    <row r="774" spans="2:32" x14ac:dyDescent="0.25">
      <c r="B774">
        <f t="shared" ref="B774:B803" si="33">B773+1</f>
        <v>36</v>
      </c>
      <c r="C774">
        <v>1</v>
      </c>
      <c r="D774">
        <v>1</v>
      </c>
      <c r="E774">
        <v>1</v>
      </c>
      <c r="F774">
        <v>1</v>
      </c>
      <c r="G774">
        <v>1</v>
      </c>
      <c r="J774">
        <f t="shared" ref="J774:J803" si="34">J773+1</f>
        <v>36</v>
      </c>
      <c r="K774">
        <v>1</v>
      </c>
      <c r="L774">
        <v>1</v>
      </c>
      <c r="M774">
        <v>1</v>
      </c>
      <c r="N774">
        <v>1</v>
      </c>
      <c r="O774">
        <v>1</v>
      </c>
      <c r="R774">
        <f t="shared" ref="R774:R803" si="35">R773+1</f>
        <v>36</v>
      </c>
      <c r="S774">
        <v>1</v>
      </c>
      <c r="T774">
        <v>1</v>
      </c>
      <c r="U774">
        <v>1</v>
      </c>
      <c r="V774">
        <v>1</v>
      </c>
      <c r="W774">
        <v>1</v>
      </c>
      <c r="AA774">
        <v>-8902.6679999999997</v>
      </c>
      <c r="AB774">
        <v>-8902.6679999999997</v>
      </c>
      <c r="AC774">
        <v>-8902.6679999999997</v>
      </c>
      <c r="AD774">
        <v>-8902.6679999999997</v>
      </c>
      <c r="AE774">
        <v>-8902.6679999999997</v>
      </c>
      <c r="AF774">
        <v>-737070.86179999996</v>
      </c>
    </row>
    <row r="775" spans="2:32" x14ac:dyDescent="0.25">
      <c r="B775">
        <f t="shared" si="33"/>
        <v>37</v>
      </c>
      <c r="C775">
        <v>1</v>
      </c>
      <c r="D775">
        <v>1</v>
      </c>
      <c r="E775">
        <v>1</v>
      </c>
      <c r="F775">
        <v>1</v>
      </c>
      <c r="G775">
        <v>1</v>
      </c>
      <c r="J775">
        <f t="shared" si="34"/>
        <v>37</v>
      </c>
      <c r="K775">
        <v>1</v>
      </c>
      <c r="L775">
        <v>1</v>
      </c>
      <c r="M775">
        <v>1</v>
      </c>
      <c r="N775">
        <v>1</v>
      </c>
      <c r="O775">
        <v>1</v>
      </c>
      <c r="R775">
        <f t="shared" si="35"/>
        <v>37</v>
      </c>
      <c r="S775">
        <v>1</v>
      </c>
      <c r="T775">
        <v>1</v>
      </c>
      <c r="U775">
        <v>1</v>
      </c>
      <c r="V775">
        <v>1</v>
      </c>
      <c r="W775">
        <v>1</v>
      </c>
      <c r="AA775">
        <v>-8806.7960000000003</v>
      </c>
      <c r="AB775">
        <v>-8806.7960000000003</v>
      </c>
      <c r="AC775">
        <v>-8806.7960000000003</v>
      </c>
      <c r="AD775">
        <v>-8806.7960000000003</v>
      </c>
      <c r="AE775">
        <v>-8806.7960000000003</v>
      </c>
      <c r="AF775">
        <v>-765978.91940000001</v>
      </c>
    </row>
    <row r="776" spans="2:32" x14ac:dyDescent="0.25">
      <c r="B776">
        <f t="shared" si="33"/>
        <v>38</v>
      </c>
      <c r="C776">
        <v>1</v>
      </c>
      <c r="D776">
        <v>1</v>
      </c>
      <c r="E776">
        <v>1</v>
      </c>
      <c r="F776">
        <v>1</v>
      </c>
      <c r="G776">
        <v>1</v>
      </c>
      <c r="J776">
        <f t="shared" si="34"/>
        <v>38</v>
      </c>
      <c r="K776">
        <v>1</v>
      </c>
      <c r="L776">
        <v>1</v>
      </c>
      <c r="M776">
        <v>1</v>
      </c>
      <c r="N776">
        <v>1</v>
      </c>
      <c r="O776">
        <v>1</v>
      </c>
      <c r="R776">
        <f t="shared" si="35"/>
        <v>38</v>
      </c>
      <c r="S776">
        <v>1</v>
      </c>
      <c r="T776">
        <v>1</v>
      </c>
      <c r="U776">
        <v>1</v>
      </c>
      <c r="V776">
        <v>1</v>
      </c>
      <c r="W776">
        <v>1</v>
      </c>
      <c r="AA776">
        <v>-8708.6234000000004</v>
      </c>
      <c r="AB776">
        <v>-8708.6234000000004</v>
      </c>
      <c r="AC776">
        <v>-8708.6234000000004</v>
      </c>
      <c r="AD776">
        <v>-8708.6234000000004</v>
      </c>
      <c r="AE776">
        <v>-8708.6234000000004</v>
      </c>
      <c r="AF776">
        <v>-783780.576</v>
      </c>
    </row>
    <row r="777" spans="2:32" x14ac:dyDescent="0.25">
      <c r="B777">
        <f t="shared" si="33"/>
        <v>39</v>
      </c>
      <c r="C777">
        <v>1</v>
      </c>
      <c r="D777">
        <v>1</v>
      </c>
      <c r="E777">
        <v>1</v>
      </c>
      <c r="F777">
        <v>1</v>
      </c>
      <c r="G777">
        <v>1</v>
      </c>
      <c r="J777">
        <f t="shared" si="34"/>
        <v>39</v>
      </c>
      <c r="K777">
        <v>1</v>
      </c>
      <c r="L777">
        <v>1</v>
      </c>
      <c r="M777">
        <v>1</v>
      </c>
      <c r="N777">
        <v>1</v>
      </c>
      <c r="O777">
        <v>1</v>
      </c>
      <c r="R777">
        <f t="shared" si="35"/>
        <v>39</v>
      </c>
      <c r="S777">
        <v>1</v>
      </c>
      <c r="T777">
        <v>1</v>
      </c>
      <c r="U777">
        <v>1</v>
      </c>
      <c r="V777">
        <v>1</v>
      </c>
      <c r="W777">
        <v>1</v>
      </c>
      <c r="AA777">
        <v>-8608.1594000000005</v>
      </c>
      <c r="AB777">
        <v>-8608.1594000000005</v>
      </c>
      <c r="AC777">
        <v>-8608.1594000000005</v>
      </c>
      <c r="AD777">
        <v>-8608.1594000000005</v>
      </c>
      <c r="AE777">
        <v>-8608.1594000000005</v>
      </c>
      <c r="AF777">
        <v>-769662.22069999995</v>
      </c>
    </row>
    <row r="778" spans="2:32" x14ac:dyDescent="0.25">
      <c r="B778">
        <f t="shared" si="33"/>
        <v>40</v>
      </c>
      <c r="C778">
        <v>1</v>
      </c>
      <c r="D778">
        <v>1</v>
      </c>
      <c r="E778">
        <v>1</v>
      </c>
      <c r="F778">
        <v>1</v>
      </c>
      <c r="G778">
        <v>1</v>
      </c>
      <c r="J778">
        <f t="shared" si="34"/>
        <v>40</v>
      </c>
      <c r="K778">
        <v>1</v>
      </c>
      <c r="L778">
        <v>1</v>
      </c>
      <c r="M778">
        <v>1</v>
      </c>
      <c r="N778">
        <v>1</v>
      </c>
      <c r="O778">
        <v>1</v>
      </c>
      <c r="R778">
        <f t="shared" si="35"/>
        <v>40</v>
      </c>
      <c r="S778">
        <v>1</v>
      </c>
      <c r="T778">
        <v>1</v>
      </c>
      <c r="U778">
        <v>1</v>
      </c>
      <c r="V778">
        <v>1</v>
      </c>
      <c r="W778">
        <v>1</v>
      </c>
      <c r="AA778">
        <v>-8505.3439999999991</v>
      </c>
      <c r="AB778">
        <v>-8505.3439999999991</v>
      </c>
      <c r="AC778">
        <v>-8505.3439999999991</v>
      </c>
      <c r="AD778">
        <v>-8505.3439999999991</v>
      </c>
      <c r="AE778">
        <v>-8505.3439999999991</v>
      </c>
      <c r="AF778">
        <v>-798570.41119999997</v>
      </c>
    </row>
    <row r="779" spans="2:32" x14ac:dyDescent="0.25">
      <c r="B779">
        <f t="shared" si="33"/>
        <v>41</v>
      </c>
      <c r="C779">
        <v>1</v>
      </c>
      <c r="D779">
        <v>1</v>
      </c>
      <c r="E779">
        <v>1</v>
      </c>
      <c r="F779">
        <v>1</v>
      </c>
      <c r="G779">
        <v>1</v>
      </c>
      <c r="J779">
        <f t="shared" si="34"/>
        <v>41</v>
      </c>
      <c r="K779">
        <v>1</v>
      </c>
      <c r="L779">
        <v>1</v>
      </c>
      <c r="M779">
        <v>1</v>
      </c>
      <c r="N779">
        <v>1</v>
      </c>
      <c r="O779">
        <v>1</v>
      </c>
      <c r="R779">
        <f t="shared" si="35"/>
        <v>41</v>
      </c>
      <c r="S779">
        <v>1</v>
      </c>
      <c r="T779">
        <v>1</v>
      </c>
      <c r="U779">
        <v>1</v>
      </c>
      <c r="V779">
        <v>1</v>
      </c>
      <c r="W779">
        <v>1</v>
      </c>
      <c r="AA779">
        <v>-8400.1087000000007</v>
      </c>
      <c r="AB779">
        <v>-8400.1087000000007</v>
      </c>
      <c r="AC779">
        <v>-8400.1087000000007</v>
      </c>
      <c r="AD779">
        <v>-8400.1087000000007</v>
      </c>
      <c r="AE779">
        <v>-8400.1087000000007</v>
      </c>
      <c r="AF779">
        <v>-803549.96459999995</v>
      </c>
    </row>
    <row r="780" spans="2:32" x14ac:dyDescent="0.25">
      <c r="B780">
        <f t="shared" si="33"/>
        <v>42</v>
      </c>
      <c r="C780">
        <v>1</v>
      </c>
      <c r="D780">
        <v>1</v>
      </c>
      <c r="E780">
        <v>1</v>
      </c>
      <c r="F780">
        <v>1</v>
      </c>
      <c r="G780">
        <v>1</v>
      </c>
      <c r="J780">
        <f t="shared" si="34"/>
        <v>42</v>
      </c>
      <c r="K780">
        <v>1</v>
      </c>
      <c r="L780">
        <v>1</v>
      </c>
      <c r="M780">
        <v>1</v>
      </c>
      <c r="N780">
        <v>1</v>
      </c>
      <c r="O780">
        <v>1</v>
      </c>
      <c r="R780">
        <f t="shared" si="35"/>
        <v>42</v>
      </c>
      <c r="S780">
        <v>1</v>
      </c>
      <c r="T780">
        <v>1</v>
      </c>
      <c r="U780">
        <v>1</v>
      </c>
      <c r="V780">
        <v>1</v>
      </c>
      <c r="W780">
        <v>1</v>
      </c>
      <c r="AA780">
        <v>-8292.4974999999995</v>
      </c>
      <c r="AB780">
        <v>-8292.4974999999995</v>
      </c>
      <c r="AC780">
        <v>-8292.4974999999995</v>
      </c>
      <c r="AD780">
        <v>-8292.4974999999995</v>
      </c>
      <c r="AE780">
        <v>-8292.4974999999995</v>
      </c>
      <c r="AF780">
        <v>-833551.75890000002</v>
      </c>
    </row>
    <row r="781" spans="2:32" x14ac:dyDescent="0.25">
      <c r="B781">
        <f t="shared" si="33"/>
        <v>43</v>
      </c>
      <c r="C781">
        <v>1</v>
      </c>
      <c r="D781">
        <v>1</v>
      </c>
      <c r="E781">
        <v>1</v>
      </c>
      <c r="F781">
        <v>1</v>
      </c>
      <c r="G781">
        <v>1</v>
      </c>
      <c r="J781">
        <f t="shared" si="34"/>
        <v>43</v>
      </c>
      <c r="K781">
        <v>1</v>
      </c>
      <c r="L781">
        <v>1</v>
      </c>
      <c r="M781">
        <v>1</v>
      </c>
      <c r="N781">
        <v>1</v>
      </c>
      <c r="O781">
        <v>1</v>
      </c>
      <c r="R781">
        <f t="shared" si="35"/>
        <v>43</v>
      </c>
      <c r="S781">
        <v>1</v>
      </c>
      <c r="T781">
        <v>1</v>
      </c>
      <c r="U781">
        <v>1</v>
      </c>
      <c r="V781">
        <v>1</v>
      </c>
      <c r="W781">
        <v>1</v>
      </c>
      <c r="AA781">
        <v>-8182.3909999999996</v>
      </c>
      <c r="AB781">
        <v>-8182.3909999999996</v>
      </c>
      <c r="AC781">
        <v>-8182.3909999999996</v>
      </c>
      <c r="AD781">
        <v>-8182.3909999999996</v>
      </c>
      <c r="AE781">
        <v>-8182.3909999999996</v>
      </c>
      <c r="AF781">
        <v>-833551.75890000002</v>
      </c>
    </row>
    <row r="782" spans="2:32" x14ac:dyDescent="0.25">
      <c r="B782">
        <f t="shared" si="33"/>
        <v>44</v>
      </c>
      <c r="C782">
        <v>1</v>
      </c>
      <c r="D782">
        <v>1</v>
      </c>
      <c r="E782">
        <v>1</v>
      </c>
      <c r="F782">
        <v>1</v>
      </c>
      <c r="G782">
        <v>1</v>
      </c>
      <c r="J782">
        <f t="shared" si="34"/>
        <v>44</v>
      </c>
      <c r="K782">
        <v>1</v>
      </c>
      <c r="L782">
        <v>1</v>
      </c>
      <c r="M782">
        <v>1</v>
      </c>
      <c r="N782">
        <v>1</v>
      </c>
      <c r="O782">
        <v>1</v>
      </c>
      <c r="R782">
        <f t="shared" si="35"/>
        <v>44</v>
      </c>
      <c r="S782">
        <v>1</v>
      </c>
      <c r="T782">
        <v>1</v>
      </c>
      <c r="U782">
        <v>1</v>
      </c>
      <c r="V782">
        <v>1</v>
      </c>
      <c r="W782">
        <v>1</v>
      </c>
      <c r="AA782">
        <v>-8069.8261000000002</v>
      </c>
      <c r="AB782">
        <v>-8069.8261000000002</v>
      </c>
      <c r="AC782">
        <v>-8069.8261000000002</v>
      </c>
      <c r="AD782">
        <v>-8069.8261000000002</v>
      </c>
      <c r="AE782">
        <v>-8069.8261000000002</v>
      </c>
      <c r="AF782">
        <v>-851265.64670000004</v>
      </c>
    </row>
    <row r="783" spans="2:32" x14ac:dyDescent="0.25">
      <c r="B783">
        <f t="shared" si="33"/>
        <v>45</v>
      </c>
      <c r="C783">
        <v>1</v>
      </c>
      <c r="D783">
        <v>1</v>
      </c>
      <c r="E783">
        <v>1</v>
      </c>
      <c r="F783">
        <v>1</v>
      </c>
      <c r="G783">
        <v>1</v>
      </c>
      <c r="J783">
        <f t="shared" si="34"/>
        <v>45</v>
      </c>
      <c r="K783">
        <v>1</v>
      </c>
      <c r="L783">
        <v>1</v>
      </c>
      <c r="M783">
        <v>1</v>
      </c>
      <c r="N783">
        <v>1</v>
      </c>
      <c r="O783">
        <v>1</v>
      </c>
      <c r="R783">
        <f t="shared" si="35"/>
        <v>45</v>
      </c>
      <c r="S783">
        <v>1</v>
      </c>
      <c r="T783">
        <v>1</v>
      </c>
      <c r="U783">
        <v>1</v>
      </c>
      <c r="V783">
        <v>1</v>
      </c>
      <c r="W783">
        <v>1</v>
      </c>
      <c r="AA783">
        <v>-7954.7533999999996</v>
      </c>
      <c r="AB783">
        <v>-7954.7533999999996</v>
      </c>
      <c r="AC783">
        <v>-7954.7533999999996</v>
      </c>
      <c r="AD783">
        <v>-7954.7533999999996</v>
      </c>
      <c r="AE783">
        <v>-7954.7533999999996</v>
      </c>
      <c r="AF783">
        <v>-870649.02139999997</v>
      </c>
    </row>
    <row r="784" spans="2:32" x14ac:dyDescent="0.25">
      <c r="B784">
        <f t="shared" si="33"/>
        <v>46</v>
      </c>
      <c r="C784">
        <v>1</v>
      </c>
      <c r="D784">
        <v>1</v>
      </c>
      <c r="E784">
        <v>1</v>
      </c>
      <c r="F784">
        <v>1</v>
      </c>
      <c r="G784">
        <v>1</v>
      </c>
      <c r="J784">
        <f t="shared" si="34"/>
        <v>46</v>
      </c>
      <c r="K784">
        <v>1</v>
      </c>
      <c r="L784">
        <v>1</v>
      </c>
      <c r="M784">
        <v>1</v>
      </c>
      <c r="N784">
        <v>1</v>
      </c>
      <c r="O784">
        <v>1</v>
      </c>
      <c r="R784">
        <f t="shared" si="35"/>
        <v>46</v>
      </c>
      <c r="S784">
        <v>1</v>
      </c>
      <c r="T784">
        <v>1</v>
      </c>
      <c r="U784">
        <v>1</v>
      </c>
      <c r="V784">
        <v>1</v>
      </c>
      <c r="W784">
        <v>1</v>
      </c>
      <c r="AA784">
        <v>-7837.1754000000001</v>
      </c>
      <c r="AB784">
        <v>-7837.1754000000001</v>
      </c>
      <c r="AC784">
        <v>-7837.1754000000001</v>
      </c>
      <c r="AD784">
        <v>-7837.1754000000001</v>
      </c>
      <c r="AE784">
        <v>-7837.1754000000001</v>
      </c>
      <c r="AF784">
        <v>-892550.54509999999</v>
      </c>
    </row>
    <row r="785" spans="2:32" x14ac:dyDescent="0.25">
      <c r="B785">
        <f t="shared" si="33"/>
        <v>47</v>
      </c>
      <c r="C785">
        <v>1</v>
      </c>
      <c r="D785">
        <v>1</v>
      </c>
      <c r="E785">
        <v>1</v>
      </c>
      <c r="F785">
        <v>1</v>
      </c>
      <c r="G785">
        <v>1</v>
      </c>
      <c r="J785">
        <f t="shared" si="34"/>
        <v>47</v>
      </c>
      <c r="K785">
        <v>1</v>
      </c>
      <c r="L785">
        <v>1</v>
      </c>
      <c r="M785">
        <v>1</v>
      </c>
      <c r="N785">
        <v>1</v>
      </c>
      <c r="O785">
        <v>1</v>
      </c>
      <c r="R785">
        <f t="shared" si="35"/>
        <v>47</v>
      </c>
      <c r="S785">
        <v>1</v>
      </c>
      <c r="T785">
        <v>1</v>
      </c>
      <c r="U785">
        <v>1</v>
      </c>
      <c r="V785">
        <v>1</v>
      </c>
      <c r="W785">
        <v>1</v>
      </c>
      <c r="AA785">
        <v>-7717.0294999999996</v>
      </c>
      <c r="AB785">
        <v>-7717.0294999999996</v>
      </c>
      <c r="AC785">
        <v>-7717.0294999999996</v>
      </c>
      <c r="AD785">
        <v>-7717.0294999999996</v>
      </c>
      <c r="AE785">
        <v>-7717.0294999999996</v>
      </c>
      <c r="AF785">
        <v>-910915.81969999999</v>
      </c>
    </row>
    <row r="786" spans="2:32" x14ac:dyDescent="0.25">
      <c r="B786">
        <f t="shared" si="33"/>
        <v>48</v>
      </c>
      <c r="C786">
        <v>1</v>
      </c>
      <c r="D786">
        <v>1</v>
      </c>
      <c r="E786">
        <v>1</v>
      </c>
      <c r="F786">
        <v>1</v>
      </c>
      <c r="G786">
        <v>1</v>
      </c>
      <c r="J786">
        <f t="shared" si="34"/>
        <v>48</v>
      </c>
      <c r="K786">
        <v>1</v>
      </c>
      <c r="L786">
        <v>1</v>
      </c>
      <c r="M786">
        <v>1</v>
      </c>
      <c r="N786">
        <v>1</v>
      </c>
      <c r="O786">
        <v>1</v>
      </c>
      <c r="R786">
        <f t="shared" si="35"/>
        <v>48</v>
      </c>
      <c r="S786">
        <v>1</v>
      </c>
      <c r="T786">
        <v>1</v>
      </c>
      <c r="U786">
        <v>1</v>
      </c>
      <c r="V786">
        <v>1</v>
      </c>
      <c r="W786">
        <v>1</v>
      </c>
      <c r="AA786">
        <v>-7594.4201000000003</v>
      </c>
      <c r="AB786">
        <v>-7594.4201000000003</v>
      </c>
      <c r="AC786">
        <v>-7594.4201000000003</v>
      </c>
      <c r="AD786">
        <v>-7594.4201000000003</v>
      </c>
      <c r="AE786">
        <v>-7594.4201000000003</v>
      </c>
      <c r="AF786">
        <v>-917891.87360000005</v>
      </c>
    </row>
    <row r="787" spans="2:32" x14ac:dyDescent="0.25">
      <c r="B787">
        <f t="shared" si="33"/>
        <v>49</v>
      </c>
      <c r="C787">
        <v>1</v>
      </c>
      <c r="D787">
        <v>1</v>
      </c>
      <c r="E787">
        <v>1</v>
      </c>
      <c r="F787">
        <v>1</v>
      </c>
      <c r="G787">
        <v>1</v>
      </c>
      <c r="J787">
        <f t="shared" si="34"/>
        <v>49</v>
      </c>
      <c r="K787">
        <v>1</v>
      </c>
      <c r="L787">
        <v>1</v>
      </c>
      <c r="M787">
        <v>1</v>
      </c>
      <c r="N787">
        <v>1</v>
      </c>
      <c r="O787">
        <v>1</v>
      </c>
      <c r="R787">
        <f t="shared" si="35"/>
        <v>49</v>
      </c>
      <c r="S787">
        <v>1</v>
      </c>
      <c r="T787">
        <v>1</v>
      </c>
      <c r="U787">
        <v>1</v>
      </c>
      <c r="V787">
        <v>1</v>
      </c>
      <c r="W787">
        <v>1</v>
      </c>
      <c r="AA787">
        <v>-7469.3995999999997</v>
      </c>
      <c r="AB787">
        <v>-7469.3995999999997</v>
      </c>
      <c r="AC787">
        <v>-7469.3995999999997</v>
      </c>
      <c r="AD787">
        <v>-7469.3995999999997</v>
      </c>
      <c r="AE787">
        <v>-7469.3995999999997</v>
      </c>
      <c r="AF787">
        <v>-944521.72470000002</v>
      </c>
    </row>
    <row r="788" spans="2:32" x14ac:dyDescent="0.25">
      <c r="B788">
        <f t="shared" si="33"/>
        <v>50</v>
      </c>
      <c r="C788">
        <v>1</v>
      </c>
      <c r="D788">
        <v>1</v>
      </c>
      <c r="E788">
        <v>1</v>
      </c>
      <c r="F788">
        <v>1</v>
      </c>
      <c r="G788">
        <v>1</v>
      </c>
      <c r="J788">
        <f t="shared" si="34"/>
        <v>50</v>
      </c>
      <c r="K788">
        <v>1</v>
      </c>
      <c r="L788">
        <v>1</v>
      </c>
      <c r="M788">
        <v>1</v>
      </c>
      <c r="N788">
        <v>1</v>
      </c>
      <c r="O788">
        <v>1</v>
      </c>
      <c r="R788">
        <f t="shared" si="35"/>
        <v>50</v>
      </c>
      <c r="S788">
        <v>1</v>
      </c>
      <c r="T788">
        <v>1</v>
      </c>
      <c r="U788">
        <v>1</v>
      </c>
      <c r="V788">
        <v>1</v>
      </c>
      <c r="W788">
        <v>1</v>
      </c>
      <c r="AA788">
        <v>-7341.9502000000002</v>
      </c>
      <c r="AB788">
        <v>-7341.9502000000002</v>
      </c>
      <c r="AC788">
        <v>-7341.9502000000002</v>
      </c>
      <c r="AD788">
        <v>-7341.9502000000002</v>
      </c>
      <c r="AE788">
        <v>-7341.9502000000002</v>
      </c>
      <c r="AF788">
        <v>-963257.14989999996</v>
      </c>
    </row>
    <row r="789" spans="2:32" x14ac:dyDescent="0.25">
      <c r="B789">
        <f t="shared" si="33"/>
        <v>51</v>
      </c>
      <c r="C789">
        <v>1</v>
      </c>
      <c r="D789">
        <v>1</v>
      </c>
      <c r="E789">
        <v>1</v>
      </c>
      <c r="F789">
        <v>1</v>
      </c>
      <c r="G789">
        <v>1</v>
      </c>
      <c r="J789">
        <f t="shared" si="34"/>
        <v>51</v>
      </c>
      <c r="K789">
        <v>1</v>
      </c>
      <c r="L789">
        <v>1</v>
      </c>
      <c r="M789">
        <v>1</v>
      </c>
      <c r="N789">
        <v>1</v>
      </c>
      <c r="O789">
        <v>1</v>
      </c>
      <c r="R789">
        <f t="shared" si="35"/>
        <v>51</v>
      </c>
      <c r="S789">
        <v>1</v>
      </c>
      <c r="T789">
        <v>1</v>
      </c>
      <c r="U789">
        <v>1</v>
      </c>
      <c r="V789">
        <v>1</v>
      </c>
      <c r="W789">
        <v>1</v>
      </c>
      <c r="AA789">
        <v>-7212.0646999999999</v>
      </c>
      <c r="AB789">
        <v>-7212.0646999999999</v>
      </c>
      <c r="AC789">
        <v>-7212.0646999999999</v>
      </c>
      <c r="AD789">
        <v>-7212.0646999999999</v>
      </c>
      <c r="AE789">
        <v>-7212.0646999999999</v>
      </c>
      <c r="AF789">
        <v>-981592.90729999996</v>
      </c>
    </row>
    <row r="790" spans="2:32" x14ac:dyDescent="0.25">
      <c r="B790">
        <f t="shared" si="33"/>
        <v>52</v>
      </c>
      <c r="C790">
        <v>1</v>
      </c>
      <c r="D790">
        <v>1</v>
      </c>
      <c r="E790">
        <v>1</v>
      </c>
      <c r="F790">
        <v>1</v>
      </c>
      <c r="G790">
        <v>1</v>
      </c>
      <c r="J790">
        <f t="shared" si="34"/>
        <v>52</v>
      </c>
      <c r="K790">
        <v>1</v>
      </c>
      <c r="L790">
        <v>1</v>
      </c>
      <c r="M790">
        <v>1</v>
      </c>
      <c r="N790">
        <v>1</v>
      </c>
      <c r="O790">
        <v>1</v>
      </c>
      <c r="R790">
        <f t="shared" si="35"/>
        <v>52</v>
      </c>
      <c r="S790">
        <v>1</v>
      </c>
      <c r="T790">
        <v>1</v>
      </c>
      <c r="U790">
        <v>1</v>
      </c>
      <c r="V790">
        <v>1</v>
      </c>
      <c r="W790">
        <v>1</v>
      </c>
      <c r="AA790">
        <v>-7079.7435999999998</v>
      </c>
      <c r="AB790">
        <v>-7079.7435999999998</v>
      </c>
      <c r="AC790">
        <v>-7079.7435999999998</v>
      </c>
      <c r="AD790">
        <v>-7079.7435999999998</v>
      </c>
      <c r="AE790">
        <v>-7079.7435999999998</v>
      </c>
      <c r="AF790">
        <v>-998556.10360000003</v>
      </c>
    </row>
    <row r="791" spans="2:32" x14ac:dyDescent="0.25">
      <c r="B791">
        <f t="shared" si="33"/>
        <v>53</v>
      </c>
      <c r="C791">
        <v>1</v>
      </c>
      <c r="D791">
        <v>1</v>
      </c>
      <c r="E791">
        <v>1</v>
      </c>
      <c r="F791">
        <v>1</v>
      </c>
      <c r="G791">
        <v>1</v>
      </c>
      <c r="J791">
        <f t="shared" si="34"/>
        <v>53</v>
      </c>
      <c r="K791">
        <v>1</v>
      </c>
      <c r="L791">
        <v>1</v>
      </c>
      <c r="M791">
        <v>1</v>
      </c>
      <c r="N791">
        <v>1</v>
      </c>
      <c r="O791">
        <v>1</v>
      </c>
      <c r="R791">
        <f t="shared" si="35"/>
        <v>53</v>
      </c>
      <c r="S791">
        <v>1</v>
      </c>
      <c r="T791">
        <v>1</v>
      </c>
      <c r="U791">
        <v>1</v>
      </c>
      <c r="V791">
        <v>1</v>
      </c>
      <c r="W791">
        <v>1</v>
      </c>
      <c r="AA791">
        <v>-6945.0875999999998</v>
      </c>
      <c r="AB791">
        <v>-6945.0875999999998</v>
      </c>
      <c r="AC791">
        <v>-6945.0875999999998</v>
      </c>
      <c r="AD791">
        <v>-6945.0875999999998</v>
      </c>
      <c r="AE791">
        <v>-6945.0875999999998</v>
      </c>
      <c r="AF791">
        <v>-1015461.3278</v>
      </c>
    </row>
    <row r="792" spans="2:32" x14ac:dyDescent="0.25">
      <c r="B792">
        <f t="shared" si="33"/>
        <v>54</v>
      </c>
      <c r="C792">
        <v>1</v>
      </c>
      <c r="D792">
        <v>1</v>
      </c>
      <c r="E792">
        <v>1</v>
      </c>
      <c r="F792">
        <v>1</v>
      </c>
      <c r="G792">
        <v>1</v>
      </c>
      <c r="J792">
        <f t="shared" si="34"/>
        <v>54</v>
      </c>
      <c r="K792">
        <v>1</v>
      </c>
      <c r="L792">
        <v>1</v>
      </c>
      <c r="M792">
        <v>1</v>
      </c>
      <c r="N792">
        <v>1</v>
      </c>
      <c r="O792">
        <v>1</v>
      </c>
      <c r="R792">
        <f t="shared" si="35"/>
        <v>54</v>
      </c>
      <c r="S792">
        <v>1</v>
      </c>
      <c r="T792">
        <v>1</v>
      </c>
      <c r="U792">
        <v>1</v>
      </c>
      <c r="V792">
        <v>1</v>
      </c>
      <c r="W792">
        <v>1</v>
      </c>
      <c r="AA792">
        <v>-6808.2438000000002</v>
      </c>
      <c r="AB792">
        <v>-6808.2438000000002</v>
      </c>
      <c r="AC792">
        <v>-6808.2438000000002</v>
      </c>
      <c r="AD792">
        <v>-6808.2438000000002</v>
      </c>
      <c r="AE792">
        <v>-6808.2438000000002</v>
      </c>
      <c r="AF792">
        <v>-1033869.6813000001</v>
      </c>
    </row>
    <row r="793" spans="2:32" x14ac:dyDescent="0.25">
      <c r="B793">
        <f t="shared" si="33"/>
        <v>55</v>
      </c>
      <c r="C793">
        <v>1</v>
      </c>
      <c r="D793">
        <v>1</v>
      </c>
      <c r="E793">
        <v>1</v>
      </c>
      <c r="F793">
        <v>1</v>
      </c>
      <c r="G793">
        <v>1</v>
      </c>
      <c r="J793">
        <f t="shared" si="34"/>
        <v>55</v>
      </c>
      <c r="K793">
        <v>1</v>
      </c>
      <c r="L793">
        <v>1</v>
      </c>
      <c r="M793">
        <v>1</v>
      </c>
      <c r="N793">
        <v>1</v>
      </c>
      <c r="O793">
        <v>1</v>
      </c>
      <c r="R793">
        <f t="shared" si="35"/>
        <v>55</v>
      </c>
      <c r="S793">
        <v>1</v>
      </c>
      <c r="T793">
        <v>1</v>
      </c>
      <c r="U793">
        <v>1</v>
      </c>
      <c r="V793">
        <v>1</v>
      </c>
      <c r="W793">
        <v>1</v>
      </c>
      <c r="AA793">
        <v>-6669.2525999999998</v>
      </c>
      <c r="AB793">
        <v>-6669.2525999999998</v>
      </c>
      <c r="AC793">
        <v>-6669.2525999999998</v>
      </c>
      <c r="AD793">
        <v>-6669.2525999999998</v>
      </c>
      <c r="AE793">
        <v>-6669.2525999999998</v>
      </c>
      <c r="AF793">
        <v>-1050810.2549999999</v>
      </c>
    </row>
    <row r="794" spans="2:32" x14ac:dyDescent="0.25">
      <c r="B794">
        <f t="shared" si="33"/>
        <v>56</v>
      </c>
      <c r="C794">
        <v>1</v>
      </c>
      <c r="D794">
        <v>1</v>
      </c>
      <c r="E794">
        <v>1</v>
      </c>
      <c r="F794">
        <v>1</v>
      </c>
      <c r="G794">
        <v>1</v>
      </c>
      <c r="J794">
        <f t="shared" si="34"/>
        <v>56</v>
      </c>
      <c r="K794">
        <v>1</v>
      </c>
      <c r="L794">
        <v>1</v>
      </c>
      <c r="M794">
        <v>1</v>
      </c>
      <c r="N794">
        <v>1</v>
      </c>
      <c r="O794">
        <v>1</v>
      </c>
      <c r="R794">
        <f t="shared" si="35"/>
        <v>56</v>
      </c>
      <c r="S794">
        <v>1</v>
      </c>
      <c r="T794">
        <v>1</v>
      </c>
      <c r="U794">
        <v>1</v>
      </c>
      <c r="V794">
        <v>1</v>
      </c>
      <c r="W794">
        <v>1</v>
      </c>
      <c r="AA794">
        <v>-6528.2992000000004</v>
      </c>
      <c r="AB794">
        <v>-6528.2992000000004</v>
      </c>
      <c r="AC794">
        <v>-6528.2992000000004</v>
      </c>
      <c r="AD794">
        <v>-6528.2992000000004</v>
      </c>
      <c r="AE794">
        <v>-6528.2992000000004</v>
      </c>
      <c r="AF794">
        <v>-1073295.8774000001</v>
      </c>
    </row>
    <row r="795" spans="2:32" x14ac:dyDescent="0.25">
      <c r="B795">
        <f t="shared" si="33"/>
        <v>57</v>
      </c>
      <c r="C795">
        <v>1</v>
      </c>
      <c r="D795">
        <v>1</v>
      </c>
      <c r="E795">
        <v>1</v>
      </c>
      <c r="F795">
        <v>1</v>
      </c>
      <c r="G795">
        <v>1</v>
      </c>
      <c r="J795">
        <f t="shared" si="34"/>
        <v>57</v>
      </c>
      <c r="K795">
        <v>1</v>
      </c>
      <c r="L795">
        <v>1</v>
      </c>
      <c r="M795">
        <v>1</v>
      </c>
      <c r="N795">
        <v>1</v>
      </c>
      <c r="O795">
        <v>1</v>
      </c>
      <c r="R795">
        <f t="shared" si="35"/>
        <v>57</v>
      </c>
      <c r="S795">
        <v>1</v>
      </c>
      <c r="T795">
        <v>1</v>
      </c>
      <c r="U795">
        <v>1</v>
      </c>
      <c r="V795">
        <v>1</v>
      </c>
      <c r="W795">
        <v>1</v>
      </c>
      <c r="AA795">
        <v>-6385.5230000000001</v>
      </c>
      <c r="AB795">
        <v>-6385.5230000000001</v>
      </c>
      <c r="AC795">
        <v>-6385.5230000000001</v>
      </c>
      <c r="AD795">
        <v>-6385.5230000000001</v>
      </c>
      <c r="AE795">
        <v>-6385.5230000000001</v>
      </c>
      <c r="AF795">
        <v>-1093242.6832999999</v>
      </c>
    </row>
    <row r="796" spans="2:32" x14ac:dyDescent="0.25">
      <c r="B796">
        <f t="shared" si="33"/>
        <v>58</v>
      </c>
      <c r="C796">
        <v>1</v>
      </c>
      <c r="D796">
        <v>1</v>
      </c>
      <c r="E796">
        <v>1</v>
      </c>
      <c r="F796">
        <v>1</v>
      </c>
      <c r="G796">
        <v>1</v>
      </c>
      <c r="J796">
        <f t="shared" si="34"/>
        <v>58</v>
      </c>
      <c r="K796">
        <v>1</v>
      </c>
      <c r="L796">
        <v>1</v>
      </c>
      <c r="M796">
        <v>1</v>
      </c>
      <c r="N796">
        <v>1</v>
      </c>
      <c r="O796">
        <v>1</v>
      </c>
      <c r="R796">
        <f t="shared" si="35"/>
        <v>58</v>
      </c>
      <c r="S796">
        <v>1</v>
      </c>
      <c r="T796">
        <v>1</v>
      </c>
      <c r="U796">
        <v>1</v>
      </c>
      <c r="V796">
        <v>1</v>
      </c>
      <c r="W796">
        <v>1</v>
      </c>
      <c r="AA796">
        <v>-6240.8730999999998</v>
      </c>
      <c r="AB796">
        <v>-6240.8730999999998</v>
      </c>
      <c r="AC796">
        <v>-6240.8730999999998</v>
      </c>
      <c r="AD796">
        <v>-6240.8730999999998</v>
      </c>
      <c r="AE796">
        <v>-6240.8730999999998</v>
      </c>
      <c r="AF796">
        <v>-1114366.6444000001</v>
      </c>
    </row>
    <row r="797" spans="2:32" x14ac:dyDescent="0.25">
      <c r="B797">
        <f t="shared" si="33"/>
        <v>59</v>
      </c>
      <c r="C797">
        <v>1</v>
      </c>
      <c r="D797">
        <v>1</v>
      </c>
      <c r="E797">
        <v>1</v>
      </c>
      <c r="F797">
        <v>1</v>
      </c>
      <c r="G797">
        <v>1</v>
      </c>
      <c r="J797">
        <f t="shared" si="34"/>
        <v>59</v>
      </c>
      <c r="K797">
        <v>1</v>
      </c>
      <c r="L797">
        <v>1</v>
      </c>
      <c r="M797">
        <v>1</v>
      </c>
      <c r="N797">
        <v>1</v>
      </c>
      <c r="O797">
        <v>1</v>
      </c>
      <c r="R797">
        <f t="shared" si="35"/>
        <v>59</v>
      </c>
      <c r="S797">
        <v>1</v>
      </c>
      <c r="T797">
        <v>1</v>
      </c>
      <c r="U797">
        <v>1</v>
      </c>
      <c r="V797">
        <v>1</v>
      </c>
      <c r="W797">
        <v>1</v>
      </c>
      <c r="AA797">
        <v>-6094.3262999999997</v>
      </c>
      <c r="AB797">
        <v>-6094.3262999999997</v>
      </c>
      <c r="AC797">
        <v>-6094.3262999999997</v>
      </c>
      <c r="AD797">
        <v>-6094.3262999999997</v>
      </c>
      <c r="AE797">
        <v>-6094.3262999999997</v>
      </c>
      <c r="AF797">
        <v>-1136284.0146999999</v>
      </c>
    </row>
    <row r="798" spans="2:32" x14ac:dyDescent="0.25">
      <c r="B798">
        <f t="shared" si="33"/>
        <v>60</v>
      </c>
      <c r="C798">
        <v>1</v>
      </c>
      <c r="D798">
        <v>1</v>
      </c>
      <c r="E798">
        <v>1</v>
      </c>
      <c r="F798">
        <v>1</v>
      </c>
      <c r="G798">
        <v>1</v>
      </c>
      <c r="J798">
        <f t="shared" si="34"/>
        <v>60</v>
      </c>
      <c r="K798">
        <v>1</v>
      </c>
      <c r="L798">
        <v>1</v>
      </c>
      <c r="M798">
        <v>1</v>
      </c>
      <c r="N798">
        <v>1</v>
      </c>
      <c r="O798">
        <v>1</v>
      </c>
      <c r="R798">
        <f t="shared" si="35"/>
        <v>60</v>
      </c>
      <c r="S798">
        <v>1</v>
      </c>
      <c r="T798">
        <v>1</v>
      </c>
      <c r="U798">
        <v>1</v>
      </c>
      <c r="V798">
        <v>1</v>
      </c>
      <c r="W798">
        <v>1</v>
      </c>
      <c r="AA798">
        <v>-5945.9960000000001</v>
      </c>
      <c r="AB798">
        <v>-5945.9960000000001</v>
      </c>
      <c r="AC798">
        <v>-5945.9960000000001</v>
      </c>
      <c r="AD798">
        <v>-5945.9960000000001</v>
      </c>
      <c r="AE798">
        <v>-5945.9960000000001</v>
      </c>
      <c r="AF798">
        <v>-1157801.6717999999</v>
      </c>
    </row>
    <row r="799" spans="2:32" x14ac:dyDescent="0.25">
      <c r="B799">
        <f t="shared" si="33"/>
        <v>61</v>
      </c>
      <c r="C799">
        <v>1</v>
      </c>
      <c r="D799">
        <v>1</v>
      </c>
      <c r="E799">
        <v>1</v>
      </c>
      <c r="F799">
        <v>1</v>
      </c>
      <c r="G799">
        <v>1</v>
      </c>
      <c r="J799">
        <f t="shared" si="34"/>
        <v>61</v>
      </c>
      <c r="K799">
        <v>1</v>
      </c>
      <c r="L799">
        <v>1</v>
      </c>
      <c r="M799">
        <v>1</v>
      </c>
      <c r="N799">
        <v>1</v>
      </c>
      <c r="O799">
        <v>1</v>
      </c>
      <c r="R799">
        <f t="shared" si="35"/>
        <v>61</v>
      </c>
      <c r="S799">
        <v>1</v>
      </c>
      <c r="T799">
        <v>1</v>
      </c>
      <c r="U799">
        <v>1</v>
      </c>
      <c r="V799">
        <v>1</v>
      </c>
      <c r="W799">
        <v>1</v>
      </c>
      <c r="AA799">
        <v>-5796.3015999999998</v>
      </c>
      <c r="AB799">
        <v>-5796.3015999999998</v>
      </c>
      <c r="AC799">
        <v>-5796.3015999999998</v>
      </c>
      <c r="AD799">
        <v>-5796.3015999999998</v>
      </c>
      <c r="AE799">
        <v>-5796.3015999999998</v>
      </c>
      <c r="AF799">
        <v>-1178581.4038</v>
      </c>
    </row>
    <row r="800" spans="2:32" x14ac:dyDescent="0.25">
      <c r="B800">
        <f t="shared" si="33"/>
        <v>62</v>
      </c>
      <c r="C800">
        <v>1</v>
      </c>
      <c r="D800">
        <v>1</v>
      </c>
      <c r="E800">
        <v>1</v>
      </c>
      <c r="F800">
        <v>1</v>
      </c>
      <c r="G800">
        <v>1</v>
      </c>
      <c r="J800">
        <f t="shared" si="34"/>
        <v>62</v>
      </c>
      <c r="K800">
        <v>1</v>
      </c>
      <c r="L800">
        <v>1</v>
      </c>
      <c r="M800">
        <v>1</v>
      </c>
      <c r="N800">
        <v>1</v>
      </c>
      <c r="O800">
        <v>1</v>
      </c>
      <c r="R800">
        <f t="shared" si="35"/>
        <v>62</v>
      </c>
      <c r="S800">
        <v>1</v>
      </c>
      <c r="T800">
        <v>1</v>
      </c>
      <c r="U800">
        <v>1</v>
      </c>
      <c r="V800">
        <v>1</v>
      </c>
      <c r="W800">
        <v>1</v>
      </c>
      <c r="AA800">
        <v>-5645.2415000000001</v>
      </c>
      <c r="AB800">
        <v>-5645.2415000000001</v>
      </c>
      <c r="AC800">
        <v>-5645.2415000000001</v>
      </c>
      <c r="AD800">
        <v>-5645.2415000000001</v>
      </c>
      <c r="AE800">
        <v>-5645.2415000000001</v>
      </c>
      <c r="AF800">
        <v>-1199521.5327000001</v>
      </c>
    </row>
    <row r="801" spans="2:32" x14ac:dyDescent="0.25">
      <c r="B801">
        <f t="shared" si="33"/>
        <v>63</v>
      </c>
      <c r="C801">
        <v>1</v>
      </c>
      <c r="D801">
        <v>1</v>
      </c>
      <c r="E801">
        <v>1</v>
      </c>
      <c r="F801">
        <v>1</v>
      </c>
      <c r="G801">
        <v>1</v>
      </c>
      <c r="J801">
        <f t="shared" si="34"/>
        <v>63</v>
      </c>
      <c r="K801">
        <v>1</v>
      </c>
      <c r="L801">
        <v>1</v>
      </c>
      <c r="M801">
        <v>1</v>
      </c>
      <c r="N801">
        <v>1</v>
      </c>
      <c r="O801">
        <v>1</v>
      </c>
      <c r="R801">
        <f t="shared" si="35"/>
        <v>63</v>
      </c>
      <c r="S801">
        <v>1</v>
      </c>
      <c r="T801">
        <v>1</v>
      </c>
      <c r="U801">
        <v>1</v>
      </c>
      <c r="V801">
        <v>1</v>
      </c>
      <c r="W801">
        <v>1</v>
      </c>
      <c r="AA801">
        <v>-5492.4920000000002</v>
      </c>
      <c r="AB801">
        <v>-5492.4920000000002</v>
      </c>
      <c r="AC801">
        <v>-5492.4920000000002</v>
      </c>
      <c r="AD801">
        <v>-5492.4920000000002</v>
      </c>
      <c r="AE801">
        <v>-5492.4920000000002</v>
      </c>
      <c r="AF801">
        <v>-1220461.6269</v>
      </c>
    </row>
    <row r="802" spans="2:32" x14ac:dyDescent="0.25">
      <c r="B802">
        <f t="shared" si="33"/>
        <v>64</v>
      </c>
      <c r="C802">
        <v>1</v>
      </c>
      <c r="D802">
        <v>1</v>
      </c>
      <c r="E802">
        <v>1</v>
      </c>
      <c r="F802">
        <v>1</v>
      </c>
      <c r="G802">
        <v>1</v>
      </c>
      <c r="J802">
        <f t="shared" si="34"/>
        <v>64</v>
      </c>
      <c r="K802">
        <v>1</v>
      </c>
      <c r="L802">
        <v>1</v>
      </c>
      <c r="M802">
        <v>1</v>
      </c>
      <c r="N802">
        <v>1</v>
      </c>
      <c r="O802">
        <v>1</v>
      </c>
      <c r="R802">
        <f t="shared" si="35"/>
        <v>64</v>
      </c>
      <c r="S802">
        <v>1</v>
      </c>
      <c r="T802">
        <v>1</v>
      </c>
      <c r="U802">
        <v>1</v>
      </c>
      <c r="V802">
        <v>1</v>
      </c>
      <c r="W802">
        <v>1</v>
      </c>
      <c r="AA802">
        <v>-5338.1817000000001</v>
      </c>
      <c r="AB802">
        <v>-5338.1817000000001</v>
      </c>
      <c r="AC802">
        <v>-5338.1817000000001</v>
      </c>
      <c r="AD802">
        <v>-5338.1817000000001</v>
      </c>
      <c r="AE802">
        <v>-5338.1817000000001</v>
      </c>
      <c r="AF802">
        <v>-1240652.2526</v>
      </c>
    </row>
    <row r="803" spans="2:32" x14ac:dyDescent="0.25">
      <c r="B803">
        <f t="shared" si="33"/>
        <v>65</v>
      </c>
      <c r="C803">
        <v>1</v>
      </c>
      <c r="D803">
        <v>1</v>
      </c>
      <c r="E803">
        <v>1</v>
      </c>
      <c r="F803">
        <v>1</v>
      </c>
      <c r="G803">
        <v>1</v>
      </c>
      <c r="J803">
        <f t="shared" si="34"/>
        <v>65</v>
      </c>
      <c r="K803">
        <v>1</v>
      </c>
      <c r="L803">
        <v>1</v>
      </c>
      <c r="M803">
        <v>1</v>
      </c>
      <c r="N803">
        <v>1</v>
      </c>
      <c r="O803">
        <v>1</v>
      </c>
      <c r="R803">
        <f t="shared" si="35"/>
        <v>65</v>
      </c>
      <c r="S803">
        <v>1</v>
      </c>
      <c r="T803">
        <v>1</v>
      </c>
      <c r="U803">
        <v>1</v>
      </c>
      <c r="V803">
        <v>1</v>
      </c>
      <c r="W803">
        <v>1</v>
      </c>
      <c r="AA803">
        <v>-5182.2268999999997</v>
      </c>
      <c r="AB803">
        <v>-5182.2268999999997</v>
      </c>
      <c r="AC803">
        <v>-5182.2268999999997</v>
      </c>
      <c r="AD803">
        <v>-5182.2268999999997</v>
      </c>
      <c r="AE803">
        <v>-5182.2268999999997</v>
      </c>
      <c r="AF803">
        <v>-1260049.8302</v>
      </c>
    </row>
    <row r="806" spans="2:32" x14ac:dyDescent="0.25">
      <c r="B806" t="s">
        <v>46</v>
      </c>
      <c r="C806">
        <v>50000</v>
      </c>
      <c r="D806">
        <v>100000</v>
      </c>
      <c r="E806">
        <v>250000</v>
      </c>
      <c r="F806">
        <v>500000</v>
      </c>
      <c r="G806">
        <v>1000000</v>
      </c>
      <c r="H806">
        <v>2000000</v>
      </c>
      <c r="J806" t="s">
        <v>47</v>
      </c>
      <c r="K806">
        <v>50000</v>
      </c>
      <c r="L806">
        <v>100000</v>
      </c>
      <c r="M806">
        <v>250000</v>
      </c>
      <c r="N806">
        <v>500000</v>
      </c>
      <c r="O806">
        <v>1000000</v>
      </c>
      <c r="P806">
        <v>2000000</v>
      </c>
      <c r="R806" t="s">
        <v>48</v>
      </c>
      <c r="S806">
        <v>50000</v>
      </c>
      <c r="T806">
        <v>100000</v>
      </c>
      <c r="U806">
        <v>250000</v>
      </c>
      <c r="V806">
        <v>500000</v>
      </c>
      <c r="W806">
        <v>1000000</v>
      </c>
      <c r="X806">
        <v>2000000</v>
      </c>
    </row>
    <row r="807" spans="2:32" x14ac:dyDescent="0.25">
      <c r="B807">
        <v>26</v>
      </c>
      <c r="C807">
        <v>1</v>
      </c>
      <c r="D807">
        <v>1</v>
      </c>
      <c r="E807">
        <v>1</v>
      </c>
      <c r="F807">
        <v>1</v>
      </c>
      <c r="G807">
        <v>1</v>
      </c>
      <c r="H807">
        <v>1</v>
      </c>
      <c r="J807">
        <v>26</v>
      </c>
      <c r="K807">
        <v>1</v>
      </c>
      <c r="L807">
        <v>1</v>
      </c>
      <c r="M807">
        <v>1</v>
      </c>
      <c r="N807">
        <v>1</v>
      </c>
      <c r="O807">
        <v>1</v>
      </c>
      <c r="P807">
        <v>1</v>
      </c>
      <c r="R807">
        <v>26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AA807">
        <v>-5174.8482999999997</v>
      </c>
      <c r="AB807">
        <v>-5174.8482999999997</v>
      </c>
      <c r="AC807">
        <v>-5174.8482999999997</v>
      </c>
      <c r="AD807">
        <v>-5174.8482999999997</v>
      </c>
      <c r="AE807">
        <v>-5174.8482999999997</v>
      </c>
      <c r="AF807">
        <v>-5174.8482999999997</v>
      </c>
    </row>
    <row r="808" spans="2:32" x14ac:dyDescent="0.25">
      <c r="B808">
        <v>27</v>
      </c>
      <c r="C808">
        <v>1</v>
      </c>
      <c r="D808">
        <v>1</v>
      </c>
      <c r="E808">
        <v>1</v>
      </c>
      <c r="F808">
        <v>1</v>
      </c>
      <c r="G808">
        <v>1</v>
      </c>
      <c r="H808">
        <v>1</v>
      </c>
      <c r="J808">
        <v>27</v>
      </c>
      <c r="K808">
        <v>1</v>
      </c>
      <c r="L808">
        <v>1</v>
      </c>
      <c r="M808">
        <v>1</v>
      </c>
      <c r="N808">
        <v>1</v>
      </c>
      <c r="O808">
        <v>1</v>
      </c>
      <c r="P808">
        <v>1</v>
      </c>
      <c r="R808">
        <v>27</v>
      </c>
      <c r="S808">
        <v>1</v>
      </c>
      <c r="T808">
        <v>1</v>
      </c>
      <c r="U808">
        <v>1</v>
      </c>
      <c r="V808">
        <v>1</v>
      </c>
      <c r="W808">
        <v>1</v>
      </c>
      <c r="X808">
        <v>1</v>
      </c>
      <c r="AA808">
        <v>-5173.6036999999997</v>
      </c>
      <c r="AB808">
        <v>-5173.6036999999997</v>
      </c>
      <c r="AC808">
        <v>-5173.6036999999997</v>
      </c>
      <c r="AD808">
        <v>-5173.6036999999997</v>
      </c>
      <c r="AE808">
        <v>-5173.6036999999997</v>
      </c>
      <c r="AF808">
        <v>-5173.6036999999997</v>
      </c>
    </row>
    <row r="809" spans="2:32" x14ac:dyDescent="0.25">
      <c r="B809">
        <v>28</v>
      </c>
      <c r="C809">
        <v>1</v>
      </c>
      <c r="D809">
        <v>1</v>
      </c>
      <c r="E809">
        <v>1</v>
      </c>
      <c r="F809">
        <v>1</v>
      </c>
      <c r="G809">
        <v>1</v>
      </c>
      <c r="H809">
        <v>1</v>
      </c>
      <c r="J809">
        <v>28</v>
      </c>
      <c r="K809">
        <v>1</v>
      </c>
      <c r="L809">
        <v>1</v>
      </c>
      <c r="M809">
        <v>1</v>
      </c>
      <c r="N809">
        <v>1</v>
      </c>
      <c r="O809">
        <v>1</v>
      </c>
      <c r="P809">
        <v>1</v>
      </c>
      <c r="R809">
        <v>28</v>
      </c>
      <c r="S809">
        <v>1</v>
      </c>
      <c r="T809">
        <v>1</v>
      </c>
      <c r="U809">
        <v>1</v>
      </c>
      <c r="V809">
        <v>1</v>
      </c>
      <c r="W809">
        <v>1</v>
      </c>
      <c r="X809">
        <v>1</v>
      </c>
      <c r="AA809">
        <v>-5172.1755999999996</v>
      </c>
      <c r="AB809">
        <v>-5172.1755999999996</v>
      </c>
      <c r="AC809">
        <v>-5172.1755999999996</v>
      </c>
      <c r="AD809">
        <v>-5172.1755999999996</v>
      </c>
      <c r="AE809">
        <v>-5172.1755999999996</v>
      </c>
      <c r="AF809">
        <v>-5172.1755999999996</v>
      </c>
    </row>
    <row r="810" spans="2:32" x14ac:dyDescent="0.25">
      <c r="B810">
        <v>29</v>
      </c>
      <c r="C810">
        <v>1</v>
      </c>
      <c r="D810">
        <v>1</v>
      </c>
      <c r="E810">
        <v>1</v>
      </c>
      <c r="F810">
        <v>1</v>
      </c>
      <c r="G810">
        <v>1</v>
      </c>
      <c r="H810">
        <v>1</v>
      </c>
      <c r="J810">
        <v>29</v>
      </c>
      <c r="K810">
        <v>1</v>
      </c>
      <c r="L810">
        <v>1</v>
      </c>
      <c r="M810">
        <v>1</v>
      </c>
      <c r="N810">
        <v>1</v>
      </c>
      <c r="O810">
        <v>1</v>
      </c>
      <c r="P810">
        <v>1</v>
      </c>
      <c r="R810">
        <v>29</v>
      </c>
      <c r="S810">
        <v>1</v>
      </c>
      <c r="T810">
        <v>1</v>
      </c>
      <c r="U810">
        <v>1</v>
      </c>
      <c r="V810">
        <v>1</v>
      </c>
      <c r="W810">
        <v>1</v>
      </c>
      <c r="X810">
        <v>1</v>
      </c>
      <c r="AA810">
        <v>-5170.5482000000002</v>
      </c>
      <c r="AB810">
        <v>-5170.5482000000002</v>
      </c>
      <c r="AC810">
        <v>-5170.5482000000002</v>
      </c>
      <c r="AD810">
        <v>-5170.5482000000002</v>
      </c>
      <c r="AE810">
        <v>-5170.5482000000002</v>
      </c>
      <c r="AF810">
        <v>-5170.5482000000002</v>
      </c>
    </row>
    <row r="811" spans="2:32" x14ac:dyDescent="0.25">
      <c r="B811">
        <v>30</v>
      </c>
      <c r="C811">
        <v>1</v>
      </c>
      <c r="D811">
        <v>1</v>
      </c>
      <c r="E811">
        <v>1</v>
      </c>
      <c r="F811">
        <v>1</v>
      </c>
      <c r="G811">
        <v>1</v>
      </c>
      <c r="H811">
        <v>1</v>
      </c>
      <c r="J811">
        <v>30</v>
      </c>
      <c r="K811">
        <v>1</v>
      </c>
      <c r="L811">
        <v>1</v>
      </c>
      <c r="M811">
        <v>1</v>
      </c>
      <c r="N811">
        <v>1</v>
      </c>
      <c r="O811">
        <v>1</v>
      </c>
      <c r="P811">
        <v>1</v>
      </c>
      <c r="R811">
        <v>30</v>
      </c>
      <c r="S811">
        <v>1</v>
      </c>
      <c r="T811">
        <v>1</v>
      </c>
      <c r="U811">
        <v>1</v>
      </c>
      <c r="V811">
        <v>1</v>
      </c>
      <c r="W811">
        <v>1</v>
      </c>
      <c r="X811">
        <v>1</v>
      </c>
      <c r="AA811">
        <v>-5168.6908999999996</v>
      </c>
      <c r="AB811">
        <v>-5168.6908999999996</v>
      </c>
      <c r="AC811">
        <v>-5168.6908999999996</v>
      </c>
      <c r="AD811">
        <v>-5168.6908999999996</v>
      </c>
      <c r="AE811">
        <v>-5168.6908999999996</v>
      </c>
      <c r="AF811">
        <v>-5168.6908999999996</v>
      </c>
    </row>
    <row r="812" spans="2:32" x14ac:dyDescent="0.25">
      <c r="B812">
        <v>31</v>
      </c>
      <c r="C812">
        <v>1</v>
      </c>
      <c r="D812">
        <v>1</v>
      </c>
      <c r="E812">
        <v>1</v>
      </c>
      <c r="F812">
        <v>1</v>
      </c>
      <c r="G812">
        <v>1</v>
      </c>
      <c r="H812">
        <v>1</v>
      </c>
      <c r="J812">
        <v>31</v>
      </c>
      <c r="K812">
        <v>1</v>
      </c>
      <c r="L812">
        <v>1</v>
      </c>
      <c r="M812">
        <v>1</v>
      </c>
      <c r="N812">
        <v>1</v>
      </c>
      <c r="O812">
        <v>1</v>
      </c>
      <c r="P812">
        <v>1</v>
      </c>
      <c r="R812">
        <v>31</v>
      </c>
      <c r="S812">
        <v>1</v>
      </c>
      <c r="T812">
        <v>1</v>
      </c>
      <c r="U812">
        <v>1</v>
      </c>
      <c r="V812">
        <v>1</v>
      </c>
      <c r="W812">
        <v>1</v>
      </c>
      <c r="X812">
        <v>1</v>
      </c>
      <c r="AA812">
        <v>-5166.5891000000001</v>
      </c>
      <c r="AB812">
        <v>-5166.5891000000001</v>
      </c>
      <c r="AC812">
        <v>-5166.5891000000001</v>
      </c>
      <c r="AD812">
        <v>-5166.5891000000001</v>
      </c>
      <c r="AE812">
        <v>-5166.5891000000001</v>
      </c>
      <c r="AF812">
        <v>-5166.5891000000001</v>
      </c>
    </row>
    <row r="813" spans="2:32" x14ac:dyDescent="0.25">
      <c r="B813">
        <v>32</v>
      </c>
      <c r="C813">
        <v>1</v>
      </c>
      <c r="D813">
        <v>1</v>
      </c>
      <c r="E813">
        <v>1</v>
      </c>
      <c r="F813">
        <v>1</v>
      </c>
      <c r="G813">
        <v>1</v>
      </c>
      <c r="H813">
        <v>1</v>
      </c>
      <c r="J813">
        <v>32</v>
      </c>
      <c r="K813">
        <v>1</v>
      </c>
      <c r="L813">
        <v>1</v>
      </c>
      <c r="M813">
        <v>1</v>
      </c>
      <c r="N813">
        <v>1</v>
      </c>
      <c r="O813">
        <v>1</v>
      </c>
      <c r="P813">
        <v>1</v>
      </c>
      <c r="R813">
        <v>32</v>
      </c>
      <c r="S813">
        <v>1</v>
      </c>
      <c r="T813">
        <v>1</v>
      </c>
      <c r="U813">
        <v>1</v>
      </c>
      <c r="V813">
        <v>1</v>
      </c>
      <c r="W813">
        <v>1</v>
      </c>
      <c r="X813">
        <v>1</v>
      </c>
      <c r="AA813">
        <v>-5164.2407000000003</v>
      </c>
      <c r="AB813">
        <v>-5164.2407000000003</v>
      </c>
      <c r="AC813">
        <v>-5164.2407000000003</v>
      </c>
      <c r="AD813">
        <v>-5164.2407000000003</v>
      </c>
      <c r="AE813">
        <v>-5164.2407000000003</v>
      </c>
      <c r="AF813">
        <v>-5164.2407000000003</v>
      </c>
    </row>
    <row r="814" spans="2:32" x14ac:dyDescent="0.25">
      <c r="B814">
        <v>33</v>
      </c>
      <c r="C814">
        <v>1</v>
      </c>
      <c r="D814">
        <v>1</v>
      </c>
      <c r="E814">
        <v>1</v>
      </c>
      <c r="F814">
        <v>1</v>
      </c>
      <c r="G814">
        <v>1</v>
      </c>
      <c r="H814">
        <v>1</v>
      </c>
      <c r="J814">
        <v>33</v>
      </c>
      <c r="K814">
        <v>1</v>
      </c>
      <c r="L814">
        <v>1</v>
      </c>
      <c r="M814">
        <v>1</v>
      </c>
      <c r="N814">
        <v>1</v>
      </c>
      <c r="O814">
        <v>1</v>
      </c>
      <c r="P814">
        <v>1</v>
      </c>
      <c r="R814">
        <v>33</v>
      </c>
      <c r="S814">
        <v>1</v>
      </c>
      <c r="T814">
        <v>1</v>
      </c>
      <c r="U814">
        <v>1</v>
      </c>
      <c r="V814">
        <v>1</v>
      </c>
      <c r="W814">
        <v>1</v>
      </c>
      <c r="X814">
        <v>1</v>
      </c>
      <c r="AA814">
        <v>-5161.6318000000001</v>
      </c>
      <c r="AB814">
        <v>-5161.6318000000001</v>
      </c>
      <c r="AC814">
        <v>-5161.6318000000001</v>
      </c>
      <c r="AD814">
        <v>-5161.6318000000001</v>
      </c>
      <c r="AE814">
        <v>-5161.6318000000001</v>
      </c>
      <c r="AF814">
        <v>-5161.6318000000001</v>
      </c>
    </row>
    <row r="815" spans="2:32" x14ac:dyDescent="0.25">
      <c r="B815">
        <v>34</v>
      </c>
      <c r="C815">
        <v>1</v>
      </c>
      <c r="D815">
        <v>1</v>
      </c>
      <c r="E815">
        <v>1</v>
      </c>
      <c r="F815">
        <v>1</v>
      </c>
      <c r="G815">
        <v>1</v>
      </c>
      <c r="H815">
        <v>1</v>
      </c>
      <c r="J815">
        <v>34</v>
      </c>
      <c r="K815">
        <v>1</v>
      </c>
      <c r="L815">
        <v>1</v>
      </c>
      <c r="M815">
        <v>1</v>
      </c>
      <c r="N815">
        <v>1</v>
      </c>
      <c r="O815">
        <v>1</v>
      </c>
      <c r="P815">
        <v>1</v>
      </c>
      <c r="R815">
        <v>34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AA815">
        <v>-5158.7194</v>
      </c>
      <c r="AB815">
        <v>-5158.7194</v>
      </c>
      <c r="AC815">
        <v>-5158.7194</v>
      </c>
      <c r="AD815">
        <v>-5158.7194</v>
      </c>
      <c r="AE815">
        <v>-5158.7194</v>
      </c>
      <c r="AF815">
        <v>-5158.7194</v>
      </c>
    </row>
    <row r="816" spans="2:32" x14ac:dyDescent="0.25">
      <c r="B816">
        <v>35</v>
      </c>
      <c r="C816">
        <v>1</v>
      </c>
      <c r="D816">
        <v>1</v>
      </c>
      <c r="E816">
        <v>1</v>
      </c>
      <c r="F816">
        <v>1</v>
      </c>
      <c r="G816">
        <v>1</v>
      </c>
      <c r="H816">
        <v>1</v>
      </c>
      <c r="J816">
        <v>35</v>
      </c>
      <c r="K816">
        <v>1</v>
      </c>
      <c r="L816">
        <v>1</v>
      </c>
      <c r="M816">
        <v>1</v>
      </c>
      <c r="N816">
        <v>1</v>
      </c>
      <c r="O816">
        <v>1</v>
      </c>
      <c r="P816">
        <v>1</v>
      </c>
      <c r="R816">
        <v>35</v>
      </c>
      <c r="S816">
        <v>1</v>
      </c>
      <c r="T816">
        <v>1</v>
      </c>
      <c r="U816">
        <v>1</v>
      </c>
      <c r="V816">
        <v>1</v>
      </c>
      <c r="W816">
        <v>1</v>
      </c>
      <c r="X816">
        <v>1</v>
      </c>
      <c r="AA816">
        <v>-5155.4901</v>
      </c>
      <c r="AB816">
        <v>-5155.4901</v>
      </c>
      <c r="AC816">
        <v>-5155.4901</v>
      </c>
      <c r="AD816">
        <v>-5155.4901</v>
      </c>
      <c r="AE816">
        <v>-5155.4901</v>
      </c>
      <c r="AF816">
        <v>-5155.4901</v>
      </c>
    </row>
    <row r="817" spans="2:32" x14ac:dyDescent="0.25">
      <c r="B817">
        <v>36</v>
      </c>
      <c r="C817">
        <v>1</v>
      </c>
      <c r="D817">
        <v>1</v>
      </c>
      <c r="E817">
        <v>1</v>
      </c>
      <c r="F817">
        <v>1</v>
      </c>
      <c r="G817">
        <v>1</v>
      </c>
      <c r="H817">
        <v>1</v>
      </c>
      <c r="J817">
        <v>36</v>
      </c>
      <c r="K817">
        <v>1</v>
      </c>
      <c r="L817">
        <v>1</v>
      </c>
      <c r="M817">
        <v>1</v>
      </c>
      <c r="N817">
        <v>1</v>
      </c>
      <c r="O817">
        <v>1</v>
      </c>
      <c r="P817">
        <v>1</v>
      </c>
      <c r="R817">
        <v>36</v>
      </c>
      <c r="S817">
        <v>1</v>
      </c>
      <c r="T817">
        <v>1</v>
      </c>
      <c r="U817">
        <v>1</v>
      </c>
      <c r="V817">
        <v>1</v>
      </c>
      <c r="W817">
        <v>1</v>
      </c>
      <c r="X817">
        <v>1</v>
      </c>
      <c r="AA817">
        <v>-5151.8950999999997</v>
      </c>
      <c r="AB817">
        <v>-5151.8950999999997</v>
      </c>
      <c r="AC817">
        <v>-5151.8950999999997</v>
      </c>
      <c r="AD817">
        <v>-5151.8950999999997</v>
      </c>
      <c r="AE817">
        <v>-5151.8950999999997</v>
      </c>
      <c r="AF817">
        <v>-5151.8950999999997</v>
      </c>
    </row>
    <row r="818" spans="2:32" x14ac:dyDescent="0.25">
      <c r="B818">
        <v>37</v>
      </c>
      <c r="C818">
        <v>1</v>
      </c>
      <c r="D818">
        <v>1</v>
      </c>
      <c r="E818">
        <v>1</v>
      </c>
      <c r="F818">
        <v>1</v>
      </c>
      <c r="G818">
        <v>1</v>
      </c>
      <c r="H818">
        <v>1</v>
      </c>
      <c r="J818">
        <v>37</v>
      </c>
      <c r="K818">
        <v>1</v>
      </c>
      <c r="L818">
        <v>1</v>
      </c>
      <c r="M818">
        <v>1</v>
      </c>
      <c r="N818">
        <v>1</v>
      </c>
      <c r="O818">
        <v>1</v>
      </c>
      <c r="P818">
        <v>1</v>
      </c>
      <c r="R818">
        <v>37</v>
      </c>
      <c r="S818">
        <v>1</v>
      </c>
      <c r="T818">
        <v>1</v>
      </c>
      <c r="U818">
        <v>1</v>
      </c>
      <c r="V818">
        <v>1</v>
      </c>
      <c r="W818">
        <v>1</v>
      </c>
      <c r="X818">
        <v>1</v>
      </c>
      <c r="AA818">
        <v>-5147.9106000000002</v>
      </c>
      <c r="AB818">
        <v>-5147.9106000000002</v>
      </c>
      <c r="AC818">
        <v>-5147.9106000000002</v>
      </c>
      <c r="AD818">
        <v>-5147.9106000000002</v>
      </c>
      <c r="AE818">
        <v>-5147.9106000000002</v>
      </c>
      <c r="AF818">
        <v>-5147.9106000000002</v>
      </c>
    </row>
    <row r="819" spans="2:32" x14ac:dyDescent="0.25">
      <c r="B819">
        <v>38</v>
      </c>
      <c r="C819">
        <v>1</v>
      </c>
      <c r="D819">
        <v>1</v>
      </c>
      <c r="E819">
        <v>1</v>
      </c>
      <c r="F819">
        <v>1</v>
      </c>
      <c r="G819">
        <v>1</v>
      </c>
      <c r="H819">
        <v>1</v>
      </c>
      <c r="J819">
        <v>38</v>
      </c>
      <c r="K819">
        <v>1</v>
      </c>
      <c r="L819">
        <v>1</v>
      </c>
      <c r="M819">
        <v>1</v>
      </c>
      <c r="N819">
        <v>1</v>
      </c>
      <c r="O819">
        <v>1</v>
      </c>
      <c r="P819">
        <v>1</v>
      </c>
      <c r="R819">
        <v>38</v>
      </c>
      <c r="S819">
        <v>1</v>
      </c>
      <c r="T819">
        <v>1</v>
      </c>
      <c r="U819">
        <v>1</v>
      </c>
      <c r="V819">
        <v>1</v>
      </c>
      <c r="W819">
        <v>1</v>
      </c>
      <c r="X819">
        <v>1</v>
      </c>
      <c r="AA819">
        <v>-5143.5393999999997</v>
      </c>
      <c r="AB819">
        <v>-5143.5393999999997</v>
      </c>
      <c r="AC819">
        <v>-5143.5393999999997</v>
      </c>
      <c r="AD819">
        <v>-5143.5393999999997</v>
      </c>
      <c r="AE819">
        <v>-5143.5393999999997</v>
      </c>
      <c r="AF819">
        <v>-5143.5393999999997</v>
      </c>
    </row>
    <row r="820" spans="2:32" x14ac:dyDescent="0.25">
      <c r="B820">
        <v>39</v>
      </c>
      <c r="C820">
        <v>1</v>
      </c>
      <c r="D820">
        <v>1</v>
      </c>
      <c r="E820">
        <v>1</v>
      </c>
      <c r="F820">
        <v>1</v>
      </c>
      <c r="G820">
        <v>1</v>
      </c>
      <c r="H820">
        <v>1</v>
      </c>
      <c r="J820">
        <v>39</v>
      </c>
      <c r="K820">
        <v>1</v>
      </c>
      <c r="L820">
        <v>1</v>
      </c>
      <c r="M820">
        <v>1</v>
      </c>
      <c r="N820">
        <v>1</v>
      </c>
      <c r="O820">
        <v>1</v>
      </c>
      <c r="P820">
        <v>1</v>
      </c>
      <c r="R820">
        <v>39</v>
      </c>
      <c r="S820">
        <v>1</v>
      </c>
      <c r="T820">
        <v>1</v>
      </c>
      <c r="U820">
        <v>1</v>
      </c>
      <c r="V820">
        <v>1</v>
      </c>
      <c r="W820">
        <v>1</v>
      </c>
      <c r="X820">
        <v>1</v>
      </c>
      <c r="AA820">
        <v>-5138.76</v>
      </c>
      <c r="AB820">
        <v>-5138.76</v>
      </c>
      <c r="AC820">
        <v>-5138.76</v>
      </c>
      <c r="AD820">
        <v>-5138.76</v>
      </c>
      <c r="AE820">
        <v>-5138.76</v>
      </c>
      <c r="AF820">
        <v>-5138.76</v>
      </c>
    </row>
    <row r="821" spans="2:32" x14ac:dyDescent="0.25">
      <c r="B821">
        <v>40</v>
      </c>
      <c r="C821">
        <v>1</v>
      </c>
      <c r="D821">
        <v>1</v>
      </c>
      <c r="E821">
        <v>1</v>
      </c>
      <c r="F821">
        <v>1</v>
      </c>
      <c r="G821">
        <v>1</v>
      </c>
      <c r="H821">
        <v>1</v>
      </c>
      <c r="J821">
        <v>40</v>
      </c>
      <c r="K821">
        <v>1</v>
      </c>
      <c r="L821">
        <v>1</v>
      </c>
      <c r="M821">
        <v>1</v>
      </c>
      <c r="N821">
        <v>1</v>
      </c>
      <c r="O821">
        <v>1</v>
      </c>
      <c r="P821">
        <v>1</v>
      </c>
      <c r="R821">
        <v>40</v>
      </c>
      <c r="S821">
        <v>1</v>
      </c>
      <c r="T821">
        <v>1</v>
      </c>
      <c r="U821">
        <v>1</v>
      </c>
      <c r="V821">
        <v>1</v>
      </c>
      <c r="W821">
        <v>1</v>
      </c>
      <c r="X821">
        <v>1</v>
      </c>
      <c r="AA821">
        <v>-5133.5084999999999</v>
      </c>
      <c r="AB821">
        <v>-5133.5084999999999</v>
      </c>
      <c r="AC821">
        <v>-5133.5084999999999</v>
      </c>
      <c r="AD821">
        <v>-5133.5084999999999</v>
      </c>
      <c r="AE821">
        <v>-5133.5084999999999</v>
      </c>
      <c r="AF821">
        <v>-5133.5084999999999</v>
      </c>
    </row>
    <row r="822" spans="2:32" x14ac:dyDescent="0.25">
      <c r="B822">
        <v>41</v>
      </c>
      <c r="C822">
        <v>1</v>
      </c>
      <c r="D822">
        <v>1</v>
      </c>
      <c r="E822">
        <v>1</v>
      </c>
      <c r="F822">
        <v>1</v>
      </c>
      <c r="G822">
        <v>1</v>
      </c>
      <c r="H822">
        <v>1</v>
      </c>
      <c r="J822">
        <v>41</v>
      </c>
      <c r="K822">
        <v>1</v>
      </c>
      <c r="L822">
        <v>1</v>
      </c>
      <c r="M822">
        <v>1</v>
      </c>
      <c r="N822">
        <v>1</v>
      </c>
      <c r="O822">
        <v>1</v>
      </c>
      <c r="P822">
        <v>1</v>
      </c>
      <c r="R822">
        <v>41</v>
      </c>
      <c r="S822">
        <v>1</v>
      </c>
      <c r="T822">
        <v>1</v>
      </c>
      <c r="U822">
        <v>1</v>
      </c>
      <c r="V822">
        <v>1</v>
      </c>
      <c r="W822">
        <v>1</v>
      </c>
      <c r="X822">
        <v>1</v>
      </c>
      <c r="AA822">
        <v>-5127.7236000000003</v>
      </c>
      <c r="AB822">
        <v>-5127.7236000000003</v>
      </c>
      <c r="AC822">
        <v>-5127.7236000000003</v>
      </c>
      <c r="AD822">
        <v>-5127.7236000000003</v>
      </c>
      <c r="AE822">
        <v>-5127.7236000000003</v>
      </c>
      <c r="AF822">
        <v>-5127.7236000000003</v>
      </c>
    </row>
    <row r="823" spans="2:32" x14ac:dyDescent="0.25">
      <c r="B823">
        <v>42</v>
      </c>
      <c r="C823">
        <v>1</v>
      </c>
      <c r="D823">
        <v>1</v>
      </c>
      <c r="E823">
        <v>1</v>
      </c>
      <c r="F823">
        <v>1</v>
      </c>
      <c r="G823">
        <v>1</v>
      </c>
      <c r="H823">
        <v>1</v>
      </c>
      <c r="J823">
        <v>42</v>
      </c>
      <c r="K823">
        <v>1</v>
      </c>
      <c r="L823">
        <v>1</v>
      </c>
      <c r="M823">
        <v>1</v>
      </c>
      <c r="N823">
        <v>1</v>
      </c>
      <c r="O823">
        <v>1</v>
      </c>
      <c r="P823">
        <v>1</v>
      </c>
      <c r="R823">
        <v>42</v>
      </c>
      <c r="S823">
        <v>1</v>
      </c>
      <c r="T823">
        <v>1</v>
      </c>
      <c r="U823">
        <v>1</v>
      </c>
      <c r="V823">
        <v>1</v>
      </c>
      <c r="W823">
        <v>1</v>
      </c>
      <c r="X823">
        <v>1</v>
      </c>
      <c r="AA823">
        <v>-5121.3726999999999</v>
      </c>
      <c r="AB823">
        <v>-5121.3726999999999</v>
      </c>
      <c r="AC823">
        <v>-5121.3726999999999</v>
      </c>
      <c r="AD823">
        <v>-5121.3726999999999</v>
      </c>
      <c r="AE823">
        <v>-5121.3726999999999</v>
      </c>
      <c r="AF823">
        <v>-5121.3726999999999</v>
      </c>
    </row>
    <row r="824" spans="2:32" x14ac:dyDescent="0.25">
      <c r="B824">
        <v>43</v>
      </c>
      <c r="C824">
        <v>1</v>
      </c>
      <c r="D824">
        <v>1</v>
      </c>
      <c r="E824">
        <v>1</v>
      </c>
      <c r="F824">
        <v>1</v>
      </c>
      <c r="G824">
        <v>1</v>
      </c>
      <c r="H824">
        <v>1</v>
      </c>
      <c r="J824">
        <v>43</v>
      </c>
      <c r="K824">
        <v>1</v>
      </c>
      <c r="L824">
        <v>1</v>
      </c>
      <c r="M824">
        <v>1</v>
      </c>
      <c r="N824">
        <v>1</v>
      </c>
      <c r="O824">
        <v>1</v>
      </c>
      <c r="P824">
        <v>1</v>
      </c>
      <c r="R824">
        <v>43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AA824">
        <v>-5114.3449000000001</v>
      </c>
      <c r="AB824">
        <v>-5114.3449000000001</v>
      </c>
      <c r="AC824">
        <v>-5114.3449000000001</v>
      </c>
      <c r="AD824">
        <v>-5114.3449000000001</v>
      </c>
      <c r="AE824">
        <v>-5114.3449000000001</v>
      </c>
      <c r="AF824">
        <v>-5114.3449000000001</v>
      </c>
    </row>
    <row r="825" spans="2:32" x14ac:dyDescent="0.25">
      <c r="B825">
        <v>44</v>
      </c>
      <c r="C825">
        <v>1</v>
      </c>
      <c r="D825">
        <v>1</v>
      </c>
      <c r="E825">
        <v>1</v>
      </c>
      <c r="F825">
        <v>1</v>
      </c>
      <c r="G825">
        <v>1</v>
      </c>
      <c r="H825">
        <v>1</v>
      </c>
      <c r="J825">
        <v>44</v>
      </c>
      <c r="K825">
        <v>1</v>
      </c>
      <c r="L825">
        <v>1</v>
      </c>
      <c r="M825">
        <v>1</v>
      </c>
      <c r="N825">
        <v>1</v>
      </c>
      <c r="O825">
        <v>1</v>
      </c>
      <c r="P825">
        <v>1</v>
      </c>
      <c r="R825">
        <v>44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AA825">
        <v>-5106.5976000000001</v>
      </c>
      <c r="AB825">
        <v>-5106.5976000000001</v>
      </c>
      <c r="AC825">
        <v>-5106.5976000000001</v>
      </c>
      <c r="AD825">
        <v>-5106.5976000000001</v>
      </c>
      <c r="AE825">
        <v>-5106.5976000000001</v>
      </c>
      <c r="AF825">
        <v>-5106.5976000000001</v>
      </c>
    </row>
    <row r="826" spans="2:32" x14ac:dyDescent="0.25">
      <c r="B826">
        <v>45</v>
      </c>
      <c r="C826">
        <v>1</v>
      </c>
      <c r="D826">
        <v>1</v>
      </c>
      <c r="E826">
        <v>1</v>
      </c>
      <c r="F826">
        <v>1</v>
      </c>
      <c r="G826">
        <v>1</v>
      </c>
      <c r="H826">
        <v>1</v>
      </c>
      <c r="J826">
        <v>45</v>
      </c>
      <c r="K826">
        <v>1</v>
      </c>
      <c r="L826">
        <v>1</v>
      </c>
      <c r="M826">
        <v>1</v>
      </c>
      <c r="N826">
        <v>1</v>
      </c>
      <c r="O826">
        <v>1</v>
      </c>
      <c r="P826">
        <v>1</v>
      </c>
      <c r="R826">
        <v>45</v>
      </c>
      <c r="S826">
        <v>1</v>
      </c>
      <c r="T826">
        <v>1</v>
      </c>
      <c r="U826">
        <v>1</v>
      </c>
      <c r="V826">
        <v>1</v>
      </c>
      <c r="W826">
        <v>1</v>
      </c>
      <c r="X826">
        <v>1</v>
      </c>
      <c r="AA826">
        <v>-5098.0524999999998</v>
      </c>
      <c r="AB826">
        <v>-5098.0524999999998</v>
      </c>
      <c r="AC826">
        <v>-5098.0524999999998</v>
      </c>
      <c r="AD826">
        <v>-5098.0524999999998</v>
      </c>
      <c r="AE826">
        <v>-5098.0524999999998</v>
      </c>
      <c r="AF826">
        <v>-5098.0524999999998</v>
      </c>
    </row>
    <row r="827" spans="2:32" x14ac:dyDescent="0.25">
      <c r="B827">
        <v>46</v>
      </c>
      <c r="C827">
        <v>1</v>
      </c>
      <c r="D827">
        <v>1</v>
      </c>
      <c r="E827">
        <v>1</v>
      </c>
      <c r="F827">
        <v>1</v>
      </c>
      <c r="G827">
        <v>1</v>
      </c>
      <c r="H827">
        <v>1</v>
      </c>
      <c r="J827">
        <v>46</v>
      </c>
      <c r="K827">
        <v>1</v>
      </c>
      <c r="L827">
        <v>1</v>
      </c>
      <c r="M827">
        <v>1</v>
      </c>
      <c r="N827">
        <v>1</v>
      </c>
      <c r="O827">
        <v>1</v>
      </c>
      <c r="P827">
        <v>1</v>
      </c>
      <c r="R827">
        <v>46</v>
      </c>
      <c r="S827">
        <v>1</v>
      </c>
      <c r="T827">
        <v>1</v>
      </c>
      <c r="U827">
        <v>1</v>
      </c>
      <c r="V827">
        <v>1</v>
      </c>
      <c r="W827">
        <v>1</v>
      </c>
      <c r="X827">
        <v>1</v>
      </c>
      <c r="AA827">
        <v>-5088.6378000000004</v>
      </c>
      <c r="AB827">
        <v>-5088.6378000000004</v>
      </c>
      <c r="AC827">
        <v>-5088.6378000000004</v>
      </c>
      <c r="AD827">
        <v>-5088.6378000000004</v>
      </c>
      <c r="AE827">
        <v>-5088.6378000000004</v>
      </c>
      <c r="AF827">
        <v>-5088.6378000000004</v>
      </c>
    </row>
    <row r="828" spans="2:32" x14ac:dyDescent="0.25">
      <c r="B828">
        <v>47</v>
      </c>
      <c r="C828">
        <v>1</v>
      </c>
      <c r="D828">
        <v>1</v>
      </c>
      <c r="E828">
        <v>1</v>
      </c>
      <c r="F828">
        <v>1</v>
      </c>
      <c r="G828">
        <v>1</v>
      </c>
      <c r="H828">
        <v>1</v>
      </c>
      <c r="J828">
        <v>47</v>
      </c>
      <c r="K828">
        <v>1</v>
      </c>
      <c r="L828">
        <v>1</v>
      </c>
      <c r="M828">
        <v>1</v>
      </c>
      <c r="N828">
        <v>1</v>
      </c>
      <c r="O828">
        <v>1</v>
      </c>
      <c r="P828">
        <v>1</v>
      </c>
      <c r="R828">
        <v>47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AA828">
        <v>-5078.2593999999999</v>
      </c>
      <c r="AB828">
        <v>-5078.2593999999999</v>
      </c>
      <c r="AC828">
        <v>-5078.2593999999999</v>
      </c>
      <c r="AD828">
        <v>-5078.2593999999999</v>
      </c>
      <c r="AE828">
        <v>-5078.2593999999999</v>
      </c>
      <c r="AF828">
        <v>-5078.2593999999999</v>
      </c>
    </row>
    <row r="829" spans="2:32" x14ac:dyDescent="0.25">
      <c r="B829">
        <v>48</v>
      </c>
      <c r="C829">
        <v>1</v>
      </c>
      <c r="D829">
        <v>1</v>
      </c>
      <c r="E829">
        <v>1</v>
      </c>
      <c r="F829">
        <v>1</v>
      </c>
      <c r="G829">
        <v>1</v>
      </c>
      <c r="H829">
        <v>1</v>
      </c>
      <c r="J829">
        <v>48</v>
      </c>
      <c r="K829">
        <v>1</v>
      </c>
      <c r="L829">
        <v>1</v>
      </c>
      <c r="M829">
        <v>1</v>
      </c>
      <c r="N829">
        <v>1</v>
      </c>
      <c r="O829">
        <v>1</v>
      </c>
      <c r="P829">
        <v>1</v>
      </c>
      <c r="R829">
        <v>48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AA829">
        <v>-5066.8732</v>
      </c>
      <c r="AB829">
        <v>-5066.8732</v>
      </c>
      <c r="AC829">
        <v>-5066.8732</v>
      </c>
      <c r="AD829">
        <v>-5066.8732</v>
      </c>
      <c r="AE829">
        <v>-5066.8732</v>
      </c>
      <c r="AF829">
        <v>-5066.8732</v>
      </c>
    </row>
    <row r="830" spans="2:32" x14ac:dyDescent="0.25">
      <c r="B830">
        <v>49</v>
      </c>
      <c r="C830">
        <v>1</v>
      </c>
      <c r="D830">
        <v>1</v>
      </c>
      <c r="E830">
        <v>1</v>
      </c>
      <c r="F830">
        <v>1</v>
      </c>
      <c r="G830">
        <v>1</v>
      </c>
      <c r="H830">
        <v>1</v>
      </c>
      <c r="J830">
        <v>49</v>
      </c>
      <c r="K830">
        <v>1</v>
      </c>
      <c r="L830">
        <v>1</v>
      </c>
      <c r="M830">
        <v>1</v>
      </c>
      <c r="N830">
        <v>1</v>
      </c>
      <c r="O830">
        <v>1</v>
      </c>
      <c r="P830">
        <v>1</v>
      </c>
      <c r="R830">
        <v>49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AA830">
        <v>-5054.4124000000002</v>
      </c>
      <c r="AB830">
        <v>-5054.4124000000002</v>
      </c>
      <c r="AC830">
        <v>-5054.4124000000002</v>
      </c>
      <c r="AD830">
        <v>-5054.4124000000002</v>
      </c>
      <c r="AE830">
        <v>-5054.4124000000002</v>
      </c>
      <c r="AF830">
        <v>-5054.4124000000002</v>
      </c>
    </row>
    <row r="831" spans="2:32" x14ac:dyDescent="0.25">
      <c r="B831">
        <v>50</v>
      </c>
      <c r="C831">
        <v>1</v>
      </c>
      <c r="D831">
        <v>1</v>
      </c>
      <c r="E831">
        <v>1</v>
      </c>
      <c r="F831">
        <v>1</v>
      </c>
      <c r="G831">
        <v>1</v>
      </c>
      <c r="H831">
        <v>1</v>
      </c>
      <c r="J831">
        <v>50</v>
      </c>
      <c r="K831">
        <v>1</v>
      </c>
      <c r="L831">
        <v>1</v>
      </c>
      <c r="M831">
        <v>1</v>
      </c>
      <c r="N831">
        <v>1</v>
      </c>
      <c r="O831">
        <v>1</v>
      </c>
      <c r="P831">
        <v>1</v>
      </c>
      <c r="R831">
        <v>50</v>
      </c>
      <c r="S831">
        <v>1</v>
      </c>
      <c r="T831">
        <v>1</v>
      </c>
      <c r="U831">
        <v>1</v>
      </c>
      <c r="V831">
        <v>1</v>
      </c>
      <c r="W831">
        <v>1</v>
      </c>
      <c r="X831">
        <v>1</v>
      </c>
      <c r="AA831">
        <v>-5040.7671</v>
      </c>
      <c r="AB831">
        <v>-5040.7671</v>
      </c>
      <c r="AC831">
        <v>-5040.7671</v>
      </c>
      <c r="AD831">
        <v>-5040.7671</v>
      </c>
      <c r="AE831">
        <v>-5040.7671</v>
      </c>
      <c r="AF831">
        <v>-5040.7671</v>
      </c>
    </row>
    <row r="832" spans="2:32" x14ac:dyDescent="0.25">
      <c r="B832">
        <v>51</v>
      </c>
      <c r="C832">
        <v>1</v>
      </c>
      <c r="D832">
        <v>1</v>
      </c>
      <c r="E832">
        <v>1</v>
      </c>
      <c r="F832">
        <v>1</v>
      </c>
      <c r="G832">
        <v>1</v>
      </c>
      <c r="H832">
        <v>1</v>
      </c>
      <c r="J832">
        <v>51</v>
      </c>
      <c r="K832">
        <v>1</v>
      </c>
      <c r="L832">
        <v>1</v>
      </c>
      <c r="M832">
        <v>1</v>
      </c>
      <c r="N832">
        <v>1</v>
      </c>
      <c r="O832">
        <v>1</v>
      </c>
      <c r="P832">
        <v>1</v>
      </c>
      <c r="R832">
        <v>51</v>
      </c>
      <c r="S832">
        <v>1</v>
      </c>
      <c r="T832">
        <v>1</v>
      </c>
      <c r="U832">
        <v>1</v>
      </c>
      <c r="V832">
        <v>1</v>
      </c>
      <c r="W832">
        <v>1</v>
      </c>
      <c r="X832">
        <v>1</v>
      </c>
      <c r="AA832">
        <v>-5025.8329000000003</v>
      </c>
      <c r="AB832">
        <v>-5025.8329000000003</v>
      </c>
      <c r="AC832">
        <v>-5025.8329000000003</v>
      </c>
      <c r="AD832">
        <v>-5025.8329000000003</v>
      </c>
      <c r="AE832">
        <v>-5025.8329000000003</v>
      </c>
      <c r="AF832">
        <v>-5025.8329000000003</v>
      </c>
    </row>
    <row r="833" spans="2:32" x14ac:dyDescent="0.25">
      <c r="B833">
        <v>52</v>
      </c>
      <c r="C833">
        <v>1</v>
      </c>
      <c r="D833">
        <v>1</v>
      </c>
      <c r="E833">
        <v>1</v>
      </c>
      <c r="F833">
        <v>1</v>
      </c>
      <c r="G833">
        <v>1</v>
      </c>
      <c r="H833">
        <v>1</v>
      </c>
      <c r="J833">
        <v>52</v>
      </c>
      <c r="K833">
        <v>1</v>
      </c>
      <c r="L833">
        <v>1</v>
      </c>
      <c r="M833">
        <v>1</v>
      </c>
      <c r="N833">
        <v>1</v>
      </c>
      <c r="O833">
        <v>1</v>
      </c>
      <c r="P833">
        <v>1</v>
      </c>
      <c r="R833">
        <v>52</v>
      </c>
      <c r="S833">
        <v>1</v>
      </c>
      <c r="T833">
        <v>1</v>
      </c>
      <c r="U833">
        <v>1</v>
      </c>
      <c r="V833">
        <v>1</v>
      </c>
      <c r="W833">
        <v>1</v>
      </c>
      <c r="X833">
        <v>1</v>
      </c>
      <c r="AA833">
        <v>-5009.4771000000001</v>
      </c>
      <c r="AB833">
        <v>-5009.4771000000001</v>
      </c>
      <c r="AC833">
        <v>-5009.4771000000001</v>
      </c>
      <c r="AD833">
        <v>-5009.4771000000001</v>
      </c>
      <c r="AE833">
        <v>-5009.4771000000001</v>
      </c>
      <c r="AF833">
        <v>-5009.4771000000001</v>
      </c>
    </row>
    <row r="834" spans="2:32" x14ac:dyDescent="0.25">
      <c r="B834">
        <v>53</v>
      </c>
      <c r="C834">
        <v>1</v>
      </c>
      <c r="D834">
        <v>1</v>
      </c>
      <c r="E834">
        <v>1</v>
      </c>
      <c r="F834">
        <v>1</v>
      </c>
      <c r="G834">
        <v>1</v>
      </c>
      <c r="H834">
        <v>1</v>
      </c>
      <c r="J834">
        <v>53</v>
      </c>
      <c r="K834">
        <v>1</v>
      </c>
      <c r="L834">
        <v>1</v>
      </c>
      <c r="M834">
        <v>1</v>
      </c>
      <c r="N834">
        <v>1</v>
      </c>
      <c r="O834">
        <v>1</v>
      </c>
      <c r="P834">
        <v>1</v>
      </c>
      <c r="R834">
        <v>53</v>
      </c>
      <c r="S834">
        <v>1</v>
      </c>
      <c r="T834">
        <v>1</v>
      </c>
      <c r="U834">
        <v>1</v>
      </c>
      <c r="V834">
        <v>1</v>
      </c>
      <c r="W834">
        <v>1</v>
      </c>
      <c r="X834">
        <v>1</v>
      </c>
      <c r="AA834">
        <v>-4991.6184000000003</v>
      </c>
      <c r="AB834">
        <v>-4991.6184000000003</v>
      </c>
      <c r="AC834">
        <v>-4991.6184000000003</v>
      </c>
      <c r="AD834">
        <v>-4991.6184000000003</v>
      </c>
      <c r="AE834">
        <v>-4991.6184000000003</v>
      </c>
      <c r="AF834">
        <v>-4991.6184000000003</v>
      </c>
    </row>
    <row r="835" spans="2:32" x14ac:dyDescent="0.25">
      <c r="B835">
        <v>54</v>
      </c>
      <c r="C835">
        <v>1</v>
      </c>
      <c r="D835">
        <v>1</v>
      </c>
      <c r="E835">
        <v>1</v>
      </c>
      <c r="F835">
        <v>1</v>
      </c>
      <c r="G835">
        <v>1</v>
      </c>
      <c r="H835">
        <v>1</v>
      </c>
      <c r="J835">
        <v>54</v>
      </c>
      <c r="K835">
        <v>1</v>
      </c>
      <c r="L835">
        <v>1</v>
      </c>
      <c r="M835">
        <v>1</v>
      </c>
      <c r="N835">
        <v>1</v>
      </c>
      <c r="O835">
        <v>1</v>
      </c>
      <c r="P835">
        <v>1</v>
      </c>
      <c r="R835">
        <v>54</v>
      </c>
      <c r="S835">
        <v>1</v>
      </c>
      <c r="T835">
        <v>1</v>
      </c>
      <c r="U835">
        <v>1</v>
      </c>
      <c r="V835">
        <v>1</v>
      </c>
      <c r="W835">
        <v>1</v>
      </c>
      <c r="X835">
        <v>1</v>
      </c>
      <c r="AA835">
        <v>-4972.1588000000002</v>
      </c>
      <c r="AB835">
        <v>-4972.1588000000002</v>
      </c>
      <c r="AC835">
        <v>-4972.1588000000002</v>
      </c>
      <c r="AD835">
        <v>-4972.1588000000002</v>
      </c>
      <c r="AE835">
        <v>-4972.1588000000002</v>
      </c>
      <c r="AF835">
        <v>-4972.1588000000002</v>
      </c>
    </row>
    <row r="836" spans="2:32" x14ac:dyDescent="0.25">
      <c r="B836">
        <v>55</v>
      </c>
      <c r="C836">
        <v>1</v>
      </c>
      <c r="D836">
        <v>1</v>
      </c>
      <c r="E836">
        <v>1</v>
      </c>
      <c r="F836">
        <v>1</v>
      </c>
      <c r="G836">
        <v>1</v>
      </c>
      <c r="H836">
        <v>1</v>
      </c>
      <c r="J836">
        <v>55</v>
      </c>
      <c r="K836">
        <v>1</v>
      </c>
      <c r="L836">
        <v>1</v>
      </c>
      <c r="M836">
        <v>1</v>
      </c>
      <c r="N836">
        <v>1</v>
      </c>
      <c r="O836">
        <v>1</v>
      </c>
      <c r="P836">
        <v>1</v>
      </c>
      <c r="R836">
        <v>55</v>
      </c>
      <c r="S836">
        <v>1</v>
      </c>
      <c r="T836">
        <v>1</v>
      </c>
      <c r="U836">
        <v>1</v>
      </c>
      <c r="V836">
        <v>1</v>
      </c>
      <c r="W836">
        <v>1</v>
      </c>
      <c r="X836">
        <v>1</v>
      </c>
      <c r="AA836">
        <v>-4950.9426000000003</v>
      </c>
      <c r="AB836">
        <v>-4950.9426000000003</v>
      </c>
      <c r="AC836">
        <v>-4950.9426000000003</v>
      </c>
      <c r="AD836">
        <v>-4950.9426000000003</v>
      </c>
      <c r="AE836">
        <v>-4950.9426000000003</v>
      </c>
      <c r="AF836">
        <v>-4950.9426000000003</v>
      </c>
    </row>
    <row r="839" spans="2:32" x14ac:dyDescent="0.25">
      <c r="B839" t="s">
        <v>46</v>
      </c>
      <c r="C839">
        <v>100000</v>
      </c>
      <c r="D839">
        <v>250000</v>
      </c>
      <c r="E839">
        <v>500000</v>
      </c>
      <c r="F839">
        <v>1000000</v>
      </c>
      <c r="G839">
        <v>2000000</v>
      </c>
      <c r="J839" t="s">
        <v>32</v>
      </c>
      <c r="K839">
        <v>100000</v>
      </c>
      <c r="L839">
        <v>250000</v>
      </c>
      <c r="M839">
        <v>500000</v>
      </c>
      <c r="N839">
        <v>1000000</v>
      </c>
      <c r="O839">
        <v>2000000</v>
      </c>
      <c r="R839" t="s">
        <v>48</v>
      </c>
      <c r="S839">
        <v>100000</v>
      </c>
      <c r="T839">
        <v>250000</v>
      </c>
      <c r="U839">
        <v>500000</v>
      </c>
      <c r="V839">
        <v>1000000</v>
      </c>
      <c r="W839">
        <v>2000000</v>
      </c>
    </row>
    <row r="840" spans="2:32" x14ac:dyDescent="0.25">
      <c r="B840">
        <v>35</v>
      </c>
      <c r="C840">
        <v>1</v>
      </c>
      <c r="D840">
        <v>1</v>
      </c>
      <c r="E840">
        <v>1</v>
      </c>
      <c r="F840">
        <v>1</v>
      </c>
      <c r="G840">
        <v>1</v>
      </c>
      <c r="J840">
        <v>35</v>
      </c>
      <c r="K840">
        <v>1</v>
      </c>
      <c r="L840">
        <v>1</v>
      </c>
      <c r="M840">
        <v>1</v>
      </c>
      <c r="N840">
        <v>1</v>
      </c>
      <c r="O840">
        <v>1</v>
      </c>
      <c r="R840">
        <v>35</v>
      </c>
      <c r="S840">
        <v>1</v>
      </c>
      <c r="T840">
        <v>1</v>
      </c>
      <c r="U840">
        <v>1</v>
      </c>
      <c r="V840">
        <v>1</v>
      </c>
      <c r="W840">
        <v>1</v>
      </c>
      <c r="AA840">
        <v>-8996.1419000000005</v>
      </c>
      <c r="AB840">
        <v>-8996.1419000000005</v>
      </c>
      <c r="AC840">
        <v>-8996.1419000000005</v>
      </c>
      <c r="AD840">
        <v>-8996.1419000000005</v>
      </c>
      <c r="AE840">
        <v>-8996.1419000000005</v>
      </c>
      <c r="AF840">
        <v>-759112.79520000005</v>
      </c>
    </row>
    <row r="841" spans="2:32" x14ac:dyDescent="0.25">
      <c r="B841">
        <f t="shared" ref="B841:B870" si="36">B840+1</f>
        <v>36</v>
      </c>
      <c r="C841">
        <v>1</v>
      </c>
      <c r="D841">
        <v>1</v>
      </c>
      <c r="E841">
        <v>1</v>
      </c>
      <c r="F841">
        <v>1</v>
      </c>
      <c r="G841">
        <v>1</v>
      </c>
      <c r="J841">
        <f t="shared" ref="J841:J870" si="37">J840+1</f>
        <v>36</v>
      </c>
      <c r="K841">
        <v>1</v>
      </c>
      <c r="L841">
        <v>1</v>
      </c>
      <c r="M841">
        <v>1</v>
      </c>
      <c r="N841">
        <v>1</v>
      </c>
      <c r="O841">
        <v>1</v>
      </c>
      <c r="R841">
        <f t="shared" ref="R841:R870" si="38">R840+1</f>
        <v>36</v>
      </c>
      <c r="S841">
        <v>1</v>
      </c>
      <c r="T841">
        <v>1</v>
      </c>
      <c r="U841">
        <v>1</v>
      </c>
      <c r="V841">
        <v>1</v>
      </c>
      <c r="W841">
        <v>1</v>
      </c>
      <c r="AA841">
        <v>-8902.6679999999997</v>
      </c>
      <c r="AB841">
        <v>-8902.6679999999997</v>
      </c>
      <c r="AC841">
        <v>-8902.6679999999997</v>
      </c>
      <c r="AD841">
        <v>-8902.6679999999997</v>
      </c>
      <c r="AE841">
        <v>-8902.6679999999997</v>
      </c>
      <c r="AF841">
        <v>-737070.86179999996</v>
      </c>
    </row>
    <row r="842" spans="2:32" x14ac:dyDescent="0.25">
      <c r="B842">
        <f t="shared" si="36"/>
        <v>37</v>
      </c>
      <c r="C842">
        <v>1</v>
      </c>
      <c r="D842">
        <v>1</v>
      </c>
      <c r="E842">
        <v>1</v>
      </c>
      <c r="F842">
        <v>1</v>
      </c>
      <c r="G842">
        <v>1</v>
      </c>
      <c r="J842">
        <f t="shared" si="37"/>
        <v>37</v>
      </c>
      <c r="K842">
        <v>1</v>
      </c>
      <c r="L842">
        <v>1</v>
      </c>
      <c r="M842">
        <v>1</v>
      </c>
      <c r="N842">
        <v>1</v>
      </c>
      <c r="O842">
        <v>1</v>
      </c>
      <c r="R842">
        <f t="shared" si="38"/>
        <v>37</v>
      </c>
      <c r="S842">
        <v>1</v>
      </c>
      <c r="T842">
        <v>1</v>
      </c>
      <c r="U842">
        <v>1</v>
      </c>
      <c r="V842">
        <v>1</v>
      </c>
      <c r="W842">
        <v>1</v>
      </c>
      <c r="AA842">
        <v>-8806.7960000000003</v>
      </c>
      <c r="AB842">
        <v>-8806.7960000000003</v>
      </c>
      <c r="AC842">
        <v>-8806.7960000000003</v>
      </c>
      <c r="AD842">
        <v>-8806.7960000000003</v>
      </c>
      <c r="AE842">
        <v>-8806.7960000000003</v>
      </c>
      <c r="AF842">
        <v>-765978.91940000001</v>
      </c>
    </row>
    <row r="843" spans="2:32" x14ac:dyDescent="0.25">
      <c r="B843">
        <f t="shared" si="36"/>
        <v>38</v>
      </c>
      <c r="C843">
        <v>1</v>
      </c>
      <c r="D843">
        <v>1</v>
      </c>
      <c r="E843">
        <v>1</v>
      </c>
      <c r="F843">
        <v>1</v>
      </c>
      <c r="G843">
        <v>1</v>
      </c>
      <c r="J843">
        <f t="shared" si="37"/>
        <v>38</v>
      </c>
      <c r="K843">
        <v>1</v>
      </c>
      <c r="L843">
        <v>1</v>
      </c>
      <c r="M843">
        <v>1</v>
      </c>
      <c r="N843">
        <v>1</v>
      </c>
      <c r="O843">
        <v>1</v>
      </c>
      <c r="R843">
        <f t="shared" si="38"/>
        <v>38</v>
      </c>
      <c r="S843">
        <v>1</v>
      </c>
      <c r="T843">
        <v>1</v>
      </c>
      <c r="U843">
        <v>1</v>
      </c>
      <c r="V843">
        <v>1</v>
      </c>
      <c r="W843">
        <v>1</v>
      </c>
      <c r="AA843">
        <v>-8708.6234000000004</v>
      </c>
      <c r="AB843">
        <v>-8708.6234000000004</v>
      </c>
      <c r="AC843">
        <v>-8708.6234000000004</v>
      </c>
      <c r="AD843">
        <v>-8708.6234000000004</v>
      </c>
      <c r="AE843">
        <v>-8708.6234000000004</v>
      </c>
      <c r="AF843">
        <v>-783780.576</v>
      </c>
    </row>
    <row r="844" spans="2:32" x14ac:dyDescent="0.25">
      <c r="B844">
        <f t="shared" si="36"/>
        <v>39</v>
      </c>
      <c r="C844">
        <v>1</v>
      </c>
      <c r="D844">
        <v>1</v>
      </c>
      <c r="E844">
        <v>1</v>
      </c>
      <c r="F844">
        <v>1</v>
      </c>
      <c r="G844">
        <v>1</v>
      </c>
      <c r="J844">
        <f t="shared" si="37"/>
        <v>39</v>
      </c>
      <c r="K844">
        <v>1</v>
      </c>
      <c r="L844">
        <v>1</v>
      </c>
      <c r="M844">
        <v>1</v>
      </c>
      <c r="N844">
        <v>1</v>
      </c>
      <c r="O844">
        <v>1</v>
      </c>
      <c r="R844">
        <f t="shared" si="38"/>
        <v>39</v>
      </c>
      <c r="S844">
        <v>1</v>
      </c>
      <c r="T844">
        <v>1</v>
      </c>
      <c r="U844">
        <v>1</v>
      </c>
      <c r="V844">
        <v>1</v>
      </c>
      <c r="W844">
        <v>1</v>
      </c>
      <c r="AA844">
        <v>-8608.1594000000005</v>
      </c>
      <c r="AB844">
        <v>-8608.1594000000005</v>
      </c>
      <c r="AC844">
        <v>-8608.1594000000005</v>
      </c>
      <c r="AD844">
        <v>-8608.1594000000005</v>
      </c>
      <c r="AE844">
        <v>-8608.1594000000005</v>
      </c>
      <c r="AF844">
        <v>-769662.22069999995</v>
      </c>
    </row>
    <row r="845" spans="2:32" x14ac:dyDescent="0.25">
      <c r="B845">
        <f t="shared" si="36"/>
        <v>40</v>
      </c>
      <c r="C845">
        <v>1</v>
      </c>
      <c r="D845">
        <v>1</v>
      </c>
      <c r="E845">
        <v>1</v>
      </c>
      <c r="F845">
        <v>1</v>
      </c>
      <c r="G845">
        <v>1</v>
      </c>
      <c r="J845">
        <f t="shared" si="37"/>
        <v>40</v>
      </c>
      <c r="K845">
        <v>1</v>
      </c>
      <c r="L845">
        <v>1</v>
      </c>
      <c r="M845">
        <v>1</v>
      </c>
      <c r="N845">
        <v>1</v>
      </c>
      <c r="O845">
        <v>1</v>
      </c>
      <c r="R845">
        <f t="shared" si="38"/>
        <v>40</v>
      </c>
      <c r="S845">
        <v>1</v>
      </c>
      <c r="T845">
        <v>1</v>
      </c>
      <c r="U845">
        <v>1</v>
      </c>
      <c r="V845">
        <v>1</v>
      </c>
      <c r="W845">
        <v>1</v>
      </c>
      <c r="AA845">
        <v>-8505.3439999999991</v>
      </c>
      <c r="AB845">
        <v>-8505.3439999999991</v>
      </c>
      <c r="AC845">
        <v>-8505.3439999999991</v>
      </c>
      <c r="AD845">
        <v>-8505.3439999999991</v>
      </c>
      <c r="AE845">
        <v>-8505.3439999999991</v>
      </c>
      <c r="AF845">
        <v>-798570.41119999997</v>
      </c>
    </row>
    <row r="846" spans="2:32" x14ac:dyDescent="0.25">
      <c r="B846">
        <f t="shared" si="36"/>
        <v>41</v>
      </c>
      <c r="C846">
        <v>1</v>
      </c>
      <c r="D846">
        <v>1</v>
      </c>
      <c r="E846">
        <v>1</v>
      </c>
      <c r="F846">
        <v>1</v>
      </c>
      <c r="G846">
        <v>1</v>
      </c>
      <c r="J846">
        <f t="shared" si="37"/>
        <v>41</v>
      </c>
      <c r="K846">
        <v>1</v>
      </c>
      <c r="L846">
        <v>1</v>
      </c>
      <c r="M846">
        <v>1</v>
      </c>
      <c r="N846">
        <v>1</v>
      </c>
      <c r="O846">
        <v>1</v>
      </c>
      <c r="R846">
        <f t="shared" si="38"/>
        <v>41</v>
      </c>
      <c r="S846">
        <v>1</v>
      </c>
      <c r="T846">
        <v>1</v>
      </c>
      <c r="U846">
        <v>1</v>
      </c>
      <c r="V846">
        <v>1</v>
      </c>
      <c r="W846">
        <v>1</v>
      </c>
      <c r="AA846">
        <v>-8400.1087000000007</v>
      </c>
      <c r="AB846">
        <v>-8400.1087000000007</v>
      </c>
      <c r="AC846">
        <v>-8400.1087000000007</v>
      </c>
      <c r="AD846">
        <v>-8400.1087000000007</v>
      </c>
      <c r="AE846">
        <v>-8400.1087000000007</v>
      </c>
      <c r="AF846">
        <v>-803549.96459999995</v>
      </c>
    </row>
    <row r="847" spans="2:32" x14ac:dyDescent="0.25">
      <c r="B847">
        <f t="shared" si="36"/>
        <v>42</v>
      </c>
      <c r="C847">
        <v>1</v>
      </c>
      <c r="D847">
        <v>1</v>
      </c>
      <c r="E847">
        <v>1</v>
      </c>
      <c r="F847">
        <v>1</v>
      </c>
      <c r="G847">
        <v>1</v>
      </c>
      <c r="J847">
        <f t="shared" si="37"/>
        <v>42</v>
      </c>
      <c r="K847">
        <v>1</v>
      </c>
      <c r="L847">
        <v>1</v>
      </c>
      <c r="M847">
        <v>1</v>
      </c>
      <c r="N847">
        <v>1</v>
      </c>
      <c r="O847">
        <v>1</v>
      </c>
      <c r="R847">
        <f t="shared" si="38"/>
        <v>42</v>
      </c>
      <c r="S847">
        <v>1</v>
      </c>
      <c r="T847">
        <v>1</v>
      </c>
      <c r="U847">
        <v>1</v>
      </c>
      <c r="V847">
        <v>1</v>
      </c>
      <c r="W847">
        <v>1</v>
      </c>
      <c r="AA847">
        <v>-8292.4974999999995</v>
      </c>
      <c r="AB847">
        <v>-8292.4974999999995</v>
      </c>
      <c r="AC847">
        <v>-8292.4974999999995</v>
      </c>
      <c r="AD847">
        <v>-8292.4974999999995</v>
      </c>
      <c r="AE847">
        <v>-8292.4974999999995</v>
      </c>
      <c r="AF847">
        <v>-833551.75890000002</v>
      </c>
    </row>
    <row r="848" spans="2:32" x14ac:dyDescent="0.25">
      <c r="B848">
        <f t="shared" si="36"/>
        <v>43</v>
      </c>
      <c r="C848">
        <v>1</v>
      </c>
      <c r="D848">
        <v>1</v>
      </c>
      <c r="E848">
        <v>1</v>
      </c>
      <c r="F848">
        <v>1</v>
      </c>
      <c r="G848">
        <v>1</v>
      </c>
      <c r="J848">
        <f t="shared" si="37"/>
        <v>43</v>
      </c>
      <c r="K848">
        <v>1</v>
      </c>
      <c r="L848">
        <v>1</v>
      </c>
      <c r="M848">
        <v>1</v>
      </c>
      <c r="N848">
        <v>1</v>
      </c>
      <c r="O848">
        <v>1</v>
      </c>
      <c r="R848">
        <f t="shared" si="38"/>
        <v>43</v>
      </c>
      <c r="S848">
        <v>1</v>
      </c>
      <c r="T848">
        <v>1</v>
      </c>
      <c r="U848">
        <v>1</v>
      </c>
      <c r="V848">
        <v>1</v>
      </c>
      <c r="W848">
        <v>1</v>
      </c>
      <c r="AA848">
        <v>-8182.3909999999996</v>
      </c>
      <c r="AB848">
        <v>-8182.3909999999996</v>
      </c>
      <c r="AC848">
        <v>-8182.3909999999996</v>
      </c>
      <c r="AD848">
        <v>-8182.3909999999996</v>
      </c>
      <c r="AE848">
        <v>-8182.3909999999996</v>
      </c>
      <c r="AF848">
        <v>-844950.93949999998</v>
      </c>
    </row>
    <row r="849" spans="2:32" x14ac:dyDescent="0.25">
      <c r="B849">
        <f t="shared" si="36"/>
        <v>44</v>
      </c>
      <c r="C849">
        <v>1</v>
      </c>
      <c r="D849">
        <v>1</v>
      </c>
      <c r="E849">
        <v>1</v>
      </c>
      <c r="F849">
        <v>1</v>
      </c>
      <c r="G849">
        <v>1</v>
      </c>
      <c r="J849">
        <f t="shared" si="37"/>
        <v>44</v>
      </c>
      <c r="K849">
        <v>1</v>
      </c>
      <c r="L849">
        <v>1</v>
      </c>
      <c r="M849">
        <v>1</v>
      </c>
      <c r="N849">
        <v>1</v>
      </c>
      <c r="O849">
        <v>1</v>
      </c>
      <c r="R849">
        <f t="shared" si="38"/>
        <v>44</v>
      </c>
      <c r="S849">
        <v>1</v>
      </c>
      <c r="T849">
        <v>1</v>
      </c>
      <c r="U849">
        <v>1</v>
      </c>
      <c r="V849">
        <v>1</v>
      </c>
      <c r="W849">
        <v>1</v>
      </c>
      <c r="AA849">
        <v>-8069.8261000000002</v>
      </c>
      <c r="AB849">
        <v>-8069.8261000000002</v>
      </c>
      <c r="AC849">
        <v>-8069.8261000000002</v>
      </c>
      <c r="AD849">
        <v>-8069.8261000000002</v>
      </c>
      <c r="AE849">
        <v>-8069.8261000000002</v>
      </c>
      <c r="AF849">
        <v>-851265.64670000004</v>
      </c>
    </row>
    <row r="850" spans="2:32" x14ac:dyDescent="0.25">
      <c r="B850">
        <f t="shared" si="36"/>
        <v>45</v>
      </c>
      <c r="C850">
        <v>1</v>
      </c>
      <c r="D850">
        <v>1</v>
      </c>
      <c r="E850">
        <v>1</v>
      </c>
      <c r="F850">
        <v>1</v>
      </c>
      <c r="G850">
        <v>1</v>
      </c>
      <c r="J850">
        <f t="shared" si="37"/>
        <v>45</v>
      </c>
      <c r="K850">
        <v>1</v>
      </c>
      <c r="L850">
        <v>1</v>
      </c>
      <c r="M850">
        <v>1</v>
      </c>
      <c r="N850">
        <v>1</v>
      </c>
      <c r="O850">
        <v>1</v>
      </c>
      <c r="R850">
        <f t="shared" si="38"/>
        <v>45</v>
      </c>
      <c r="S850">
        <v>1</v>
      </c>
      <c r="T850">
        <v>1</v>
      </c>
      <c r="U850">
        <v>1</v>
      </c>
      <c r="V850">
        <v>1</v>
      </c>
      <c r="W850">
        <v>1</v>
      </c>
      <c r="AA850">
        <v>-7954.7533999999996</v>
      </c>
      <c r="AB850">
        <v>-7954.7533999999996</v>
      </c>
      <c r="AC850">
        <v>-7954.7533999999996</v>
      </c>
      <c r="AD850">
        <v>-7954.7533999999996</v>
      </c>
      <c r="AE850">
        <v>-7954.7533999999996</v>
      </c>
      <c r="AF850">
        <v>-870649.02139999997</v>
      </c>
    </row>
    <row r="851" spans="2:32" x14ac:dyDescent="0.25">
      <c r="B851">
        <f t="shared" si="36"/>
        <v>46</v>
      </c>
      <c r="C851">
        <v>1</v>
      </c>
      <c r="D851">
        <v>1</v>
      </c>
      <c r="E851">
        <v>1</v>
      </c>
      <c r="F851">
        <v>1</v>
      </c>
      <c r="G851">
        <v>1</v>
      </c>
      <c r="J851">
        <f t="shared" si="37"/>
        <v>46</v>
      </c>
      <c r="K851">
        <v>1</v>
      </c>
      <c r="L851">
        <v>1</v>
      </c>
      <c r="M851">
        <v>1</v>
      </c>
      <c r="N851">
        <v>1</v>
      </c>
      <c r="O851">
        <v>1</v>
      </c>
      <c r="R851">
        <f t="shared" si="38"/>
        <v>46</v>
      </c>
      <c r="S851">
        <v>1</v>
      </c>
      <c r="T851">
        <v>1</v>
      </c>
      <c r="U851">
        <v>1</v>
      </c>
      <c r="V851">
        <v>1</v>
      </c>
      <c r="W851">
        <v>1</v>
      </c>
      <c r="AA851">
        <v>-7837.1754000000001</v>
      </c>
      <c r="AB851">
        <v>-7837.1754000000001</v>
      </c>
      <c r="AC851">
        <v>-7837.1754000000001</v>
      </c>
      <c r="AD851">
        <v>-7837.1754000000001</v>
      </c>
      <c r="AE851">
        <v>-7837.1754000000001</v>
      </c>
      <c r="AF851">
        <v>-892550.54509999999</v>
      </c>
    </row>
    <row r="852" spans="2:32" x14ac:dyDescent="0.25">
      <c r="B852">
        <f t="shared" si="36"/>
        <v>47</v>
      </c>
      <c r="C852">
        <v>1</v>
      </c>
      <c r="D852">
        <v>1</v>
      </c>
      <c r="E852">
        <v>1</v>
      </c>
      <c r="F852">
        <v>1</v>
      </c>
      <c r="G852">
        <v>1</v>
      </c>
      <c r="J852">
        <f t="shared" si="37"/>
        <v>47</v>
      </c>
      <c r="K852">
        <v>1</v>
      </c>
      <c r="L852">
        <v>1</v>
      </c>
      <c r="M852">
        <v>1</v>
      </c>
      <c r="N852">
        <v>1</v>
      </c>
      <c r="O852">
        <v>1</v>
      </c>
      <c r="R852">
        <f t="shared" si="38"/>
        <v>47</v>
      </c>
      <c r="S852">
        <v>1</v>
      </c>
      <c r="T852">
        <v>1</v>
      </c>
      <c r="U852">
        <v>1</v>
      </c>
      <c r="V852">
        <v>1</v>
      </c>
      <c r="W852">
        <v>1</v>
      </c>
      <c r="AA852">
        <v>-7717.0294999999996</v>
      </c>
      <c r="AB852">
        <v>-7717.0294999999996</v>
      </c>
      <c r="AC852">
        <v>-7717.0294999999996</v>
      </c>
      <c r="AD852">
        <v>-7717.0294999999996</v>
      </c>
      <c r="AE852">
        <v>-7717.0294999999996</v>
      </c>
      <c r="AF852">
        <v>-910915.81969999999</v>
      </c>
    </row>
    <row r="853" spans="2:32" x14ac:dyDescent="0.25">
      <c r="B853">
        <f t="shared" si="36"/>
        <v>48</v>
      </c>
      <c r="C853">
        <v>1</v>
      </c>
      <c r="D853">
        <v>1</v>
      </c>
      <c r="E853">
        <v>1</v>
      </c>
      <c r="F853">
        <v>1</v>
      </c>
      <c r="G853">
        <v>1</v>
      </c>
      <c r="J853">
        <f t="shared" si="37"/>
        <v>48</v>
      </c>
      <c r="K853">
        <v>1</v>
      </c>
      <c r="L853">
        <v>1</v>
      </c>
      <c r="M853">
        <v>1</v>
      </c>
      <c r="N853">
        <v>1</v>
      </c>
      <c r="O853">
        <v>1</v>
      </c>
      <c r="R853">
        <f t="shared" si="38"/>
        <v>48</v>
      </c>
      <c r="S853">
        <v>1</v>
      </c>
      <c r="T853">
        <v>1</v>
      </c>
      <c r="U853">
        <v>1</v>
      </c>
      <c r="V853">
        <v>1</v>
      </c>
      <c r="W853">
        <v>1</v>
      </c>
      <c r="AA853">
        <v>-7594.4201000000003</v>
      </c>
      <c r="AB853">
        <v>-7594.4201000000003</v>
      </c>
      <c r="AC853">
        <v>-7594.4201000000003</v>
      </c>
      <c r="AD853">
        <v>-7594.4201000000003</v>
      </c>
      <c r="AE853">
        <v>-7594.4201000000003</v>
      </c>
      <c r="AF853">
        <v>-917891.87360000005</v>
      </c>
    </row>
    <row r="854" spans="2:32" x14ac:dyDescent="0.25">
      <c r="B854">
        <f t="shared" si="36"/>
        <v>49</v>
      </c>
      <c r="C854">
        <v>1</v>
      </c>
      <c r="D854">
        <v>1</v>
      </c>
      <c r="E854">
        <v>1</v>
      </c>
      <c r="F854">
        <v>1</v>
      </c>
      <c r="G854">
        <v>1</v>
      </c>
      <c r="J854">
        <f t="shared" si="37"/>
        <v>49</v>
      </c>
      <c r="K854">
        <v>1</v>
      </c>
      <c r="L854">
        <v>1</v>
      </c>
      <c r="M854">
        <v>1</v>
      </c>
      <c r="N854">
        <v>1</v>
      </c>
      <c r="O854">
        <v>1</v>
      </c>
      <c r="R854">
        <f t="shared" si="38"/>
        <v>49</v>
      </c>
      <c r="S854">
        <v>1</v>
      </c>
      <c r="T854">
        <v>1</v>
      </c>
      <c r="U854">
        <v>1</v>
      </c>
      <c r="V854">
        <v>1</v>
      </c>
      <c r="W854">
        <v>1</v>
      </c>
      <c r="AA854">
        <v>-7469.3995999999997</v>
      </c>
      <c r="AB854">
        <v>-7469.3995999999997</v>
      </c>
      <c r="AC854">
        <v>-7469.3995999999997</v>
      </c>
      <c r="AD854">
        <v>-7469.3995999999997</v>
      </c>
      <c r="AE854">
        <v>-7469.3995999999997</v>
      </c>
      <c r="AF854">
        <v>-917891.87360000005</v>
      </c>
    </row>
    <row r="855" spans="2:32" x14ac:dyDescent="0.25">
      <c r="B855">
        <f t="shared" si="36"/>
        <v>50</v>
      </c>
      <c r="C855">
        <v>1</v>
      </c>
      <c r="D855">
        <v>1</v>
      </c>
      <c r="E855">
        <v>1</v>
      </c>
      <c r="F855">
        <v>1</v>
      </c>
      <c r="G855">
        <v>1</v>
      </c>
      <c r="J855">
        <f t="shared" si="37"/>
        <v>50</v>
      </c>
      <c r="K855">
        <v>1</v>
      </c>
      <c r="L855">
        <v>1</v>
      </c>
      <c r="M855">
        <v>1</v>
      </c>
      <c r="N855">
        <v>1</v>
      </c>
      <c r="O855">
        <v>1</v>
      </c>
      <c r="R855">
        <f t="shared" si="38"/>
        <v>50</v>
      </c>
      <c r="S855">
        <v>1</v>
      </c>
      <c r="T855">
        <v>1</v>
      </c>
      <c r="U855">
        <v>1</v>
      </c>
      <c r="V855">
        <v>1</v>
      </c>
      <c r="W855">
        <v>1</v>
      </c>
      <c r="AA855">
        <v>-7341.9502000000002</v>
      </c>
      <c r="AB855">
        <v>-7341.9502000000002</v>
      </c>
      <c r="AC855">
        <v>-7341.9502000000002</v>
      </c>
      <c r="AD855">
        <v>-7341.9502000000002</v>
      </c>
      <c r="AE855">
        <v>-7341.9502000000002</v>
      </c>
      <c r="AF855">
        <v>-963257.14989999996</v>
      </c>
    </row>
    <row r="856" spans="2:32" x14ac:dyDescent="0.25">
      <c r="B856">
        <f t="shared" si="36"/>
        <v>51</v>
      </c>
      <c r="C856">
        <v>1</v>
      </c>
      <c r="D856">
        <v>1</v>
      </c>
      <c r="E856">
        <v>1</v>
      </c>
      <c r="F856">
        <v>1</v>
      </c>
      <c r="G856">
        <v>1</v>
      </c>
      <c r="J856">
        <f t="shared" si="37"/>
        <v>51</v>
      </c>
      <c r="K856">
        <v>1</v>
      </c>
      <c r="L856">
        <v>1</v>
      </c>
      <c r="M856">
        <v>1</v>
      </c>
      <c r="N856">
        <v>1</v>
      </c>
      <c r="O856">
        <v>1</v>
      </c>
      <c r="R856">
        <f t="shared" si="38"/>
        <v>51</v>
      </c>
      <c r="S856">
        <v>1</v>
      </c>
      <c r="T856">
        <v>1</v>
      </c>
      <c r="U856">
        <v>1</v>
      </c>
      <c r="V856">
        <v>1</v>
      </c>
      <c r="W856">
        <v>1</v>
      </c>
      <c r="AA856">
        <v>-7212.0646999999999</v>
      </c>
      <c r="AB856">
        <v>-7212.0646999999999</v>
      </c>
      <c r="AC856">
        <v>-7212.0646999999999</v>
      </c>
      <c r="AD856">
        <v>-7212.0646999999999</v>
      </c>
      <c r="AE856">
        <v>-7212.0646999999999</v>
      </c>
      <c r="AF856">
        <v>-981592.90729999996</v>
      </c>
    </row>
    <row r="857" spans="2:32" x14ac:dyDescent="0.25">
      <c r="B857">
        <f t="shared" si="36"/>
        <v>52</v>
      </c>
      <c r="C857">
        <v>1</v>
      </c>
      <c r="D857">
        <v>1</v>
      </c>
      <c r="E857">
        <v>1</v>
      </c>
      <c r="F857">
        <v>1</v>
      </c>
      <c r="G857">
        <v>1</v>
      </c>
      <c r="J857">
        <f t="shared" si="37"/>
        <v>52</v>
      </c>
      <c r="K857">
        <v>1</v>
      </c>
      <c r="L857">
        <v>1</v>
      </c>
      <c r="M857">
        <v>1</v>
      </c>
      <c r="N857">
        <v>1</v>
      </c>
      <c r="O857">
        <v>1</v>
      </c>
      <c r="R857">
        <f t="shared" si="38"/>
        <v>52</v>
      </c>
      <c r="S857">
        <v>1</v>
      </c>
      <c r="T857">
        <v>1</v>
      </c>
      <c r="U857">
        <v>1</v>
      </c>
      <c r="V857">
        <v>1</v>
      </c>
      <c r="W857">
        <v>1</v>
      </c>
      <c r="AA857">
        <v>-7079.7435999999998</v>
      </c>
      <c r="AB857">
        <v>-7079.7435999999998</v>
      </c>
      <c r="AC857">
        <v>-7079.7435999999998</v>
      </c>
      <c r="AD857">
        <v>-7079.7435999999998</v>
      </c>
      <c r="AE857">
        <v>-7079.7435999999998</v>
      </c>
      <c r="AF857">
        <v>-998556.10360000003</v>
      </c>
    </row>
    <row r="858" spans="2:32" x14ac:dyDescent="0.25">
      <c r="B858">
        <f t="shared" si="36"/>
        <v>53</v>
      </c>
      <c r="C858">
        <v>1</v>
      </c>
      <c r="D858">
        <v>1</v>
      </c>
      <c r="E858">
        <v>1</v>
      </c>
      <c r="F858">
        <v>1</v>
      </c>
      <c r="G858">
        <v>1</v>
      </c>
      <c r="J858">
        <f t="shared" si="37"/>
        <v>53</v>
      </c>
      <c r="K858">
        <v>1</v>
      </c>
      <c r="L858">
        <v>1</v>
      </c>
      <c r="M858">
        <v>1</v>
      </c>
      <c r="N858">
        <v>1</v>
      </c>
      <c r="O858">
        <v>1</v>
      </c>
      <c r="R858">
        <f t="shared" si="38"/>
        <v>53</v>
      </c>
      <c r="S858">
        <v>1</v>
      </c>
      <c r="T858">
        <v>1</v>
      </c>
      <c r="U858">
        <v>1</v>
      </c>
      <c r="V858">
        <v>1</v>
      </c>
      <c r="W858">
        <v>1</v>
      </c>
      <c r="AA858">
        <v>-6945.0875999999998</v>
      </c>
      <c r="AB858">
        <v>-6945.0875999999998</v>
      </c>
      <c r="AC858">
        <v>-6945.0875999999998</v>
      </c>
      <c r="AD858">
        <v>-6945.0875999999998</v>
      </c>
      <c r="AE858">
        <v>-6945.0875999999998</v>
      </c>
      <c r="AF858">
        <v>-1015461.3278</v>
      </c>
    </row>
    <row r="859" spans="2:32" x14ac:dyDescent="0.25">
      <c r="B859">
        <f t="shared" si="36"/>
        <v>54</v>
      </c>
      <c r="C859">
        <v>1</v>
      </c>
      <c r="D859">
        <v>1</v>
      </c>
      <c r="E859">
        <v>1</v>
      </c>
      <c r="F859">
        <v>1</v>
      </c>
      <c r="G859">
        <v>1</v>
      </c>
      <c r="J859">
        <f t="shared" si="37"/>
        <v>54</v>
      </c>
      <c r="K859">
        <v>1</v>
      </c>
      <c r="L859">
        <v>1</v>
      </c>
      <c r="M859">
        <v>1</v>
      </c>
      <c r="N859">
        <v>1</v>
      </c>
      <c r="O859">
        <v>1</v>
      </c>
      <c r="R859">
        <f t="shared" si="38"/>
        <v>54</v>
      </c>
      <c r="S859">
        <v>1</v>
      </c>
      <c r="T859">
        <v>1</v>
      </c>
      <c r="U859">
        <v>1</v>
      </c>
      <c r="V859">
        <v>1</v>
      </c>
      <c r="W859">
        <v>1</v>
      </c>
      <c r="AA859">
        <v>-6808.2438000000002</v>
      </c>
      <c r="AB859">
        <v>-6808.2438000000002</v>
      </c>
      <c r="AC859">
        <v>-6808.2438000000002</v>
      </c>
      <c r="AD859">
        <v>-6808.2438000000002</v>
      </c>
      <c r="AE859">
        <v>-6808.2438000000002</v>
      </c>
      <c r="AF859">
        <v>-1033869.6813000001</v>
      </c>
    </row>
    <row r="860" spans="2:32" x14ac:dyDescent="0.25">
      <c r="B860">
        <f t="shared" si="36"/>
        <v>55</v>
      </c>
      <c r="C860">
        <v>1</v>
      </c>
      <c r="D860">
        <v>1</v>
      </c>
      <c r="E860">
        <v>1</v>
      </c>
      <c r="F860">
        <v>1</v>
      </c>
      <c r="G860">
        <v>1</v>
      </c>
      <c r="J860">
        <f t="shared" si="37"/>
        <v>55</v>
      </c>
      <c r="K860">
        <v>1</v>
      </c>
      <c r="L860">
        <v>1</v>
      </c>
      <c r="M860">
        <v>1</v>
      </c>
      <c r="N860">
        <v>1</v>
      </c>
      <c r="O860">
        <v>1</v>
      </c>
      <c r="R860">
        <f t="shared" si="38"/>
        <v>55</v>
      </c>
      <c r="S860">
        <v>1</v>
      </c>
      <c r="T860">
        <v>1</v>
      </c>
      <c r="U860">
        <v>1</v>
      </c>
      <c r="V860">
        <v>1</v>
      </c>
      <c r="W860">
        <v>1</v>
      </c>
      <c r="AA860">
        <v>-6669.2525999999998</v>
      </c>
      <c r="AB860">
        <v>-6669.2525999999998</v>
      </c>
      <c r="AC860">
        <v>-6669.2525999999998</v>
      </c>
      <c r="AD860">
        <v>-6669.2525999999998</v>
      </c>
      <c r="AE860">
        <v>-6669.2525999999998</v>
      </c>
      <c r="AF860">
        <v>-1050810.2549999999</v>
      </c>
    </row>
    <row r="861" spans="2:32" x14ac:dyDescent="0.25">
      <c r="B861">
        <f t="shared" si="36"/>
        <v>56</v>
      </c>
      <c r="C861">
        <v>1</v>
      </c>
      <c r="D861">
        <v>1</v>
      </c>
      <c r="E861">
        <v>1</v>
      </c>
      <c r="F861">
        <v>1</v>
      </c>
      <c r="G861">
        <v>1</v>
      </c>
      <c r="J861">
        <f t="shared" si="37"/>
        <v>56</v>
      </c>
      <c r="K861">
        <v>1</v>
      </c>
      <c r="L861">
        <v>1</v>
      </c>
      <c r="M861">
        <v>1</v>
      </c>
      <c r="N861">
        <v>1</v>
      </c>
      <c r="O861">
        <v>1</v>
      </c>
      <c r="R861">
        <f t="shared" si="38"/>
        <v>56</v>
      </c>
      <c r="S861">
        <v>1</v>
      </c>
      <c r="T861">
        <v>1</v>
      </c>
      <c r="U861">
        <v>1</v>
      </c>
      <c r="V861">
        <v>1</v>
      </c>
      <c r="W861">
        <v>1</v>
      </c>
      <c r="AA861">
        <v>-6528.2992000000004</v>
      </c>
      <c r="AB861">
        <v>-6528.2992000000004</v>
      </c>
      <c r="AC861">
        <v>-6528.2992000000004</v>
      </c>
      <c r="AD861">
        <v>-6528.2992000000004</v>
      </c>
      <c r="AE861">
        <v>-6528.2992000000004</v>
      </c>
      <c r="AF861">
        <v>-1073295.8774000001</v>
      </c>
    </row>
    <row r="862" spans="2:32" x14ac:dyDescent="0.25">
      <c r="B862">
        <f t="shared" si="36"/>
        <v>57</v>
      </c>
      <c r="C862">
        <v>1</v>
      </c>
      <c r="D862">
        <v>1</v>
      </c>
      <c r="E862">
        <v>1</v>
      </c>
      <c r="F862">
        <v>1</v>
      </c>
      <c r="G862">
        <v>1</v>
      </c>
      <c r="J862">
        <f t="shared" si="37"/>
        <v>57</v>
      </c>
      <c r="K862">
        <v>1</v>
      </c>
      <c r="L862">
        <v>1</v>
      </c>
      <c r="M862">
        <v>1</v>
      </c>
      <c r="N862">
        <v>1</v>
      </c>
      <c r="O862">
        <v>1</v>
      </c>
      <c r="R862">
        <f t="shared" si="38"/>
        <v>57</v>
      </c>
      <c r="S862">
        <v>1</v>
      </c>
      <c r="T862">
        <v>1</v>
      </c>
      <c r="U862">
        <v>1</v>
      </c>
      <c r="V862">
        <v>1</v>
      </c>
      <c r="W862">
        <v>1</v>
      </c>
      <c r="AA862">
        <v>-6385.5230000000001</v>
      </c>
      <c r="AB862">
        <v>-6385.5230000000001</v>
      </c>
      <c r="AC862">
        <v>-6385.5230000000001</v>
      </c>
      <c r="AD862">
        <v>-6385.5230000000001</v>
      </c>
      <c r="AE862">
        <v>-6385.5230000000001</v>
      </c>
      <c r="AF862">
        <v>-1073295.8774000001</v>
      </c>
    </row>
    <row r="863" spans="2:32" x14ac:dyDescent="0.25">
      <c r="B863">
        <f t="shared" si="36"/>
        <v>58</v>
      </c>
      <c r="C863">
        <v>1</v>
      </c>
      <c r="D863">
        <v>1</v>
      </c>
      <c r="E863">
        <v>1</v>
      </c>
      <c r="F863">
        <v>1</v>
      </c>
      <c r="G863">
        <v>1</v>
      </c>
      <c r="J863">
        <f t="shared" si="37"/>
        <v>58</v>
      </c>
      <c r="K863">
        <v>1</v>
      </c>
      <c r="L863">
        <v>1</v>
      </c>
      <c r="M863">
        <v>1</v>
      </c>
      <c r="N863">
        <v>1</v>
      </c>
      <c r="O863">
        <v>1</v>
      </c>
      <c r="R863">
        <f t="shared" si="38"/>
        <v>58</v>
      </c>
      <c r="S863">
        <v>1</v>
      </c>
      <c r="T863">
        <v>1</v>
      </c>
      <c r="U863">
        <v>1</v>
      </c>
      <c r="V863">
        <v>1</v>
      </c>
      <c r="W863">
        <v>1</v>
      </c>
      <c r="AA863">
        <v>-6240.8730999999998</v>
      </c>
      <c r="AB863">
        <v>-6240.8730999999998</v>
      </c>
      <c r="AC863">
        <v>-6240.8730999999998</v>
      </c>
      <c r="AD863">
        <v>-6240.8730999999998</v>
      </c>
      <c r="AE863">
        <v>-6240.8730999999998</v>
      </c>
      <c r="AF863">
        <v>-1114366.6444000001</v>
      </c>
    </row>
    <row r="864" spans="2:32" x14ac:dyDescent="0.25">
      <c r="B864">
        <f t="shared" si="36"/>
        <v>59</v>
      </c>
      <c r="C864">
        <v>1</v>
      </c>
      <c r="D864">
        <v>1</v>
      </c>
      <c r="E864">
        <v>1</v>
      </c>
      <c r="F864">
        <v>1</v>
      </c>
      <c r="G864">
        <v>1</v>
      </c>
      <c r="J864">
        <f t="shared" si="37"/>
        <v>59</v>
      </c>
      <c r="K864">
        <v>1</v>
      </c>
      <c r="L864">
        <v>1</v>
      </c>
      <c r="M864">
        <v>1</v>
      </c>
      <c r="N864">
        <v>1</v>
      </c>
      <c r="O864">
        <v>1</v>
      </c>
      <c r="R864">
        <f t="shared" si="38"/>
        <v>59</v>
      </c>
      <c r="S864">
        <v>1</v>
      </c>
      <c r="T864">
        <v>1</v>
      </c>
      <c r="U864">
        <v>1</v>
      </c>
      <c r="V864">
        <v>1</v>
      </c>
      <c r="W864">
        <v>1</v>
      </c>
      <c r="AA864">
        <v>-6094.3262999999997</v>
      </c>
      <c r="AB864">
        <v>-6094.3262999999997</v>
      </c>
      <c r="AC864">
        <v>-6094.3262999999997</v>
      </c>
      <c r="AD864">
        <v>-6094.3262999999997</v>
      </c>
      <c r="AE864">
        <v>-6094.3262999999997</v>
      </c>
      <c r="AF864">
        <v>-1136284.0146999999</v>
      </c>
    </row>
    <row r="865" spans="2:32" x14ac:dyDescent="0.25">
      <c r="B865">
        <f t="shared" si="36"/>
        <v>60</v>
      </c>
      <c r="C865">
        <v>1</v>
      </c>
      <c r="D865">
        <v>1</v>
      </c>
      <c r="E865">
        <v>1</v>
      </c>
      <c r="F865">
        <v>1</v>
      </c>
      <c r="G865">
        <v>1</v>
      </c>
      <c r="J865">
        <f t="shared" si="37"/>
        <v>60</v>
      </c>
      <c r="K865">
        <v>1</v>
      </c>
      <c r="L865">
        <v>1</v>
      </c>
      <c r="M865">
        <v>1</v>
      </c>
      <c r="N865">
        <v>1</v>
      </c>
      <c r="O865">
        <v>1</v>
      </c>
      <c r="R865">
        <f t="shared" si="38"/>
        <v>60</v>
      </c>
      <c r="S865">
        <v>1</v>
      </c>
      <c r="T865">
        <v>1</v>
      </c>
      <c r="U865">
        <v>1</v>
      </c>
      <c r="V865">
        <v>1</v>
      </c>
      <c r="W865">
        <v>1</v>
      </c>
      <c r="AA865">
        <v>-5945.9960000000001</v>
      </c>
      <c r="AB865">
        <v>-5945.9960000000001</v>
      </c>
      <c r="AC865">
        <v>-5945.9960000000001</v>
      </c>
      <c r="AD865">
        <v>-5945.9960000000001</v>
      </c>
      <c r="AE865">
        <v>-5945.9960000000001</v>
      </c>
      <c r="AF865">
        <v>-1157801.6717999999</v>
      </c>
    </row>
    <row r="866" spans="2:32" x14ac:dyDescent="0.25">
      <c r="B866">
        <f t="shared" si="36"/>
        <v>61</v>
      </c>
      <c r="C866">
        <v>1</v>
      </c>
      <c r="D866">
        <v>1</v>
      </c>
      <c r="E866">
        <v>1</v>
      </c>
      <c r="F866">
        <v>1</v>
      </c>
      <c r="G866">
        <v>1</v>
      </c>
      <c r="J866">
        <f t="shared" si="37"/>
        <v>61</v>
      </c>
      <c r="K866">
        <v>1</v>
      </c>
      <c r="L866">
        <v>1</v>
      </c>
      <c r="M866">
        <v>1</v>
      </c>
      <c r="N866">
        <v>1</v>
      </c>
      <c r="O866">
        <v>1</v>
      </c>
      <c r="R866">
        <f t="shared" si="38"/>
        <v>61</v>
      </c>
      <c r="S866">
        <v>1</v>
      </c>
      <c r="T866">
        <v>1</v>
      </c>
      <c r="U866">
        <v>1</v>
      </c>
      <c r="V866">
        <v>1</v>
      </c>
      <c r="W866">
        <v>1</v>
      </c>
      <c r="AA866">
        <v>-5796.3015999999998</v>
      </c>
      <c r="AB866">
        <v>-5796.3015999999998</v>
      </c>
      <c r="AC866">
        <v>-5796.3015999999998</v>
      </c>
      <c r="AD866">
        <v>-5796.3015999999998</v>
      </c>
      <c r="AE866">
        <v>-5796.3015999999998</v>
      </c>
      <c r="AF866">
        <v>-1178581.4038</v>
      </c>
    </row>
    <row r="867" spans="2:32" x14ac:dyDescent="0.25">
      <c r="B867">
        <f t="shared" si="36"/>
        <v>62</v>
      </c>
      <c r="C867">
        <v>1</v>
      </c>
      <c r="D867">
        <v>1</v>
      </c>
      <c r="E867">
        <v>1</v>
      </c>
      <c r="F867">
        <v>1</v>
      </c>
      <c r="G867">
        <v>1</v>
      </c>
      <c r="J867">
        <f t="shared" si="37"/>
        <v>62</v>
      </c>
      <c r="K867">
        <v>1</v>
      </c>
      <c r="L867">
        <v>1</v>
      </c>
      <c r="M867">
        <v>1</v>
      </c>
      <c r="N867">
        <v>1</v>
      </c>
      <c r="O867">
        <v>1</v>
      </c>
      <c r="R867">
        <f t="shared" si="38"/>
        <v>62</v>
      </c>
      <c r="S867">
        <v>1</v>
      </c>
      <c r="T867">
        <v>1</v>
      </c>
      <c r="U867">
        <v>1</v>
      </c>
      <c r="V867">
        <v>1</v>
      </c>
      <c r="W867">
        <v>1</v>
      </c>
      <c r="AA867">
        <v>-5645.2415000000001</v>
      </c>
      <c r="AB867">
        <v>-5645.2415000000001</v>
      </c>
      <c r="AC867">
        <v>-5645.2415000000001</v>
      </c>
      <c r="AD867">
        <v>-5645.2415000000001</v>
      </c>
      <c r="AE867">
        <v>-5645.2415000000001</v>
      </c>
      <c r="AF867">
        <v>-1199521.5327000001</v>
      </c>
    </row>
    <row r="868" spans="2:32" x14ac:dyDescent="0.25">
      <c r="B868">
        <f t="shared" si="36"/>
        <v>63</v>
      </c>
      <c r="C868">
        <v>1</v>
      </c>
      <c r="D868">
        <v>1</v>
      </c>
      <c r="E868">
        <v>1</v>
      </c>
      <c r="F868">
        <v>1</v>
      </c>
      <c r="G868">
        <v>1</v>
      </c>
      <c r="J868">
        <f t="shared" si="37"/>
        <v>63</v>
      </c>
      <c r="K868">
        <v>1</v>
      </c>
      <c r="L868">
        <v>1</v>
      </c>
      <c r="M868">
        <v>1</v>
      </c>
      <c r="N868">
        <v>1</v>
      </c>
      <c r="O868">
        <v>1</v>
      </c>
      <c r="R868">
        <f t="shared" si="38"/>
        <v>63</v>
      </c>
      <c r="S868">
        <v>1</v>
      </c>
      <c r="T868">
        <v>1</v>
      </c>
      <c r="U868">
        <v>1</v>
      </c>
      <c r="V868">
        <v>1</v>
      </c>
      <c r="W868">
        <v>1</v>
      </c>
      <c r="AA868">
        <v>-5492.4920000000002</v>
      </c>
      <c r="AB868">
        <v>-5492.4920000000002</v>
      </c>
      <c r="AC868">
        <v>-5492.4920000000002</v>
      </c>
      <c r="AD868">
        <v>-5492.4920000000002</v>
      </c>
      <c r="AE868">
        <v>-5492.4920000000002</v>
      </c>
      <c r="AF868">
        <v>-1220461.6269</v>
      </c>
    </row>
    <row r="869" spans="2:32" x14ac:dyDescent="0.25">
      <c r="B869">
        <f t="shared" si="36"/>
        <v>64</v>
      </c>
      <c r="C869">
        <v>1</v>
      </c>
      <c r="D869">
        <v>1</v>
      </c>
      <c r="E869">
        <v>1</v>
      </c>
      <c r="F869">
        <v>1</v>
      </c>
      <c r="G869">
        <v>1</v>
      </c>
      <c r="J869">
        <f t="shared" si="37"/>
        <v>64</v>
      </c>
      <c r="K869">
        <v>1</v>
      </c>
      <c r="L869">
        <v>1</v>
      </c>
      <c r="M869">
        <v>1</v>
      </c>
      <c r="N869">
        <v>1</v>
      </c>
      <c r="O869">
        <v>1</v>
      </c>
      <c r="R869">
        <f t="shared" si="38"/>
        <v>64</v>
      </c>
      <c r="S869">
        <v>1</v>
      </c>
      <c r="T869">
        <v>1</v>
      </c>
      <c r="U869">
        <v>1</v>
      </c>
      <c r="V869">
        <v>1</v>
      </c>
      <c r="W869">
        <v>1</v>
      </c>
      <c r="AA869">
        <v>-5338.1817000000001</v>
      </c>
      <c r="AB869">
        <v>-5338.1817000000001</v>
      </c>
      <c r="AC869">
        <v>-5338.1817000000001</v>
      </c>
      <c r="AD869">
        <v>-5338.1817000000001</v>
      </c>
      <c r="AE869">
        <v>-5338.1817000000001</v>
      </c>
      <c r="AF869">
        <v>-1240652.2526</v>
      </c>
    </row>
    <row r="870" spans="2:32" x14ac:dyDescent="0.25">
      <c r="B870">
        <f t="shared" si="36"/>
        <v>65</v>
      </c>
      <c r="C870">
        <v>1</v>
      </c>
      <c r="D870">
        <v>1</v>
      </c>
      <c r="E870">
        <v>1</v>
      </c>
      <c r="F870">
        <v>1</v>
      </c>
      <c r="G870">
        <v>1</v>
      </c>
      <c r="J870">
        <f t="shared" si="37"/>
        <v>65</v>
      </c>
      <c r="K870">
        <v>1</v>
      </c>
      <c r="L870">
        <v>1</v>
      </c>
      <c r="M870">
        <v>1</v>
      </c>
      <c r="N870">
        <v>1</v>
      </c>
      <c r="O870">
        <v>1</v>
      </c>
      <c r="R870">
        <f t="shared" si="38"/>
        <v>65</v>
      </c>
      <c r="S870">
        <v>1</v>
      </c>
      <c r="T870">
        <v>1</v>
      </c>
      <c r="U870">
        <v>1</v>
      </c>
      <c r="V870">
        <v>1</v>
      </c>
      <c r="W870">
        <v>1</v>
      </c>
      <c r="AA870">
        <v>-5182.2268999999997</v>
      </c>
      <c r="AB870">
        <v>-5182.2268999999997</v>
      </c>
      <c r="AC870">
        <v>-5182.2268999999997</v>
      </c>
      <c r="AD870">
        <v>-5182.2268999999997</v>
      </c>
      <c r="AE870">
        <v>-5182.2268999999997</v>
      </c>
      <c r="AF870">
        <v>-1260049.8302</v>
      </c>
    </row>
    <row r="873" spans="2:32" x14ac:dyDescent="0.25">
      <c r="B873" t="s">
        <v>46</v>
      </c>
      <c r="C873">
        <v>50000</v>
      </c>
      <c r="D873">
        <v>100000</v>
      </c>
      <c r="E873">
        <v>250000</v>
      </c>
      <c r="F873">
        <v>500000</v>
      </c>
      <c r="G873">
        <v>1000000</v>
      </c>
      <c r="H873">
        <v>2000000</v>
      </c>
      <c r="J873" t="s">
        <v>47</v>
      </c>
      <c r="K873">
        <v>50000</v>
      </c>
      <c r="L873">
        <v>100000</v>
      </c>
      <c r="M873">
        <v>250000</v>
      </c>
      <c r="N873">
        <v>500000</v>
      </c>
      <c r="O873">
        <v>1000000</v>
      </c>
      <c r="P873">
        <v>2000000</v>
      </c>
      <c r="R873" t="s">
        <v>48</v>
      </c>
      <c r="S873">
        <v>50000</v>
      </c>
      <c r="T873">
        <v>100000</v>
      </c>
      <c r="U873">
        <v>250000</v>
      </c>
      <c r="V873">
        <v>500000</v>
      </c>
      <c r="W873">
        <v>1000000</v>
      </c>
      <c r="X873">
        <v>2000000</v>
      </c>
    </row>
    <row r="874" spans="2:32" x14ac:dyDescent="0.25">
      <c r="B874">
        <v>26</v>
      </c>
      <c r="C874">
        <v>1</v>
      </c>
      <c r="D874">
        <v>1</v>
      </c>
      <c r="E874">
        <v>1</v>
      </c>
      <c r="F874">
        <v>1</v>
      </c>
      <c r="G874">
        <v>1</v>
      </c>
      <c r="H874">
        <v>1</v>
      </c>
      <c r="J874">
        <v>26</v>
      </c>
      <c r="K874">
        <v>1</v>
      </c>
      <c r="L874">
        <v>1</v>
      </c>
      <c r="M874">
        <v>1</v>
      </c>
      <c r="N874">
        <v>1</v>
      </c>
      <c r="O874">
        <v>1</v>
      </c>
      <c r="P874">
        <v>1</v>
      </c>
      <c r="R874">
        <v>26</v>
      </c>
      <c r="S874">
        <v>1</v>
      </c>
      <c r="T874">
        <v>1</v>
      </c>
      <c r="U874">
        <v>1</v>
      </c>
      <c r="V874">
        <v>1</v>
      </c>
      <c r="W874">
        <v>1</v>
      </c>
      <c r="X874">
        <v>1</v>
      </c>
      <c r="AA874">
        <v>-5174.8482999999997</v>
      </c>
      <c r="AB874">
        <v>-5174.8482999999997</v>
      </c>
      <c r="AC874">
        <v>-5174.8482999999997</v>
      </c>
      <c r="AD874">
        <v>-5174.8482999999997</v>
      </c>
      <c r="AE874">
        <v>-5174.8482999999997</v>
      </c>
      <c r="AF874">
        <v>-5174.8482999999997</v>
      </c>
    </row>
    <row r="875" spans="2:32" x14ac:dyDescent="0.25">
      <c r="B875">
        <v>27</v>
      </c>
      <c r="C875">
        <v>1</v>
      </c>
      <c r="D875">
        <v>1</v>
      </c>
      <c r="E875">
        <v>1</v>
      </c>
      <c r="F875">
        <v>1</v>
      </c>
      <c r="G875">
        <v>1</v>
      </c>
      <c r="H875">
        <v>1</v>
      </c>
      <c r="J875">
        <v>27</v>
      </c>
      <c r="K875">
        <v>1</v>
      </c>
      <c r="L875">
        <v>1</v>
      </c>
      <c r="M875">
        <v>1</v>
      </c>
      <c r="N875">
        <v>1</v>
      </c>
      <c r="O875">
        <v>1</v>
      </c>
      <c r="P875">
        <v>1</v>
      </c>
      <c r="R875">
        <v>27</v>
      </c>
      <c r="S875">
        <v>1</v>
      </c>
      <c r="T875">
        <v>1</v>
      </c>
      <c r="U875">
        <v>1</v>
      </c>
      <c r="V875">
        <v>1</v>
      </c>
      <c r="W875">
        <v>1</v>
      </c>
      <c r="X875">
        <v>1</v>
      </c>
      <c r="AA875">
        <v>-5173.6036999999997</v>
      </c>
      <c r="AB875">
        <v>-5173.6036999999997</v>
      </c>
      <c r="AC875">
        <v>-5173.6036999999997</v>
      </c>
      <c r="AD875">
        <v>-5173.6036999999997</v>
      </c>
      <c r="AE875">
        <v>-5173.6036999999997</v>
      </c>
      <c r="AF875">
        <v>-5173.6036999999997</v>
      </c>
    </row>
    <row r="876" spans="2:32" x14ac:dyDescent="0.25">
      <c r="B876">
        <v>28</v>
      </c>
      <c r="C876">
        <v>1</v>
      </c>
      <c r="D876">
        <v>1</v>
      </c>
      <c r="E876">
        <v>1</v>
      </c>
      <c r="F876">
        <v>1</v>
      </c>
      <c r="G876">
        <v>1</v>
      </c>
      <c r="H876">
        <v>1</v>
      </c>
      <c r="J876">
        <v>28</v>
      </c>
      <c r="K876">
        <v>1</v>
      </c>
      <c r="L876">
        <v>1</v>
      </c>
      <c r="M876">
        <v>1</v>
      </c>
      <c r="N876">
        <v>1</v>
      </c>
      <c r="O876">
        <v>1</v>
      </c>
      <c r="P876">
        <v>1</v>
      </c>
      <c r="R876">
        <v>28</v>
      </c>
      <c r="S876">
        <v>1</v>
      </c>
      <c r="T876">
        <v>1</v>
      </c>
      <c r="U876">
        <v>1</v>
      </c>
      <c r="V876">
        <v>1</v>
      </c>
      <c r="W876">
        <v>1</v>
      </c>
      <c r="X876">
        <v>1</v>
      </c>
      <c r="AA876">
        <v>-5172.1755999999996</v>
      </c>
      <c r="AB876">
        <v>-5172.1755999999996</v>
      </c>
      <c r="AC876">
        <v>-5172.1755999999996</v>
      </c>
      <c r="AD876">
        <v>-5172.1755999999996</v>
      </c>
      <c r="AE876">
        <v>-5172.1755999999996</v>
      </c>
      <c r="AF876">
        <v>-5172.1755999999996</v>
      </c>
    </row>
    <row r="877" spans="2:32" x14ac:dyDescent="0.25">
      <c r="B877">
        <v>29</v>
      </c>
      <c r="C877">
        <v>1</v>
      </c>
      <c r="D877">
        <v>1</v>
      </c>
      <c r="E877">
        <v>1</v>
      </c>
      <c r="F877">
        <v>1</v>
      </c>
      <c r="G877">
        <v>1</v>
      </c>
      <c r="H877">
        <v>1</v>
      </c>
      <c r="J877">
        <v>29</v>
      </c>
      <c r="K877">
        <v>1</v>
      </c>
      <c r="L877">
        <v>1</v>
      </c>
      <c r="M877">
        <v>1</v>
      </c>
      <c r="N877">
        <v>1</v>
      </c>
      <c r="O877">
        <v>1</v>
      </c>
      <c r="P877">
        <v>1</v>
      </c>
      <c r="R877">
        <v>29</v>
      </c>
      <c r="S877">
        <v>1</v>
      </c>
      <c r="T877">
        <v>1</v>
      </c>
      <c r="U877">
        <v>1</v>
      </c>
      <c r="V877">
        <v>1</v>
      </c>
      <c r="W877">
        <v>1</v>
      </c>
      <c r="X877">
        <v>1</v>
      </c>
      <c r="AA877">
        <v>-5170.5482000000002</v>
      </c>
      <c r="AB877">
        <v>-5170.5482000000002</v>
      </c>
      <c r="AC877">
        <v>-5170.5482000000002</v>
      </c>
      <c r="AD877">
        <v>-5170.5482000000002</v>
      </c>
      <c r="AE877">
        <v>-5170.5482000000002</v>
      </c>
      <c r="AF877">
        <v>-5170.5482000000002</v>
      </c>
    </row>
    <row r="878" spans="2:32" x14ac:dyDescent="0.25">
      <c r="B878">
        <v>30</v>
      </c>
      <c r="C878">
        <v>1</v>
      </c>
      <c r="D878">
        <v>1</v>
      </c>
      <c r="E878">
        <v>1</v>
      </c>
      <c r="F878">
        <v>1</v>
      </c>
      <c r="G878">
        <v>1</v>
      </c>
      <c r="H878">
        <v>1</v>
      </c>
      <c r="J878">
        <v>30</v>
      </c>
      <c r="K878">
        <v>1</v>
      </c>
      <c r="L878">
        <v>1</v>
      </c>
      <c r="M878">
        <v>1</v>
      </c>
      <c r="N878">
        <v>1</v>
      </c>
      <c r="O878">
        <v>1</v>
      </c>
      <c r="P878">
        <v>1</v>
      </c>
      <c r="R878">
        <v>30</v>
      </c>
      <c r="S878">
        <v>1</v>
      </c>
      <c r="T878">
        <v>1</v>
      </c>
      <c r="U878">
        <v>1</v>
      </c>
      <c r="V878">
        <v>1</v>
      </c>
      <c r="W878">
        <v>1</v>
      </c>
      <c r="X878">
        <v>1</v>
      </c>
      <c r="AA878">
        <v>-5168.6908999999996</v>
      </c>
      <c r="AB878">
        <v>-5168.6908999999996</v>
      </c>
      <c r="AC878">
        <v>-5168.6908999999996</v>
      </c>
      <c r="AD878">
        <v>-5168.6908999999996</v>
      </c>
      <c r="AE878">
        <v>-5168.6908999999996</v>
      </c>
      <c r="AF878">
        <v>-5168.6908999999996</v>
      </c>
    </row>
    <row r="879" spans="2:32" x14ac:dyDescent="0.25">
      <c r="B879">
        <v>31</v>
      </c>
      <c r="C879">
        <v>1</v>
      </c>
      <c r="D879">
        <v>1</v>
      </c>
      <c r="E879">
        <v>1</v>
      </c>
      <c r="F879">
        <v>1</v>
      </c>
      <c r="G879">
        <v>1</v>
      </c>
      <c r="H879">
        <v>1</v>
      </c>
      <c r="J879">
        <v>31</v>
      </c>
      <c r="K879">
        <v>1</v>
      </c>
      <c r="L879">
        <v>1</v>
      </c>
      <c r="M879">
        <v>1</v>
      </c>
      <c r="N879">
        <v>1</v>
      </c>
      <c r="O879">
        <v>1</v>
      </c>
      <c r="P879">
        <v>1</v>
      </c>
      <c r="R879">
        <v>31</v>
      </c>
      <c r="S879">
        <v>1</v>
      </c>
      <c r="T879">
        <v>1</v>
      </c>
      <c r="U879">
        <v>1</v>
      </c>
      <c r="V879">
        <v>1</v>
      </c>
      <c r="W879">
        <v>1</v>
      </c>
      <c r="X879">
        <v>1</v>
      </c>
      <c r="AA879">
        <v>-5166.5891000000001</v>
      </c>
      <c r="AB879">
        <v>-5166.5891000000001</v>
      </c>
      <c r="AC879">
        <v>-5166.5891000000001</v>
      </c>
      <c r="AD879">
        <v>-5166.5891000000001</v>
      </c>
      <c r="AE879">
        <v>-5166.5891000000001</v>
      </c>
      <c r="AF879">
        <v>-5166.5891000000001</v>
      </c>
    </row>
    <row r="880" spans="2:32" x14ac:dyDescent="0.25">
      <c r="B880">
        <v>32</v>
      </c>
      <c r="C880">
        <v>1</v>
      </c>
      <c r="D880">
        <v>1</v>
      </c>
      <c r="E880">
        <v>1</v>
      </c>
      <c r="F880">
        <v>1</v>
      </c>
      <c r="G880">
        <v>1</v>
      </c>
      <c r="H880">
        <v>1</v>
      </c>
      <c r="J880">
        <v>32</v>
      </c>
      <c r="K880">
        <v>1</v>
      </c>
      <c r="L880">
        <v>1</v>
      </c>
      <c r="M880">
        <v>1</v>
      </c>
      <c r="N880">
        <v>1</v>
      </c>
      <c r="O880">
        <v>1</v>
      </c>
      <c r="P880">
        <v>1</v>
      </c>
      <c r="R880">
        <v>32</v>
      </c>
      <c r="S880">
        <v>1</v>
      </c>
      <c r="T880">
        <v>1</v>
      </c>
      <c r="U880">
        <v>1</v>
      </c>
      <c r="V880">
        <v>1</v>
      </c>
      <c r="W880">
        <v>1</v>
      </c>
      <c r="X880">
        <v>1</v>
      </c>
      <c r="AA880">
        <v>-5164.2407000000003</v>
      </c>
      <c r="AB880">
        <v>-5164.2407000000003</v>
      </c>
      <c r="AC880">
        <v>-5164.2407000000003</v>
      </c>
      <c r="AD880">
        <v>-5164.2407000000003</v>
      </c>
      <c r="AE880">
        <v>-5164.2407000000003</v>
      </c>
      <c r="AF880">
        <v>-5164.2407000000003</v>
      </c>
    </row>
    <row r="881" spans="2:32" x14ac:dyDescent="0.25">
      <c r="B881">
        <v>33</v>
      </c>
      <c r="C881">
        <v>1</v>
      </c>
      <c r="D881">
        <v>1</v>
      </c>
      <c r="E881">
        <v>1</v>
      </c>
      <c r="F881">
        <v>1</v>
      </c>
      <c r="G881">
        <v>1</v>
      </c>
      <c r="H881">
        <v>1</v>
      </c>
      <c r="J881">
        <v>33</v>
      </c>
      <c r="K881">
        <v>1</v>
      </c>
      <c r="L881">
        <v>1</v>
      </c>
      <c r="M881">
        <v>1</v>
      </c>
      <c r="N881">
        <v>1</v>
      </c>
      <c r="O881">
        <v>1</v>
      </c>
      <c r="P881">
        <v>1</v>
      </c>
      <c r="R881">
        <v>33</v>
      </c>
      <c r="S881">
        <v>1</v>
      </c>
      <c r="T881">
        <v>1</v>
      </c>
      <c r="U881">
        <v>1</v>
      </c>
      <c r="V881">
        <v>1</v>
      </c>
      <c r="W881">
        <v>1</v>
      </c>
      <c r="X881">
        <v>1</v>
      </c>
      <c r="AA881">
        <v>-5161.6318000000001</v>
      </c>
      <c r="AB881">
        <v>-5161.6318000000001</v>
      </c>
      <c r="AC881">
        <v>-5161.6318000000001</v>
      </c>
      <c r="AD881">
        <v>-5161.6318000000001</v>
      </c>
      <c r="AE881">
        <v>-5161.6318000000001</v>
      </c>
      <c r="AF881">
        <v>-5161.6318000000001</v>
      </c>
    </row>
    <row r="882" spans="2:32" x14ac:dyDescent="0.25">
      <c r="B882">
        <v>34</v>
      </c>
      <c r="C882">
        <v>1</v>
      </c>
      <c r="D882">
        <v>1</v>
      </c>
      <c r="E882">
        <v>1</v>
      </c>
      <c r="F882">
        <v>1</v>
      </c>
      <c r="G882">
        <v>1</v>
      </c>
      <c r="H882">
        <v>1</v>
      </c>
      <c r="J882">
        <v>34</v>
      </c>
      <c r="K882">
        <v>1</v>
      </c>
      <c r="L882">
        <v>1</v>
      </c>
      <c r="M882">
        <v>1</v>
      </c>
      <c r="N882">
        <v>1</v>
      </c>
      <c r="O882">
        <v>1</v>
      </c>
      <c r="P882">
        <v>1</v>
      </c>
      <c r="R882">
        <v>34</v>
      </c>
      <c r="S882">
        <v>1</v>
      </c>
      <c r="T882">
        <v>1</v>
      </c>
      <c r="U882">
        <v>1</v>
      </c>
      <c r="V882">
        <v>1</v>
      </c>
      <c r="W882">
        <v>1</v>
      </c>
      <c r="X882">
        <v>1</v>
      </c>
      <c r="AA882">
        <v>-5158.7194</v>
      </c>
      <c r="AB882">
        <v>-5158.7194</v>
      </c>
      <c r="AC882">
        <v>-5158.7194</v>
      </c>
      <c r="AD882">
        <v>-5158.7194</v>
      </c>
      <c r="AE882">
        <v>-5158.7194</v>
      </c>
      <c r="AF882">
        <v>-5158.7194</v>
      </c>
    </row>
    <row r="883" spans="2:32" x14ac:dyDescent="0.25">
      <c r="B883">
        <v>35</v>
      </c>
      <c r="C883">
        <v>1</v>
      </c>
      <c r="D883">
        <v>1</v>
      </c>
      <c r="E883">
        <v>1</v>
      </c>
      <c r="F883">
        <v>1</v>
      </c>
      <c r="G883">
        <v>1</v>
      </c>
      <c r="H883">
        <v>1</v>
      </c>
      <c r="J883">
        <v>35</v>
      </c>
      <c r="K883">
        <v>1</v>
      </c>
      <c r="L883">
        <v>1</v>
      </c>
      <c r="M883">
        <v>1</v>
      </c>
      <c r="N883">
        <v>1</v>
      </c>
      <c r="O883">
        <v>1</v>
      </c>
      <c r="P883">
        <v>1</v>
      </c>
      <c r="R883">
        <v>35</v>
      </c>
      <c r="S883">
        <v>1</v>
      </c>
      <c r="T883">
        <v>1</v>
      </c>
      <c r="U883">
        <v>1</v>
      </c>
      <c r="V883">
        <v>1</v>
      </c>
      <c r="W883">
        <v>1</v>
      </c>
      <c r="X883">
        <v>1</v>
      </c>
      <c r="AA883">
        <v>-5155.4901</v>
      </c>
      <c r="AB883">
        <v>-5155.4901</v>
      </c>
      <c r="AC883">
        <v>-5155.4901</v>
      </c>
      <c r="AD883">
        <v>-5155.4901</v>
      </c>
      <c r="AE883">
        <v>-5155.4901</v>
      </c>
      <c r="AF883">
        <v>-5155.4901</v>
      </c>
    </row>
    <row r="884" spans="2:32" x14ac:dyDescent="0.25">
      <c r="B884">
        <v>36</v>
      </c>
      <c r="C884">
        <v>1</v>
      </c>
      <c r="D884">
        <v>1</v>
      </c>
      <c r="E884">
        <v>1</v>
      </c>
      <c r="F884">
        <v>1</v>
      </c>
      <c r="G884">
        <v>1</v>
      </c>
      <c r="H884">
        <v>1</v>
      </c>
      <c r="J884">
        <v>36</v>
      </c>
      <c r="K884">
        <v>1</v>
      </c>
      <c r="L884">
        <v>1</v>
      </c>
      <c r="M884">
        <v>1</v>
      </c>
      <c r="N884">
        <v>1</v>
      </c>
      <c r="O884">
        <v>1</v>
      </c>
      <c r="P884">
        <v>1</v>
      </c>
      <c r="R884">
        <v>36</v>
      </c>
      <c r="S884">
        <v>1</v>
      </c>
      <c r="T884">
        <v>1</v>
      </c>
      <c r="U884">
        <v>1</v>
      </c>
      <c r="V884">
        <v>1</v>
      </c>
      <c r="W884">
        <v>1</v>
      </c>
      <c r="X884">
        <v>1</v>
      </c>
      <c r="AA884">
        <v>-5151.8950999999997</v>
      </c>
      <c r="AB884">
        <v>-5151.8950999999997</v>
      </c>
      <c r="AC884">
        <v>-5151.8950999999997</v>
      </c>
      <c r="AD884">
        <v>-5151.8950999999997</v>
      </c>
      <c r="AE884">
        <v>-5151.8950999999997</v>
      </c>
      <c r="AF884">
        <v>-5151.8950999999997</v>
      </c>
    </row>
    <row r="885" spans="2:32" x14ac:dyDescent="0.25">
      <c r="B885">
        <v>37</v>
      </c>
      <c r="C885">
        <v>1</v>
      </c>
      <c r="D885">
        <v>1</v>
      </c>
      <c r="E885">
        <v>1</v>
      </c>
      <c r="F885">
        <v>1</v>
      </c>
      <c r="G885">
        <v>1</v>
      </c>
      <c r="H885">
        <v>1</v>
      </c>
      <c r="J885">
        <v>37</v>
      </c>
      <c r="K885">
        <v>1</v>
      </c>
      <c r="L885">
        <v>1</v>
      </c>
      <c r="M885">
        <v>1</v>
      </c>
      <c r="N885">
        <v>1</v>
      </c>
      <c r="O885">
        <v>1</v>
      </c>
      <c r="P885">
        <v>1</v>
      </c>
      <c r="R885">
        <v>37</v>
      </c>
      <c r="S885">
        <v>1</v>
      </c>
      <c r="T885">
        <v>1</v>
      </c>
      <c r="U885">
        <v>1</v>
      </c>
      <c r="V885">
        <v>1</v>
      </c>
      <c r="W885">
        <v>1</v>
      </c>
      <c r="X885">
        <v>1</v>
      </c>
      <c r="AA885">
        <v>-5147.9106000000002</v>
      </c>
      <c r="AB885">
        <v>-5147.9106000000002</v>
      </c>
      <c r="AC885">
        <v>-5147.9106000000002</v>
      </c>
      <c r="AD885">
        <v>-5147.9106000000002</v>
      </c>
      <c r="AE885">
        <v>-5147.9106000000002</v>
      </c>
      <c r="AF885">
        <v>-5147.9106000000002</v>
      </c>
    </row>
    <row r="886" spans="2:32" x14ac:dyDescent="0.25">
      <c r="B886">
        <v>38</v>
      </c>
      <c r="C886">
        <v>1</v>
      </c>
      <c r="D886">
        <v>1</v>
      </c>
      <c r="E886">
        <v>1</v>
      </c>
      <c r="F886">
        <v>1</v>
      </c>
      <c r="G886">
        <v>1</v>
      </c>
      <c r="H886">
        <v>1</v>
      </c>
      <c r="J886">
        <v>38</v>
      </c>
      <c r="K886">
        <v>1</v>
      </c>
      <c r="L886">
        <v>1</v>
      </c>
      <c r="M886">
        <v>1</v>
      </c>
      <c r="N886">
        <v>1</v>
      </c>
      <c r="O886">
        <v>1</v>
      </c>
      <c r="P886">
        <v>1</v>
      </c>
      <c r="R886">
        <v>38</v>
      </c>
      <c r="S886">
        <v>1</v>
      </c>
      <c r="T886">
        <v>1</v>
      </c>
      <c r="U886">
        <v>1</v>
      </c>
      <c r="V886">
        <v>1</v>
      </c>
      <c r="W886">
        <v>1</v>
      </c>
      <c r="X886">
        <v>1</v>
      </c>
      <c r="AA886">
        <v>-5143.5393999999997</v>
      </c>
      <c r="AB886">
        <v>-5143.5393999999997</v>
      </c>
      <c r="AC886">
        <v>-5143.5393999999997</v>
      </c>
      <c r="AD886">
        <v>-5143.5393999999997</v>
      </c>
      <c r="AE886">
        <v>-5143.5393999999997</v>
      </c>
      <c r="AF886">
        <v>-5143.5393999999997</v>
      </c>
    </row>
    <row r="887" spans="2:32" x14ac:dyDescent="0.25">
      <c r="B887">
        <v>39</v>
      </c>
      <c r="C887">
        <v>1</v>
      </c>
      <c r="D887">
        <v>1</v>
      </c>
      <c r="E887">
        <v>1</v>
      </c>
      <c r="F887">
        <v>1</v>
      </c>
      <c r="G887">
        <v>1</v>
      </c>
      <c r="H887">
        <v>1</v>
      </c>
      <c r="J887">
        <v>39</v>
      </c>
      <c r="K887">
        <v>1</v>
      </c>
      <c r="L887">
        <v>1</v>
      </c>
      <c r="M887">
        <v>1</v>
      </c>
      <c r="N887">
        <v>1</v>
      </c>
      <c r="O887">
        <v>1</v>
      </c>
      <c r="P887">
        <v>1</v>
      </c>
      <c r="R887">
        <v>39</v>
      </c>
      <c r="S887">
        <v>1</v>
      </c>
      <c r="T887">
        <v>1</v>
      </c>
      <c r="U887">
        <v>1</v>
      </c>
      <c r="V887">
        <v>1</v>
      </c>
      <c r="W887">
        <v>1</v>
      </c>
      <c r="X887">
        <v>1</v>
      </c>
      <c r="AA887">
        <v>-5138.76</v>
      </c>
      <c r="AB887">
        <v>-5138.76</v>
      </c>
      <c r="AC887">
        <v>-5138.76</v>
      </c>
      <c r="AD887">
        <v>-5138.76</v>
      </c>
      <c r="AE887">
        <v>-5138.76</v>
      </c>
      <c r="AF887">
        <v>-5138.76</v>
      </c>
    </row>
    <row r="888" spans="2:32" x14ac:dyDescent="0.25">
      <c r="B888">
        <v>40</v>
      </c>
      <c r="C888">
        <v>1</v>
      </c>
      <c r="D888">
        <v>1</v>
      </c>
      <c r="E888">
        <v>1</v>
      </c>
      <c r="F888">
        <v>1</v>
      </c>
      <c r="G888">
        <v>1</v>
      </c>
      <c r="H888">
        <v>1</v>
      </c>
      <c r="J888">
        <v>40</v>
      </c>
      <c r="K888">
        <v>1</v>
      </c>
      <c r="L888">
        <v>1</v>
      </c>
      <c r="M888">
        <v>1</v>
      </c>
      <c r="N888">
        <v>1</v>
      </c>
      <c r="O888">
        <v>1</v>
      </c>
      <c r="P888">
        <v>1</v>
      </c>
      <c r="R888">
        <v>40</v>
      </c>
      <c r="S888">
        <v>1</v>
      </c>
      <c r="T888">
        <v>1</v>
      </c>
      <c r="U888">
        <v>1</v>
      </c>
      <c r="V888">
        <v>1</v>
      </c>
      <c r="W888">
        <v>1</v>
      </c>
      <c r="X888">
        <v>1</v>
      </c>
      <c r="AA888">
        <v>-5133.5084999999999</v>
      </c>
      <c r="AB888">
        <v>-5133.5084999999999</v>
      </c>
      <c r="AC888">
        <v>-5133.5084999999999</v>
      </c>
      <c r="AD888">
        <v>-5133.5084999999999</v>
      </c>
      <c r="AE888">
        <v>-5133.5084999999999</v>
      </c>
      <c r="AF888">
        <v>-5133.5084999999999</v>
      </c>
    </row>
    <row r="889" spans="2:32" x14ac:dyDescent="0.25">
      <c r="B889">
        <v>41</v>
      </c>
      <c r="C889">
        <v>1</v>
      </c>
      <c r="D889">
        <v>1</v>
      </c>
      <c r="E889">
        <v>1</v>
      </c>
      <c r="F889">
        <v>1</v>
      </c>
      <c r="G889">
        <v>1</v>
      </c>
      <c r="H889">
        <v>1</v>
      </c>
      <c r="J889">
        <v>41</v>
      </c>
      <c r="K889">
        <v>1</v>
      </c>
      <c r="L889">
        <v>1</v>
      </c>
      <c r="M889">
        <v>1</v>
      </c>
      <c r="N889">
        <v>1</v>
      </c>
      <c r="O889">
        <v>1</v>
      </c>
      <c r="P889">
        <v>1</v>
      </c>
      <c r="R889">
        <v>41</v>
      </c>
      <c r="S889">
        <v>1</v>
      </c>
      <c r="T889">
        <v>1</v>
      </c>
      <c r="U889">
        <v>1</v>
      </c>
      <c r="V889">
        <v>1</v>
      </c>
      <c r="W889">
        <v>1</v>
      </c>
      <c r="X889">
        <v>1</v>
      </c>
      <c r="AA889">
        <v>-5127.7236000000003</v>
      </c>
      <c r="AB889">
        <v>-5127.7236000000003</v>
      </c>
      <c r="AC889">
        <v>-5127.7236000000003</v>
      </c>
      <c r="AD889">
        <v>-5127.7236000000003</v>
      </c>
      <c r="AE889">
        <v>-5127.7236000000003</v>
      </c>
      <c r="AF889">
        <v>-5127.7236000000003</v>
      </c>
    </row>
    <row r="890" spans="2:32" x14ac:dyDescent="0.25">
      <c r="B890">
        <v>42</v>
      </c>
      <c r="C890">
        <v>1</v>
      </c>
      <c r="D890">
        <v>1</v>
      </c>
      <c r="E890">
        <v>1</v>
      </c>
      <c r="F890">
        <v>1</v>
      </c>
      <c r="G890">
        <v>1</v>
      </c>
      <c r="H890">
        <v>1</v>
      </c>
      <c r="J890">
        <v>42</v>
      </c>
      <c r="K890">
        <v>1</v>
      </c>
      <c r="L890">
        <v>1</v>
      </c>
      <c r="M890">
        <v>1</v>
      </c>
      <c r="N890">
        <v>1</v>
      </c>
      <c r="O890">
        <v>1</v>
      </c>
      <c r="P890">
        <v>1</v>
      </c>
      <c r="R890">
        <v>42</v>
      </c>
      <c r="S890">
        <v>1</v>
      </c>
      <c r="T890">
        <v>1</v>
      </c>
      <c r="U890">
        <v>1</v>
      </c>
      <c r="V890">
        <v>1</v>
      </c>
      <c r="W890">
        <v>1</v>
      </c>
      <c r="X890">
        <v>1</v>
      </c>
      <c r="AA890">
        <v>-5121.3726999999999</v>
      </c>
      <c r="AB890">
        <v>-5121.3726999999999</v>
      </c>
      <c r="AC890">
        <v>-5121.3726999999999</v>
      </c>
      <c r="AD890">
        <v>-5121.3726999999999</v>
      </c>
      <c r="AE890">
        <v>-5121.3726999999999</v>
      </c>
      <c r="AF890">
        <v>-5121.3726999999999</v>
      </c>
    </row>
    <row r="891" spans="2:32" x14ac:dyDescent="0.25">
      <c r="B891">
        <v>43</v>
      </c>
      <c r="C891">
        <v>1</v>
      </c>
      <c r="D891">
        <v>1</v>
      </c>
      <c r="E891">
        <v>1</v>
      </c>
      <c r="F891">
        <v>1</v>
      </c>
      <c r="G891">
        <v>1</v>
      </c>
      <c r="H891">
        <v>1</v>
      </c>
      <c r="J891">
        <v>43</v>
      </c>
      <c r="K891">
        <v>1</v>
      </c>
      <c r="L891">
        <v>1</v>
      </c>
      <c r="M891">
        <v>1</v>
      </c>
      <c r="N891">
        <v>1</v>
      </c>
      <c r="O891">
        <v>1</v>
      </c>
      <c r="P891">
        <v>1</v>
      </c>
      <c r="R891">
        <v>43</v>
      </c>
      <c r="S891">
        <v>1</v>
      </c>
      <c r="T891">
        <v>1</v>
      </c>
      <c r="U891">
        <v>1</v>
      </c>
      <c r="V891">
        <v>1</v>
      </c>
      <c r="W891">
        <v>1</v>
      </c>
      <c r="X891">
        <v>1</v>
      </c>
      <c r="AA891">
        <v>-5114.3449000000001</v>
      </c>
      <c r="AB891">
        <v>-5114.3449000000001</v>
      </c>
      <c r="AC891">
        <v>-5114.3449000000001</v>
      </c>
      <c r="AD891">
        <v>-5114.3449000000001</v>
      </c>
      <c r="AE891">
        <v>-5114.3449000000001</v>
      </c>
      <c r="AF891">
        <v>-5114.3449000000001</v>
      </c>
    </row>
    <row r="892" spans="2:32" x14ac:dyDescent="0.25">
      <c r="B892">
        <v>44</v>
      </c>
      <c r="C892">
        <v>1</v>
      </c>
      <c r="D892">
        <v>1</v>
      </c>
      <c r="E892">
        <v>1</v>
      </c>
      <c r="F892">
        <v>1</v>
      </c>
      <c r="G892">
        <v>1</v>
      </c>
      <c r="H892">
        <v>1</v>
      </c>
      <c r="J892">
        <v>44</v>
      </c>
      <c r="K892">
        <v>1</v>
      </c>
      <c r="L892">
        <v>1</v>
      </c>
      <c r="M892">
        <v>1</v>
      </c>
      <c r="N892">
        <v>1</v>
      </c>
      <c r="O892">
        <v>1</v>
      </c>
      <c r="P892">
        <v>1</v>
      </c>
      <c r="R892">
        <v>44</v>
      </c>
      <c r="S892">
        <v>1</v>
      </c>
      <c r="T892">
        <v>1</v>
      </c>
      <c r="U892">
        <v>1</v>
      </c>
      <c r="V892">
        <v>1</v>
      </c>
      <c r="W892">
        <v>1</v>
      </c>
      <c r="X892">
        <v>1</v>
      </c>
      <c r="AA892">
        <v>-5106.5976000000001</v>
      </c>
      <c r="AB892">
        <v>-5106.5976000000001</v>
      </c>
      <c r="AC892">
        <v>-5106.5976000000001</v>
      </c>
      <c r="AD892">
        <v>-5106.5976000000001</v>
      </c>
      <c r="AE892">
        <v>-5106.5976000000001</v>
      </c>
      <c r="AF892">
        <v>-5106.5976000000001</v>
      </c>
    </row>
    <row r="893" spans="2:32" x14ac:dyDescent="0.25">
      <c r="B893">
        <v>45</v>
      </c>
      <c r="C893">
        <v>1</v>
      </c>
      <c r="D893">
        <v>1</v>
      </c>
      <c r="E893">
        <v>1</v>
      </c>
      <c r="F893">
        <v>1</v>
      </c>
      <c r="G893">
        <v>1</v>
      </c>
      <c r="H893">
        <v>1</v>
      </c>
      <c r="J893">
        <v>45</v>
      </c>
      <c r="K893">
        <v>1</v>
      </c>
      <c r="L893">
        <v>1</v>
      </c>
      <c r="M893">
        <v>1</v>
      </c>
      <c r="N893">
        <v>1</v>
      </c>
      <c r="O893">
        <v>1</v>
      </c>
      <c r="P893">
        <v>1</v>
      </c>
      <c r="R893">
        <v>45</v>
      </c>
      <c r="S893">
        <v>1</v>
      </c>
      <c r="T893">
        <v>1</v>
      </c>
      <c r="U893">
        <v>1</v>
      </c>
      <c r="V893">
        <v>1</v>
      </c>
      <c r="W893">
        <v>1</v>
      </c>
      <c r="X893">
        <v>1</v>
      </c>
      <c r="AA893">
        <v>-5098.0524999999998</v>
      </c>
      <c r="AB893">
        <v>-5098.0524999999998</v>
      </c>
      <c r="AC893">
        <v>-5098.0524999999998</v>
      </c>
      <c r="AD893">
        <v>-5098.0524999999998</v>
      </c>
      <c r="AE893">
        <v>-5098.0524999999998</v>
      </c>
      <c r="AF893">
        <v>-5098.0524999999998</v>
      </c>
    </row>
    <row r="894" spans="2:32" x14ac:dyDescent="0.25">
      <c r="B894">
        <v>46</v>
      </c>
      <c r="C894">
        <v>1</v>
      </c>
      <c r="D894">
        <v>1</v>
      </c>
      <c r="E894">
        <v>1</v>
      </c>
      <c r="F894">
        <v>1</v>
      </c>
      <c r="G894">
        <v>1</v>
      </c>
      <c r="H894">
        <v>1</v>
      </c>
      <c r="J894">
        <v>46</v>
      </c>
      <c r="K894">
        <v>1</v>
      </c>
      <c r="L894">
        <v>1</v>
      </c>
      <c r="M894">
        <v>1</v>
      </c>
      <c r="N894">
        <v>1</v>
      </c>
      <c r="O894">
        <v>1</v>
      </c>
      <c r="P894">
        <v>1</v>
      </c>
      <c r="R894">
        <v>46</v>
      </c>
      <c r="S894">
        <v>1</v>
      </c>
      <c r="T894">
        <v>1</v>
      </c>
      <c r="U894">
        <v>1</v>
      </c>
      <c r="V894">
        <v>1</v>
      </c>
      <c r="W894">
        <v>1</v>
      </c>
      <c r="X894">
        <v>1</v>
      </c>
      <c r="AA894">
        <v>-5088.6378000000004</v>
      </c>
      <c r="AB894">
        <v>-5088.6378000000004</v>
      </c>
      <c r="AC894">
        <v>-5088.6378000000004</v>
      </c>
      <c r="AD894">
        <v>-5088.6378000000004</v>
      </c>
      <c r="AE894">
        <v>-5088.6378000000004</v>
      </c>
      <c r="AF894">
        <v>-5088.6378000000004</v>
      </c>
    </row>
    <row r="895" spans="2:32" x14ac:dyDescent="0.25">
      <c r="B895">
        <v>47</v>
      </c>
      <c r="C895">
        <v>1</v>
      </c>
      <c r="D895">
        <v>1</v>
      </c>
      <c r="E895">
        <v>1</v>
      </c>
      <c r="F895">
        <v>1</v>
      </c>
      <c r="G895">
        <v>1</v>
      </c>
      <c r="H895">
        <v>1</v>
      </c>
      <c r="J895">
        <v>47</v>
      </c>
      <c r="K895">
        <v>1</v>
      </c>
      <c r="L895">
        <v>1</v>
      </c>
      <c r="M895">
        <v>1</v>
      </c>
      <c r="N895">
        <v>1</v>
      </c>
      <c r="O895">
        <v>1</v>
      </c>
      <c r="P895">
        <v>1</v>
      </c>
      <c r="R895">
        <v>47</v>
      </c>
      <c r="S895">
        <v>1</v>
      </c>
      <c r="T895">
        <v>1</v>
      </c>
      <c r="U895">
        <v>1</v>
      </c>
      <c r="V895">
        <v>1</v>
      </c>
      <c r="W895">
        <v>1</v>
      </c>
      <c r="X895">
        <v>1</v>
      </c>
      <c r="AA895">
        <v>-5078.2593999999999</v>
      </c>
      <c r="AB895">
        <v>-5078.2593999999999</v>
      </c>
      <c r="AC895">
        <v>-5078.2593999999999</v>
      </c>
      <c r="AD895">
        <v>-5078.2593999999999</v>
      </c>
      <c r="AE895">
        <v>-5078.2593999999999</v>
      </c>
      <c r="AF895">
        <v>-5078.2593999999999</v>
      </c>
    </row>
    <row r="896" spans="2:32" x14ac:dyDescent="0.25">
      <c r="B896">
        <v>48</v>
      </c>
      <c r="C896">
        <v>1</v>
      </c>
      <c r="D896">
        <v>1</v>
      </c>
      <c r="E896">
        <v>1</v>
      </c>
      <c r="F896">
        <v>1</v>
      </c>
      <c r="G896">
        <v>1</v>
      </c>
      <c r="H896">
        <v>1</v>
      </c>
      <c r="J896">
        <v>48</v>
      </c>
      <c r="K896">
        <v>1</v>
      </c>
      <c r="L896">
        <v>1</v>
      </c>
      <c r="M896">
        <v>1</v>
      </c>
      <c r="N896">
        <v>1</v>
      </c>
      <c r="O896">
        <v>1</v>
      </c>
      <c r="P896">
        <v>1</v>
      </c>
      <c r="R896">
        <v>48</v>
      </c>
      <c r="S896">
        <v>1</v>
      </c>
      <c r="T896">
        <v>1</v>
      </c>
      <c r="U896">
        <v>1</v>
      </c>
      <c r="V896">
        <v>1</v>
      </c>
      <c r="W896">
        <v>1</v>
      </c>
      <c r="X896">
        <v>1</v>
      </c>
      <c r="AA896">
        <v>-5066.8732</v>
      </c>
      <c r="AB896">
        <v>-5066.8732</v>
      </c>
      <c r="AC896">
        <v>-5066.8732</v>
      </c>
      <c r="AD896">
        <v>-5066.8732</v>
      </c>
      <c r="AE896">
        <v>-5066.8732</v>
      </c>
      <c r="AF896">
        <v>-5066.8732</v>
      </c>
    </row>
    <row r="897" spans="2:32" x14ac:dyDescent="0.25">
      <c r="B897">
        <v>49</v>
      </c>
      <c r="C897">
        <v>1</v>
      </c>
      <c r="D897">
        <v>1</v>
      </c>
      <c r="E897">
        <v>1</v>
      </c>
      <c r="F897">
        <v>1</v>
      </c>
      <c r="G897">
        <v>1</v>
      </c>
      <c r="H897">
        <v>1</v>
      </c>
      <c r="J897">
        <v>49</v>
      </c>
      <c r="K897">
        <v>1</v>
      </c>
      <c r="L897">
        <v>1</v>
      </c>
      <c r="M897">
        <v>1</v>
      </c>
      <c r="N897">
        <v>1</v>
      </c>
      <c r="O897">
        <v>1</v>
      </c>
      <c r="P897">
        <v>1</v>
      </c>
      <c r="R897">
        <v>49</v>
      </c>
      <c r="S897">
        <v>1</v>
      </c>
      <c r="T897">
        <v>1</v>
      </c>
      <c r="U897">
        <v>1</v>
      </c>
      <c r="V897">
        <v>1</v>
      </c>
      <c r="W897">
        <v>1</v>
      </c>
      <c r="X897">
        <v>1</v>
      </c>
      <c r="AA897">
        <v>-5054.4124000000002</v>
      </c>
      <c r="AB897">
        <v>-5054.4124000000002</v>
      </c>
      <c r="AC897">
        <v>-5054.4124000000002</v>
      </c>
      <c r="AD897">
        <v>-5054.4124000000002</v>
      </c>
      <c r="AE897">
        <v>-5054.4124000000002</v>
      </c>
      <c r="AF897">
        <v>-5054.4124000000002</v>
      </c>
    </row>
    <row r="898" spans="2:32" x14ac:dyDescent="0.25">
      <c r="B898">
        <v>50</v>
      </c>
      <c r="C898">
        <v>1</v>
      </c>
      <c r="D898">
        <v>1</v>
      </c>
      <c r="E898">
        <v>1</v>
      </c>
      <c r="F898">
        <v>1</v>
      </c>
      <c r="G898">
        <v>1</v>
      </c>
      <c r="H898">
        <v>1</v>
      </c>
      <c r="J898">
        <v>50</v>
      </c>
      <c r="K898">
        <v>1</v>
      </c>
      <c r="L898">
        <v>1</v>
      </c>
      <c r="M898">
        <v>1</v>
      </c>
      <c r="N898">
        <v>1</v>
      </c>
      <c r="O898">
        <v>1</v>
      </c>
      <c r="P898">
        <v>1</v>
      </c>
      <c r="R898">
        <v>50</v>
      </c>
      <c r="S898">
        <v>1</v>
      </c>
      <c r="T898">
        <v>1</v>
      </c>
      <c r="U898">
        <v>1</v>
      </c>
      <c r="V898">
        <v>1</v>
      </c>
      <c r="W898">
        <v>1</v>
      </c>
      <c r="X898">
        <v>1</v>
      </c>
      <c r="AA898">
        <v>-5040.7671</v>
      </c>
      <c r="AB898">
        <v>-5040.7671</v>
      </c>
      <c r="AC898">
        <v>-5040.7671</v>
      </c>
      <c r="AD898">
        <v>-5040.7671</v>
      </c>
      <c r="AE898">
        <v>-5040.7671</v>
      </c>
      <c r="AF898">
        <v>-5040.7671</v>
      </c>
    </row>
    <row r="899" spans="2:32" x14ac:dyDescent="0.25">
      <c r="B899">
        <v>51</v>
      </c>
      <c r="C899">
        <v>1</v>
      </c>
      <c r="D899">
        <v>1</v>
      </c>
      <c r="E899">
        <v>1</v>
      </c>
      <c r="F899">
        <v>1</v>
      </c>
      <c r="G899">
        <v>1</v>
      </c>
      <c r="H899">
        <v>1</v>
      </c>
      <c r="J899">
        <v>51</v>
      </c>
      <c r="K899">
        <v>1</v>
      </c>
      <c r="L899">
        <v>1</v>
      </c>
      <c r="M899">
        <v>1</v>
      </c>
      <c r="N899">
        <v>1</v>
      </c>
      <c r="O899">
        <v>1</v>
      </c>
      <c r="P899">
        <v>1</v>
      </c>
      <c r="R899">
        <v>51</v>
      </c>
      <c r="S899">
        <v>1</v>
      </c>
      <c r="T899">
        <v>1</v>
      </c>
      <c r="U899">
        <v>1</v>
      </c>
      <c r="V899">
        <v>1</v>
      </c>
      <c r="W899">
        <v>1</v>
      </c>
      <c r="X899">
        <v>1</v>
      </c>
      <c r="AA899">
        <v>-5025.8329000000003</v>
      </c>
      <c r="AB899">
        <v>-5025.8329000000003</v>
      </c>
      <c r="AC899">
        <v>-5025.8329000000003</v>
      </c>
      <c r="AD899">
        <v>-5025.8329000000003</v>
      </c>
      <c r="AE899">
        <v>-5025.8329000000003</v>
      </c>
      <c r="AF899">
        <v>-5025.8329000000003</v>
      </c>
    </row>
    <row r="900" spans="2:32" x14ac:dyDescent="0.25">
      <c r="B900">
        <v>52</v>
      </c>
      <c r="C900">
        <v>1</v>
      </c>
      <c r="D900">
        <v>1</v>
      </c>
      <c r="E900">
        <v>1</v>
      </c>
      <c r="F900">
        <v>1</v>
      </c>
      <c r="G900">
        <v>1</v>
      </c>
      <c r="H900">
        <v>1</v>
      </c>
      <c r="J900">
        <v>52</v>
      </c>
      <c r="K900">
        <v>1</v>
      </c>
      <c r="L900">
        <v>1</v>
      </c>
      <c r="M900">
        <v>1</v>
      </c>
      <c r="N900">
        <v>1</v>
      </c>
      <c r="O900">
        <v>1</v>
      </c>
      <c r="P900">
        <v>1</v>
      </c>
      <c r="R900">
        <v>52</v>
      </c>
      <c r="S900">
        <v>1</v>
      </c>
      <c r="T900">
        <v>1</v>
      </c>
      <c r="U900">
        <v>1</v>
      </c>
      <c r="V900">
        <v>1</v>
      </c>
      <c r="W900">
        <v>1</v>
      </c>
      <c r="X900">
        <v>1</v>
      </c>
      <c r="AA900">
        <v>-5009.4771000000001</v>
      </c>
      <c r="AB900">
        <v>-5009.4771000000001</v>
      </c>
      <c r="AC900">
        <v>-5009.4771000000001</v>
      </c>
      <c r="AD900">
        <v>-5009.4771000000001</v>
      </c>
      <c r="AE900">
        <v>-5009.4771000000001</v>
      </c>
      <c r="AF900">
        <v>-5009.4771000000001</v>
      </c>
    </row>
    <row r="901" spans="2:32" x14ac:dyDescent="0.25">
      <c r="B901">
        <v>53</v>
      </c>
      <c r="C901">
        <v>1</v>
      </c>
      <c r="D901">
        <v>1</v>
      </c>
      <c r="E901">
        <v>1</v>
      </c>
      <c r="F901">
        <v>1</v>
      </c>
      <c r="G901">
        <v>1</v>
      </c>
      <c r="H901">
        <v>1</v>
      </c>
      <c r="J901">
        <v>53</v>
      </c>
      <c r="K901">
        <v>1</v>
      </c>
      <c r="L901">
        <v>1</v>
      </c>
      <c r="M901">
        <v>1</v>
      </c>
      <c r="N901">
        <v>1</v>
      </c>
      <c r="O901">
        <v>1</v>
      </c>
      <c r="P901">
        <v>1</v>
      </c>
      <c r="R901">
        <v>53</v>
      </c>
      <c r="S901">
        <v>1</v>
      </c>
      <c r="T901">
        <v>1</v>
      </c>
      <c r="U901">
        <v>1</v>
      </c>
      <c r="V901">
        <v>1</v>
      </c>
      <c r="W901">
        <v>1</v>
      </c>
      <c r="X901">
        <v>1</v>
      </c>
      <c r="AA901">
        <v>-4991.6184000000003</v>
      </c>
      <c r="AB901">
        <v>-4991.6184000000003</v>
      </c>
      <c r="AC901">
        <v>-4991.6184000000003</v>
      </c>
      <c r="AD901">
        <v>-4991.6184000000003</v>
      </c>
      <c r="AE901">
        <v>-4991.6184000000003</v>
      </c>
      <c r="AF901">
        <v>-4991.6184000000003</v>
      </c>
    </row>
    <row r="902" spans="2:32" x14ac:dyDescent="0.25">
      <c r="B902">
        <v>54</v>
      </c>
      <c r="C902">
        <v>1</v>
      </c>
      <c r="D902">
        <v>1</v>
      </c>
      <c r="E902">
        <v>1</v>
      </c>
      <c r="F902">
        <v>1</v>
      </c>
      <c r="G902">
        <v>1</v>
      </c>
      <c r="H902">
        <v>1</v>
      </c>
      <c r="J902">
        <v>54</v>
      </c>
      <c r="K902">
        <v>1</v>
      </c>
      <c r="L902">
        <v>1</v>
      </c>
      <c r="M902">
        <v>1</v>
      </c>
      <c r="N902">
        <v>1</v>
      </c>
      <c r="O902">
        <v>1</v>
      </c>
      <c r="P902">
        <v>1</v>
      </c>
      <c r="R902">
        <v>54</v>
      </c>
      <c r="S902">
        <v>1</v>
      </c>
      <c r="T902">
        <v>1</v>
      </c>
      <c r="U902">
        <v>1</v>
      </c>
      <c r="V902">
        <v>1</v>
      </c>
      <c r="W902">
        <v>1</v>
      </c>
      <c r="X902">
        <v>1</v>
      </c>
      <c r="AA902">
        <v>-4972.1588000000002</v>
      </c>
      <c r="AB902">
        <v>-4972.1588000000002</v>
      </c>
      <c r="AC902">
        <v>-4972.1588000000002</v>
      </c>
      <c r="AD902">
        <v>-4972.1588000000002</v>
      </c>
      <c r="AE902">
        <v>-4972.1588000000002</v>
      </c>
      <c r="AF902">
        <v>-4972.1588000000002</v>
      </c>
    </row>
    <row r="903" spans="2:32" x14ac:dyDescent="0.25">
      <c r="B903">
        <v>55</v>
      </c>
      <c r="C903">
        <v>1</v>
      </c>
      <c r="D903">
        <v>1</v>
      </c>
      <c r="E903">
        <v>1</v>
      </c>
      <c r="F903">
        <v>1</v>
      </c>
      <c r="G903">
        <v>1</v>
      </c>
      <c r="H903">
        <v>1</v>
      </c>
      <c r="J903">
        <v>55</v>
      </c>
      <c r="K903">
        <v>1</v>
      </c>
      <c r="L903">
        <v>1</v>
      </c>
      <c r="M903">
        <v>1</v>
      </c>
      <c r="N903">
        <v>1</v>
      </c>
      <c r="O903">
        <v>1</v>
      </c>
      <c r="P903">
        <v>1</v>
      </c>
      <c r="R903">
        <v>55</v>
      </c>
      <c r="S903">
        <v>1</v>
      </c>
      <c r="T903">
        <v>1</v>
      </c>
      <c r="U903">
        <v>1</v>
      </c>
      <c r="V903">
        <v>1</v>
      </c>
      <c r="W903">
        <v>1</v>
      </c>
      <c r="X903">
        <v>1</v>
      </c>
      <c r="AA903">
        <v>-4950.9426000000003</v>
      </c>
      <c r="AB903">
        <v>-4950.9426000000003</v>
      </c>
      <c r="AC903">
        <v>-4950.9426000000003</v>
      </c>
      <c r="AD903">
        <v>-4950.9426000000003</v>
      </c>
      <c r="AE903">
        <v>-4950.9426000000003</v>
      </c>
      <c r="AF903">
        <v>-4950.9426000000003</v>
      </c>
    </row>
    <row r="906" spans="2:32" x14ac:dyDescent="0.25">
      <c r="B906" t="s">
        <v>46</v>
      </c>
      <c r="C906">
        <v>100000</v>
      </c>
      <c r="D906">
        <v>250000</v>
      </c>
      <c r="E906">
        <v>500000</v>
      </c>
      <c r="F906">
        <v>1000000</v>
      </c>
      <c r="G906">
        <v>2000000</v>
      </c>
      <c r="J906" t="s">
        <v>32</v>
      </c>
      <c r="K906">
        <v>100000</v>
      </c>
      <c r="L906">
        <v>250000</v>
      </c>
      <c r="M906">
        <v>500000</v>
      </c>
      <c r="N906">
        <v>1000000</v>
      </c>
      <c r="O906">
        <v>2000000</v>
      </c>
      <c r="R906" t="s">
        <v>48</v>
      </c>
      <c r="S906">
        <v>100000</v>
      </c>
      <c r="T906">
        <v>250000</v>
      </c>
      <c r="U906">
        <v>500000</v>
      </c>
      <c r="V906">
        <v>1000000</v>
      </c>
      <c r="W906">
        <v>2000000</v>
      </c>
    </row>
    <row r="907" spans="2:32" x14ac:dyDescent="0.25">
      <c r="B907">
        <v>35</v>
      </c>
      <c r="C907">
        <v>1</v>
      </c>
      <c r="D907">
        <v>1</v>
      </c>
      <c r="E907">
        <v>1</v>
      </c>
      <c r="F907">
        <v>1</v>
      </c>
      <c r="G907">
        <v>1</v>
      </c>
      <c r="J907">
        <v>35</v>
      </c>
      <c r="K907">
        <v>1</v>
      </c>
      <c r="L907">
        <v>1</v>
      </c>
      <c r="M907">
        <v>1</v>
      </c>
      <c r="N907">
        <v>1</v>
      </c>
      <c r="O907">
        <v>1</v>
      </c>
      <c r="R907">
        <v>35</v>
      </c>
      <c r="S907">
        <v>1</v>
      </c>
      <c r="T907">
        <v>1</v>
      </c>
      <c r="U907">
        <v>1</v>
      </c>
      <c r="V907">
        <v>1</v>
      </c>
      <c r="W907">
        <v>1</v>
      </c>
      <c r="AA907">
        <v>-8996.1419000000005</v>
      </c>
      <c r="AB907">
        <v>-8996.1419000000005</v>
      </c>
      <c r="AC907">
        <v>-8996.1419000000005</v>
      </c>
      <c r="AD907">
        <v>-8996.1419000000005</v>
      </c>
      <c r="AE907">
        <v>-8996.1419000000005</v>
      </c>
      <c r="AF907">
        <v>-759112.79520000005</v>
      </c>
    </row>
    <row r="908" spans="2:32" x14ac:dyDescent="0.25">
      <c r="B908">
        <f t="shared" ref="B908:B937" si="39">B907+1</f>
        <v>36</v>
      </c>
      <c r="C908">
        <v>1</v>
      </c>
      <c r="D908">
        <v>1</v>
      </c>
      <c r="E908">
        <v>1</v>
      </c>
      <c r="F908">
        <v>1</v>
      </c>
      <c r="G908">
        <v>1</v>
      </c>
      <c r="J908">
        <f t="shared" ref="J908:J937" si="40">J907+1</f>
        <v>36</v>
      </c>
      <c r="K908">
        <v>1</v>
      </c>
      <c r="L908">
        <v>1</v>
      </c>
      <c r="M908">
        <v>1</v>
      </c>
      <c r="N908">
        <v>1</v>
      </c>
      <c r="O908">
        <v>1</v>
      </c>
      <c r="R908">
        <f t="shared" ref="R908:R937" si="41">R907+1</f>
        <v>36</v>
      </c>
      <c r="S908">
        <v>1</v>
      </c>
      <c r="T908">
        <v>1</v>
      </c>
      <c r="U908">
        <v>1</v>
      </c>
      <c r="V908">
        <v>1</v>
      </c>
      <c r="W908">
        <v>1</v>
      </c>
      <c r="AA908">
        <v>-8902.6679999999997</v>
      </c>
      <c r="AB908">
        <v>-8902.6679999999997</v>
      </c>
      <c r="AC908">
        <v>-8902.6679999999997</v>
      </c>
      <c r="AD908">
        <v>-8902.6679999999997</v>
      </c>
      <c r="AE908">
        <v>-8902.6679999999997</v>
      </c>
      <c r="AF908">
        <v>-737070.86179999996</v>
      </c>
    </row>
    <row r="909" spans="2:32" x14ac:dyDescent="0.25">
      <c r="B909">
        <f t="shared" si="39"/>
        <v>37</v>
      </c>
      <c r="C909">
        <v>1</v>
      </c>
      <c r="D909">
        <v>1</v>
      </c>
      <c r="E909">
        <v>1</v>
      </c>
      <c r="F909">
        <v>1</v>
      </c>
      <c r="G909">
        <v>1</v>
      </c>
      <c r="J909">
        <f t="shared" si="40"/>
        <v>37</v>
      </c>
      <c r="K909">
        <v>1</v>
      </c>
      <c r="L909">
        <v>1</v>
      </c>
      <c r="M909">
        <v>1</v>
      </c>
      <c r="N909">
        <v>1</v>
      </c>
      <c r="O909">
        <v>1</v>
      </c>
      <c r="R909">
        <f t="shared" si="41"/>
        <v>37</v>
      </c>
      <c r="S909">
        <v>1</v>
      </c>
      <c r="T909">
        <v>1</v>
      </c>
      <c r="U909">
        <v>1</v>
      </c>
      <c r="V909">
        <v>1</v>
      </c>
      <c r="W909">
        <v>1</v>
      </c>
      <c r="AA909">
        <v>-8806.7960000000003</v>
      </c>
      <c r="AB909">
        <v>-8806.7960000000003</v>
      </c>
      <c r="AC909">
        <v>-8806.7960000000003</v>
      </c>
      <c r="AD909">
        <v>-8806.7960000000003</v>
      </c>
      <c r="AE909">
        <v>-8806.7960000000003</v>
      </c>
      <c r="AF909">
        <v>-765978.91940000001</v>
      </c>
    </row>
    <row r="910" spans="2:32" x14ac:dyDescent="0.25">
      <c r="B910">
        <f t="shared" si="39"/>
        <v>38</v>
      </c>
      <c r="C910">
        <v>1</v>
      </c>
      <c r="D910">
        <v>1</v>
      </c>
      <c r="E910">
        <v>1</v>
      </c>
      <c r="F910">
        <v>1</v>
      </c>
      <c r="G910">
        <v>1</v>
      </c>
      <c r="J910">
        <f t="shared" si="40"/>
        <v>38</v>
      </c>
      <c r="K910">
        <v>1</v>
      </c>
      <c r="L910">
        <v>1</v>
      </c>
      <c r="M910">
        <v>1</v>
      </c>
      <c r="N910">
        <v>1</v>
      </c>
      <c r="O910">
        <v>1</v>
      </c>
      <c r="R910">
        <f t="shared" si="41"/>
        <v>38</v>
      </c>
      <c r="S910">
        <v>1</v>
      </c>
      <c r="T910">
        <v>1</v>
      </c>
      <c r="U910">
        <v>1</v>
      </c>
      <c r="V910">
        <v>1</v>
      </c>
      <c r="W910">
        <v>1</v>
      </c>
      <c r="AA910">
        <v>-8708.6234000000004</v>
      </c>
      <c r="AB910">
        <v>-8708.6234000000004</v>
      </c>
      <c r="AC910">
        <v>-8708.6234000000004</v>
      </c>
      <c r="AD910">
        <v>-8708.6234000000004</v>
      </c>
      <c r="AE910">
        <v>-8708.6234000000004</v>
      </c>
      <c r="AF910">
        <v>-783780.576</v>
      </c>
    </row>
    <row r="911" spans="2:32" x14ac:dyDescent="0.25">
      <c r="B911">
        <f t="shared" si="39"/>
        <v>39</v>
      </c>
      <c r="C911">
        <v>1</v>
      </c>
      <c r="D911">
        <v>1</v>
      </c>
      <c r="E911">
        <v>1</v>
      </c>
      <c r="F911">
        <v>1</v>
      </c>
      <c r="G911">
        <v>1</v>
      </c>
      <c r="J911">
        <f t="shared" si="40"/>
        <v>39</v>
      </c>
      <c r="K911">
        <v>1</v>
      </c>
      <c r="L911">
        <v>1</v>
      </c>
      <c r="M911">
        <v>1</v>
      </c>
      <c r="N911">
        <v>1</v>
      </c>
      <c r="O911">
        <v>1</v>
      </c>
      <c r="R911">
        <f t="shared" si="41"/>
        <v>39</v>
      </c>
      <c r="S911">
        <v>1</v>
      </c>
      <c r="T911">
        <v>1</v>
      </c>
      <c r="U911">
        <v>1</v>
      </c>
      <c r="V911">
        <v>1</v>
      </c>
      <c r="W911">
        <v>1</v>
      </c>
      <c r="AA911">
        <v>-8608.1594000000005</v>
      </c>
      <c r="AB911">
        <v>-8608.1594000000005</v>
      </c>
      <c r="AC911">
        <v>-8608.1594000000005</v>
      </c>
      <c r="AD911">
        <v>-8608.1594000000005</v>
      </c>
      <c r="AE911">
        <v>-8608.1594000000005</v>
      </c>
      <c r="AF911">
        <v>-769662.22069999995</v>
      </c>
    </row>
    <row r="912" spans="2:32" x14ac:dyDescent="0.25">
      <c r="B912">
        <f t="shared" si="39"/>
        <v>40</v>
      </c>
      <c r="C912">
        <v>1</v>
      </c>
      <c r="D912">
        <v>1</v>
      </c>
      <c r="E912">
        <v>1</v>
      </c>
      <c r="F912">
        <v>1</v>
      </c>
      <c r="G912">
        <v>1</v>
      </c>
      <c r="J912">
        <f t="shared" si="40"/>
        <v>40</v>
      </c>
      <c r="K912">
        <v>1</v>
      </c>
      <c r="L912">
        <v>1</v>
      </c>
      <c r="M912">
        <v>1</v>
      </c>
      <c r="N912">
        <v>1</v>
      </c>
      <c r="O912">
        <v>1</v>
      </c>
      <c r="R912">
        <f t="shared" si="41"/>
        <v>40</v>
      </c>
      <c r="S912">
        <v>1</v>
      </c>
      <c r="T912">
        <v>1</v>
      </c>
      <c r="U912">
        <v>1</v>
      </c>
      <c r="V912">
        <v>1</v>
      </c>
      <c r="W912">
        <v>1</v>
      </c>
      <c r="AA912">
        <v>-8505.3439999999991</v>
      </c>
      <c r="AB912">
        <v>-8505.3439999999991</v>
      </c>
      <c r="AC912">
        <v>-8505.3439999999991</v>
      </c>
      <c r="AD912">
        <v>-8505.3439999999991</v>
      </c>
      <c r="AE912">
        <v>-8505.3439999999991</v>
      </c>
      <c r="AF912">
        <v>-798570.41119999997</v>
      </c>
    </row>
    <row r="913" spans="2:32" x14ac:dyDescent="0.25">
      <c r="B913">
        <f t="shared" si="39"/>
        <v>41</v>
      </c>
      <c r="C913">
        <v>1</v>
      </c>
      <c r="D913">
        <v>1</v>
      </c>
      <c r="E913">
        <v>1</v>
      </c>
      <c r="F913">
        <v>1</v>
      </c>
      <c r="G913">
        <v>1</v>
      </c>
      <c r="J913">
        <f t="shared" si="40"/>
        <v>41</v>
      </c>
      <c r="K913">
        <v>1</v>
      </c>
      <c r="L913">
        <v>1</v>
      </c>
      <c r="M913">
        <v>1</v>
      </c>
      <c r="N913">
        <v>1</v>
      </c>
      <c r="O913">
        <v>1</v>
      </c>
      <c r="R913">
        <f t="shared" si="41"/>
        <v>41</v>
      </c>
      <c r="S913">
        <v>1</v>
      </c>
      <c r="T913">
        <v>1</v>
      </c>
      <c r="U913">
        <v>1</v>
      </c>
      <c r="V913">
        <v>1</v>
      </c>
      <c r="W913">
        <v>1</v>
      </c>
      <c r="AA913">
        <v>-8400.1087000000007</v>
      </c>
      <c r="AB913">
        <v>-8400.1087000000007</v>
      </c>
      <c r="AC913">
        <v>-8400.1087000000007</v>
      </c>
      <c r="AD913">
        <v>-8400.1087000000007</v>
      </c>
      <c r="AE913">
        <v>-8400.1087000000007</v>
      </c>
      <c r="AF913">
        <v>-803549.96459999995</v>
      </c>
    </row>
    <row r="914" spans="2:32" x14ac:dyDescent="0.25">
      <c r="B914">
        <f t="shared" si="39"/>
        <v>42</v>
      </c>
      <c r="C914">
        <v>1</v>
      </c>
      <c r="D914">
        <v>1</v>
      </c>
      <c r="E914">
        <v>1</v>
      </c>
      <c r="F914">
        <v>1</v>
      </c>
      <c r="G914">
        <v>1</v>
      </c>
      <c r="J914">
        <f t="shared" si="40"/>
        <v>42</v>
      </c>
      <c r="K914">
        <v>1</v>
      </c>
      <c r="L914">
        <v>1</v>
      </c>
      <c r="M914">
        <v>1</v>
      </c>
      <c r="N914">
        <v>1</v>
      </c>
      <c r="O914">
        <v>1</v>
      </c>
      <c r="R914">
        <f t="shared" si="41"/>
        <v>42</v>
      </c>
      <c r="S914">
        <v>1</v>
      </c>
      <c r="T914">
        <v>1</v>
      </c>
      <c r="U914">
        <v>1</v>
      </c>
      <c r="V914">
        <v>1</v>
      </c>
      <c r="W914">
        <v>1</v>
      </c>
      <c r="AA914">
        <v>-8292.4974999999995</v>
      </c>
      <c r="AB914">
        <v>-8292.4974999999995</v>
      </c>
      <c r="AC914">
        <v>-8292.4974999999995</v>
      </c>
      <c r="AD914">
        <v>-8292.4974999999995</v>
      </c>
      <c r="AE914">
        <v>-8292.4974999999995</v>
      </c>
      <c r="AF914">
        <v>-833551.75890000002</v>
      </c>
    </row>
    <row r="915" spans="2:32" x14ac:dyDescent="0.25">
      <c r="B915">
        <f t="shared" si="39"/>
        <v>43</v>
      </c>
      <c r="C915">
        <v>1</v>
      </c>
      <c r="D915">
        <v>1</v>
      </c>
      <c r="E915">
        <v>1</v>
      </c>
      <c r="F915">
        <v>1</v>
      </c>
      <c r="G915">
        <v>1</v>
      </c>
      <c r="J915">
        <f t="shared" si="40"/>
        <v>43</v>
      </c>
      <c r="K915">
        <v>1</v>
      </c>
      <c r="L915">
        <v>1</v>
      </c>
      <c r="M915">
        <v>1</v>
      </c>
      <c r="N915">
        <v>1</v>
      </c>
      <c r="O915">
        <v>1</v>
      </c>
      <c r="R915">
        <f t="shared" si="41"/>
        <v>43</v>
      </c>
      <c r="S915">
        <v>1</v>
      </c>
      <c r="T915">
        <v>1</v>
      </c>
      <c r="U915">
        <v>1</v>
      </c>
      <c r="V915">
        <v>1</v>
      </c>
      <c r="W915">
        <v>1</v>
      </c>
      <c r="AA915">
        <v>-8182.3909999999996</v>
      </c>
      <c r="AB915">
        <v>-8182.3909999999996</v>
      </c>
      <c r="AC915">
        <v>-8182.3909999999996</v>
      </c>
      <c r="AD915">
        <v>-8182.3909999999996</v>
      </c>
      <c r="AE915">
        <v>-8182.3909999999996</v>
      </c>
      <c r="AF915">
        <v>-844950.93949999998</v>
      </c>
    </row>
    <row r="916" spans="2:32" x14ac:dyDescent="0.25">
      <c r="B916">
        <f t="shared" si="39"/>
        <v>44</v>
      </c>
      <c r="C916">
        <v>1</v>
      </c>
      <c r="D916">
        <v>1</v>
      </c>
      <c r="E916">
        <v>1</v>
      </c>
      <c r="F916">
        <v>1</v>
      </c>
      <c r="G916">
        <v>1</v>
      </c>
      <c r="J916">
        <f t="shared" si="40"/>
        <v>44</v>
      </c>
      <c r="K916">
        <v>1</v>
      </c>
      <c r="L916">
        <v>1</v>
      </c>
      <c r="M916">
        <v>1</v>
      </c>
      <c r="N916">
        <v>1</v>
      </c>
      <c r="O916">
        <v>1</v>
      </c>
      <c r="R916">
        <f t="shared" si="41"/>
        <v>44</v>
      </c>
      <c r="S916">
        <v>1</v>
      </c>
      <c r="T916">
        <v>1</v>
      </c>
      <c r="U916">
        <v>1</v>
      </c>
      <c r="V916">
        <v>1</v>
      </c>
      <c r="W916">
        <v>1</v>
      </c>
      <c r="AA916">
        <v>-8069.8261000000002</v>
      </c>
      <c r="AB916">
        <v>-8069.8261000000002</v>
      </c>
      <c r="AC916">
        <v>-8069.8261000000002</v>
      </c>
      <c r="AD916">
        <v>-8069.8261000000002</v>
      </c>
      <c r="AE916">
        <v>-8069.8261000000002</v>
      </c>
      <c r="AF916">
        <v>-851265.64670000004</v>
      </c>
    </row>
    <row r="917" spans="2:32" x14ac:dyDescent="0.25">
      <c r="B917">
        <f t="shared" si="39"/>
        <v>45</v>
      </c>
      <c r="C917">
        <v>1</v>
      </c>
      <c r="D917">
        <v>1</v>
      </c>
      <c r="E917">
        <v>1</v>
      </c>
      <c r="F917">
        <v>1</v>
      </c>
      <c r="G917">
        <v>1</v>
      </c>
      <c r="J917">
        <f t="shared" si="40"/>
        <v>45</v>
      </c>
      <c r="K917">
        <v>1</v>
      </c>
      <c r="L917">
        <v>1</v>
      </c>
      <c r="M917">
        <v>1</v>
      </c>
      <c r="N917">
        <v>1</v>
      </c>
      <c r="O917">
        <v>1</v>
      </c>
      <c r="R917">
        <f t="shared" si="41"/>
        <v>45</v>
      </c>
      <c r="S917">
        <v>1</v>
      </c>
      <c r="T917">
        <v>1</v>
      </c>
      <c r="U917">
        <v>1</v>
      </c>
      <c r="V917">
        <v>1</v>
      </c>
      <c r="W917">
        <v>1</v>
      </c>
      <c r="AA917">
        <v>-7954.7533999999996</v>
      </c>
      <c r="AB917">
        <v>-7954.7533999999996</v>
      </c>
      <c r="AC917">
        <v>-7954.7533999999996</v>
      </c>
      <c r="AD917">
        <v>-7954.7533999999996</v>
      </c>
      <c r="AE917">
        <v>-7954.7533999999996</v>
      </c>
      <c r="AF917">
        <v>-870649.02139999997</v>
      </c>
    </row>
    <row r="918" spans="2:32" x14ac:dyDescent="0.25">
      <c r="B918">
        <f t="shared" si="39"/>
        <v>46</v>
      </c>
      <c r="C918">
        <v>1</v>
      </c>
      <c r="D918">
        <v>1</v>
      </c>
      <c r="E918">
        <v>1</v>
      </c>
      <c r="F918">
        <v>1</v>
      </c>
      <c r="G918">
        <v>1</v>
      </c>
      <c r="J918">
        <f t="shared" si="40"/>
        <v>46</v>
      </c>
      <c r="K918">
        <v>1</v>
      </c>
      <c r="L918">
        <v>1</v>
      </c>
      <c r="M918">
        <v>1</v>
      </c>
      <c r="N918">
        <v>1</v>
      </c>
      <c r="O918">
        <v>1</v>
      </c>
      <c r="R918">
        <f t="shared" si="41"/>
        <v>46</v>
      </c>
      <c r="S918">
        <v>1</v>
      </c>
      <c r="T918">
        <v>1</v>
      </c>
      <c r="U918">
        <v>1</v>
      </c>
      <c r="V918">
        <v>1</v>
      </c>
      <c r="W918">
        <v>1</v>
      </c>
      <c r="AA918">
        <v>-7837.1754000000001</v>
      </c>
      <c r="AB918">
        <v>-7837.1754000000001</v>
      </c>
      <c r="AC918">
        <v>-7837.1754000000001</v>
      </c>
      <c r="AD918">
        <v>-7837.1754000000001</v>
      </c>
      <c r="AE918">
        <v>-7837.1754000000001</v>
      </c>
      <c r="AF918">
        <v>-892550.54509999999</v>
      </c>
    </row>
    <row r="919" spans="2:32" x14ac:dyDescent="0.25">
      <c r="B919">
        <f t="shared" si="39"/>
        <v>47</v>
      </c>
      <c r="C919">
        <v>1</v>
      </c>
      <c r="D919">
        <v>1</v>
      </c>
      <c r="E919">
        <v>1</v>
      </c>
      <c r="F919">
        <v>1</v>
      </c>
      <c r="G919">
        <v>1</v>
      </c>
      <c r="J919">
        <f t="shared" si="40"/>
        <v>47</v>
      </c>
      <c r="K919">
        <v>1</v>
      </c>
      <c r="L919">
        <v>1</v>
      </c>
      <c r="M919">
        <v>1</v>
      </c>
      <c r="N919">
        <v>1</v>
      </c>
      <c r="O919">
        <v>1</v>
      </c>
      <c r="R919">
        <f t="shared" si="41"/>
        <v>47</v>
      </c>
      <c r="S919">
        <v>1</v>
      </c>
      <c r="T919">
        <v>1</v>
      </c>
      <c r="U919">
        <v>1</v>
      </c>
      <c r="V919">
        <v>1</v>
      </c>
      <c r="W919">
        <v>1</v>
      </c>
      <c r="AA919">
        <v>-7717.0294999999996</v>
      </c>
      <c r="AB919">
        <v>-7717.0294999999996</v>
      </c>
      <c r="AC919">
        <v>-7717.0294999999996</v>
      </c>
      <c r="AD919">
        <v>-7717.0294999999996</v>
      </c>
      <c r="AE919">
        <v>-7717.0294999999996</v>
      </c>
      <c r="AF919">
        <v>-910915.81969999999</v>
      </c>
    </row>
    <row r="920" spans="2:32" x14ac:dyDescent="0.25">
      <c r="B920">
        <f t="shared" si="39"/>
        <v>48</v>
      </c>
      <c r="C920">
        <v>1</v>
      </c>
      <c r="D920">
        <v>1</v>
      </c>
      <c r="E920">
        <v>1</v>
      </c>
      <c r="F920">
        <v>1</v>
      </c>
      <c r="G920">
        <v>1</v>
      </c>
      <c r="J920">
        <f t="shared" si="40"/>
        <v>48</v>
      </c>
      <c r="K920">
        <v>1</v>
      </c>
      <c r="L920">
        <v>1</v>
      </c>
      <c r="M920">
        <v>1</v>
      </c>
      <c r="N920">
        <v>1</v>
      </c>
      <c r="O920">
        <v>1</v>
      </c>
      <c r="R920">
        <f t="shared" si="41"/>
        <v>48</v>
      </c>
      <c r="S920">
        <v>1</v>
      </c>
      <c r="T920">
        <v>1</v>
      </c>
      <c r="U920">
        <v>1</v>
      </c>
      <c r="V920">
        <v>1</v>
      </c>
      <c r="W920">
        <v>1</v>
      </c>
      <c r="AA920">
        <v>-7594.4201000000003</v>
      </c>
      <c r="AB920">
        <v>-7594.4201000000003</v>
      </c>
      <c r="AC920">
        <v>-7594.4201000000003</v>
      </c>
      <c r="AD920">
        <v>-7594.4201000000003</v>
      </c>
      <c r="AE920">
        <v>-7594.4201000000003</v>
      </c>
      <c r="AF920">
        <v>-917891.87360000005</v>
      </c>
    </row>
    <row r="921" spans="2:32" x14ac:dyDescent="0.25">
      <c r="B921">
        <f t="shared" si="39"/>
        <v>49</v>
      </c>
      <c r="C921">
        <v>1</v>
      </c>
      <c r="D921">
        <v>1</v>
      </c>
      <c r="E921">
        <v>1</v>
      </c>
      <c r="F921">
        <v>1</v>
      </c>
      <c r="G921">
        <v>1</v>
      </c>
      <c r="J921">
        <f t="shared" si="40"/>
        <v>49</v>
      </c>
      <c r="K921">
        <v>1</v>
      </c>
      <c r="L921">
        <v>1</v>
      </c>
      <c r="M921">
        <v>1</v>
      </c>
      <c r="N921">
        <v>1</v>
      </c>
      <c r="O921">
        <v>1</v>
      </c>
      <c r="R921">
        <f t="shared" si="41"/>
        <v>49</v>
      </c>
      <c r="S921">
        <v>1</v>
      </c>
      <c r="T921">
        <v>1</v>
      </c>
      <c r="U921">
        <v>1</v>
      </c>
      <c r="V921">
        <v>1</v>
      </c>
      <c r="W921">
        <v>1</v>
      </c>
      <c r="AA921">
        <v>-7469.3995999999997</v>
      </c>
      <c r="AB921">
        <v>-7469.3995999999997</v>
      </c>
      <c r="AC921">
        <v>-7469.3995999999997</v>
      </c>
      <c r="AD921">
        <v>-7469.3995999999997</v>
      </c>
      <c r="AE921">
        <v>-7469.3995999999997</v>
      </c>
      <c r="AF921">
        <v>-944521.72470000002</v>
      </c>
    </row>
    <row r="922" spans="2:32" x14ac:dyDescent="0.25">
      <c r="B922">
        <f t="shared" si="39"/>
        <v>50</v>
      </c>
      <c r="C922">
        <v>1</v>
      </c>
      <c r="D922">
        <v>1</v>
      </c>
      <c r="E922">
        <v>1</v>
      </c>
      <c r="F922">
        <v>1</v>
      </c>
      <c r="G922">
        <v>1</v>
      </c>
      <c r="J922">
        <f t="shared" si="40"/>
        <v>50</v>
      </c>
      <c r="K922">
        <v>1</v>
      </c>
      <c r="L922">
        <v>1</v>
      </c>
      <c r="M922">
        <v>1</v>
      </c>
      <c r="N922">
        <v>1</v>
      </c>
      <c r="O922">
        <v>1</v>
      </c>
      <c r="R922">
        <f t="shared" si="41"/>
        <v>50</v>
      </c>
      <c r="S922">
        <v>1</v>
      </c>
      <c r="T922">
        <v>1</v>
      </c>
      <c r="U922">
        <v>1</v>
      </c>
      <c r="V922">
        <v>1</v>
      </c>
      <c r="W922">
        <v>1</v>
      </c>
      <c r="AA922">
        <v>-7341.9502000000002</v>
      </c>
      <c r="AB922">
        <v>-7341.9502000000002</v>
      </c>
      <c r="AC922">
        <v>-7341.9502000000002</v>
      </c>
      <c r="AD922">
        <v>-7341.9502000000002</v>
      </c>
      <c r="AE922">
        <v>-7341.9502000000002</v>
      </c>
      <c r="AF922">
        <v>-963257.14989999996</v>
      </c>
    </row>
    <row r="923" spans="2:32" x14ac:dyDescent="0.25">
      <c r="B923">
        <f t="shared" si="39"/>
        <v>51</v>
      </c>
      <c r="C923">
        <v>1</v>
      </c>
      <c r="D923">
        <v>1</v>
      </c>
      <c r="E923">
        <v>1</v>
      </c>
      <c r="F923">
        <v>1</v>
      </c>
      <c r="G923">
        <v>1</v>
      </c>
      <c r="J923">
        <f t="shared" si="40"/>
        <v>51</v>
      </c>
      <c r="K923">
        <v>1</v>
      </c>
      <c r="L923">
        <v>1</v>
      </c>
      <c r="M923">
        <v>1</v>
      </c>
      <c r="N923">
        <v>1</v>
      </c>
      <c r="O923">
        <v>1</v>
      </c>
      <c r="R923">
        <f t="shared" si="41"/>
        <v>51</v>
      </c>
      <c r="S923">
        <v>1</v>
      </c>
      <c r="T923">
        <v>1</v>
      </c>
      <c r="U923">
        <v>1</v>
      </c>
      <c r="V923">
        <v>1</v>
      </c>
      <c r="W923">
        <v>1</v>
      </c>
      <c r="AA923">
        <v>-7212.0646999999999</v>
      </c>
      <c r="AB923">
        <v>-7212.0646999999999</v>
      </c>
      <c r="AC923">
        <v>-7212.0646999999999</v>
      </c>
      <c r="AD923">
        <v>-7212.0646999999999</v>
      </c>
      <c r="AE923">
        <v>-7212.0646999999999</v>
      </c>
      <c r="AF923">
        <v>-981592.90729999996</v>
      </c>
    </row>
    <row r="924" spans="2:32" x14ac:dyDescent="0.25">
      <c r="B924">
        <f t="shared" si="39"/>
        <v>52</v>
      </c>
      <c r="C924">
        <v>1</v>
      </c>
      <c r="D924">
        <v>1</v>
      </c>
      <c r="E924">
        <v>1</v>
      </c>
      <c r="F924">
        <v>1</v>
      </c>
      <c r="G924">
        <v>1</v>
      </c>
      <c r="J924">
        <f t="shared" si="40"/>
        <v>52</v>
      </c>
      <c r="K924">
        <v>1</v>
      </c>
      <c r="L924">
        <v>1</v>
      </c>
      <c r="M924">
        <v>1</v>
      </c>
      <c r="N924">
        <v>1</v>
      </c>
      <c r="O924">
        <v>1</v>
      </c>
      <c r="R924">
        <f t="shared" si="41"/>
        <v>52</v>
      </c>
      <c r="S924">
        <v>1</v>
      </c>
      <c r="T924">
        <v>1</v>
      </c>
      <c r="U924">
        <v>1</v>
      </c>
      <c r="V924">
        <v>1</v>
      </c>
      <c r="W924">
        <v>1</v>
      </c>
      <c r="AA924">
        <v>-7079.7435999999998</v>
      </c>
      <c r="AB924">
        <v>-7079.7435999999998</v>
      </c>
      <c r="AC924">
        <v>-7079.7435999999998</v>
      </c>
      <c r="AD924">
        <v>-7079.7435999999998</v>
      </c>
      <c r="AE924">
        <v>-7079.7435999999998</v>
      </c>
      <c r="AF924">
        <v>-998556.10360000003</v>
      </c>
    </row>
    <row r="925" spans="2:32" x14ac:dyDescent="0.25">
      <c r="B925">
        <f t="shared" si="39"/>
        <v>53</v>
      </c>
      <c r="C925">
        <v>1</v>
      </c>
      <c r="D925">
        <v>1</v>
      </c>
      <c r="E925">
        <v>1</v>
      </c>
      <c r="F925">
        <v>1</v>
      </c>
      <c r="G925">
        <v>1</v>
      </c>
      <c r="J925">
        <f t="shared" si="40"/>
        <v>53</v>
      </c>
      <c r="K925">
        <v>1</v>
      </c>
      <c r="L925">
        <v>1</v>
      </c>
      <c r="M925">
        <v>1</v>
      </c>
      <c r="N925">
        <v>1</v>
      </c>
      <c r="O925">
        <v>1</v>
      </c>
      <c r="R925">
        <f t="shared" si="41"/>
        <v>53</v>
      </c>
      <c r="S925">
        <v>1</v>
      </c>
      <c r="T925">
        <v>1</v>
      </c>
      <c r="U925">
        <v>1</v>
      </c>
      <c r="V925">
        <v>1</v>
      </c>
      <c r="W925">
        <v>1</v>
      </c>
      <c r="AA925">
        <v>-6945.0875999999998</v>
      </c>
      <c r="AB925">
        <v>-6945.0875999999998</v>
      </c>
      <c r="AC925">
        <v>-6945.0875999999998</v>
      </c>
      <c r="AD925">
        <v>-6945.0875999999998</v>
      </c>
      <c r="AE925">
        <v>-6945.0875999999998</v>
      </c>
      <c r="AF925">
        <v>-1015461.3278</v>
      </c>
    </row>
    <row r="926" spans="2:32" x14ac:dyDescent="0.25">
      <c r="B926">
        <f t="shared" si="39"/>
        <v>54</v>
      </c>
      <c r="C926">
        <v>1</v>
      </c>
      <c r="D926">
        <v>1</v>
      </c>
      <c r="E926">
        <v>1</v>
      </c>
      <c r="F926">
        <v>1</v>
      </c>
      <c r="G926">
        <v>1</v>
      </c>
      <c r="J926">
        <f t="shared" si="40"/>
        <v>54</v>
      </c>
      <c r="K926">
        <v>1</v>
      </c>
      <c r="L926">
        <v>1</v>
      </c>
      <c r="M926">
        <v>1</v>
      </c>
      <c r="N926">
        <v>1</v>
      </c>
      <c r="O926">
        <v>1</v>
      </c>
      <c r="R926">
        <f t="shared" si="41"/>
        <v>54</v>
      </c>
      <c r="S926">
        <v>1</v>
      </c>
      <c r="T926">
        <v>1</v>
      </c>
      <c r="U926">
        <v>1</v>
      </c>
      <c r="V926">
        <v>1</v>
      </c>
      <c r="W926">
        <v>1</v>
      </c>
      <c r="AA926">
        <v>-6808.2438000000002</v>
      </c>
      <c r="AB926">
        <v>-6808.2438000000002</v>
      </c>
      <c r="AC926">
        <v>-6808.2438000000002</v>
      </c>
      <c r="AD926">
        <v>-6808.2438000000002</v>
      </c>
      <c r="AE926">
        <v>-6808.2438000000002</v>
      </c>
      <c r="AF926">
        <v>-1033869.6813000001</v>
      </c>
    </row>
    <row r="927" spans="2:32" x14ac:dyDescent="0.25">
      <c r="B927">
        <f t="shared" si="39"/>
        <v>55</v>
      </c>
      <c r="C927">
        <v>1</v>
      </c>
      <c r="D927">
        <v>1</v>
      </c>
      <c r="E927">
        <v>1</v>
      </c>
      <c r="F927">
        <v>1</v>
      </c>
      <c r="G927">
        <v>1</v>
      </c>
      <c r="J927">
        <f t="shared" si="40"/>
        <v>55</v>
      </c>
      <c r="K927">
        <v>1</v>
      </c>
      <c r="L927">
        <v>1</v>
      </c>
      <c r="M927">
        <v>1</v>
      </c>
      <c r="N927">
        <v>1</v>
      </c>
      <c r="O927">
        <v>1</v>
      </c>
      <c r="R927">
        <f t="shared" si="41"/>
        <v>55</v>
      </c>
      <c r="S927">
        <v>1</v>
      </c>
      <c r="T927">
        <v>1</v>
      </c>
      <c r="U927">
        <v>1</v>
      </c>
      <c r="V927">
        <v>1</v>
      </c>
      <c r="W927">
        <v>1</v>
      </c>
      <c r="AA927">
        <v>-6669.2525999999998</v>
      </c>
      <c r="AB927">
        <v>-6669.2525999999998</v>
      </c>
      <c r="AC927">
        <v>-6669.2525999999998</v>
      </c>
      <c r="AD927">
        <v>-6669.2525999999998</v>
      </c>
      <c r="AE927">
        <v>-6669.2525999999998</v>
      </c>
      <c r="AF927">
        <v>-1050810.2549999999</v>
      </c>
    </row>
    <row r="928" spans="2:32" x14ac:dyDescent="0.25">
      <c r="B928">
        <f t="shared" si="39"/>
        <v>56</v>
      </c>
      <c r="C928">
        <v>1</v>
      </c>
      <c r="D928">
        <v>1</v>
      </c>
      <c r="E928">
        <v>1</v>
      </c>
      <c r="F928">
        <v>1</v>
      </c>
      <c r="G928">
        <v>1</v>
      </c>
      <c r="J928">
        <f t="shared" si="40"/>
        <v>56</v>
      </c>
      <c r="K928">
        <v>1</v>
      </c>
      <c r="L928">
        <v>1</v>
      </c>
      <c r="M928">
        <v>1</v>
      </c>
      <c r="N928">
        <v>1</v>
      </c>
      <c r="O928">
        <v>1</v>
      </c>
      <c r="R928">
        <f t="shared" si="41"/>
        <v>56</v>
      </c>
      <c r="S928">
        <v>1</v>
      </c>
      <c r="T928">
        <v>1</v>
      </c>
      <c r="U928">
        <v>1</v>
      </c>
      <c r="V928">
        <v>1</v>
      </c>
      <c r="W928">
        <v>1</v>
      </c>
      <c r="AA928">
        <v>-6528.2992000000004</v>
      </c>
      <c r="AB928">
        <v>-6528.2992000000004</v>
      </c>
      <c r="AC928">
        <v>-6528.2992000000004</v>
      </c>
      <c r="AD928">
        <v>-6528.2992000000004</v>
      </c>
      <c r="AE928">
        <v>-6528.2992000000004</v>
      </c>
      <c r="AF928">
        <v>-1073295.8774000001</v>
      </c>
    </row>
    <row r="929" spans="2:32" x14ac:dyDescent="0.25">
      <c r="B929">
        <f t="shared" si="39"/>
        <v>57</v>
      </c>
      <c r="C929">
        <v>1</v>
      </c>
      <c r="D929">
        <v>1</v>
      </c>
      <c r="E929">
        <v>1</v>
      </c>
      <c r="F929">
        <v>1</v>
      </c>
      <c r="G929">
        <v>1</v>
      </c>
      <c r="J929">
        <f t="shared" si="40"/>
        <v>57</v>
      </c>
      <c r="K929">
        <v>1</v>
      </c>
      <c r="L929">
        <v>1</v>
      </c>
      <c r="M929">
        <v>1</v>
      </c>
      <c r="N929">
        <v>1</v>
      </c>
      <c r="O929">
        <v>1</v>
      </c>
      <c r="R929">
        <f t="shared" si="41"/>
        <v>57</v>
      </c>
      <c r="S929">
        <v>1</v>
      </c>
      <c r="T929">
        <v>1</v>
      </c>
      <c r="U929">
        <v>1</v>
      </c>
      <c r="V929">
        <v>1</v>
      </c>
      <c r="W929">
        <v>1</v>
      </c>
      <c r="AA929">
        <v>-6385.5230000000001</v>
      </c>
      <c r="AB929">
        <v>-6385.5230000000001</v>
      </c>
      <c r="AC929">
        <v>-6385.5230000000001</v>
      </c>
      <c r="AD929">
        <v>-6385.5230000000001</v>
      </c>
      <c r="AE929">
        <v>-6385.5230000000001</v>
      </c>
      <c r="AF929">
        <v>-1093242.6832999999</v>
      </c>
    </row>
    <row r="930" spans="2:32" x14ac:dyDescent="0.25">
      <c r="B930">
        <f t="shared" si="39"/>
        <v>58</v>
      </c>
      <c r="C930">
        <v>1</v>
      </c>
      <c r="D930">
        <v>1</v>
      </c>
      <c r="E930">
        <v>1</v>
      </c>
      <c r="F930">
        <v>1</v>
      </c>
      <c r="G930">
        <v>1</v>
      </c>
      <c r="J930">
        <f t="shared" si="40"/>
        <v>58</v>
      </c>
      <c r="K930">
        <v>1</v>
      </c>
      <c r="L930">
        <v>1</v>
      </c>
      <c r="M930">
        <v>1</v>
      </c>
      <c r="N930">
        <v>1</v>
      </c>
      <c r="O930">
        <v>1</v>
      </c>
      <c r="R930">
        <f t="shared" si="41"/>
        <v>58</v>
      </c>
      <c r="S930">
        <v>1</v>
      </c>
      <c r="T930">
        <v>1</v>
      </c>
      <c r="U930">
        <v>1</v>
      </c>
      <c r="V930">
        <v>1</v>
      </c>
      <c r="W930">
        <v>1</v>
      </c>
      <c r="AA930">
        <v>-6240.8730999999998</v>
      </c>
      <c r="AB930">
        <v>-6240.8730999999998</v>
      </c>
      <c r="AC930">
        <v>-6240.8730999999998</v>
      </c>
      <c r="AD930">
        <v>-6240.8730999999998</v>
      </c>
      <c r="AE930">
        <v>-6240.8730999999998</v>
      </c>
      <c r="AF930">
        <v>-1114366.6444000001</v>
      </c>
    </row>
    <row r="931" spans="2:32" x14ac:dyDescent="0.25">
      <c r="B931">
        <f t="shared" si="39"/>
        <v>59</v>
      </c>
      <c r="C931">
        <v>1</v>
      </c>
      <c r="D931">
        <v>1</v>
      </c>
      <c r="E931">
        <v>1</v>
      </c>
      <c r="F931">
        <v>1</v>
      </c>
      <c r="G931">
        <v>1</v>
      </c>
      <c r="J931">
        <f t="shared" si="40"/>
        <v>59</v>
      </c>
      <c r="K931">
        <v>1</v>
      </c>
      <c r="L931">
        <v>1</v>
      </c>
      <c r="M931">
        <v>1</v>
      </c>
      <c r="N931">
        <v>1</v>
      </c>
      <c r="O931">
        <v>1</v>
      </c>
      <c r="R931">
        <f t="shared" si="41"/>
        <v>59</v>
      </c>
      <c r="S931">
        <v>1</v>
      </c>
      <c r="T931">
        <v>1</v>
      </c>
      <c r="U931">
        <v>1</v>
      </c>
      <c r="V931">
        <v>1</v>
      </c>
      <c r="W931">
        <v>1</v>
      </c>
      <c r="AA931">
        <v>-6094.3262999999997</v>
      </c>
      <c r="AB931">
        <v>-6094.3262999999997</v>
      </c>
      <c r="AC931">
        <v>-6094.3262999999997</v>
      </c>
      <c r="AD931">
        <v>-6094.3262999999997</v>
      </c>
      <c r="AE931">
        <v>-6094.3262999999997</v>
      </c>
      <c r="AF931">
        <v>-1114366.6444000001</v>
      </c>
    </row>
    <row r="932" spans="2:32" x14ac:dyDescent="0.25">
      <c r="B932">
        <f t="shared" si="39"/>
        <v>60</v>
      </c>
      <c r="C932">
        <v>1</v>
      </c>
      <c r="D932">
        <v>1</v>
      </c>
      <c r="E932">
        <v>1</v>
      </c>
      <c r="F932">
        <v>1</v>
      </c>
      <c r="G932">
        <v>1</v>
      </c>
      <c r="J932">
        <f t="shared" si="40"/>
        <v>60</v>
      </c>
      <c r="K932">
        <v>1</v>
      </c>
      <c r="L932">
        <v>1</v>
      </c>
      <c r="M932">
        <v>1</v>
      </c>
      <c r="N932">
        <v>1</v>
      </c>
      <c r="O932">
        <v>1</v>
      </c>
      <c r="R932">
        <f t="shared" si="41"/>
        <v>60</v>
      </c>
      <c r="S932">
        <v>1</v>
      </c>
      <c r="T932">
        <v>1</v>
      </c>
      <c r="U932">
        <v>1</v>
      </c>
      <c r="V932">
        <v>1</v>
      </c>
      <c r="W932">
        <v>1</v>
      </c>
      <c r="AA932">
        <v>-5945.9960000000001</v>
      </c>
      <c r="AB932">
        <v>-5945.9960000000001</v>
      </c>
      <c r="AC932">
        <v>-5945.9960000000001</v>
      </c>
      <c r="AD932">
        <v>-5945.9960000000001</v>
      </c>
      <c r="AE932">
        <v>-5945.9960000000001</v>
      </c>
      <c r="AF932">
        <v>-1157801.6717999999</v>
      </c>
    </row>
    <row r="933" spans="2:32" x14ac:dyDescent="0.25">
      <c r="B933">
        <f t="shared" si="39"/>
        <v>61</v>
      </c>
      <c r="C933">
        <v>1</v>
      </c>
      <c r="D933">
        <v>1</v>
      </c>
      <c r="E933">
        <v>1</v>
      </c>
      <c r="F933">
        <v>1</v>
      </c>
      <c r="G933">
        <v>1</v>
      </c>
      <c r="J933">
        <f t="shared" si="40"/>
        <v>61</v>
      </c>
      <c r="K933">
        <v>1</v>
      </c>
      <c r="L933">
        <v>1</v>
      </c>
      <c r="M933">
        <v>1</v>
      </c>
      <c r="N933">
        <v>1</v>
      </c>
      <c r="O933">
        <v>1</v>
      </c>
      <c r="R933">
        <f t="shared" si="41"/>
        <v>61</v>
      </c>
      <c r="S933">
        <v>1</v>
      </c>
      <c r="T933">
        <v>1</v>
      </c>
      <c r="U933">
        <v>1</v>
      </c>
      <c r="V933">
        <v>1</v>
      </c>
      <c r="W933">
        <v>1</v>
      </c>
      <c r="AA933">
        <v>-5796.3015999999998</v>
      </c>
      <c r="AB933">
        <v>-5796.3015999999998</v>
      </c>
      <c r="AC933">
        <v>-5796.3015999999998</v>
      </c>
      <c r="AD933">
        <v>-5796.3015999999998</v>
      </c>
      <c r="AE933">
        <v>-5796.3015999999998</v>
      </c>
      <c r="AF933">
        <v>-1178581.4038</v>
      </c>
    </row>
    <row r="934" spans="2:32" x14ac:dyDescent="0.25">
      <c r="B934">
        <f t="shared" si="39"/>
        <v>62</v>
      </c>
      <c r="C934">
        <v>1</v>
      </c>
      <c r="D934">
        <v>1</v>
      </c>
      <c r="E934">
        <v>1</v>
      </c>
      <c r="F934">
        <v>1</v>
      </c>
      <c r="G934">
        <v>1</v>
      </c>
      <c r="J934">
        <f t="shared" si="40"/>
        <v>62</v>
      </c>
      <c r="K934">
        <v>1</v>
      </c>
      <c r="L934">
        <v>1</v>
      </c>
      <c r="M934">
        <v>1</v>
      </c>
      <c r="N934">
        <v>1</v>
      </c>
      <c r="O934">
        <v>1</v>
      </c>
      <c r="R934">
        <f t="shared" si="41"/>
        <v>62</v>
      </c>
      <c r="S934">
        <v>1</v>
      </c>
      <c r="T934">
        <v>1</v>
      </c>
      <c r="U934">
        <v>1</v>
      </c>
      <c r="V934">
        <v>1</v>
      </c>
      <c r="W934">
        <v>1</v>
      </c>
      <c r="AA934">
        <v>-5645.2415000000001</v>
      </c>
      <c r="AB934">
        <v>-5645.2415000000001</v>
      </c>
      <c r="AC934">
        <v>-5645.2415000000001</v>
      </c>
      <c r="AD934">
        <v>-5645.2415000000001</v>
      </c>
      <c r="AE934">
        <v>-5645.2415000000001</v>
      </c>
      <c r="AF934">
        <v>-1199521.5327000001</v>
      </c>
    </row>
    <row r="935" spans="2:32" x14ac:dyDescent="0.25">
      <c r="B935">
        <f t="shared" si="39"/>
        <v>63</v>
      </c>
      <c r="C935">
        <v>1</v>
      </c>
      <c r="D935">
        <v>1</v>
      </c>
      <c r="E935">
        <v>1</v>
      </c>
      <c r="F935">
        <v>1</v>
      </c>
      <c r="G935">
        <v>1</v>
      </c>
      <c r="J935">
        <f t="shared" si="40"/>
        <v>63</v>
      </c>
      <c r="K935">
        <v>1</v>
      </c>
      <c r="L935">
        <v>1</v>
      </c>
      <c r="M935">
        <v>1</v>
      </c>
      <c r="N935">
        <v>1</v>
      </c>
      <c r="O935">
        <v>1</v>
      </c>
      <c r="R935">
        <f t="shared" si="41"/>
        <v>63</v>
      </c>
      <c r="S935">
        <v>1</v>
      </c>
      <c r="T935">
        <v>1</v>
      </c>
      <c r="U935">
        <v>1</v>
      </c>
      <c r="V935">
        <v>1</v>
      </c>
      <c r="W935">
        <v>1</v>
      </c>
      <c r="AA935">
        <v>-5492.4920000000002</v>
      </c>
      <c r="AB935">
        <v>-5492.4920000000002</v>
      </c>
      <c r="AC935">
        <v>-5492.4920000000002</v>
      </c>
      <c r="AD935">
        <v>-5492.4920000000002</v>
      </c>
      <c r="AE935">
        <v>-5492.4920000000002</v>
      </c>
      <c r="AF935">
        <v>-1220461.6269</v>
      </c>
    </row>
    <row r="936" spans="2:32" x14ac:dyDescent="0.25">
      <c r="B936">
        <f t="shared" si="39"/>
        <v>64</v>
      </c>
      <c r="C936">
        <v>1</v>
      </c>
      <c r="D936">
        <v>1</v>
      </c>
      <c r="E936">
        <v>1</v>
      </c>
      <c r="F936">
        <v>1</v>
      </c>
      <c r="G936">
        <v>1</v>
      </c>
      <c r="J936">
        <f t="shared" si="40"/>
        <v>64</v>
      </c>
      <c r="K936">
        <v>1</v>
      </c>
      <c r="L936">
        <v>1</v>
      </c>
      <c r="M936">
        <v>1</v>
      </c>
      <c r="N936">
        <v>1</v>
      </c>
      <c r="O936">
        <v>1</v>
      </c>
      <c r="R936">
        <f t="shared" si="41"/>
        <v>64</v>
      </c>
      <c r="S936">
        <v>1</v>
      </c>
      <c r="T936">
        <v>1</v>
      </c>
      <c r="U936">
        <v>1</v>
      </c>
      <c r="V936">
        <v>1</v>
      </c>
      <c r="W936">
        <v>1</v>
      </c>
      <c r="AA936">
        <v>-5338.1817000000001</v>
      </c>
      <c r="AB936">
        <v>-5338.1817000000001</v>
      </c>
      <c r="AC936">
        <v>-5338.1817000000001</v>
      </c>
      <c r="AD936">
        <v>-5338.1817000000001</v>
      </c>
      <c r="AE936">
        <v>-5338.1817000000001</v>
      </c>
      <c r="AF936">
        <v>-1240652.2526</v>
      </c>
    </row>
    <row r="937" spans="2:32" x14ac:dyDescent="0.25">
      <c r="B937">
        <f t="shared" si="39"/>
        <v>65</v>
      </c>
      <c r="C937">
        <v>1</v>
      </c>
      <c r="D937">
        <v>1</v>
      </c>
      <c r="E937">
        <v>1</v>
      </c>
      <c r="F937">
        <v>1</v>
      </c>
      <c r="G937">
        <v>1</v>
      </c>
      <c r="J937">
        <f t="shared" si="40"/>
        <v>65</v>
      </c>
      <c r="K937">
        <v>1</v>
      </c>
      <c r="L937">
        <v>1</v>
      </c>
      <c r="M937">
        <v>1</v>
      </c>
      <c r="N937">
        <v>1</v>
      </c>
      <c r="O937">
        <v>1</v>
      </c>
      <c r="R937">
        <f t="shared" si="41"/>
        <v>65</v>
      </c>
      <c r="S937">
        <v>1</v>
      </c>
      <c r="T937">
        <v>1</v>
      </c>
      <c r="U937">
        <v>1</v>
      </c>
      <c r="V937">
        <v>1</v>
      </c>
      <c r="W937">
        <v>1</v>
      </c>
      <c r="AA937">
        <v>-5182.2268999999997</v>
      </c>
      <c r="AB937">
        <v>-5182.2268999999997</v>
      </c>
      <c r="AC937">
        <v>-5182.2268999999997</v>
      </c>
      <c r="AD937">
        <v>-5182.2268999999997</v>
      </c>
      <c r="AE937">
        <v>-5182.2268999999997</v>
      </c>
      <c r="AF937">
        <v>-1260049.8302</v>
      </c>
    </row>
    <row r="940" spans="2:32" x14ac:dyDescent="0.25">
      <c r="B940" t="s">
        <v>46</v>
      </c>
      <c r="C940">
        <v>50000</v>
      </c>
      <c r="D940">
        <v>100000</v>
      </c>
      <c r="E940">
        <v>250000</v>
      </c>
      <c r="F940">
        <v>500000</v>
      </c>
      <c r="G940">
        <v>1000000</v>
      </c>
      <c r="H940">
        <v>2000000</v>
      </c>
      <c r="J940" t="s">
        <v>47</v>
      </c>
      <c r="K940">
        <v>50000</v>
      </c>
      <c r="L940">
        <v>100000</v>
      </c>
      <c r="M940">
        <v>250000</v>
      </c>
      <c r="N940">
        <v>500000</v>
      </c>
      <c r="O940">
        <v>1000000</v>
      </c>
      <c r="P940">
        <v>2000000</v>
      </c>
      <c r="R940" t="s">
        <v>48</v>
      </c>
      <c r="S940">
        <v>50000</v>
      </c>
      <c r="T940">
        <v>100000</v>
      </c>
      <c r="U940">
        <v>250000</v>
      </c>
      <c r="V940">
        <v>500000</v>
      </c>
      <c r="W940">
        <v>1000000</v>
      </c>
      <c r="X940">
        <v>2000000</v>
      </c>
    </row>
    <row r="941" spans="2:32" x14ac:dyDescent="0.25">
      <c r="B941">
        <v>26</v>
      </c>
      <c r="C941">
        <v>1</v>
      </c>
      <c r="D941">
        <v>1</v>
      </c>
      <c r="E941">
        <v>1</v>
      </c>
      <c r="F941">
        <v>1</v>
      </c>
      <c r="G941">
        <v>1</v>
      </c>
      <c r="H941">
        <v>1</v>
      </c>
      <c r="J941">
        <v>26</v>
      </c>
      <c r="K941">
        <v>1</v>
      </c>
      <c r="L941">
        <v>1</v>
      </c>
      <c r="M941">
        <v>1</v>
      </c>
      <c r="N941">
        <v>1</v>
      </c>
      <c r="O941">
        <v>1</v>
      </c>
      <c r="P941">
        <v>1</v>
      </c>
      <c r="R941">
        <v>26</v>
      </c>
      <c r="S941">
        <v>1</v>
      </c>
      <c r="T941">
        <v>1</v>
      </c>
      <c r="U941">
        <v>1</v>
      </c>
      <c r="V941">
        <v>1</v>
      </c>
      <c r="W941">
        <v>1</v>
      </c>
      <c r="X941">
        <v>1</v>
      </c>
      <c r="AA941">
        <v>-5174.8482999999997</v>
      </c>
      <c r="AB941">
        <v>-5174.8482999999997</v>
      </c>
      <c r="AC941">
        <v>-5174.8482999999997</v>
      </c>
      <c r="AD941">
        <v>-5174.8482999999997</v>
      </c>
      <c r="AE941">
        <v>-5174.8482999999997</v>
      </c>
      <c r="AF941">
        <v>-5174.8482999999997</v>
      </c>
    </row>
    <row r="942" spans="2:32" x14ac:dyDescent="0.25">
      <c r="B942">
        <v>27</v>
      </c>
      <c r="C942">
        <v>1</v>
      </c>
      <c r="D942">
        <v>1</v>
      </c>
      <c r="E942">
        <v>1</v>
      </c>
      <c r="F942">
        <v>1</v>
      </c>
      <c r="G942">
        <v>1</v>
      </c>
      <c r="H942">
        <v>1</v>
      </c>
      <c r="J942">
        <v>27</v>
      </c>
      <c r="K942">
        <v>1</v>
      </c>
      <c r="L942">
        <v>1</v>
      </c>
      <c r="M942">
        <v>1</v>
      </c>
      <c r="N942">
        <v>1</v>
      </c>
      <c r="O942">
        <v>1</v>
      </c>
      <c r="P942">
        <v>1</v>
      </c>
      <c r="R942">
        <v>27</v>
      </c>
      <c r="S942">
        <v>1</v>
      </c>
      <c r="T942">
        <v>1</v>
      </c>
      <c r="U942">
        <v>1</v>
      </c>
      <c r="V942">
        <v>1</v>
      </c>
      <c r="W942">
        <v>1</v>
      </c>
      <c r="X942">
        <v>1</v>
      </c>
      <c r="AA942">
        <v>-5173.6036999999997</v>
      </c>
      <c r="AB942">
        <v>-5173.6036999999997</v>
      </c>
      <c r="AC942">
        <v>-5173.6036999999997</v>
      </c>
      <c r="AD942">
        <v>-5173.6036999999997</v>
      </c>
      <c r="AE942">
        <v>-5173.6036999999997</v>
      </c>
      <c r="AF942">
        <v>-5173.6036999999997</v>
      </c>
    </row>
    <row r="943" spans="2:32" x14ac:dyDescent="0.25">
      <c r="B943">
        <v>28</v>
      </c>
      <c r="C943">
        <v>1</v>
      </c>
      <c r="D943">
        <v>1</v>
      </c>
      <c r="E943">
        <v>1</v>
      </c>
      <c r="F943">
        <v>1</v>
      </c>
      <c r="G943">
        <v>1</v>
      </c>
      <c r="H943">
        <v>1</v>
      </c>
      <c r="J943">
        <v>28</v>
      </c>
      <c r="K943">
        <v>1</v>
      </c>
      <c r="L943">
        <v>1</v>
      </c>
      <c r="M943">
        <v>1</v>
      </c>
      <c r="N943">
        <v>1</v>
      </c>
      <c r="O943">
        <v>1</v>
      </c>
      <c r="P943">
        <v>1</v>
      </c>
      <c r="R943">
        <v>28</v>
      </c>
      <c r="S943">
        <v>1</v>
      </c>
      <c r="T943">
        <v>1</v>
      </c>
      <c r="U943">
        <v>1</v>
      </c>
      <c r="V943">
        <v>1</v>
      </c>
      <c r="W943">
        <v>1</v>
      </c>
      <c r="X943">
        <v>1</v>
      </c>
      <c r="AA943">
        <v>-5172.1755999999996</v>
      </c>
      <c r="AB943">
        <v>-5172.1755999999996</v>
      </c>
      <c r="AC943">
        <v>-5172.1755999999996</v>
      </c>
      <c r="AD943">
        <v>-5172.1755999999996</v>
      </c>
      <c r="AE943">
        <v>-5172.1755999999996</v>
      </c>
      <c r="AF943">
        <v>-5172.1755999999996</v>
      </c>
    </row>
    <row r="944" spans="2:32" x14ac:dyDescent="0.25">
      <c r="B944">
        <v>29</v>
      </c>
      <c r="C944">
        <v>1</v>
      </c>
      <c r="D944">
        <v>1</v>
      </c>
      <c r="E944">
        <v>1</v>
      </c>
      <c r="F944">
        <v>1</v>
      </c>
      <c r="G944">
        <v>1</v>
      </c>
      <c r="H944">
        <v>1</v>
      </c>
      <c r="J944">
        <v>29</v>
      </c>
      <c r="K944">
        <v>1</v>
      </c>
      <c r="L944">
        <v>1</v>
      </c>
      <c r="M944">
        <v>1</v>
      </c>
      <c r="N944">
        <v>1</v>
      </c>
      <c r="O944">
        <v>1</v>
      </c>
      <c r="P944">
        <v>1</v>
      </c>
      <c r="R944">
        <v>29</v>
      </c>
      <c r="S944">
        <v>1</v>
      </c>
      <c r="T944">
        <v>1</v>
      </c>
      <c r="U944">
        <v>1</v>
      </c>
      <c r="V944">
        <v>1</v>
      </c>
      <c r="W944">
        <v>1</v>
      </c>
      <c r="X944">
        <v>1</v>
      </c>
      <c r="AA944">
        <v>-5170.5482000000002</v>
      </c>
      <c r="AB944">
        <v>-5170.5482000000002</v>
      </c>
      <c r="AC944">
        <v>-5170.5482000000002</v>
      </c>
      <c r="AD944">
        <v>-5170.5482000000002</v>
      </c>
      <c r="AE944">
        <v>-5170.5482000000002</v>
      </c>
      <c r="AF944">
        <v>-5170.5482000000002</v>
      </c>
    </row>
    <row r="945" spans="2:32" x14ac:dyDescent="0.25">
      <c r="B945">
        <v>30</v>
      </c>
      <c r="C945">
        <v>1</v>
      </c>
      <c r="D945">
        <v>1</v>
      </c>
      <c r="E945">
        <v>1</v>
      </c>
      <c r="F945">
        <v>1</v>
      </c>
      <c r="G945">
        <v>1</v>
      </c>
      <c r="H945">
        <v>1</v>
      </c>
      <c r="J945">
        <v>30</v>
      </c>
      <c r="K945">
        <v>1</v>
      </c>
      <c r="L945">
        <v>1</v>
      </c>
      <c r="M945">
        <v>1</v>
      </c>
      <c r="N945">
        <v>1</v>
      </c>
      <c r="O945">
        <v>1</v>
      </c>
      <c r="P945">
        <v>1</v>
      </c>
      <c r="R945">
        <v>30</v>
      </c>
      <c r="S945">
        <v>1</v>
      </c>
      <c r="T945">
        <v>1</v>
      </c>
      <c r="U945">
        <v>1</v>
      </c>
      <c r="V945">
        <v>1</v>
      </c>
      <c r="W945">
        <v>1</v>
      </c>
      <c r="X945">
        <v>1</v>
      </c>
      <c r="AA945">
        <v>-5168.6908999999996</v>
      </c>
      <c r="AB945">
        <v>-5168.6908999999996</v>
      </c>
      <c r="AC945">
        <v>-5168.6908999999996</v>
      </c>
      <c r="AD945">
        <v>-5168.6908999999996</v>
      </c>
      <c r="AE945">
        <v>-5168.6908999999996</v>
      </c>
      <c r="AF945">
        <v>-5168.6908999999996</v>
      </c>
    </row>
    <row r="946" spans="2:32" x14ac:dyDescent="0.25">
      <c r="B946">
        <v>31</v>
      </c>
      <c r="C946">
        <v>1</v>
      </c>
      <c r="D946">
        <v>1</v>
      </c>
      <c r="E946">
        <v>1</v>
      </c>
      <c r="F946">
        <v>1</v>
      </c>
      <c r="G946">
        <v>1</v>
      </c>
      <c r="H946">
        <v>1</v>
      </c>
      <c r="J946">
        <v>31</v>
      </c>
      <c r="K946">
        <v>1</v>
      </c>
      <c r="L946">
        <v>1</v>
      </c>
      <c r="M946">
        <v>1</v>
      </c>
      <c r="N946">
        <v>1</v>
      </c>
      <c r="O946">
        <v>1</v>
      </c>
      <c r="P946">
        <v>1</v>
      </c>
      <c r="R946">
        <v>31</v>
      </c>
      <c r="S946">
        <v>1</v>
      </c>
      <c r="T946">
        <v>1</v>
      </c>
      <c r="U946">
        <v>1</v>
      </c>
      <c r="V946">
        <v>1</v>
      </c>
      <c r="W946">
        <v>1</v>
      </c>
      <c r="X946">
        <v>1</v>
      </c>
      <c r="AA946">
        <v>-5166.5891000000001</v>
      </c>
      <c r="AB946">
        <v>-5166.5891000000001</v>
      </c>
      <c r="AC946">
        <v>-5166.5891000000001</v>
      </c>
      <c r="AD946">
        <v>-5166.5891000000001</v>
      </c>
      <c r="AE946">
        <v>-5166.5891000000001</v>
      </c>
      <c r="AF946">
        <v>-5166.5891000000001</v>
      </c>
    </row>
    <row r="947" spans="2:32" x14ac:dyDescent="0.25">
      <c r="B947">
        <v>32</v>
      </c>
      <c r="C947">
        <v>1</v>
      </c>
      <c r="D947">
        <v>1</v>
      </c>
      <c r="E947">
        <v>1</v>
      </c>
      <c r="F947">
        <v>1</v>
      </c>
      <c r="G947">
        <v>1</v>
      </c>
      <c r="H947">
        <v>1</v>
      </c>
      <c r="J947">
        <v>32</v>
      </c>
      <c r="K947">
        <v>1</v>
      </c>
      <c r="L947">
        <v>1</v>
      </c>
      <c r="M947">
        <v>1</v>
      </c>
      <c r="N947">
        <v>1</v>
      </c>
      <c r="O947">
        <v>1</v>
      </c>
      <c r="P947">
        <v>1</v>
      </c>
      <c r="R947">
        <v>32</v>
      </c>
      <c r="S947">
        <v>1</v>
      </c>
      <c r="T947">
        <v>1</v>
      </c>
      <c r="U947">
        <v>1</v>
      </c>
      <c r="V947">
        <v>1</v>
      </c>
      <c r="W947">
        <v>1</v>
      </c>
      <c r="X947">
        <v>1</v>
      </c>
      <c r="AA947">
        <v>-5164.2407000000003</v>
      </c>
      <c r="AB947">
        <v>-5164.2407000000003</v>
      </c>
      <c r="AC947">
        <v>-5164.2407000000003</v>
      </c>
      <c r="AD947">
        <v>-5164.2407000000003</v>
      </c>
      <c r="AE947">
        <v>-5164.2407000000003</v>
      </c>
      <c r="AF947">
        <v>-5164.2407000000003</v>
      </c>
    </row>
    <row r="948" spans="2:32" x14ac:dyDescent="0.25">
      <c r="B948">
        <v>33</v>
      </c>
      <c r="C948">
        <v>1</v>
      </c>
      <c r="D948">
        <v>1</v>
      </c>
      <c r="E948">
        <v>1</v>
      </c>
      <c r="F948">
        <v>1</v>
      </c>
      <c r="G948">
        <v>1</v>
      </c>
      <c r="H948">
        <v>1</v>
      </c>
      <c r="J948">
        <v>33</v>
      </c>
      <c r="K948">
        <v>1</v>
      </c>
      <c r="L948">
        <v>1</v>
      </c>
      <c r="M948">
        <v>1</v>
      </c>
      <c r="N948">
        <v>1</v>
      </c>
      <c r="O948">
        <v>1</v>
      </c>
      <c r="P948">
        <v>1</v>
      </c>
      <c r="R948">
        <v>33</v>
      </c>
      <c r="S948">
        <v>1</v>
      </c>
      <c r="T948">
        <v>1</v>
      </c>
      <c r="U948">
        <v>1</v>
      </c>
      <c r="V948">
        <v>1</v>
      </c>
      <c r="W948">
        <v>1</v>
      </c>
      <c r="X948">
        <v>1</v>
      </c>
      <c r="AA948">
        <v>-5161.6318000000001</v>
      </c>
      <c r="AB948">
        <v>-5161.6318000000001</v>
      </c>
      <c r="AC948">
        <v>-5161.6318000000001</v>
      </c>
      <c r="AD948">
        <v>-5161.6318000000001</v>
      </c>
      <c r="AE948">
        <v>-5161.6318000000001</v>
      </c>
      <c r="AF948">
        <v>-5161.6318000000001</v>
      </c>
    </row>
    <row r="949" spans="2:32" x14ac:dyDescent="0.25">
      <c r="B949">
        <v>34</v>
      </c>
      <c r="C949">
        <v>1</v>
      </c>
      <c r="D949">
        <v>1</v>
      </c>
      <c r="E949">
        <v>1</v>
      </c>
      <c r="F949">
        <v>1</v>
      </c>
      <c r="G949">
        <v>1</v>
      </c>
      <c r="H949">
        <v>1</v>
      </c>
      <c r="J949">
        <v>34</v>
      </c>
      <c r="K949">
        <v>1</v>
      </c>
      <c r="L949">
        <v>1</v>
      </c>
      <c r="M949">
        <v>1</v>
      </c>
      <c r="N949">
        <v>1</v>
      </c>
      <c r="O949">
        <v>1</v>
      </c>
      <c r="P949">
        <v>1</v>
      </c>
      <c r="R949">
        <v>34</v>
      </c>
      <c r="S949">
        <v>1</v>
      </c>
      <c r="T949">
        <v>1</v>
      </c>
      <c r="U949">
        <v>1</v>
      </c>
      <c r="V949">
        <v>1</v>
      </c>
      <c r="W949">
        <v>1</v>
      </c>
      <c r="X949">
        <v>1</v>
      </c>
      <c r="AA949">
        <v>-5158.7194</v>
      </c>
      <c r="AB949">
        <v>-5158.7194</v>
      </c>
      <c r="AC949">
        <v>-5158.7194</v>
      </c>
      <c r="AD949">
        <v>-5158.7194</v>
      </c>
      <c r="AE949">
        <v>-5158.7194</v>
      </c>
      <c r="AF949">
        <v>-5158.7194</v>
      </c>
    </row>
    <row r="950" spans="2:32" x14ac:dyDescent="0.25">
      <c r="B950">
        <v>35</v>
      </c>
      <c r="C950">
        <v>1</v>
      </c>
      <c r="D950">
        <v>1</v>
      </c>
      <c r="E950">
        <v>1</v>
      </c>
      <c r="F950">
        <v>1</v>
      </c>
      <c r="G950">
        <v>1</v>
      </c>
      <c r="H950">
        <v>1</v>
      </c>
      <c r="J950">
        <v>35</v>
      </c>
      <c r="K950">
        <v>1</v>
      </c>
      <c r="L950">
        <v>1</v>
      </c>
      <c r="M950">
        <v>1</v>
      </c>
      <c r="N950">
        <v>1</v>
      </c>
      <c r="O950">
        <v>1</v>
      </c>
      <c r="P950">
        <v>1</v>
      </c>
      <c r="R950">
        <v>35</v>
      </c>
      <c r="S950">
        <v>1</v>
      </c>
      <c r="T950">
        <v>1</v>
      </c>
      <c r="U950">
        <v>1</v>
      </c>
      <c r="V950">
        <v>1</v>
      </c>
      <c r="W950">
        <v>1</v>
      </c>
      <c r="X950">
        <v>1</v>
      </c>
      <c r="AA950">
        <v>-5155.4901</v>
      </c>
      <c r="AB950">
        <v>-5155.4901</v>
      </c>
      <c r="AC950">
        <v>-5155.4901</v>
      </c>
      <c r="AD950">
        <v>-5155.4901</v>
      </c>
      <c r="AE950">
        <v>-5155.4901</v>
      </c>
      <c r="AF950">
        <v>-5155.4901</v>
      </c>
    </row>
    <row r="951" spans="2:32" x14ac:dyDescent="0.25">
      <c r="B951">
        <v>36</v>
      </c>
      <c r="C951">
        <v>1</v>
      </c>
      <c r="D951">
        <v>1</v>
      </c>
      <c r="E951">
        <v>1</v>
      </c>
      <c r="F951">
        <v>1</v>
      </c>
      <c r="G951">
        <v>1</v>
      </c>
      <c r="H951">
        <v>1</v>
      </c>
      <c r="J951">
        <v>36</v>
      </c>
      <c r="K951">
        <v>1</v>
      </c>
      <c r="L951">
        <v>1</v>
      </c>
      <c r="M951">
        <v>1</v>
      </c>
      <c r="N951">
        <v>1</v>
      </c>
      <c r="O951">
        <v>1</v>
      </c>
      <c r="P951">
        <v>1</v>
      </c>
      <c r="R951">
        <v>36</v>
      </c>
      <c r="S951">
        <v>1</v>
      </c>
      <c r="T951">
        <v>1</v>
      </c>
      <c r="U951">
        <v>1</v>
      </c>
      <c r="V951">
        <v>1</v>
      </c>
      <c r="W951">
        <v>1</v>
      </c>
      <c r="X951">
        <v>1</v>
      </c>
      <c r="AA951">
        <v>-5151.8950999999997</v>
      </c>
      <c r="AB951">
        <v>-5151.8950999999997</v>
      </c>
      <c r="AC951">
        <v>-5151.8950999999997</v>
      </c>
      <c r="AD951">
        <v>-5151.8950999999997</v>
      </c>
      <c r="AE951">
        <v>-5151.8950999999997</v>
      </c>
      <c r="AF951">
        <v>-5151.8950999999997</v>
      </c>
    </row>
    <row r="952" spans="2:32" x14ac:dyDescent="0.25">
      <c r="B952">
        <v>37</v>
      </c>
      <c r="C952">
        <v>1</v>
      </c>
      <c r="D952">
        <v>1</v>
      </c>
      <c r="E952">
        <v>1</v>
      </c>
      <c r="F952">
        <v>1</v>
      </c>
      <c r="G952">
        <v>1</v>
      </c>
      <c r="H952">
        <v>1</v>
      </c>
      <c r="J952">
        <v>37</v>
      </c>
      <c r="K952">
        <v>1</v>
      </c>
      <c r="L952">
        <v>1</v>
      </c>
      <c r="M952">
        <v>1</v>
      </c>
      <c r="N952">
        <v>1</v>
      </c>
      <c r="O952">
        <v>1</v>
      </c>
      <c r="P952">
        <v>1</v>
      </c>
      <c r="R952">
        <v>37</v>
      </c>
      <c r="S952">
        <v>1</v>
      </c>
      <c r="T952">
        <v>1</v>
      </c>
      <c r="U952">
        <v>1</v>
      </c>
      <c r="V952">
        <v>1</v>
      </c>
      <c r="W952">
        <v>1</v>
      </c>
      <c r="X952">
        <v>1</v>
      </c>
      <c r="AA952">
        <v>-5147.9106000000002</v>
      </c>
      <c r="AB952">
        <v>-5147.9106000000002</v>
      </c>
      <c r="AC952">
        <v>-5147.9106000000002</v>
      </c>
      <c r="AD952">
        <v>-5147.9106000000002</v>
      </c>
      <c r="AE952">
        <v>-5147.9106000000002</v>
      </c>
      <c r="AF952">
        <v>-5147.9106000000002</v>
      </c>
    </row>
    <row r="953" spans="2:32" x14ac:dyDescent="0.25">
      <c r="B953">
        <v>38</v>
      </c>
      <c r="C953">
        <v>1</v>
      </c>
      <c r="D953">
        <v>1</v>
      </c>
      <c r="E953">
        <v>1</v>
      </c>
      <c r="F953">
        <v>1</v>
      </c>
      <c r="G953">
        <v>1</v>
      </c>
      <c r="H953">
        <v>1</v>
      </c>
      <c r="J953">
        <v>38</v>
      </c>
      <c r="K953">
        <v>1</v>
      </c>
      <c r="L953">
        <v>1</v>
      </c>
      <c r="M953">
        <v>1</v>
      </c>
      <c r="N953">
        <v>1</v>
      </c>
      <c r="O953">
        <v>1</v>
      </c>
      <c r="P953">
        <v>1</v>
      </c>
      <c r="R953">
        <v>38</v>
      </c>
      <c r="S953">
        <v>1</v>
      </c>
      <c r="T953">
        <v>1</v>
      </c>
      <c r="U953">
        <v>1</v>
      </c>
      <c r="V953">
        <v>1</v>
      </c>
      <c r="W953">
        <v>1</v>
      </c>
      <c r="X953">
        <v>1</v>
      </c>
      <c r="AA953">
        <v>-5143.5393999999997</v>
      </c>
      <c r="AB953">
        <v>-5143.5393999999997</v>
      </c>
      <c r="AC953">
        <v>-5143.5393999999997</v>
      </c>
      <c r="AD953">
        <v>-5143.5393999999997</v>
      </c>
      <c r="AE953">
        <v>-5143.5393999999997</v>
      </c>
      <c r="AF953">
        <v>-5143.5393999999997</v>
      </c>
    </row>
    <row r="954" spans="2:32" x14ac:dyDescent="0.25">
      <c r="B954">
        <v>39</v>
      </c>
      <c r="C954">
        <v>1</v>
      </c>
      <c r="D954">
        <v>1</v>
      </c>
      <c r="E954">
        <v>1</v>
      </c>
      <c r="F954">
        <v>1</v>
      </c>
      <c r="G954">
        <v>1</v>
      </c>
      <c r="H954">
        <v>1</v>
      </c>
      <c r="J954">
        <v>39</v>
      </c>
      <c r="K954">
        <v>1</v>
      </c>
      <c r="L954">
        <v>1</v>
      </c>
      <c r="M954">
        <v>1</v>
      </c>
      <c r="N954">
        <v>1</v>
      </c>
      <c r="O954">
        <v>1</v>
      </c>
      <c r="P954">
        <v>1</v>
      </c>
      <c r="R954">
        <v>39</v>
      </c>
      <c r="S954">
        <v>1</v>
      </c>
      <c r="T954">
        <v>1</v>
      </c>
      <c r="U954">
        <v>1</v>
      </c>
      <c r="V954">
        <v>1</v>
      </c>
      <c r="W954">
        <v>1</v>
      </c>
      <c r="X954">
        <v>1</v>
      </c>
      <c r="AA954">
        <v>-5138.76</v>
      </c>
      <c r="AB954">
        <v>-5138.76</v>
      </c>
      <c r="AC954">
        <v>-5138.76</v>
      </c>
      <c r="AD954">
        <v>-5138.76</v>
      </c>
      <c r="AE954">
        <v>-5138.76</v>
      </c>
      <c r="AF954">
        <v>-5138.76</v>
      </c>
    </row>
    <row r="955" spans="2:32" x14ac:dyDescent="0.25">
      <c r="B955">
        <v>40</v>
      </c>
      <c r="C955">
        <v>1</v>
      </c>
      <c r="D955">
        <v>1</v>
      </c>
      <c r="E955">
        <v>1</v>
      </c>
      <c r="F955">
        <v>1</v>
      </c>
      <c r="G955">
        <v>1</v>
      </c>
      <c r="H955">
        <v>1</v>
      </c>
      <c r="J955">
        <v>40</v>
      </c>
      <c r="K955">
        <v>1</v>
      </c>
      <c r="L955">
        <v>1</v>
      </c>
      <c r="M955">
        <v>1</v>
      </c>
      <c r="N955">
        <v>1</v>
      </c>
      <c r="O955">
        <v>1</v>
      </c>
      <c r="P955">
        <v>1</v>
      </c>
      <c r="R955">
        <v>40</v>
      </c>
      <c r="S955">
        <v>1</v>
      </c>
      <c r="T955">
        <v>1</v>
      </c>
      <c r="U955">
        <v>1</v>
      </c>
      <c r="V955">
        <v>1</v>
      </c>
      <c r="W955">
        <v>1</v>
      </c>
      <c r="X955">
        <v>1</v>
      </c>
      <c r="AA955">
        <v>-5133.5084999999999</v>
      </c>
      <c r="AB955">
        <v>-5133.5084999999999</v>
      </c>
      <c r="AC955">
        <v>-5133.5084999999999</v>
      </c>
      <c r="AD955">
        <v>-5133.5084999999999</v>
      </c>
      <c r="AE955">
        <v>-5133.5084999999999</v>
      </c>
      <c r="AF955">
        <v>-5133.5084999999999</v>
      </c>
    </row>
    <row r="956" spans="2:32" x14ac:dyDescent="0.25">
      <c r="B956">
        <v>41</v>
      </c>
      <c r="C956">
        <v>1</v>
      </c>
      <c r="D956">
        <v>1</v>
      </c>
      <c r="E956">
        <v>1</v>
      </c>
      <c r="F956">
        <v>1</v>
      </c>
      <c r="G956">
        <v>1</v>
      </c>
      <c r="H956">
        <v>1</v>
      </c>
      <c r="J956">
        <v>41</v>
      </c>
      <c r="K956">
        <v>1</v>
      </c>
      <c r="L956">
        <v>1</v>
      </c>
      <c r="M956">
        <v>1</v>
      </c>
      <c r="N956">
        <v>1</v>
      </c>
      <c r="O956">
        <v>1</v>
      </c>
      <c r="P956">
        <v>1</v>
      </c>
      <c r="R956">
        <v>41</v>
      </c>
      <c r="S956">
        <v>1</v>
      </c>
      <c r="T956">
        <v>1</v>
      </c>
      <c r="U956">
        <v>1</v>
      </c>
      <c r="V956">
        <v>1</v>
      </c>
      <c r="W956">
        <v>1</v>
      </c>
      <c r="X956">
        <v>1</v>
      </c>
      <c r="AA956">
        <v>-5127.7236000000003</v>
      </c>
      <c r="AB956">
        <v>-5127.7236000000003</v>
      </c>
      <c r="AC956">
        <v>-5127.7236000000003</v>
      </c>
      <c r="AD956">
        <v>-5127.7236000000003</v>
      </c>
      <c r="AE956">
        <v>-5127.7236000000003</v>
      </c>
      <c r="AF956">
        <v>-5127.7236000000003</v>
      </c>
    </row>
    <row r="957" spans="2:32" x14ac:dyDescent="0.25">
      <c r="B957">
        <v>42</v>
      </c>
      <c r="C957">
        <v>1</v>
      </c>
      <c r="D957">
        <v>1</v>
      </c>
      <c r="E957">
        <v>1</v>
      </c>
      <c r="F957">
        <v>1</v>
      </c>
      <c r="G957">
        <v>1</v>
      </c>
      <c r="H957">
        <v>1</v>
      </c>
      <c r="J957">
        <v>42</v>
      </c>
      <c r="K957">
        <v>1</v>
      </c>
      <c r="L957">
        <v>1</v>
      </c>
      <c r="M957">
        <v>1</v>
      </c>
      <c r="N957">
        <v>1</v>
      </c>
      <c r="O957">
        <v>1</v>
      </c>
      <c r="P957">
        <v>1</v>
      </c>
      <c r="R957">
        <v>42</v>
      </c>
      <c r="S957">
        <v>1</v>
      </c>
      <c r="T957">
        <v>1</v>
      </c>
      <c r="U957">
        <v>1</v>
      </c>
      <c r="V957">
        <v>1</v>
      </c>
      <c r="W957">
        <v>1</v>
      </c>
      <c r="X957">
        <v>1</v>
      </c>
      <c r="AA957">
        <v>-5121.3726999999999</v>
      </c>
      <c r="AB957">
        <v>-5121.3726999999999</v>
      </c>
      <c r="AC957">
        <v>-5121.3726999999999</v>
      </c>
      <c r="AD957">
        <v>-5121.3726999999999</v>
      </c>
      <c r="AE957">
        <v>-5121.3726999999999</v>
      </c>
      <c r="AF957">
        <v>-5121.3726999999999</v>
      </c>
    </row>
    <row r="958" spans="2:32" x14ac:dyDescent="0.25">
      <c r="B958">
        <v>43</v>
      </c>
      <c r="C958">
        <v>1</v>
      </c>
      <c r="D958">
        <v>1</v>
      </c>
      <c r="E958">
        <v>1</v>
      </c>
      <c r="F958">
        <v>1</v>
      </c>
      <c r="G958">
        <v>1</v>
      </c>
      <c r="H958">
        <v>1</v>
      </c>
      <c r="J958">
        <v>43</v>
      </c>
      <c r="K958">
        <v>1</v>
      </c>
      <c r="L958">
        <v>1</v>
      </c>
      <c r="M958">
        <v>1</v>
      </c>
      <c r="N958">
        <v>1</v>
      </c>
      <c r="O958">
        <v>1</v>
      </c>
      <c r="P958">
        <v>1</v>
      </c>
      <c r="R958">
        <v>43</v>
      </c>
      <c r="S958">
        <v>1</v>
      </c>
      <c r="T958">
        <v>1</v>
      </c>
      <c r="U958">
        <v>1</v>
      </c>
      <c r="V958">
        <v>1</v>
      </c>
      <c r="W958">
        <v>1</v>
      </c>
      <c r="X958">
        <v>1</v>
      </c>
      <c r="AA958">
        <v>-5114.3449000000001</v>
      </c>
      <c r="AB958">
        <v>-5114.3449000000001</v>
      </c>
      <c r="AC958">
        <v>-5114.3449000000001</v>
      </c>
      <c r="AD958">
        <v>-5114.3449000000001</v>
      </c>
      <c r="AE958">
        <v>-5114.3449000000001</v>
      </c>
      <c r="AF958">
        <v>-5114.3449000000001</v>
      </c>
    </row>
    <row r="959" spans="2:32" x14ac:dyDescent="0.25">
      <c r="B959">
        <v>44</v>
      </c>
      <c r="C959">
        <v>1</v>
      </c>
      <c r="D959">
        <v>1</v>
      </c>
      <c r="E959">
        <v>1</v>
      </c>
      <c r="F959">
        <v>1</v>
      </c>
      <c r="G959">
        <v>1</v>
      </c>
      <c r="H959">
        <v>1</v>
      </c>
      <c r="J959">
        <v>44</v>
      </c>
      <c r="K959">
        <v>1</v>
      </c>
      <c r="L959">
        <v>1</v>
      </c>
      <c r="M959">
        <v>1</v>
      </c>
      <c r="N959">
        <v>1</v>
      </c>
      <c r="O959">
        <v>1</v>
      </c>
      <c r="P959">
        <v>1</v>
      </c>
      <c r="R959">
        <v>44</v>
      </c>
      <c r="S959">
        <v>1</v>
      </c>
      <c r="T959">
        <v>1</v>
      </c>
      <c r="U959">
        <v>1</v>
      </c>
      <c r="V959">
        <v>1</v>
      </c>
      <c r="W959">
        <v>1</v>
      </c>
      <c r="X959">
        <v>1</v>
      </c>
      <c r="AA959">
        <v>-5106.5976000000001</v>
      </c>
      <c r="AB959">
        <v>-5106.5976000000001</v>
      </c>
      <c r="AC959">
        <v>-5106.5976000000001</v>
      </c>
      <c r="AD959">
        <v>-5106.5976000000001</v>
      </c>
      <c r="AE959">
        <v>-5106.5976000000001</v>
      </c>
      <c r="AF959">
        <v>-5106.5976000000001</v>
      </c>
    </row>
    <row r="960" spans="2:32" x14ac:dyDescent="0.25">
      <c r="B960">
        <v>45</v>
      </c>
      <c r="C960">
        <v>1</v>
      </c>
      <c r="D960">
        <v>1</v>
      </c>
      <c r="E960">
        <v>1</v>
      </c>
      <c r="F960">
        <v>1</v>
      </c>
      <c r="G960">
        <v>1</v>
      </c>
      <c r="H960">
        <v>1</v>
      </c>
      <c r="J960">
        <v>45</v>
      </c>
      <c r="K960">
        <v>1</v>
      </c>
      <c r="L960">
        <v>1</v>
      </c>
      <c r="M960">
        <v>1</v>
      </c>
      <c r="N960">
        <v>1</v>
      </c>
      <c r="O960">
        <v>1</v>
      </c>
      <c r="P960">
        <v>1</v>
      </c>
      <c r="R960">
        <v>45</v>
      </c>
      <c r="S960">
        <v>1</v>
      </c>
      <c r="T960">
        <v>1</v>
      </c>
      <c r="U960">
        <v>1</v>
      </c>
      <c r="V960">
        <v>1</v>
      </c>
      <c r="W960">
        <v>1</v>
      </c>
      <c r="X960">
        <v>1</v>
      </c>
      <c r="AA960">
        <v>-5098.0524999999998</v>
      </c>
      <c r="AB960">
        <v>-5098.0524999999998</v>
      </c>
      <c r="AC960">
        <v>-5098.0524999999998</v>
      </c>
      <c r="AD960">
        <v>-5098.0524999999998</v>
      </c>
      <c r="AE960">
        <v>-5098.0524999999998</v>
      </c>
      <c r="AF960">
        <v>-5098.0524999999998</v>
      </c>
    </row>
    <row r="961" spans="2:32" x14ac:dyDescent="0.25">
      <c r="B961">
        <v>46</v>
      </c>
      <c r="C961">
        <v>1</v>
      </c>
      <c r="D961">
        <v>1</v>
      </c>
      <c r="E961">
        <v>1</v>
      </c>
      <c r="F961">
        <v>1</v>
      </c>
      <c r="G961">
        <v>1</v>
      </c>
      <c r="H961">
        <v>1</v>
      </c>
      <c r="J961">
        <v>46</v>
      </c>
      <c r="K961">
        <v>1</v>
      </c>
      <c r="L961">
        <v>1</v>
      </c>
      <c r="M961">
        <v>1</v>
      </c>
      <c r="N961">
        <v>1</v>
      </c>
      <c r="O961">
        <v>1</v>
      </c>
      <c r="P961">
        <v>1</v>
      </c>
      <c r="R961">
        <v>46</v>
      </c>
      <c r="S961">
        <v>1</v>
      </c>
      <c r="T961">
        <v>1</v>
      </c>
      <c r="U961">
        <v>1</v>
      </c>
      <c r="V961">
        <v>1</v>
      </c>
      <c r="W961">
        <v>1</v>
      </c>
      <c r="X961">
        <v>1</v>
      </c>
      <c r="AA961">
        <v>-5088.6378000000004</v>
      </c>
      <c r="AB961">
        <v>-5088.6378000000004</v>
      </c>
      <c r="AC961">
        <v>-5088.6378000000004</v>
      </c>
      <c r="AD961">
        <v>-5088.6378000000004</v>
      </c>
      <c r="AE961">
        <v>-5088.6378000000004</v>
      </c>
      <c r="AF961">
        <v>-5088.6378000000004</v>
      </c>
    </row>
    <row r="962" spans="2:32" x14ac:dyDescent="0.25">
      <c r="B962">
        <v>47</v>
      </c>
      <c r="C962">
        <v>1</v>
      </c>
      <c r="D962">
        <v>1</v>
      </c>
      <c r="E962">
        <v>1</v>
      </c>
      <c r="F962">
        <v>1</v>
      </c>
      <c r="G962">
        <v>1</v>
      </c>
      <c r="H962">
        <v>1</v>
      </c>
      <c r="J962">
        <v>47</v>
      </c>
      <c r="K962">
        <v>1</v>
      </c>
      <c r="L962">
        <v>1</v>
      </c>
      <c r="M962">
        <v>1</v>
      </c>
      <c r="N962">
        <v>1</v>
      </c>
      <c r="O962">
        <v>1</v>
      </c>
      <c r="P962">
        <v>1</v>
      </c>
      <c r="R962">
        <v>47</v>
      </c>
      <c r="S962">
        <v>1</v>
      </c>
      <c r="T962">
        <v>1</v>
      </c>
      <c r="U962">
        <v>1</v>
      </c>
      <c r="V962">
        <v>1</v>
      </c>
      <c r="W962">
        <v>1</v>
      </c>
      <c r="X962">
        <v>1</v>
      </c>
      <c r="AA962">
        <v>-5078.2593999999999</v>
      </c>
      <c r="AB962">
        <v>-5078.2593999999999</v>
      </c>
      <c r="AC962">
        <v>-5078.2593999999999</v>
      </c>
      <c r="AD962">
        <v>-5078.2593999999999</v>
      </c>
      <c r="AE962">
        <v>-5078.2593999999999</v>
      </c>
      <c r="AF962">
        <v>-5078.2593999999999</v>
      </c>
    </row>
    <row r="963" spans="2:32" x14ac:dyDescent="0.25">
      <c r="B963">
        <v>48</v>
      </c>
      <c r="C963">
        <v>1</v>
      </c>
      <c r="D963">
        <v>1</v>
      </c>
      <c r="E963">
        <v>1</v>
      </c>
      <c r="F963">
        <v>1</v>
      </c>
      <c r="G963">
        <v>1</v>
      </c>
      <c r="H963">
        <v>1</v>
      </c>
      <c r="J963">
        <v>48</v>
      </c>
      <c r="K963">
        <v>1</v>
      </c>
      <c r="L963">
        <v>1</v>
      </c>
      <c r="M963">
        <v>1</v>
      </c>
      <c r="N963">
        <v>1</v>
      </c>
      <c r="O963">
        <v>1</v>
      </c>
      <c r="P963">
        <v>1</v>
      </c>
      <c r="R963">
        <v>48</v>
      </c>
      <c r="S963">
        <v>1</v>
      </c>
      <c r="T963">
        <v>1</v>
      </c>
      <c r="U963">
        <v>1</v>
      </c>
      <c r="V963">
        <v>1</v>
      </c>
      <c r="W963">
        <v>1</v>
      </c>
      <c r="X963">
        <v>1</v>
      </c>
      <c r="AA963">
        <v>-5066.8732</v>
      </c>
      <c r="AB963">
        <v>-5066.8732</v>
      </c>
      <c r="AC963">
        <v>-5066.8732</v>
      </c>
      <c r="AD963">
        <v>-5066.8732</v>
      </c>
      <c r="AE963">
        <v>-5066.8732</v>
      </c>
      <c r="AF963">
        <v>-5066.8732</v>
      </c>
    </row>
    <row r="964" spans="2:32" x14ac:dyDescent="0.25">
      <c r="B964">
        <v>49</v>
      </c>
      <c r="C964">
        <v>1</v>
      </c>
      <c r="D964">
        <v>1</v>
      </c>
      <c r="E964">
        <v>1</v>
      </c>
      <c r="F964">
        <v>1</v>
      </c>
      <c r="G964">
        <v>1</v>
      </c>
      <c r="H964">
        <v>1</v>
      </c>
      <c r="J964">
        <v>49</v>
      </c>
      <c r="K964">
        <v>1</v>
      </c>
      <c r="L964">
        <v>1</v>
      </c>
      <c r="M964">
        <v>1</v>
      </c>
      <c r="N964">
        <v>1</v>
      </c>
      <c r="O964">
        <v>1</v>
      </c>
      <c r="P964">
        <v>1</v>
      </c>
      <c r="R964">
        <v>49</v>
      </c>
      <c r="S964">
        <v>1</v>
      </c>
      <c r="T964">
        <v>1</v>
      </c>
      <c r="U964">
        <v>1</v>
      </c>
      <c r="V964">
        <v>1</v>
      </c>
      <c r="W964">
        <v>1</v>
      </c>
      <c r="X964">
        <v>1</v>
      </c>
      <c r="AA964">
        <v>-5054.4124000000002</v>
      </c>
      <c r="AB964">
        <v>-5054.4124000000002</v>
      </c>
      <c r="AC964">
        <v>-5054.4124000000002</v>
      </c>
      <c r="AD964">
        <v>-5054.4124000000002</v>
      </c>
      <c r="AE964">
        <v>-5054.4124000000002</v>
      </c>
      <c r="AF964">
        <v>-5054.4124000000002</v>
      </c>
    </row>
    <row r="965" spans="2:32" x14ac:dyDescent="0.25">
      <c r="B965">
        <v>50</v>
      </c>
      <c r="C965">
        <v>1</v>
      </c>
      <c r="D965">
        <v>1</v>
      </c>
      <c r="E965">
        <v>1</v>
      </c>
      <c r="F965">
        <v>1</v>
      </c>
      <c r="G965">
        <v>1</v>
      </c>
      <c r="H965">
        <v>1</v>
      </c>
      <c r="J965">
        <v>50</v>
      </c>
      <c r="K965">
        <v>1</v>
      </c>
      <c r="L965">
        <v>1</v>
      </c>
      <c r="M965">
        <v>1</v>
      </c>
      <c r="N965">
        <v>1</v>
      </c>
      <c r="O965">
        <v>1</v>
      </c>
      <c r="P965">
        <v>1</v>
      </c>
      <c r="R965">
        <v>50</v>
      </c>
      <c r="S965">
        <v>1</v>
      </c>
      <c r="T965">
        <v>1</v>
      </c>
      <c r="U965">
        <v>1</v>
      </c>
      <c r="V965">
        <v>1</v>
      </c>
      <c r="W965">
        <v>1</v>
      </c>
      <c r="X965">
        <v>1</v>
      </c>
      <c r="AA965">
        <v>-5040.7671</v>
      </c>
      <c r="AB965">
        <v>-5040.7671</v>
      </c>
      <c r="AC965">
        <v>-5040.7671</v>
      </c>
      <c r="AD965">
        <v>-5040.7671</v>
      </c>
      <c r="AE965">
        <v>-5040.7671</v>
      </c>
      <c r="AF965">
        <v>-5040.7671</v>
      </c>
    </row>
    <row r="966" spans="2:32" x14ac:dyDescent="0.25">
      <c r="B966">
        <v>51</v>
      </c>
      <c r="C966">
        <v>1</v>
      </c>
      <c r="D966">
        <v>1</v>
      </c>
      <c r="E966">
        <v>1</v>
      </c>
      <c r="F966">
        <v>1</v>
      </c>
      <c r="G966">
        <v>1</v>
      </c>
      <c r="H966">
        <v>1</v>
      </c>
      <c r="J966">
        <v>51</v>
      </c>
      <c r="K966">
        <v>1</v>
      </c>
      <c r="L966">
        <v>1</v>
      </c>
      <c r="M966">
        <v>1</v>
      </c>
      <c r="N966">
        <v>1</v>
      </c>
      <c r="O966">
        <v>1</v>
      </c>
      <c r="P966">
        <v>1</v>
      </c>
      <c r="R966">
        <v>51</v>
      </c>
      <c r="S966">
        <v>1</v>
      </c>
      <c r="T966">
        <v>1</v>
      </c>
      <c r="U966">
        <v>1</v>
      </c>
      <c r="V966">
        <v>1</v>
      </c>
      <c r="W966">
        <v>1</v>
      </c>
      <c r="X966">
        <v>1</v>
      </c>
      <c r="AA966">
        <v>-5025.8329000000003</v>
      </c>
      <c r="AB966">
        <v>-5025.8329000000003</v>
      </c>
      <c r="AC966">
        <v>-5025.8329000000003</v>
      </c>
      <c r="AD966">
        <v>-5025.8329000000003</v>
      </c>
      <c r="AE966">
        <v>-5025.8329000000003</v>
      </c>
      <c r="AF966">
        <v>-5025.8329000000003</v>
      </c>
    </row>
    <row r="967" spans="2:32" x14ac:dyDescent="0.25">
      <c r="B967">
        <v>52</v>
      </c>
      <c r="C967">
        <v>1</v>
      </c>
      <c r="D967">
        <v>1</v>
      </c>
      <c r="E967">
        <v>1</v>
      </c>
      <c r="F967">
        <v>1</v>
      </c>
      <c r="G967">
        <v>1</v>
      </c>
      <c r="H967">
        <v>1</v>
      </c>
      <c r="J967">
        <v>52</v>
      </c>
      <c r="K967">
        <v>1</v>
      </c>
      <c r="L967">
        <v>1</v>
      </c>
      <c r="M967">
        <v>1</v>
      </c>
      <c r="N967">
        <v>1</v>
      </c>
      <c r="O967">
        <v>1</v>
      </c>
      <c r="P967">
        <v>1</v>
      </c>
      <c r="R967">
        <v>52</v>
      </c>
      <c r="S967">
        <v>1</v>
      </c>
      <c r="T967">
        <v>1</v>
      </c>
      <c r="U967">
        <v>1</v>
      </c>
      <c r="V967">
        <v>1</v>
      </c>
      <c r="W967">
        <v>1</v>
      </c>
      <c r="X967">
        <v>1</v>
      </c>
      <c r="AA967">
        <v>-5009.4771000000001</v>
      </c>
      <c r="AB967">
        <v>-5009.4771000000001</v>
      </c>
      <c r="AC967">
        <v>-5009.4771000000001</v>
      </c>
      <c r="AD967">
        <v>-5009.4771000000001</v>
      </c>
      <c r="AE967">
        <v>-5009.4771000000001</v>
      </c>
      <c r="AF967">
        <v>-5009.4771000000001</v>
      </c>
    </row>
    <row r="968" spans="2:32" x14ac:dyDescent="0.25">
      <c r="B968">
        <v>53</v>
      </c>
      <c r="C968">
        <v>1</v>
      </c>
      <c r="D968">
        <v>1</v>
      </c>
      <c r="E968">
        <v>1</v>
      </c>
      <c r="F968">
        <v>1</v>
      </c>
      <c r="G968">
        <v>1</v>
      </c>
      <c r="H968">
        <v>1</v>
      </c>
      <c r="J968">
        <v>53</v>
      </c>
      <c r="K968">
        <v>1</v>
      </c>
      <c r="L968">
        <v>1</v>
      </c>
      <c r="M968">
        <v>1</v>
      </c>
      <c r="N968">
        <v>1</v>
      </c>
      <c r="O968">
        <v>1</v>
      </c>
      <c r="P968">
        <v>1</v>
      </c>
      <c r="R968">
        <v>53</v>
      </c>
      <c r="S968">
        <v>1</v>
      </c>
      <c r="T968">
        <v>1</v>
      </c>
      <c r="U968">
        <v>1</v>
      </c>
      <c r="V968">
        <v>1</v>
      </c>
      <c r="W968">
        <v>1</v>
      </c>
      <c r="X968">
        <v>1</v>
      </c>
      <c r="AA968">
        <v>-4991.6184000000003</v>
      </c>
      <c r="AB968">
        <v>-4991.6184000000003</v>
      </c>
      <c r="AC968">
        <v>-4991.6184000000003</v>
      </c>
      <c r="AD968">
        <v>-4991.6184000000003</v>
      </c>
      <c r="AE968">
        <v>-4991.6184000000003</v>
      </c>
      <c r="AF968">
        <v>-4991.6184000000003</v>
      </c>
    </row>
    <row r="969" spans="2:32" x14ac:dyDescent="0.25">
      <c r="B969">
        <v>54</v>
      </c>
      <c r="C969">
        <v>1</v>
      </c>
      <c r="D969">
        <v>1</v>
      </c>
      <c r="E969">
        <v>1</v>
      </c>
      <c r="F969">
        <v>1</v>
      </c>
      <c r="G969">
        <v>1</v>
      </c>
      <c r="H969">
        <v>1</v>
      </c>
      <c r="J969">
        <v>54</v>
      </c>
      <c r="K969">
        <v>1</v>
      </c>
      <c r="L969">
        <v>1</v>
      </c>
      <c r="M969">
        <v>1</v>
      </c>
      <c r="N969">
        <v>1</v>
      </c>
      <c r="O969">
        <v>1</v>
      </c>
      <c r="P969">
        <v>1</v>
      </c>
      <c r="R969">
        <v>54</v>
      </c>
      <c r="S969">
        <v>1</v>
      </c>
      <c r="T969">
        <v>1</v>
      </c>
      <c r="U969">
        <v>1</v>
      </c>
      <c r="V969">
        <v>1</v>
      </c>
      <c r="W969">
        <v>1</v>
      </c>
      <c r="X969">
        <v>1</v>
      </c>
      <c r="AA969">
        <v>-4972.1588000000002</v>
      </c>
      <c r="AB969">
        <v>-4972.1588000000002</v>
      </c>
      <c r="AC969">
        <v>-4972.1588000000002</v>
      </c>
      <c r="AD969">
        <v>-4972.1588000000002</v>
      </c>
      <c r="AE969">
        <v>-4972.1588000000002</v>
      </c>
      <c r="AF969">
        <v>-4972.1588000000002</v>
      </c>
    </row>
    <row r="970" spans="2:32" x14ac:dyDescent="0.25">
      <c r="B970">
        <v>55</v>
      </c>
      <c r="C970">
        <v>1</v>
      </c>
      <c r="D970">
        <v>1</v>
      </c>
      <c r="E970">
        <v>1</v>
      </c>
      <c r="F970">
        <v>1</v>
      </c>
      <c r="G970">
        <v>1</v>
      </c>
      <c r="H970">
        <v>1</v>
      </c>
      <c r="J970">
        <v>55</v>
      </c>
      <c r="K970">
        <v>1</v>
      </c>
      <c r="L970">
        <v>1</v>
      </c>
      <c r="M970">
        <v>1</v>
      </c>
      <c r="N970">
        <v>1</v>
      </c>
      <c r="O970">
        <v>1</v>
      </c>
      <c r="P970">
        <v>1</v>
      </c>
      <c r="R970">
        <v>55</v>
      </c>
      <c r="S970">
        <v>1</v>
      </c>
      <c r="T970">
        <v>1</v>
      </c>
      <c r="U970">
        <v>1</v>
      </c>
      <c r="V970">
        <v>1</v>
      </c>
      <c r="W970">
        <v>1</v>
      </c>
      <c r="X970">
        <v>1</v>
      </c>
      <c r="AA970">
        <v>-4950.9426000000003</v>
      </c>
      <c r="AB970">
        <v>-4950.9426000000003</v>
      </c>
      <c r="AC970">
        <v>-4950.9426000000003</v>
      </c>
      <c r="AD970">
        <v>-4950.9426000000003</v>
      </c>
      <c r="AE970">
        <v>-4950.9426000000003</v>
      </c>
      <c r="AF970">
        <v>-4950.9426000000003</v>
      </c>
    </row>
    <row r="973" spans="2:32" x14ac:dyDescent="0.25">
      <c r="B973" t="s">
        <v>46</v>
      </c>
      <c r="C973">
        <v>100000</v>
      </c>
      <c r="D973">
        <v>250000</v>
      </c>
      <c r="E973">
        <v>500000</v>
      </c>
      <c r="F973">
        <v>1000000</v>
      </c>
      <c r="G973">
        <v>2000000</v>
      </c>
      <c r="J973" t="s">
        <v>32</v>
      </c>
      <c r="K973">
        <v>100000</v>
      </c>
      <c r="L973">
        <v>250000</v>
      </c>
      <c r="M973">
        <v>500000</v>
      </c>
      <c r="N973">
        <v>1000000</v>
      </c>
      <c r="O973">
        <v>2000000</v>
      </c>
      <c r="R973" t="s">
        <v>48</v>
      </c>
      <c r="S973">
        <v>100000</v>
      </c>
      <c r="T973">
        <v>250000</v>
      </c>
      <c r="U973">
        <v>500000</v>
      </c>
      <c r="V973">
        <v>1000000</v>
      </c>
      <c r="W973">
        <v>2000000</v>
      </c>
    </row>
    <row r="974" spans="2:32" x14ac:dyDescent="0.25">
      <c r="B974">
        <v>35</v>
      </c>
      <c r="C974">
        <v>1</v>
      </c>
      <c r="D974">
        <v>1</v>
      </c>
      <c r="E974">
        <v>1</v>
      </c>
      <c r="F974">
        <v>1</v>
      </c>
      <c r="G974">
        <v>1</v>
      </c>
      <c r="J974">
        <v>35</v>
      </c>
      <c r="K974">
        <v>1</v>
      </c>
      <c r="L974">
        <v>1</v>
      </c>
      <c r="M974">
        <v>1</v>
      </c>
      <c r="N974">
        <v>1</v>
      </c>
      <c r="O974">
        <v>1</v>
      </c>
      <c r="R974">
        <v>35</v>
      </c>
      <c r="S974">
        <v>1</v>
      </c>
      <c r="T974">
        <v>1</v>
      </c>
      <c r="U974">
        <v>1</v>
      </c>
      <c r="V974">
        <v>1</v>
      </c>
      <c r="W974">
        <v>1</v>
      </c>
      <c r="AA974">
        <v>-8996.1419000000005</v>
      </c>
      <c r="AB974">
        <v>-8996.1419000000005</v>
      </c>
      <c r="AC974">
        <v>-8996.1419000000005</v>
      </c>
      <c r="AD974">
        <v>-8996.1419000000005</v>
      </c>
      <c r="AE974">
        <v>-8996.1419000000005</v>
      </c>
      <c r="AF974">
        <v>-759112.79520000005</v>
      </c>
    </row>
    <row r="975" spans="2:32" x14ac:dyDescent="0.25">
      <c r="B975">
        <f t="shared" ref="B975:B1004" si="42">B974+1</f>
        <v>36</v>
      </c>
      <c r="C975">
        <v>1</v>
      </c>
      <c r="D975">
        <v>1</v>
      </c>
      <c r="E975">
        <v>1</v>
      </c>
      <c r="F975">
        <v>1</v>
      </c>
      <c r="G975">
        <v>1</v>
      </c>
      <c r="J975">
        <f t="shared" ref="J975:J1004" si="43">J974+1</f>
        <v>36</v>
      </c>
      <c r="K975">
        <v>1</v>
      </c>
      <c r="L975">
        <v>1</v>
      </c>
      <c r="M975">
        <v>1</v>
      </c>
      <c r="N975">
        <v>1</v>
      </c>
      <c r="O975">
        <v>1</v>
      </c>
      <c r="R975">
        <f t="shared" ref="R975:R1004" si="44">R974+1</f>
        <v>36</v>
      </c>
      <c r="S975">
        <v>1</v>
      </c>
      <c r="T975">
        <v>1</v>
      </c>
      <c r="U975">
        <v>1</v>
      </c>
      <c r="V975">
        <v>1</v>
      </c>
      <c r="W975">
        <v>1</v>
      </c>
      <c r="AA975">
        <v>-8902.6679999999997</v>
      </c>
      <c r="AB975">
        <v>-8902.6679999999997</v>
      </c>
      <c r="AC975">
        <v>-8902.6679999999997</v>
      </c>
      <c r="AD975">
        <v>-8902.6679999999997</v>
      </c>
      <c r="AE975">
        <v>-8902.6679999999997</v>
      </c>
      <c r="AF975">
        <v>-737070.86179999996</v>
      </c>
    </row>
    <row r="976" spans="2:32" x14ac:dyDescent="0.25">
      <c r="B976">
        <f t="shared" si="42"/>
        <v>37</v>
      </c>
      <c r="C976">
        <v>1</v>
      </c>
      <c r="D976">
        <v>1</v>
      </c>
      <c r="E976">
        <v>1</v>
      </c>
      <c r="F976">
        <v>1</v>
      </c>
      <c r="G976">
        <v>1</v>
      </c>
      <c r="J976">
        <f t="shared" si="43"/>
        <v>37</v>
      </c>
      <c r="K976">
        <v>1</v>
      </c>
      <c r="L976">
        <v>1</v>
      </c>
      <c r="M976">
        <v>1</v>
      </c>
      <c r="N976">
        <v>1</v>
      </c>
      <c r="O976">
        <v>1</v>
      </c>
      <c r="R976">
        <f t="shared" si="44"/>
        <v>37</v>
      </c>
      <c r="S976">
        <v>1</v>
      </c>
      <c r="T976">
        <v>1</v>
      </c>
      <c r="U976">
        <v>1</v>
      </c>
      <c r="V976">
        <v>1</v>
      </c>
      <c r="W976">
        <v>1</v>
      </c>
      <c r="AA976">
        <v>-8806.7960000000003</v>
      </c>
      <c r="AB976">
        <v>-8806.7960000000003</v>
      </c>
      <c r="AC976">
        <v>-8806.7960000000003</v>
      </c>
      <c r="AD976">
        <v>-8806.7960000000003</v>
      </c>
      <c r="AE976">
        <v>-8806.7960000000003</v>
      </c>
      <c r="AF976">
        <v>-765978.91940000001</v>
      </c>
    </row>
    <row r="977" spans="2:32" x14ac:dyDescent="0.25">
      <c r="B977">
        <f t="shared" si="42"/>
        <v>38</v>
      </c>
      <c r="C977">
        <v>1</v>
      </c>
      <c r="D977">
        <v>1</v>
      </c>
      <c r="E977">
        <v>1</v>
      </c>
      <c r="F977">
        <v>1</v>
      </c>
      <c r="G977">
        <v>1</v>
      </c>
      <c r="J977">
        <f t="shared" si="43"/>
        <v>38</v>
      </c>
      <c r="K977">
        <v>1</v>
      </c>
      <c r="L977">
        <v>1</v>
      </c>
      <c r="M977">
        <v>1</v>
      </c>
      <c r="N977">
        <v>1</v>
      </c>
      <c r="O977">
        <v>1</v>
      </c>
      <c r="R977">
        <f t="shared" si="44"/>
        <v>38</v>
      </c>
      <c r="S977">
        <v>1</v>
      </c>
      <c r="T977">
        <v>1</v>
      </c>
      <c r="U977">
        <v>1</v>
      </c>
      <c r="V977">
        <v>1</v>
      </c>
      <c r="W977">
        <v>1</v>
      </c>
      <c r="AA977">
        <v>-8708.6234000000004</v>
      </c>
      <c r="AB977">
        <v>-8708.6234000000004</v>
      </c>
      <c r="AC977">
        <v>-8708.6234000000004</v>
      </c>
      <c r="AD977">
        <v>-8708.6234000000004</v>
      </c>
      <c r="AE977">
        <v>-8708.6234000000004</v>
      </c>
      <c r="AF977">
        <v>-783780.576</v>
      </c>
    </row>
    <row r="978" spans="2:32" x14ac:dyDescent="0.25">
      <c r="B978">
        <f t="shared" si="42"/>
        <v>39</v>
      </c>
      <c r="C978">
        <v>1</v>
      </c>
      <c r="D978">
        <v>1</v>
      </c>
      <c r="E978">
        <v>1</v>
      </c>
      <c r="F978">
        <v>1</v>
      </c>
      <c r="G978">
        <v>1</v>
      </c>
      <c r="J978">
        <f t="shared" si="43"/>
        <v>39</v>
      </c>
      <c r="K978">
        <v>1</v>
      </c>
      <c r="L978">
        <v>1</v>
      </c>
      <c r="M978">
        <v>1</v>
      </c>
      <c r="N978">
        <v>1</v>
      </c>
      <c r="O978">
        <v>1</v>
      </c>
      <c r="R978">
        <f t="shared" si="44"/>
        <v>39</v>
      </c>
      <c r="S978">
        <v>1</v>
      </c>
      <c r="T978">
        <v>1</v>
      </c>
      <c r="U978">
        <v>1</v>
      </c>
      <c r="V978">
        <v>1</v>
      </c>
      <c r="W978">
        <v>1</v>
      </c>
      <c r="AA978">
        <v>-8608.1594000000005</v>
      </c>
      <c r="AB978">
        <v>-8608.1594000000005</v>
      </c>
      <c r="AC978">
        <v>-8608.1594000000005</v>
      </c>
      <c r="AD978">
        <v>-8608.1594000000005</v>
      </c>
      <c r="AE978">
        <v>-8608.1594000000005</v>
      </c>
      <c r="AF978">
        <v>-769662.22069999995</v>
      </c>
    </row>
    <row r="979" spans="2:32" x14ac:dyDescent="0.25">
      <c r="B979">
        <f t="shared" si="42"/>
        <v>40</v>
      </c>
      <c r="C979">
        <v>1</v>
      </c>
      <c r="D979">
        <v>1</v>
      </c>
      <c r="E979">
        <v>1</v>
      </c>
      <c r="F979">
        <v>1</v>
      </c>
      <c r="G979">
        <v>1</v>
      </c>
      <c r="J979">
        <f t="shared" si="43"/>
        <v>40</v>
      </c>
      <c r="K979">
        <v>1</v>
      </c>
      <c r="L979">
        <v>1</v>
      </c>
      <c r="M979">
        <v>1</v>
      </c>
      <c r="N979">
        <v>1</v>
      </c>
      <c r="O979">
        <v>1</v>
      </c>
      <c r="R979">
        <f t="shared" si="44"/>
        <v>40</v>
      </c>
      <c r="S979">
        <v>1</v>
      </c>
      <c r="T979">
        <v>1</v>
      </c>
      <c r="U979">
        <v>1</v>
      </c>
      <c r="V979">
        <v>1</v>
      </c>
      <c r="W979">
        <v>1</v>
      </c>
      <c r="AA979">
        <v>-8505.3439999999991</v>
      </c>
      <c r="AB979">
        <v>-8505.3439999999991</v>
      </c>
      <c r="AC979">
        <v>-8505.3439999999991</v>
      </c>
      <c r="AD979">
        <v>-8505.3439999999991</v>
      </c>
      <c r="AE979">
        <v>-8505.3439999999991</v>
      </c>
      <c r="AF979">
        <v>-798570.41119999997</v>
      </c>
    </row>
    <row r="980" spans="2:32" x14ac:dyDescent="0.25">
      <c r="B980">
        <f t="shared" si="42"/>
        <v>41</v>
      </c>
      <c r="C980">
        <v>1</v>
      </c>
      <c r="D980">
        <v>1</v>
      </c>
      <c r="E980">
        <v>1</v>
      </c>
      <c r="F980">
        <v>1</v>
      </c>
      <c r="G980">
        <v>1</v>
      </c>
      <c r="J980">
        <f t="shared" si="43"/>
        <v>41</v>
      </c>
      <c r="K980">
        <v>1</v>
      </c>
      <c r="L980">
        <v>1</v>
      </c>
      <c r="M980">
        <v>1</v>
      </c>
      <c r="N980">
        <v>1</v>
      </c>
      <c r="O980">
        <v>1</v>
      </c>
      <c r="R980">
        <f t="shared" si="44"/>
        <v>41</v>
      </c>
      <c r="S980">
        <v>1</v>
      </c>
      <c r="T980">
        <v>1</v>
      </c>
      <c r="U980">
        <v>1</v>
      </c>
      <c r="V980">
        <v>1</v>
      </c>
      <c r="W980">
        <v>1</v>
      </c>
      <c r="AA980">
        <v>-8400.1087000000007</v>
      </c>
      <c r="AB980">
        <v>-8400.1087000000007</v>
      </c>
      <c r="AC980">
        <v>-8400.1087000000007</v>
      </c>
      <c r="AD980">
        <v>-8400.1087000000007</v>
      </c>
      <c r="AE980">
        <v>-8400.1087000000007</v>
      </c>
      <c r="AF980">
        <v>-803549.96459999995</v>
      </c>
    </row>
    <row r="981" spans="2:32" x14ac:dyDescent="0.25">
      <c r="B981">
        <f t="shared" si="42"/>
        <v>42</v>
      </c>
      <c r="C981">
        <v>1</v>
      </c>
      <c r="D981">
        <v>1</v>
      </c>
      <c r="E981">
        <v>1</v>
      </c>
      <c r="F981">
        <v>1</v>
      </c>
      <c r="G981">
        <v>1</v>
      </c>
      <c r="J981">
        <f t="shared" si="43"/>
        <v>42</v>
      </c>
      <c r="K981">
        <v>1</v>
      </c>
      <c r="L981">
        <v>1</v>
      </c>
      <c r="M981">
        <v>1</v>
      </c>
      <c r="N981">
        <v>1</v>
      </c>
      <c r="O981">
        <v>1</v>
      </c>
      <c r="R981">
        <f t="shared" si="44"/>
        <v>42</v>
      </c>
      <c r="S981">
        <v>1</v>
      </c>
      <c r="T981">
        <v>1</v>
      </c>
      <c r="U981">
        <v>1</v>
      </c>
      <c r="V981">
        <v>1</v>
      </c>
      <c r="W981">
        <v>1</v>
      </c>
      <c r="AA981">
        <v>-8292.4974999999995</v>
      </c>
      <c r="AB981">
        <v>-8292.4974999999995</v>
      </c>
      <c r="AC981">
        <v>-8292.4974999999995</v>
      </c>
      <c r="AD981">
        <v>-8292.4974999999995</v>
      </c>
      <c r="AE981">
        <v>-8292.4974999999995</v>
      </c>
      <c r="AF981">
        <v>-833551.75890000002</v>
      </c>
    </row>
    <row r="982" spans="2:32" x14ac:dyDescent="0.25">
      <c r="B982">
        <f t="shared" si="42"/>
        <v>43</v>
      </c>
      <c r="C982">
        <v>1</v>
      </c>
      <c r="D982">
        <v>1</v>
      </c>
      <c r="E982">
        <v>1</v>
      </c>
      <c r="F982">
        <v>1</v>
      </c>
      <c r="G982">
        <v>1</v>
      </c>
      <c r="J982">
        <f t="shared" si="43"/>
        <v>43</v>
      </c>
      <c r="K982">
        <v>1</v>
      </c>
      <c r="L982">
        <v>1</v>
      </c>
      <c r="M982">
        <v>1</v>
      </c>
      <c r="N982">
        <v>1</v>
      </c>
      <c r="O982">
        <v>1</v>
      </c>
      <c r="R982">
        <f t="shared" si="44"/>
        <v>43</v>
      </c>
      <c r="S982">
        <v>1</v>
      </c>
      <c r="T982">
        <v>1</v>
      </c>
      <c r="U982">
        <v>1</v>
      </c>
      <c r="V982">
        <v>1</v>
      </c>
      <c r="W982">
        <v>1</v>
      </c>
      <c r="AA982">
        <v>-8182.3909999999996</v>
      </c>
      <c r="AB982">
        <v>-8182.3909999999996</v>
      </c>
      <c r="AC982">
        <v>-8182.3909999999996</v>
      </c>
      <c r="AD982">
        <v>-8182.3909999999996</v>
      </c>
      <c r="AE982">
        <v>-8182.3909999999996</v>
      </c>
      <c r="AF982">
        <v>-844950.93949999998</v>
      </c>
    </row>
    <row r="983" spans="2:32" x14ac:dyDescent="0.25">
      <c r="B983">
        <f t="shared" si="42"/>
        <v>44</v>
      </c>
      <c r="C983">
        <v>1</v>
      </c>
      <c r="D983">
        <v>1</v>
      </c>
      <c r="E983">
        <v>1</v>
      </c>
      <c r="F983">
        <v>1</v>
      </c>
      <c r="G983">
        <v>1</v>
      </c>
      <c r="J983">
        <f t="shared" si="43"/>
        <v>44</v>
      </c>
      <c r="K983">
        <v>1</v>
      </c>
      <c r="L983">
        <v>1</v>
      </c>
      <c r="M983">
        <v>1</v>
      </c>
      <c r="N983">
        <v>1</v>
      </c>
      <c r="O983">
        <v>1</v>
      </c>
      <c r="R983">
        <f t="shared" si="44"/>
        <v>44</v>
      </c>
      <c r="S983">
        <v>1</v>
      </c>
      <c r="T983">
        <v>1</v>
      </c>
      <c r="U983">
        <v>1</v>
      </c>
      <c r="V983">
        <v>1</v>
      </c>
      <c r="W983">
        <v>1</v>
      </c>
      <c r="AA983">
        <v>-8069.8261000000002</v>
      </c>
      <c r="AB983">
        <v>-8069.8261000000002</v>
      </c>
      <c r="AC983">
        <v>-8069.8261000000002</v>
      </c>
      <c r="AD983">
        <v>-8069.8261000000002</v>
      </c>
      <c r="AE983">
        <v>-8069.8261000000002</v>
      </c>
      <c r="AF983">
        <v>-851265.64670000004</v>
      </c>
    </row>
    <row r="984" spans="2:32" x14ac:dyDescent="0.25">
      <c r="B984">
        <f t="shared" si="42"/>
        <v>45</v>
      </c>
      <c r="C984">
        <v>1</v>
      </c>
      <c r="D984">
        <v>1</v>
      </c>
      <c r="E984">
        <v>1</v>
      </c>
      <c r="F984">
        <v>1</v>
      </c>
      <c r="G984">
        <v>1</v>
      </c>
      <c r="J984">
        <f t="shared" si="43"/>
        <v>45</v>
      </c>
      <c r="K984">
        <v>1</v>
      </c>
      <c r="L984">
        <v>1</v>
      </c>
      <c r="M984">
        <v>1</v>
      </c>
      <c r="N984">
        <v>1</v>
      </c>
      <c r="O984">
        <v>1</v>
      </c>
      <c r="R984">
        <f t="shared" si="44"/>
        <v>45</v>
      </c>
      <c r="S984">
        <v>1</v>
      </c>
      <c r="T984">
        <v>1</v>
      </c>
      <c r="U984">
        <v>1</v>
      </c>
      <c r="V984">
        <v>1</v>
      </c>
      <c r="W984">
        <v>1</v>
      </c>
      <c r="AA984">
        <v>-7954.7533999999996</v>
      </c>
      <c r="AB984">
        <v>-7954.7533999999996</v>
      </c>
      <c r="AC984">
        <v>-7954.7533999999996</v>
      </c>
      <c r="AD984">
        <v>-7954.7533999999996</v>
      </c>
      <c r="AE984">
        <v>-7954.7533999999996</v>
      </c>
      <c r="AF984">
        <v>-870649.02139999997</v>
      </c>
    </row>
    <row r="985" spans="2:32" x14ac:dyDescent="0.25">
      <c r="B985">
        <f t="shared" si="42"/>
        <v>46</v>
      </c>
      <c r="C985">
        <v>1</v>
      </c>
      <c r="D985">
        <v>1</v>
      </c>
      <c r="E985">
        <v>1</v>
      </c>
      <c r="F985">
        <v>1</v>
      </c>
      <c r="G985">
        <v>1</v>
      </c>
      <c r="J985">
        <f t="shared" si="43"/>
        <v>46</v>
      </c>
      <c r="K985">
        <v>1</v>
      </c>
      <c r="L985">
        <v>1</v>
      </c>
      <c r="M985">
        <v>1</v>
      </c>
      <c r="N985">
        <v>1</v>
      </c>
      <c r="O985">
        <v>1</v>
      </c>
      <c r="R985">
        <f t="shared" si="44"/>
        <v>46</v>
      </c>
      <c r="S985">
        <v>1</v>
      </c>
      <c r="T985">
        <v>1</v>
      </c>
      <c r="U985">
        <v>1</v>
      </c>
      <c r="V985">
        <v>1</v>
      </c>
      <c r="W985">
        <v>1</v>
      </c>
      <c r="AA985">
        <v>-7837.1754000000001</v>
      </c>
      <c r="AB985">
        <v>-7837.1754000000001</v>
      </c>
      <c r="AC985">
        <v>-7837.1754000000001</v>
      </c>
      <c r="AD985">
        <v>-7837.1754000000001</v>
      </c>
      <c r="AE985">
        <v>-7837.1754000000001</v>
      </c>
      <c r="AF985">
        <v>-892550.54509999999</v>
      </c>
    </row>
    <row r="986" spans="2:32" x14ac:dyDescent="0.25">
      <c r="B986">
        <f t="shared" si="42"/>
        <v>47</v>
      </c>
      <c r="C986">
        <v>1</v>
      </c>
      <c r="D986">
        <v>1</v>
      </c>
      <c r="E986">
        <v>1</v>
      </c>
      <c r="F986">
        <v>1</v>
      </c>
      <c r="G986">
        <v>1</v>
      </c>
      <c r="J986">
        <f t="shared" si="43"/>
        <v>47</v>
      </c>
      <c r="K986">
        <v>1</v>
      </c>
      <c r="L986">
        <v>1</v>
      </c>
      <c r="M986">
        <v>1</v>
      </c>
      <c r="N986">
        <v>1</v>
      </c>
      <c r="O986">
        <v>1</v>
      </c>
      <c r="R986">
        <f t="shared" si="44"/>
        <v>47</v>
      </c>
      <c r="S986">
        <v>1</v>
      </c>
      <c r="T986">
        <v>1</v>
      </c>
      <c r="U986">
        <v>1</v>
      </c>
      <c r="V986">
        <v>1</v>
      </c>
      <c r="W986">
        <v>1</v>
      </c>
      <c r="AA986">
        <v>-7717.0294999999996</v>
      </c>
      <c r="AB986">
        <v>-7717.0294999999996</v>
      </c>
      <c r="AC986">
        <v>-7717.0294999999996</v>
      </c>
      <c r="AD986">
        <v>-7717.0294999999996</v>
      </c>
      <c r="AE986">
        <v>-7717.0294999999996</v>
      </c>
      <c r="AF986">
        <v>-910915.81969999999</v>
      </c>
    </row>
    <row r="987" spans="2:32" x14ac:dyDescent="0.25">
      <c r="B987">
        <f t="shared" si="42"/>
        <v>48</v>
      </c>
      <c r="C987">
        <v>1</v>
      </c>
      <c r="D987">
        <v>1</v>
      </c>
      <c r="E987">
        <v>1</v>
      </c>
      <c r="F987">
        <v>1</v>
      </c>
      <c r="G987">
        <v>1</v>
      </c>
      <c r="J987">
        <f t="shared" si="43"/>
        <v>48</v>
      </c>
      <c r="K987">
        <v>1</v>
      </c>
      <c r="L987">
        <v>1</v>
      </c>
      <c r="M987">
        <v>1</v>
      </c>
      <c r="N987">
        <v>1</v>
      </c>
      <c r="O987">
        <v>1</v>
      </c>
      <c r="R987">
        <f t="shared" si="44"/>
        <v>48</v>
      </c>
      <c r="S987">
        <v>1</v>
      </c>
      <c r="T987">
        <v>1</v>
      </c>
      <c r="U987">
        <v>1</v>
      </c>
      <c r="V987">
        <v>1</v>
      </c>
      <c r="W987">
        <v>1</v>
      </c>
      <c r="AA987">
        <v>-7594.4201000000003</v>
      </c>
      <c r="AB987">
        <v>-7594.4201000000003</v>
      </c>
      <c r="AC987">
        <v>-7594.4201000000003</v>
      </c>
      <c r="AD987">
        <v>-7594.4201000000003</v>
      </c>
      <c r="AE987">
        <v>-7594.4201000000003</v>
      </c>
      <c r="AF987">
        <v>-910915.81969999999</v>
      </c>
    </row>
    <row r="988" spans="2:32" x14ac:dyDescent="0.25">
      <c r="B988">
        <f t="shared" si="42"/>
        <v>49</v>
      </c>
      <c r="C988">
        <v>1</v>
      </c>
      <c r="D988">
        <v>1</v>
      </c>
      <c r="E988">
        <v>1</v>
      </c>
      <c r="F988">
        <v>1</v>
      </c>
      <c r="G988">
        <v>1</v>
      </c>
      <c r="J988">
        <f t="shared" si="43"/>
        <v>49</v>
      </c>
      <c r="K988">
        <v>1</v>
      </c>
      <c r="L988">
        <v>1</v>
      </c>
      <c r="M988">
        <v>1</v>
      </c>
      <c r="N988">
        <v>1</v>
      </c>
      <c r="O988">
        <v>1</v>
      </c>
      <c r="R988">
        <f t="shared" si="44"/>
        <v>49</v>
      </c>
      <c r="S988">
        <v>1</v>
      </c>
      <c r="T988">
        <v>1</v>
      </c>
      <c r="U988">
        <v>1</v>
      </c>
      <c r="V988">
        <v>1</v>
      </c>
      <c r="W988">
        <v>1</v>
      </c>
      <c r="AA988">
        <v>-7469.3995999999997</v>
      </c>
      <c r="AB988">
        <v>-7469.3995999999997</v>
      </c>
      <c r="AC988">
        <v>-7469.3995999999997</v>
      </c>
      <c r="AD988">
        <v>-7469.3995999999997</v>
      </c>
      <c r="AE988">
        <v>-7469.3995999999997</v>
      </c>
      <c r="AF988">
        <v>-944521.72470000002</v>
      </c>
    </row>
    <row r="989" spans="2:32" x14ac:dyDescent="0.25">
      <c r="B989">
        <f t="shared" si="42"/>
        <v>50</v>
      </c>
      <c r="C989">
        <v>1</v>
      </c>
      <c r="D989">
        <v>1</v>
      </c>
      <c r="E989">
        <v>1</v>
      </c>
      <c r="F989">
        <v>1</v>
      </c>
      <c r="G989">
        <v>1</v>
      </c>
      <c r="J989">
        <f t="shared" si="43"/>
        <v>50</v>
      </c>
      <c r="K989">
        <v>1</v>
      </c>
      <c r="L989">
        <v>1</v>
      </c>
      <c r="M989">
        <v>1</v>
      </c>
      <c r="N989">
        <v>1</v>
      </c>
      <c r="O989">
        <v>1</v>
      </c>
      <c r="R989">
        <f t="shared" si="44"/>
        <v>50</v>
      </c>
      <c r="S989">
        <v>1</v>
      </c>
      <c r="T989">
        <v>1</v>
      </c>
      <c r="U989">
        <v>1</v>
      </c>
      <c r="V989">
        <v>1</v>
      </c>
      <c r="W989">
        <v>1</v>
      </c>
      <c r="AA989">
        <v>-7341.9502000000002</v>
      </c>
      <c r="AB989">
        <v>-7341.9502000000002</v>
      </c>
      <c r="AC989">
        <v>-7341.9502000000002</v>
      </c>
      <c r="AD989">
        <v>-7341.9502000000002</v>
      </c>
      <c r="AE989">
        <v>-7341.9502000000002</v>
      </c>
      <c r="AF989">
        <v>-963257.14989999996</v>
      </c>
    </row>
    <row r="990" spans="2:32" x14ac:dyDescent="0.25">
      <c r="B990">
        <f t="shared" si="42"/>
        <v>51</v>
      </c>
      <c r="C990">
        <v>1</v>
      </c>
      <c r="D990">
        <v>1</v>
      </c>
      <c r="E990">
        <v>1</v>
      </c>
      <c r="F990">
        <v>1</v>
      </c>
      <c r="G990">
        <v>1</v>
      </c>
      <c r="J990">
        <f t="shared" si="43"/>
        <v>51</v>
      </c>
      <c r="K990">
        <v>1</v>
      </c>
      <c r="L990">
        <v>1</v>
      </c>
      <c r="M990">
        <v>1</v>
      </c>
      <c r="N990">
        <v>1</v>
      </c>
      <c r="O990">
        <v>1</v>
      </c>
      <c r="R990">
        <f t="shared" si="44"/>
        <v>51</v>
      </c>
      <c r="S990">
        <v>1</v>
      </c>
      <c r="T990">
        <v>1</v>
      </c>
      <c r="U990">
        <v>1</v>
      </c>
      <c r="V990">
        <v>1</v>
      </c>
      <c r="W990">
        <v>1</v>
      </c>
      <c r="AA990">
        <v>-7212.0646999999999</v>
      </c>
      <c r="AB990">
        <v>-7212.0646999999999</v>
      </c>
      <c r="AC990">
        <v>-7212.0646999999999</v>
      </c>
      <c r="AD990">
        <v>-7212.0646999999999</v>
      </c>
      <c r="AE990">
        <v>-7212.0646999999999</v>
      </c>
      <c r="AF990">
        <v>-981592.90729999996</v>
      </c>
    </row>
    <row r="991" spans="2:32" x14ac:dyDescent="0.25">
      <c r="B991">
        <f t="shared" si="42"/>
        <v>52</v>
      </c>
      <c r="C991">
        <v>1</v>
      </c>
      <c r="D991">
        <v>1</v>
      </c>
      <c r="E991">
        <v>1</v>
      </c>
      <c r="F991">
        <v>1</v>
      </c>
      <c r="G991">
        <v>1</v>
      </c>
      <c r="J991">
        <f t="shared" si="43"/>
        <v>52</v>
      </c>
      <c r="K991">
        <v>1</v>
      </c>
      <c r="L991">
        <v>1</v>
      </c>
      <c r="M991">
        <v>1</v>
      </c>
      <c r="N991">
        <v>1</v>
      </c>
      <c r="O991">
        <v>1</v>
      </c>
      <c r="R991">
        <f t="shared" si="44"/>
        <v>52</v>
      </c>
      <c r="S991">
        <v>1</v>
      </c>
      <c r="T991">
        <v>1</v>
      </c>
      <c r="U991">
        <v>1</v>
      </c>
      <c r="V991">
        <v>1</v>
      </c>
      <c r="W991">
        <v>1</v>
      </c>
      <c r="AA991">
        <v>-7079.7435999999998</v>
      </c>
      <c r="AB991">
        <v>-7079.7435999999998</v>
      </c>
      <c r="AC991">
        <v>-7079.7435999999998</v>
      </c>
      <c r="AD991">
        <v>-7079.7435999999998</v>
      </c>
      <c r="AE991">
        <v>-7079.7435999999998</v>
      </c>
      <c r="AF991">
        <v>-998556.10360000003</v>
      </c>
    </row>
    <row r="992" spans="2:32" x14ac:dyDescent="0.25">
      <c r="B992">
        <f t="shared" si="42"/>
        <v>53</v>
      </c>
      <c r="C992">
        <v>1</v>
      </c>
      <c r="D992">
        <v>1</v>
      </c>
      <c r="E992">
        <v>1</v>
      </c>
      <c r="F992">
        <v>1</v>
      </c>
      <c r="G992">
        <v>1</v>
      </c>
      <c r="J992">
        <f t="shared" si="43"/>
        <v>53</v>
      </c>
      <c r="K992">
        <v>1</v>
      </c>
      <c r="L992">
        <v>1</v>
      </c>
      <c r="M992">
        <v>1</v>
      </c>
      <c r="N992">
        <v>1</v>
      </c>
      <c r="O992">
        <v>1</v>
      </c>
      <c r="R992">
        <f t="shared" si="44"/>
        <v>53</v>
      </c>
      <c r="S992">
        <v>1</v>
      </c>
      <c r="T992">
        <v>1</v>
      </c>
      <c r="U992">
        <v>1</v>
      </c>
      <c r="V992">
        <v>1</v>
      </c>
      <c r="W992">
        <v>1</v>
      </c>
      <c r="AA992">
        <v>-6945.0875999999998</v>
      </c>
      <c r="AB992">
        <v>-6945.0875999999998</v>
      </c>
      <c r="AC992">
        <v>-6945.0875999999998</v>
      </c>
      <c r="AD992">
        <v>-6945.0875999999998</v>
      </c>
      <c r="AE992">
        <v>-6945.0875999999998</v>
      </c>
      <c r="AF992">
        <v>-1015461.3278</v>
      </c>
    </row>
    <row r="993" spans="2:32" x14ac:dyDescent="0.25">
      <c r="B993">
        <f t="shared" si="42"/>
        <v>54</v>
      </c>
      <c r="C993">
        <v>1</v>
      </c>
      <c r="D993">
        <v>1</v>
      </c>
      <c r="E993">
        <v>1</v>
      </c>
      <c r="F993">
        <v>1</v>
      </c>
      <c r="G993">
        <v>1</v>
      </c>
      <c r="J993">
        <f t="shared" si="43"/>
        <v>54</v>
      </c>
      <c r="K993">
        <v>1</v>
      </c>
      <c r="L993">
        <v>1</v>
      </c>
      <c r="M993">
        <v>1</v>
      </c>
      <c r="N993">
        <v>1</v>
      </c>
      <c r="O993">
        <v>1</v>
      </c>
      <c r="R993">
        <f t="shared" si="44"/>
        <v>54</v>
      </c>
      <c r="S993">
        <v>1</v>
      </c>
      <c r="T993">
        <v>1</v>
      </c>
      <c r="U993">
        <v>1</v>
      </c>
      <c r="V993">
        <v>1</v>
      </c>
      <c r="W993">
        <v>1</v>
      </c>
      <c r="AA993">
        <v>-6808.2438000000002</v>
      </c>
      <c r="AB993">
        <v>-6808.2438000000002</v>
      </c>
      <c r="AC993">
        <v>-6808.2438000000002</v>
      </c>
      <c r="AD993">
        <v>-6808.2438000000002</v>
      </c>
      <c r="AE993">
        <v>-6808.2438000000002</v>
      </c>
      <c r="AF993">
        <v>-1033869.6813000001</v>
      </c>
    </row>
    <row r="994" spans="2:32" x14ac:dyDescent="0.25">
      <c r="B994">
        <f t="shared" si="42"/>
        <v>55</v>
      </c>
      <c r="C994">
        <v>1</v>
      </c>
      <c r="D994">
        <v>1</v>
      </c>
      <c r="E994">
        <v>1</v>
      </c>
      <c r="F994">
        <v>1</v>
      </c>
      <c r="G994">
        <v>1</v>
      </c>
      <c r="J994">
        <f t="shared" si="43"/>
        <v>55</v>
      </c>
      <c r="K994">
        <v>1</v>
      </c>
      <c r="L994">
        <v>1</v>
      </c>
      <c r="M994">
        <v>1</v>
      </c>
      <c r="N994">
        <v>1</v>
      </c>
      <c r="O994">
        <v>1</v>
      </c>
      <c r="R994">
        <f t="shared" si="44"/>
        <v>55</v>
      </c>
      <c r="S994">
        <v>1</v>
      </c>
      <c r="T994">
        <v>1</v>
      </c>
      <c r="U994">
        <v>1</v>
      </c>
      <c r="V994">
        <v>1</v>
      </c>
      <c r="W994">
        <v>1</v>
      </c>
      <c r="AA994">
        <v>-6669.2525999999998</v>
      </c>
      <c r="AB994">
        <v>-6669.2525999999998</v>
      </c>
      <c r="AC994">
        <v>-6669.2525999999998</v>
      </c>
      <c r="AD994">
        <v>-6669.2525999999998</v>
      </c>
      <c r="AE994">
        <v>-6669.2525999999998</v>
      </c>
      <c r="AF994">
        <v>-1050810.2549999999</v>
      </c>
    </row>
    <row r="995" spans="2:32" x14ac:dyDescent="0.25">
      <c r="B995">
        <f t="shared" si="42"/>
        <v>56</v>
      </c>
      <c r="C995">
        <v>1</v>
      </c>
      <c r="D995">
        <v>1</v>
      </c>
      <c r="E995">
        <v>1</v>
      </c>
      <c r="F995">
        <v>1</v>
      </c>
      <c r="G995">
        <v>1</v>
      </c>
      <c r="J995">
        <f t="shared" si="43"/>
        <v>56</v>
      </c>
      <c r="K995">
        <v>1</v>
      </c>
      <c r="L995">
        <v>1</v>
      </c>
      <c r="M995">
        <v>1</v>
      </c>
      <c r="N995">
        <v>1</v>
      </c>
      <c r="O995">
        <v>1</v>
      </c>
      <c r="R995">
        <f t="shared" si="44"/>
        <v>56</v>
      </c>
      <c r="S995">
        <v>1</v>
      </c>
      <c r="T995">
        <v>1</v>
      </c>
      <c r="U995">
        <v>1</v>
      </c>
      <c r="V995">
        <v>1</v>
      </c>
      <c r="W995">
        <v>1</v>
      </c>
      <c r="AA995">
        <v>-6528.2992000000004</v>
      </c>
      <c r="AB995">
        <v>-6528.2992000000004</v>
      </c>
      <c r="AC995">
        <v>-6528.2992000000004</v>
      </c>
      <c r="AD995">
        <v>-6528.2992000000004</v>
      </c>
      <c r="AE995">
        <v>-6528.2992000000004</v>
      </c>
      <c r="AF995">
        <v>-1073295.8774000001</v>
      </c>
    </row>
    <row r="996" spans="2:32" x14ac:dyDescent="0.25">
      <c r="B996">
        <f t="shared" si="42"/>
        <v>57</v>
      </c>
      <c r="C996">
        <v>1</v>
      </c>
      <c r="D996">
        <v>1</v>
      </c>
      <c r="E996">
        <v>1</v>
      </c>
      <c r="F996">
        <v>1</v>
      </c>
      <c r="G996">
        <v>1</v>
      </c>
      <c r="J996">
        <f t="shared" si="43"/>
        <v>57</v>
      </c>
      <c r="K996">
        <v>1</v>
      </c>
      <c r="L996">
        <v>1</v>
      </c>
      <c r="M996">
        <v>1</v>
      </c>
      <c r="N996">
        <v>1</v>
      </c>
      <c r="O996">
        <v>1</v>
      </c>
      <c r="R996">
        <f t="shared" si="44"/>
        <v>57</v>
      </c>
      <c r="S996">
        <v>1</v>
      </c>
      <c r="T996">
        <v>1</v>
      </c>
      <c r="U996">
        <v>1</v>
      </c>
      <c r="V996">
        <v>1</v>
      </c>
      <c r="W996">
        <v>1</v>
      </c>
      <c r="AA996">
        <v>-6385.5230000000001</v>
      </c>
      <c r="AB996">
        <v>-6385.5230000000001</v>
      </c>
      <c r="AC996">
        <v>-6385.5230000000001</v>
      </c>
      <c r="AD996">
        <v>-6385.5230000000001</v>
      </c>
      <c r="AE996">
        <v>-6385.5230000000001</v>
      </c>
      <c r="AF996">
        <v>-1093242.6832999999</v>
      </c>
    </row>
    <row r="997" spans="2:32" x14ac:dyDescent="0.25">
      <c r="B997">
        <f t="shared" si="42"/>
        <v>58</v>
      </c>
      <c r="C997">
        <v>1</v>
      </c>
      <c r="D997">
        <v>1</v>
      </c>
      <c r="E997">
        <v>1</v>
      </c>
      <c r="F997">
        <v>1</v>
      </c>
      <c r="G997">
        <v>1</v>
      </c>
      <c r="J997">
        <f t="shared" si="43"/>
        <v>58</v>
      </c>
      <c r="K997">
        <v>1</v>
      </c>
      <c r="L997">
        <v>1</v>
      </c>
      <c r="M997">
        <v>1</v>
      </c>
      <c r="N997">
        <v>1</v>
      </c>
      <c r="O997">
        <v>1</v>
      </c>
      <c r="R997">
        <f t="shared" si="44"/>
        <v>58</v>
      </c>
      <c r="S997">
        <v>1</v>
      </c>
      <c r="T997">
        <v>1</v>
      </c>
      <c r="U997">
        <v>1</v>
      </c>
      <c r="V997">
        <v>1</v>
      </c>
      <c r="W997">
        <v>1</v>
      </c>
      <c r="AA997">
        <v>-6240.8730999999998</v>
      </c>
      <c r="AB997">
        <v>-6240.8730999999998</v>
      </c>
      <c r="AC997">
        <v>-6240.8730999999998</v>
      </c>
      <c r="AD997">
        <v>-6240.8730999999998</v>
      </c>
      <c r="AE997">
        <v>-6240.8730999999998</v>
      </c>
      <c r="AF997">
        <v>-1114366.6444000001</v>
      </c>
    </row>
    <row r="998" spans="2:32" x14ac:dyDescent="0.25">
      <c r="B998">
        <f t="shared" si="42"/>
        <v>59</v>
      </c>
      <c r="C998">
        <v>1</v>
      </c>
      <c r="D998">
        <v>1</v>
      </c>
      <c r="E998">
        <v>1</v>
      </c>
      <c r="F998">
        <v>1</v>
      </c>
      <c r="G998">
        <v>1</v>
      </c>
      <c r="J998">
        <f t="shared" si="43"/>
        <v>59</v>
      </c>
      <c r="K998">
        <v>1</v>
      </c>
      <c r="L998">
        <v>1</v>
      </c>
      <c r="M998">
        <v>1</v>
      </c>
      <c r="N998">
        <v>1</v>
      </c>
      <c r="O998">
        <v>1</v>
      </c>
      <c r="R998">
        <f t="shared" si="44"/>
        <v>59</v>
      </c>
      <c r="S998">
        <v>1</v>
      </c>
      <c r="T998">
        <v>1</v>
      </c>
      <c r="U998">
        <v>1</v>
      </c>
      <c r="V998">
        <v>1</v>
      </c>
      <c r="W998">
        <v>1</v>
      </c>
      <c r="AA998">
        <v>-6094.3262999999997</v>
      </c>
      <c r="AB998">
        <v>-6094.3262999999997</v>
      </c>
      <c r="AC998">
        <v>-6094.3262999999997</v>
      </c>
      <c r="AD998">
        <v>-6094.3262999999997</v>
      </c>
      <c r="AE998">
        <v>-6094.3262999999997</v>
      </c>
      <c r="AF998">
        <v>-1136284.0146999999</v>
      </c>
    </row>
    <row r="999" spans="2:32" x14ac:dyDescent="0.25">
      <c r="B999">
        <f t="shared" si="42"/>
        <v>60</v>
      </c>
      <c r="C999">
        <v>1</v>
      </c>
      <c r="D999">
        <v>1</v>
      </c>
      <c r="E999">
        <v>1</v>
      </c>
      <c r="F999">
        <v>1</v>
      </c>
      <c r="G999">
        <v>1</v>
      </c>
      <c r="J999">
        <f t="shared" si="43"/>
        <v>60</v>
      </c>
      <c r="K999">
        <v>1</v>
      </c>
      <c r="L999">
        <v>1</v>
      </c>
      <c r="M999">
        <v>1</v>
      </c>
      <c r="N999">
        <v>1</v>
      </c>
      <c r="O999">
        <v>1</v>
      </c>
      <c r="R999">
        <f t="shared" si="44"/>
        <v>60</v>
      </c>
      <c r="S999">
        <v>1</v>
      </c>
      <c r="T999">
        <v>1</v>
      </c>
      <c r="U999">
        <v>1</v>
      </c>
      <c r="V999">
        <v>1</v>
      </c>
      <c r="W999">
        <v>1</v>
      </c>
      <c r="AA999">
        <v>-5945.9960000000001</v>
      </c>
      <c r="AB999">
        <v>-5945.9960000000001</v>
      </c>
      <c r="AC999">
        <v>-5945.9960000000001</v>
      </c>
      <c r="AD999">
        <v>-5945.9960000000001</v>
      </c>
      <c r="AE999">
        <v>-5945.9960000000001</v>
      </c>
      <c r="AF999">
        <v>-1157801.6717999999</v>
      </c>
    </row>
    <row r="1000" spans="2:32" x14ac:dyDescent="0.25">
      <c r="B1000">
        <f t="shared" si="42"/>
        <v>61</v>
      </c>
      <c r="C1000">
        <v>1</v>
      </c>
      <c r="D1000">
        <v>1</v>
      </c>
      <c r="E1000">
        <v>1</v>
      </c>
      <c r="F1000">
        <v>1</v>
      </c>
      <c r="G1000">
        <v>1</v>
      </c>
      <c r="J1000">
        <f t="shared" si="43"/>
        <v>61</v>
      </c>
      <c r="K1000">
        <v>1</v>
      </c>
      <c r="L1000">
        <v>1</v>
      </c>
      <c r="M1000">
        <v>1</v>
      </c>
      <c r="N1000">
        <v>1</v>
      </c>
      <c r="O1000">
        <v>1</v>
      </c>
      <c r="R1000">
        <f t="shared" si="44"/>
        <v>61</v>
      </c>
      <c r="S1000">
        <v>1</v>
      </c>
      <c r="T1000">
        <v>1</v>
      </c>
      <c r="U1000">
        <v>1</v>
      </c>
      <c r="V1000">
        <v>1</v>
      </c>
      <c r="W1000">
        <v>1</v>
      </c>
      <c r="AA1000">
        <v>-5796.3015999999998</v>
      </c>
      <c r="AB1000">
        <v>-5796.3015999999998</v>
      </c>
      <c r="AC1000">
        <v>-5796.3015999999998</v>
      </c>
      <c r="AD1000">
        <v>-5796.3015999999998</v>
      </c>
      <c r="AE1000">
        <v>-5796.3015999999998</v>
      </c>
      <c r="AF1000">
        <v>-1178581.4038</v>
      </c>
    </row>
    <row r="1001" spans="2:32" x14ac:dyDescent="0.25">
      <c r="B1001">
        <f t="shared" si="42"/>
        <v>62</v>
      </c>
      <c r="C1001">
        <v>1</v>
      </c>
      <c r="D1001">
        <v>1</v>
      </c>
      <c r="E1001">
        <v>1</v>
      </c>
      <c r="F1001">
        <v>1</v>
      </c>
      <c r="G1001">
        <v>1</v>
      </c>
      <c r="J1001">
        <f t="shared" si="43"/>
        <v>62</v>
      </c>
      <c r="K1001">
        <v>1</v>
      </c>
      <c r="L1001">
        <v>1</v>
      </c>
      <c r="M1001">
        <v>1</v>
      </c>
      <c r="N1001">
        <v>1</v>
      </c>
      <c r="O1001">
        <v>1</v>
      </c>
      <c r="R1001">
        <f t="shared" si="44"/>
        <v>62</v>
      </c>
      <c r="S1001">
        <v>1</v>
      </c>
      <c r="T1001">
        <v>1</v>
      </c>
      <c r="U1001">
        <v>1</v>
      </c>
      <c r="V1001">
        <v>1</v>
      </c>
      <c r="W1001">
        <v>1</v>
      </c>
      <c r="AA1001">
        <v>-5645.2415000000001</v>
      </c>
      <c r="AB1001">
        <v>-5645.2415000000001</v>
      </c>
      <c r="AC1001">
        <v>-5645.2415000000001</v>
      </c>
      <c r="AD1001">
        <v>-5645.2415000000001</v>
      </c>
      <c r="AE1001">
        <v>-5645.2415000000001</v>
      </c>
      <c r="AF1001">
        <v>-1199521.5327000001</v>
      </c>
    </row>
    <row r="1002" spans="2:32" x14ac:dyDescent="0.25">
      <c r="B1002">
        <f t="shared" si="42"/>
        <v>63</v>
      </c>
      <c r="C1002">
        <v>1</v>
      </c>
      <c r="D1002">
        <v>1</v>
      </c>
      <c r="E1002">
        <v>1</v>
      </c>
      <c r="F1002">
        <v>1</v>
      </c>
      <c r="G1002">
        <v>1</v>
      </c>
      <c r="J1002">
        <f t="shared" si="43"/>
        <v>63</v>
      </c>
      <c r="K1002">
        <v>1</v>
      </c>
      <c r="L1002">
        <v>1</v>
      </c>
      <c r="M1002">
        <v>1</v>
      </c>
      <c r="N1002">
        <v>1</v>
      </c>
      <c r="O1002">
        <v>1</v>
      </c>
      <c r="R1002">
        <f t="shared" si="44"/>
        <v>63</v>
      </c>
      <c r="S1002">
        <v>1</v>
      </c>
      <c r="T1002">
        <v>1</v>
      </c>
      <c r="U1002">
        <v>1</v>
      </c>
      <c r="V1002">
        <v>1</v>
      </c>
      <c r="W1002">
        <v>1</v>
      </c>
      <c r="AA1002">
        <v>-5492.4920000000002</v>
      </c>
      <c r="AB1002">
        <v>-5492.4920000000002</v>
      </c>
      <c r="AC1002">
        <v>-5492.4920000000002</v>
      </c>
      <c r="AD1002">
        <v>-5492.4920000000002</v>
      </c>
      <c r="AE1002">
        <v>-5492.4920000000002</v>
      </c>
      <c r="AF1002">
        <v>-1220461.6269</v>
      </c>
    </row>
    <row r="1003" spans="2:32" x14ac:dyDescent="0.25">
      <c r="B1003">
        <f t="shared" si="42"/>
        <v>64</v>
      </c>
      <c r="C1003">
        <v>1</v>
      </c>
      <c r="D1003">
        <v>1</v>
      </c>
      <c r="E1003">
        <v>1</v>
      </c>
      <c r="F1003">
        <v>1</v>
      </c>
      <c r="G1003">
        <v>1</v>
      </c>
      <c r="J1003">
        <f t="shared" si="43"/>
        <v>64</v>
      </c>
      <c r="K1003">
        <v>1</v>
      </c>
      <c r="L1003">
        <v>1</v>
      </c>
      <c r="M1003">
        <v>1</v>
      </c>
      <c r="N1003">
        <v>1</v>
      </c>
      <c r="O1003">
        <v>1</v>
      </c>
      <c r="R1003">
        <f t="shared" si="44"/>
        <v>64</v>
      </c>
      <c r="S1003">
        <v>1</v>
      </c>
      <c r="T1003">
        <v>1</v>
      </c>
      <c r="U1003">
        <v>1</v>
      </c>
      <c r="V1003">
        <v>1</v>
      </c>
      <c r="W1003">
        <v>1</v>
      </c>
      <c r="AA1003">
        <v>-5338.1817000000001</v>
      </c>
      <c r="AB1003">
        <v>-5338.1817000000001</v>
      </c>
      <c r="AC1003">
        <v>-5338.1817000000001</v>
      </c>
      <c r="AD1003">
        <v>-5338.1817000000001</v>
      </c>
      <c r="AE1003">
        <v>-5338.1817000000001</v>
      </c>
      <c r="AF1003">
        <v>-1240652.2526</v>
      </c>
    </row>
    <row r="1004" spans="2:32" x14ac:dyDescent="0.25">
      <c r="B1004">
        <f t="shared" si="42"/>
        <v>65</v>
      </c>
      <c r="C1004">
        <v>1</v>
      </c>
      <c r="D1004">
        <v>1</v>
      </c>
      <c r="E1004">
        <v>1</v>
      </c>
      <c r="F1004">
        <v>1</v>
      </c>
      <c r="G1004">
        <v>1</v>
      </c>
      <c r="J1004">
        <f t="shared" si="43"/>
        <v>65</v>
      </c>
      <c r="K1004">
        <v>1</v>
      </c>
      <c r="L1004">
        <v>1</v>
      </c>
      <c r="M1004">
        <v>1</v>
      </c>
      <c r="N1004">
        <v>1</v>
      </c>
      <c r="O1004">
        <v>1</v>
      </c>
      <c r="R1004">
        <f t="shared" si="44"/>
        <v>65</v>
      </c>
      <c r="S1004">
        <v>1</v>
      </c>
      <c r="T1004">
        <v>1</v>
      </c>
      <c r="U1004">
        <v>1</v>
      </c>
      <c r="V1004">
        <v>1</v>
      </c>
      <c r="W1004">
        <v>1</v>
      </c>
      <c r="AA1004">
        <v>-5182.2268999999997</v>
      </c>
      <c r="AB1004">
        <v>-5182.2268999999997</v>
      </c>
      <c r="AC1004">
        <v>-5182.2268999999997</v>
      </c>
      <c r="AD1004">
        <v>-5182.2268999999997</v>
      </c>
      <c r="AE1004">
        <v>-5182.2268999999997</v>
      </c>
      <c r="AF1004">
        <v>-1260049.8302</v>
      </c>
    </row>
    <row r="1007" spans="2:32" x14ac:dyDescent="0.25">
      <c r="B1007" t="s">
        <v>46</v>
      </c>
      <c r="C1007">
        <v>50000</v>
      </c>
      <c r="D1007">
        <v>100000</v>
      </c>
      <c r="E1007">
        <v>250000</v>
      </c>
      <c r="F1007">
        <v>500000</v>
      </c>
      <c r="G1007">
        <v>1000000</v>
      </c>
      <c r="H1007">
        <v>2000000</v>
      </c>
      <c r="J1007" t="s">
        <v>47</v>
      </c>
      <c r="K1007">
        <v>50000</v>
      </c>
      <c r="L1007">
        <v>100000</v>
      </c>
      <c r="M1007">
        <v>250000</v>
      </c>
      <c r="N1007">
        <v>500000</v>
      </c>
      <c r="O1007">
        <v>1000000</v>
      </c>
      <c r="P1007">
        <v>2000000</v>
      </c>
      <c r="R1007" t="s">
        <v>48</v>
      </c>
      <c r="S1007">
        <v>50000</v>
      </c>
      <c r="T1007">
        <v>100000</v>
      </c>
      <c r="U1007">
        <v>250000</v>
      </c>
      <c r="V1007">
        <v>500000</v>
      </c>
      <c r="W1007">
        <v>1000000</v>
      </c>
      <c r="X1007">
        <v>2000000</v>
      </c>
    </row>
    <row r="1008" spans="2:32" x14ac:dyDescent="0.25">
      <c r="B1008">
        <v>26</v>
      </c>
      <c r="C1008">
        <v>1</v>
      </c>
      <c r="D1008">
        <v>1</v>
      </c>
      <c r="E1008">
        <v>1</v>
      </c>
      <c r="F1008">
        <v>1</v>
      </c>
      <c r="G1008">
        <v>1</v>
      </c>
      <c r="H1008">
        <v>1</v>
      </c>
      <c r="J1008">
        <v>26</v>
      </c>
      <c r="K1008">
        <v>1</v>
      </c>
      <c r="L1008">
        <v>1</v>
      </c>
      <c r="M1008">
        <v>1</v>
      </c>
      <c r="N1008">
        <v>1</v>
      </c>
      <c r="O1008">
        <v>1</v>
      </c>
      <c r="P1008">
        <v>1</v>
      </c>
      <c r="R1008">
        <v>26</v>
      </c>
      <c r="S1008">
        <v>1</v>
      </c>
      <c r="T1008">
        <v>1</v>
      </c>
      <c r="U1008">
        <v>1</v>
      </c>
      <c r="V1008">
        <v>1</v>
      </c>
      <c r="W1008">
        <v>1</v>
      </c>
      <c r="X1008">
        <v>1</v>
      </c>
      <c r="AA1008">
        <v>-5174.8482999999997</v>
      </c>
      <c r="AB1008">
        <v>-5174.8482999999997</v>
      </c>
      <c r="AC1008">
        <v>-5174.8482999999997</v>
      </c>
      <c r="AD1008">
        <v>-5174.8482999999997</v>
      </c>
      <c r="AE1008">
        <v>-5174.8482999999997</v>
      </c>
      <c r="AF1008">
        <v>-5174.8482999999997</v>
      </c>
    </row>
    <row r="1009" spans="2:32" x14ac:dyDescent="0.25">
      <c r="B1009">
        <v>27</v>
      </c>
      <c r="C1009">
        <v>1</v>
      </c>
      <c r="D1009">
        <v>1</v>
      </c>
      <c r="E1009">
        <v>1</v>
      </c>
      <c r="F1009">
        <v>1</v>
      </c>
      <c r="G1009">
        <v>1</v>
      </c>
      <c r="H1009">
        <v>1</v>
      </c>
      <c r="J1009">
        <v>27</v>
      </c>
      <c r="K1009">
        <v>1</v>
      </c>
      <c r="L1009">
        <v>1</v>
      </c>
      <c r="M1009">
        <v>1</v>
      </c>
      <c r="N1009">
        <v>1</v>
      </c>
      <c r="O1009">
        <v>1</v>
      </c>
      <c r="P1009">
        <v>1</v>
      </c>
      <c r="R1009">
        <v>27</v>
      </c>
      <c r="S1009">
        <v>1</v>
      </c>
      <c r="T1009">
        <v>1</v>
      </c>
      <c r="U1009">
        <v>1</v>
      </c>
      <c r="V1009">
        <v>1</v>
      </c>
      <c r="W1009">
        <v>1</v>
      </c>
      <c r="X1009">
        <v>1</v>
      </c>
      <c r="AA1009">
        <v>-5173.6036999999997</v>
      </c>
      <c r="AB1009">
        <v>-5173.6036999999997</v>
      </c>
      <c r="AC1009">
        <v>-5173.6036999999997</v>
      </c>
      <c r="AD1009">
        <v>-5173.6036999999997</v>
      </c>
      <c r="AE1009">
        <v>-5173.6036999999997</v>
      </c>
      <c r="AF1009">
        <v>-5173.6036999999997</v>
      </c>
    </row>
    <row r="1010" spans="2:32" x14ac:dyDescent="0.25">
      <c r="B1010">
        <v>28</v>
      </c>
      <c r="C1010">
        <v>1</v>
      </c>
      <c r="D1010">
        <v>1</v>
      </c>
      <c r="E1010">
        <v>1</v>
      </c>
      <c r="F1010">
        <v>1</v>
      </c>
      <c r="G1010">
        <v>1</v>
      </c>
      <c r="H1010">
        <v>1</v>
      </c>
      <c r="J1010">
        <v>28</v>
      </c>
      <c r="K1010">
        <v>1</v>
      </c>
      <c r="L1010">
        <v>1</v>
      </c>
      <c r="M1010">
        <v>1</v>
      </c>
      <c r="N1010">
        <v>1</v>
      </c>
      <c r="O1010">
        <v>1</v>
      </c>
      <c r="P1010">
        <v>1</v>
      </c>
      <c r="R1010">
        <v>28</v>
      </c>
      <c r="S1010">
        <v>1</v>
      </c>
      <c r="T1010">
        <v>1</v>
      </c>
      <c r="U1010">
        <v>1</v>
      </c>
      <c r="V1010">
        <v>1</v>
      </c>
      <c r="W1010">
        <v>1</v>
      </c>
      <c r="X1010">
        <v>1</v>
      </c>
      <c r="AA1010">
        <v>-5172.1755999999996</v>
      </c>
      <c r="AB1010">
        <v>-5172.1755999999996</v>
      </c>
      <c r="AC1010">
        <v>-5172.1755999999996</v>
      </c>
      <c r="AD1010">
        <v>-5172.1755999999996</v>
      </c>
      <c r="AE1010">
        <v>-5172.1755999999996</v>
      </c>
      <c r="AF1010">
        <v>-5172.1755999999996</v>
      </c>
    </row>
    <row r="1011" spans="2:32" x14ac:dyDescent="0.25">
      <c r="B1011">
        <v>29</v>
      </c>
      <c r="C1011">
        <v>1</v>
      </c>
      <c r="D1011">
        <v>1</v>
      </c>
      <c r="E1011">
        <v>1</v>
      </c>
      <c r="F1011">
        <v>1</v>
      </c>
      <c r="G1011">
        <v>1</v>
      </c>
      <c r="H1011">
        <v>1</v>
      </c>
      <c r="J1011">
        <v>29</v>
      </c>
      <c r="K1011">
        <v>1</v>
      </c>
      <c r="L1011">
        <v>1</v>
      </c>
      <c r="M1011">
        <v>1</v>
      </c>
      <c r="N1011">
        <v>1</v>
      </c>
      <c r="O1011">
        <v>1</v>
      </c>
      <c r="P1011">
        <v>1</v>
      </c>
      <c r="R1011">
        <v>29</v>
      </c>
      <c r="S1011">
        <v>1</v>
      </c>
      <c r="T1011">
        <v>1</v>
      </c>
      <c r="U1011">
        <v>1</v>
      </c>
      <c r="V1011">
        <v>1</v>
      </c>
      <c r="W1011">
        <v>1</v>
      </c>
      <c r="X1011">
        <v>1</v>
      </c>
      <c r="AA1011">
        <v>-5170.5482000000002</v>
      </c>
      <c r="AB1011">
        <v>-5170.5482000000002</v>
      </c>
      <c r="AC1011">
        <v>-5170.5482000000002</v>
      </c>
      <c r="AD1011">
        <v>-5170.5482000000002</v>
      </c>
      <c r="AE1011">
        <v>-5170.5482000000002</v>
      </c>
      <c r="AF1011">
        <v>-5170.5482000000002</v>
      </c>
    </row>
    <row r="1012" spans="2:32" x14ac:dyDescent="0.25">
      <c r="B1012">
        <v>30</v>
      </c>
      <c r="C1012">
        <v>1</v>
      </c>
      <c r="D1012">
        <v>1</v>
      </c>
      <c r="E1012">
        <v>1</v>
      </c>
      <c r="F1012">
        <v>1</v>
      </c>
      <c r="G1012">
        <v>1</v>
      </c>
      <c r="H1012">
        <v>1</v>
      </c>
      <c r="J1012">
        <v>30</v>
      </c>
      <c r="K1012">
        <v>1</v>
      </c>
      <c r="L1012">
        <v>1</v>
      </c>
      <c r="M1012">
        <v>1</v>
      </c>
      <c r="N1012">
        <v>1</v>
      </c>
      <c r="O1012">
        <v>1</v>
      </c>
      <c r="P1012">
        <v>1</v>
      </c>
      <c r="R1012">
        <v>30</v>
      </c>
      <c r="S1012">
        <v>1</v>
      </c>
      <c r="T1012">
        <v>1</v>
      </c>
      <c r="U1012">
        <v>1</v>
      </c>
      <c r="V1012">
        <v>1</v>
      </c>
      <c r="W1012">
        <v>1</v>
      </c>
      <c r="X1012">
        <v>1</v>
      </c>
      <c r="AA1012">
        <v>-5168.6908999999996</v>
      </c>
      <c r="AB1012">
        <v>-5168.6908999999996</v>
      </c>
      <c r="AC1012">
        <v>-5168.6908999999996</v>
      </c>
      <c r="AD1012">
        <v>-5168.6908999999996</v>
      </c>
      <c r="AE1012">
        <v>-5168.6908999999996</v>
      </c>
      <c r="AF1012">
        <v>-5168.6908999999996</v>
      </c>
    </row>
    <row r="1013" spans="2:32" x14ac:dyDescent="0.25">
      <c r="B1013">
        <v>31</v>
      </c>
      <c r="C1013">
        <v>1</v>
      </c>
      <c r="D1013">
        <v>1</v>
      </c>
      <c r="E1013">
        <v>1</v>
      </c>
      <c r="F1013">
        <v>1</v>
      </c>
      <c r="G1013">
        <v>1</v>
      </c>
      <c r="H1013">
        <v>1</v>
      </c>
      <c r="J1013">
        <v>31</v>
      </c>
      <c r="K1013">
        <v>1</v>
      </c>
      <c r="L1013">
        <v>1</v>
      </c>
      <c r="M1013">
        <v>1</v>
      </c>
      <c r="N1013">
        <v>1</v>
      </c>
      <c r="O1013">
        <v>1</v>
      </c>
      <c r="P1013">
        <v>1</v>
      </c>
      <c r="R1013">
        <v>31</v>
      </c>
      <c r="S1013">
        <v>1</v>
      </c>
      <c r="T1013">
        <v>1</v>
      </c>
      <c r="U1013">
        <v>1</v>
      </c>
      <c r="V1013">
        <v>1</v>
      </c>
      <c r="W1013">
        <v>1</v>
      </c>
      <c r="X1013">
        <v>1</v>
      </c>
      <c r="AA1013">
        <v>-5166.5891000000001</v>
      </c>
      <c r="AB1013">
        <v>-5166.5891000000001</v>
      </c>
      <c r="AC1013">
        <v>-5166.5891000000001</v>
      </c>
      <c r="AD1013">
        <v>-5166.5891000000001</v>
      </c>
      <c r="AE1013">
        <v>-5166.5891000000001</v>
      </c>
      <c r="AF1013">
        <v>-5166.5891000000001</v>
      </c>
    </row>
    <row r="1014" spans="2:32" x14ac:dyDescent="0.25">
      <c r="B1014">
        <v>32</v>
      </c>
      <c r="C1014">
        <v>1</v>
      </c>
      <c r="D1014">
        <v>1</v>
      </c>
      <c r="E1014">
        <v>1</v>
      </c>
      <c r="F1014">
        <v>1</v>
      </c>
      <c r="G1014">
        <v>1</v>
      </c>
      <c r="H1014">
        <v>1</v>
      </c>
      <c r="J1014">
        <v>32</v>
      </c>
      <c r="K1014">
        <v>1</v>
      </c>
      <c r="L1014">
        <v>1</v>
      </c>
      <c r="M1014">
        <v>1</v>
      </c>
      <c r="N1014">
        <v>1</v>
      </c>
      <c r="O1014">
        <v>1</v>
      </c>
      <c r="P1014">
        <v>1</v>
      </c>
      <c r="R1014">
        <v>32</v>
      </c>
      <c r="S1014">
        <v>1</v>
      </c>
      <c r="T1014">
        <v>1</v>
      </c>
      <c r="U1014">
        <v>1</v>
      </c>
      <c r="V1014">
        <v>1</v>
      </c>
      <c r="W1014">
        <v>1</v>
      </c>
      <c r="X1014">
        <v>1</v>
      </c>
      <c r="AA1014">
        <v>-5164.2407000000003</v>
      </c>
      <c r="AB1014">
        <v>-5164.2407000000003</v>
      </c>
      <c r="AC1014">
        <v>-5164.2407000000003</v>
      </c>
      <c r="AD1014">
        <v>-5164.2407000000003</v>
      </c>
      <c r="AE1014">
        <v>-5164.2407000000003</v>
      </c>
      <c r="AF1014">
        <v>-5164.2407000000003</v>
      </c>
    </row>
    <row r="1015" spans="2:32" x14ac:dyDescent="0.25">
      <c r="B1015">
        <v>33</v>
      </c>
      <c r="C1015">
        <v>1</v>
      </c>
      <c r="D1015">
        <v>1</v>
      </c>
      <c r="E1015">
        <v>1</v>
      </c>
      <c r="F1015">
        <v>1</v>
      </c>
      <c r="G1015">
        <v>1</v>
      </c>
      <c r="H1015">
        <v>1</v>
      </c>
      <c r="J1015">
        <v>33</v>
      </c>
      <c r="K1015">
        <v>1</v>
      </c>
      <c r="L1015">
        <v>1</v>
      </c>
      <c r="M1015">
        <v>1</v>
      </c>
      <c r="N1015">
        <v>1</v>
      </c>
      <c r="O1015">
        <v>1</v>
      </c>
      <c r="P1015">
        <v>1</v>
      </c>
      <c r="R1015">
        <v>33</v>
      </c>
      <c r="S1015">
        <v>1</v>
      </c>
      <c r="T1015">
        <v>1</v>
      </c>
      <c r="U1015">
        <v>1</v>
      </c>
      <c r="V1015">
        <v>1</v>
      </c>
      <c r="W1015">
        <v>1</v>
      </c>
      <c r="X1015">
        <v>1</v>
      </c>
      <c r="AA1015">
        <v>-5161.6318000000001</v>
      </c>
      <c r="AB1015">
        <v>-5161.6318000000001</v>
      </c>
      <c r="AC1015">
        <v>-5161.6318000000001</v>
      </c>
      <c r="AD1015">
        <v>-5161.6318000000001</v>
      </c>
      <c r="AE1015">
        <v>-5161.6318000000001</v>
      </c>
      <c r="AF1015">
        <v>-5161.6318000000001</v>
      </c>
    </row>
    <row r="1016" spans="2:32" x14ac:dyDescent="0.25">
      <c r="B1016">
        <v>34</v>
      </c>
      <c r="C1016">
        <v>1</v>
      </c>
      <c r="D1016">
        <v>1</v>
      </c>
      <c r="E1016">
        <v>1</v>
      </c>
      <c r="F1016">
        <v>1</v>
      </c>
      <c r="G1016">
        <v>1</v>
      </c>
      <c r="H1016">
        <v>1</v>
      </c>
      <c r="J1016">
        <v>34</v>
      </c>
      <c r="K1016">
        <v>1</v>
      </c>
      <c r="L1016">
        <v>1</v>
      </c>
      <c r="M1016">
        <v>1</v>
      </c>
      <c r="N1016">
        <v>1</v>
      </c>
      <c r="O1016">
        <v>1</v>
      </c>
      <c r="P1016">
        <v>1</v>
      </c>
      <c r="R1016">
        <v>34</v>
      </c>
      <c r="S1016">
        <v>1</v>
      </c>
      <c r="T1016">
        <v>1</v>
      </c>
      <c r="U1016">
        <v>1</v>
      </c>
      <c r="V1016">
        <v>1</v>
      </c>
      <c r="W1016">
        <v>1</v>
      </c>
      <c r="X1016">
        <v>1</v>
      </c>
      <c r="AA1016">
        <v>-5158.7194</v>
      </c>
      <c r="AB1016">
        <v>-5158.7194</v>
      </c>
      <c r="AC1016">
        <v>-5158.7194</v>
      </c>
      <c r="AD1016">
        <v>-5158.7194</v>
      </c>
      <c r="AE1016">
        <v>-5158.7194</v>
      </c>
      <c r="AF1016">
        <v>-5158.7194</v>
      </c>
    </row>
    <row r="1017" spans="2:32" x14ac:dyDescent="0.25">
      <c r="B1017">
        <v>35</v>
      </c>
      <c r="C1017">
        <v>1</v>
      </c>
      <c r="D1017">
        <v>1</v>
      </c>
      <c r="E1017">
        <v>1</v>
      </c>
      <c r="F1017">
        <v>1</v>
      </c>
      <c r="G1017">
        <v>1</v>
      </c>
      <c r="H1017">
        <v>1</v>
      </c>
      <c r="J1017">
        <v>35</v>
      </c>
      <c r="K1017">
        <v>1</v>
      </c>
      <c r="L1017">
        <v>1</v>
      </c>
      <c r="M1017">
        <v>1</v>
      </c>
      <c r="N1017">
        <v>1</v>
      </c>
      <c r="O1017">
        <v>1</v>
      </c>
      <c r="P1017">
        <v>1</v>
      </c>
      <c r="R1017">
        <v>35</v>
      </c>
      <c r="S1017">
        <v>1</v>
      </c>
      <c r="T1017">
        <v>1</v>
      </c>
      <c r="U1017">
        <v>1</v>
      </c>
      <c r="V1017">
        <v>1</v>
      </c>
      <c r="W1017">
        <v>1</v>
      </c>
      <c r="X1017">
        <v>1</v>
      </c>
      <c r="AA1017">
        <v>-5155.4901</v>
      </c>
      <c r="AB1017">
        <v>-5155.4901</v>
      </c>
      <c r="AC1017">
        <v>-5155.4901</v>
      </c>
      <c r="AD1017">
        <v>-5155.4901</v>
      </c>
      <c r="AE1017">
        <v>-5155.4901</v>
      </c>
      <c r="AF1017">
        <v>-5155.4901</v>
      </c>
    </row>
    <row r="1018" spans="2:32" x14ac:dyDescent="0.25">
      <c r="B1018">
        <v>36</v>
      </c>
      <c r="C1018">
        <v>1</v>
      </c>
      <c r="D1018">
        <v>1</v>
      </c>
      <c r="E1018">
        <v>1</v>
      </c>
      <c r="F1018">
        <v>1</v>
      </c>
      <c r="G1018">
        <v>1</v>
      </c>
      <c r="H1018">
        <v>1</v>
      </c>
      <c r="J1018">
        <v>36</v>
      </c>
      <c r="K1018">
        <v>1</v>
      </c>
      <c r="L1018">
        <v>1</v>
      </c>
      <c r="M1018">
        <v>1</v>
      </c>
      <c r="N1018">
        <v>1</v>
      </c>
      <c r="O1018">
        <v>1</v>
      </c>
      <c r="P1018">
        <v>1</v>
      </c>
      <c r="R1018">
        <v>36</v>
      </c>
      <c r="S1018">
        <v>1</v>
      </c>
      <c r="T1018">
        <v>1</v>
      </c>
      <c r="U1018">
        <v>1</v>
      </c>
      <c r="V1018">
        <v>1</v>
      </c>
      <c r="W1018">
        <v>1</v>
      </c>
      <c r="X1018">
        <v>1</v>
      </c>
      <c r="AA1018">
        <v>-5151.8950999999997</v>
      </c>
      <c r="AB1018">
        <v>-5151.8950999999997</v>
      </c>
      <c r="AC1018">
        <v>-5151.8950999999997</v>
      </c>
      <c r="AD1018">
        <v>-5151.8950999999997</v>
      </c>
      <c r="AE1018">
        <v>-5151.8950999999997</v>
      </c>
      <c r="AF1018">
        <v>-5151.8950999999997</v>
      </c>
    </row>
    <row r="1019" spans="2:32" x14ac:dyDescent="0.25">
      <c r="B1019">
        <v>37</v>
      </c>
      <c r="C1019">
        <v>1</v>
      </c>
      <c r="D1019">
        <v>1</v>
      </c>
      <c r="E1019">
        <v>1</v>
      </c>
      <c r="F1019">
        <v>1</v>
      </c>
      <c r="G1019">
        <v>1</v>
      </c>
      <c r="H1019">
        <v>1</v>
      </c>
      <c r="J1019">
        <v>37</v>
      </c>
      <c r="K1019">
        <v>1</v>
      </c>
      <c r="L1019">
        <v>1</v>
      </c>
      <c r="M1019">
        <v>1</v>
      </c>
      <c r="N1019">
        <v>1</v>
      </c>
      <c r="O1019">
        <v>1</v>
      </c>
      <c r="P1019">
        <v>1</v>
      </c>
      <c r="R1019">
        <v>37</v>
      </c>
      <c r="S1019">
        <v>1</v>
      </c>
      <c r="T1019">
        <v>1</v>
      </c>
      <c r="U1019">
        <v>1</v>
      </c>
      <c r="V1019">
        <v>1</v>
      </c>
      <c r="W1019">
        <v>1</v>
      </c>
      <c r="X1019">
        <v>1</v>
      </c>
      <c r="AA1019">
        <v>-5147.9106000000002</v>
      </c>
      <c r="AB1019">
        <v>-5147.9106000000002</v>
      </c>
      <c r="AC1019">
        <v>-5147.9106000000002</v>
      </c>
      <c r="AD1019">
        <v>-5147.9106000000002</v>
      </c>
      <c r="AE1019">
        <v>-5147.9106000000002</v>
      </c>
      <c r="AF1019">
        <v>-5147.9106000000002</v>
      </c>
    </row>
    <row r="1020" spans="2:32" x14ac:dyDescent="0.25">
      <c r="B1020">
        <v>38</v>
      </c>
      <c r="C1020">
        <v>1</v>
      </c>
      <c r="D1020">
        <v>1</v>
      </c>
      <c r="E1020">
        <v>1</v>
      </c>
      <c r="F1020">
        <v>1</v>
      </c>
      <c r="G1020">
        <v>1</v>
      </c>
      <c r="H1020">
        <v>1</v>
      </c>
      <c r="J1020">
        <v>38</v>
      </c>
      <c r="K1020">
        <v>1</v>
      </c>
      <c r="L1020">
        <v>1</v>
      </c>
      <c r="M1020">
        <v>1</v>
      </c>
      <c r="N1020">
        <v>1</v>
      </c>
      <c r="O1020">
        <v>1</v>
      </c>
      <c r="P1020">
        <v>1</v>
      </c>
      <c r="R1020">
        <v>38</v>
      </c>
      <c r="S1020">
        <v>1</v>
      </c>
      <c r="T1020">
        <v>1</v>
      </c>
      <c r="U1020">
        <v>1</v>
      </c>
      <c r="V1020">
        <v>1</v>
      </c>
      <c r="W1020">
        <v>1</v>
      </c>
      <c r="X1020">
        <v>1</v>
      </c>
      <c r="AA1020">
        <v>-5143.5393999999997</v>
      </c>
      <c r="AB1020">
        <v>-5143.5393999999997</v>
      </c>
      <c r="AC1020">
        <v>-5143.5393999999997</v>
      </c>
      <c r="AD1020">
        <v>-5143.5393999999997</v>
      </c>
      <c r="AE1020">
        <v>-5143.5393999999997</v>
      </c>
      <c r="AF1020">
        <v>-5143.5393999999997</v>
      </c>
    </row>
    <row r="1021" spans="2:32" x14ac:dyDescent="0.25">
      <c r="B1021">
        <v>39</v>
      </c>
      <c r="C1021">
        <v>1</v>
      </c>
      <c r="D1021">
        <v>1</v>
      </c>
      <c r="E1021">
        <v>1</v>
      </c>
      <c r="F1021">
        <v>1</v>
      </c>
      <c r="G1021">
        <v>1</v>
      </c>
      <c r="H1021">
        <v>1</v>
      </c>
      <c r="J1021">
        <v>39</v>
      </c>
      <c r="K1021">
        <v>1</v>
      </c>
      <c r="L1021">
        <v>1</v>
      </c>
      <c r="M1021">
        <v>1</v>
      </c>
      <c r="N1021">
        <v>1</v>
      </c>
      <c r="O1021">
        <v>1</v>
      </c>
      <c r="P1021">
        <v>1</v>
      </c>
      <c r="R1021">
        <v>39</v>
      </c>
      <c r="S1021">
        <v>1</v>
      </c>
      <c r="T1021">
        <v>1</v>
      </c>
      <c r="U1021">
        <v>1</v>
      </c>
      <c r="V1021">
        <v>1</v>
      </c>
      <c r="W1021">
        <v>1</v>
      </c>
      <c r="X1021">
        <v>1</v>
      </c>
      <c r="AA1021">
        <v>-5138.76</v>
      </c>
      <c r="AB1021">
        <v>-5138.76</v>
      </c>
      <c r="AC1021">
        <v>-5138.76</v>
      </c>
      <c r="AD1021">
        <v>-5138.76</v>
      </c>
      <c r="AE1021">
        <v>-5138.76</v>
      </c>
      <c r="AF1021">
        <v>-5138.76</v>
      </c>
    </row>
    <row r="1022" spans="2:32" x14ac:dyDescent="0.25">
      <c r="B1022">
        <v>40</v>
      </c>
      <c r="C1022">
        <v>1</v>
      </c>
      <c r="D1022">
        <v>1</v>
      </c>
      <c r="E1022">
        <v>1</v>
      </c>
      <c r="F1022">
        <v>1</v>
      </c>
      <c r="G1022">
        <v>1</v>
      </c>
      <c r="H1022">
        <v>1</v>
      </c>
      <c r="J1022">
        <v>40</v>
      </c>
      <c r="K1022">
        <v>1</v>
      </c>
      <c r="L1022">
        <v>1</v>
      </c>
      <c r="M1022">
        <v>1</v>
      </c>
      <c r="N1022">
        <v>1</v>
      </c>
      <c r="O1022">
        <v>1</v>
      </c>
      <c r="P1022">
        <v>1</v>
      </c>
      <c r="R1022">
        <v>40</v>
      </c>
      <c r="S1022">
        <v>1</v>
      </c>
      <c r="T1022">
        <v>1</v>
      </c>
      <c r="U1022">
        <v>1</v>
      </c>
      <c r="V1022">
        <v>1</v>
      </c>
      <c r="W1022">
        <v>1</v>
      </c>
      <c r="X1022">
        <v>1</v>
      </c>
      <c r="AA1022">
        <v>-5133.5084999999999</v>
      </c>
      <c r="AB1022">
        <v>-5133.5084999999999</v>
      </c>
      <c r="AC1022">
        <v>-5133.5084999999999</v>
      </c>
      <c r="AD1022">
        <v>-5133.5084999999999</v>
      </c>
      <c r="AE1022">
        <v>-5133.5084999999999</v>
      </c>
      <c r="AF1022">
        <v>-5133.5084999999999</v>
      </c>
    </row>
    <row r="1023" spans="2:32" x14ac:dyDescent="0.25">
      <c r="B1023">
        <v>41</v>
      </c>
      <c r="C1023">
        <v>1</v>
      </c>
      <c r="D1023">
        <v>1</v>
      </c>
      <c r="E1023">
        <v>1</v>
      </c>
      <c r="F1023">
        <v>1</v>
      </c>
      <c r="G1023">
        <v>1</v>
      </c>
      <c r="H1023">
        <v>1</v>
      </c>
      <c r="J1023">
        <v>41</v>
      </c>
      <c r="K1023">
        <v>1</v>
      </c>
      <c r="L1023">
        <v>1</v>
      </c>
      <c r="M1023">
        <v>1</v>
      </c>
      <c r="N1023">
        <v>1</v>
      </c>
      <c r="O1023">
        <v>1</v>
      </c>
      <c r="P1023">
        <v>1</v>
      </c>
      <c r="R1023">
        <v>41</v>
      </c>
      <c r="S1023">
        <v>1</v>
      </c>
      <c r="T1023">
        <v>1</v>
      </c>
      <c r="U1023">
        <v>1</v>
      </c>
      <c r="V1023">
        <v>1</v>
      </c>
      <c r="W1023">
        <v>1</v>
      </c>
      <c r="X1023">
        <v>1</v>
      </c>
      <c r="AA1023">
        <v>-5127.7236000000003</v>
      </c>
      <c r="AB1023">
        <v>-5127.7236000000003</v>
      </c>
      <c r="AC1023">
        <v>-5127.7236000000003</v>
      </c>
      <c r="AD1023">
        <v>-5127.7236000000003</v>
      </c>
      <c r="AE1023">
        <v>-5127.7236000000003</v>
      </c>
      <c r="AF1023">
        <v>-5127.7236000000003</v>
      </c>
    </row>
    <row r="1024" spans="2:32" x14ac:dyDescent="0.25">
      <c r="B1024">
        <v>42</v>
      </c>
      <c r="C1024">
        <v>1</v>
      </c>
      <c r="D1024">
        <v>1</v>
      </c>
      <c r="E1024">
        <v>1</v>
      </c>
      <c r="F1024">
        <v>1</v>
      </c>
      <c r="G1024">
        <v>1</v>
      </c>
      <c r="H1024">
        <v>1</v>
      </c>
      <c r="J1024">
        <v>42</v>
      </c>
      <c r="K1024">
        <v>1</v>
      </c>
      <c r="L1024">
        <v>1</v>
      </c>
      <c r="M1024">
        <v>1</v>
      </c>
      <c r="N1024">
        <v>1</v>
      </c>
      <c r="O1024">
        <v>1</v>
      </c>
      <c r="P1024">
        <v>1</v>
      </c>
      <c r="R1024">
        <v>42</v>
      </c>
      <c r="S1024">
        <v>1</v>
      </c>
      <c r="T1024">
        <v>1</v>
      </c>
      <c r="U1024">
        <v>1</v>
      </c>
      <c r="V1024">
        <v>1</v>
      </c>
      <c r="W1024">
        <v>1</v>
      </c>
      <c r="X1024">
        <v>1</v>
      </c>
      <c r="AA1024">
        <v>-5121.3726999999999</v>
      </c>
      <c r="AB1024">
        <v>-5121.3726999999999</v>
      </c>
      <c r="AC1024">
        <v>-5121.3726999999999</v>
      </c>
      <c r="AD1024">
        <v>-5121.3726999999999</v>
      </c>
      <c r="AE1024">
        <v>-5121.3726999999999</v>
      </c>
      <c r="AF1024">
        <v>-5121.3726999999999</v>
      </c>
    </row>
    <row r="1025" spans="2:32" x14ac:dyDescent="0.25">
      <c r="B1025">
        <v>43</v>
      </c>
      <c r="C1025">
        <v>1</v>
      </c>
      <c r="D1025">
        <v>1</v>
      </c>
      <c r="E1025">
        <v>1</v>
      </c>
      <c r="F1025">
        <v>1</v>
      </c>
      <c r="G1025">
        <v>1</v>
      </c>
      <c r="H1025">
        <v>1</v>
      </c>
      <c r="J1025">
        <v>43</v>
      </c>
      <c r="K1025">
        <v>1</v>
      </c>
      <c r="L1025">
        <v>1</v>
      </c>
      <c r="M1025">
        <v>1</v>
      </c>
      <c r="N1025">
        <v>1</v>
      </c>
      <c r="O1025">
        <v>1</v>
      </c>
      <c r="P1025">
        <v>1</v>
      </c>
      <c r="R1025">
        <v>43</v>
      </c>
      <c r="S1025">
        <v>1</v>
      </c>
      <c r="T1025">
        <v>1</v>
      </c>
      <c r="U1025">
        <v>1</v>
      </c>
      <c r="V1025">
        <v>1</v>
      </c>
      <c r="W1025">
        <v>1</v>
      </c>
      <c r="X1025">
        <v>1</v>
      </c>
      <c r="AA1025">
        <v>-5114.3449000000001</v>
      </c>
      <c r="AB1025">
        <v>-5114.3449000000001</v>
      </c>
      <c r="AC1025">
        <v>-5114.3449000000001</v>
      </c>
      <c r="AD1025">
        <v>-5114.3449000000001</v>
      </c>
      <c r="AE1025">
        <v>-5114.3449000000001</v>
      </c>
      <c r="AF1025">
        <v>-5114.3449000000001</v>
      </c>
    </row>
    <row r="1026" spans="2:32" x14ac:dyDescent="0.25">
      <c r="B1026">
        <v>44</v>
      </c>
      <c r="C1026">
        <v>1</v>
      </c>
      <c r="D1026">
        <v>1</v>
      </c>
      <c r="E1026">
        <v>1</v>
      </c>
      <c r="F1026">
        <v>1</v>
      </c>
      <c r="G1026">
        <v>1</v>
      </c>
      <c r="H1026">
        <v>1</v>
      </c>
      <c r="J1026">
        <v>44</v>
      </c>
      <c r="K1026">
        <v>1</v>
      </c>
      <c r="L1026">
        <v>1</v>
      </c>
      <c r="M1026">
        <v>1</v>
      </c>
      <c r="N1026">
        <v>1</v>
      </c>
      <c r="O1026">
        <v>1</v>
      </c>
      <c r="P1026">
        <v>1</v>
      </c>
      <c r="R1026">
        <v>44</v>
      </c>
      <c r="S1026">
        <v>1</v>
      </c>
      <c r="T1026">
        <v>1</v>
      </c>
      <c r="U1026">
        <v>1</v>
      </c>
      <c r="V1026">
        <v>1</v>
      </c>
      <c r="W1026">
        <v>1</v>
      </c>
      <c r="X1026">
        <v>1</v>
      </c>
      <c r="AA1026">
        <v>-5106.5976000000001</v>
      </c>
      <c r="AB1026">
        <v>-5106.5976000000001</v>
      </c>
      <c r="AC1026">
        <v>-5106.5976000000001</v>
      </c>
      <c r="AD1026">
        <v>-5106.5976000000001</v>
      </c>
      <c r="AE1026">
        <v>-5106.5976000000001</v>
      </c>
      <c r="AF1026">
        <v>-5106.5976000000001</v>
      </c>
    </row>
    <row r="1027" spans="2:32" x14ac:dyDescent="0.25">
      <c r="B1027">
        <v>45</v>
      </c>
      <c r="C1027">
        <v>1</v>
      </c>
      <c r="D1027">
        <v>1</v>
      </c>
      <c r="E1027">
        <v>1</v>
      </c>
      <c r="F1027">
        <v>1</v>
      </c>
      <c r="G1027">
        <v>1</v>
      </c>
      <c r="H1027">
        <v>1</v>
      </c>
      <c r="J1027">
        <v>45</v>
      </c>
      <c r="K1027">
        <v>1</v>
      </c>
      <c r="L1027">
        <v>1</v>
      </c>
      <c r="M1027">
        <v>1</v>
      </c>
      <c r="N1027">
        <v>1</v>
      </c>
      <c r="O1027">
        <v>1</v>
      </c>
      <c r="P1027">
        <v>1</v>
      </c>
      <c r="R1027">
        <v>45</v>
      </c>
      <c r="S1027">
        <v>1</v>
      </c>
      <c r="T1027">
        <v>1</v>
      </c>
      <c r="U1027">
        <v>1</v>
      </c>
      <c r="V1027">
        <v>1</v>
      </c>
      <c r="W1027">
        <v>1</v>
      </c>
      <c r="X1027">
        <v>1</v>
      </c>
      <c r="AA1027">
        <v>-5098.0524999999998</v>
      </c>
      <c r="AB1027">
        <v>-5098.0524999999998</v>
      </c>
      <c r="AC1027">
        <v>-5098.0524999999998</v>
      </c>
      <c r="AD1027">
        <v>-5098.0524999999998</v>
      </c>
      <c r="AE1027">
        <v>-5098.0524999999998</v>
      </c>
      <c r="AF1027">
        <v>-5098.0524999999998</v>
      </c>
    </row>
    <row r="1028" spans="2:32" x14ac:dyDescent="0.25">
      <c r="B1028">
        <v>46</v>
      </c>
      <c r="C1028">
        <v>1</v>
      </c>
      <c r="D1028">
        <v>1</v>
      </c>
      <c r="E1028">
        <v>1</v>
      </c>
      <c r="F1028">
        <v>1</v>
      </c>
      <c r="G1028">
        <v>1</v>
      </c>
      <c r="H1028">
        <v>1</v>
      </c>
      <c r="J1028">
        <v>46</v>
      </c>
      <c r="K1028">
        <v>1</v>
      </c>
      <c r="L1028">
        <v>1</v>
      </c>
      <c r="M1028">
        <v>1</v>
      </c>
      <c r="N1028">
        <v>1</v>
      </c>
      <c r="O1028">
        <v>1</v>
      </c>
      <c r="P1028">
        <v>1</v>
      </c>
      <c r="R1028">
        <v>46</v>
      </c>
      <c r="S1028">
        <v>1</v>
      </c>
      <c r="T1028">
        <v>1</v>
      </c>
      <c r="U1028">
        <v>1</v>
      </c>
      <c r="V1028">
        <v>1</v>
      </c>
      <c r="W1028">
        <v>1</v>
      </c>
      <c r="X1028">
        <v>1</v>
      </c>
      <c r="AA1028">
        <v>-5088.6378000000004</v>
      </c>
      <c r="AB1028">
        <v>-5088.6378000000004</v>
      </c>
      <c r="AC1028">
        <v>-5088.6378000000004</v>
      </c>
      <c r="AD1028">
        <v>-5088.6378000000004</v>
      </c>
      <c r="AE1028">
        <v>-5088.6378000000004</v>
      </c>
      <c r="AF1028">
        <v>-5088.6378000000004</v>
      </c>
    </row>
    <row r="1029" spans="2:32" x14ac:dyDescent="0.25">
      <c r="B1029">
        <v>47</v>
      </c>
      <c r="C1029">
        <v>1</v>
      </c>
      <c r="D1029">
        <v>1</v>
      </c>
      <c r="E1029">
        <v>1</v>
      </c>
      <c r="F1029">
        <v>1</v>
      </c>
      <c r="G1029">
        <v>1</v>
      </c>
      <c r="H1029">
        <v>1</v>
      </c>
      <c r="J1029">
        <v>47</v>
      </c>
      <c r="K1029">
        <v>1</v>
      </c>
      <c r="L1029">
        <v>1</v>
      </c>
      <c r="M1029">
        <v>1</v>
      </c>
      <c r="N1029">
        <v>1</v>
      </c>
      <c r="O1029">
        <v>1</v>
      </c>
      <c r="P1029">
        <v>1</v>
      </c>
      <c r="R1029">
        <v>47</v>
      </c>
      <c r="S1029">
        <v>1</v>
      </c>
      <c r="T1029">
        <v>1</v>
      </c>
      <c r="U1029">
        <v>1</v>
      </c>
      <c r="V1029">
        <v>1</v>
      </c>
      <c r="W1029">
        <v>1</v>
      </c>
      <c r="X1029">
        <v>1</v>
      </c>
      <c r="AA1029">
        <v>-5078.2593999999999</v>
      </c>
      <c r="AB1029">
        <v>-5078.2593999999999</v>
      </c>
      <c r="AC1029">
        <v>-5078.2593999999999</v>
      </c>
      <c r="AD1029">
        <v>-5078.2593999999999</v>
      </c>
      <c r="AE1029">
        <v>-5078.2593999999999</v>
      </c>
      <c r="AF1029">
        <v>-5078.2593999999999</v>
      </c>
    </row>
    <row r="1030" spans="2:32" x14ac:dyDescent="0.25">
      <c r="B1030">
        <v>48</v>
      </c>
      <c r="C1030">
        <v>1</v>
      </c>
      <c r="D1030">
        <v>1</v>
      </c>
      <c r="E1030">
        <v>1</v>
      </c>
      <c r="F1030">
        <v>1</v>
      </c>
      <c r="G1030">
        <v>1</v>
      </c>
      <c r="H1030">
        <v>1</v>
      </c>
      <c r="J1030">
        <v>48</v>
      </c>
      <c r="K1030">
        <v>1</v>
      </c>
      <c r="L1030">
        <v>1</v>
      </c>
      <c r="M1030">
        <v>1</v>
      </c>
      <c r="N1030">
        <v>1</v>
      </c>
      <c r="O1030">
        <v>1</v>
      </c>
      <c r="P1030">
        <v>1</v>
      </c>
      <c r="R1030">
        <v>48</v>
      </c>
      <c r="S1030">
        <v>1</v>
      </c>
      <c r="T1030">
        <v>1</v>
      </c>
      <c r="U1030">
        <v>1</v>
      </c>
      <c r="V1030">
        <v>1</v>
      </c>
      <c r="W1030">
        <v>1</v>
      </c>
      <c r="X1030">
        <v>1</v>
      </c>
      <c r="AA1030">
        <v>-5066.8732</v>
      </c>
      <c r="AB1030">
        <v>-5066.8732</v>
      </c>
      <c r="AC1030">
        <v>-5066.8732</v>
      </c>
      <c r="AD1030">
        <v>-5066.8732</v>
      </c>
      <c r="AE1030">
        <v>-5066.8732</v>
      </c>
      <c r="AF1030">
        <v>-5066.8732</v>
      </c>
    </row>
    <row r="1031" spans="2:32" x14ac:dyDescent="0.25">
      <c r="B1031">
        <v>49</v>
      </c>
      <c r="C1031">
        <v>1</v>
      </c>
      <c r="D1031">
        <v>1</v>
      </c>
      <c r="E1031">
        <v>1</v>
      </c>
      <c r="F1031">
        <v>1</v>
      </c>
      <c r="G1031">
        <v>1</v>
      </c>
      <c r="H1031">
        <v>1</v>
      </c>
      <c r="J1031">
        <v>49</v>
      </c>
      <c r="K1031">
        <v>1</v>
      </c>
      <c r="L1031">
        <v>1</v>
      </c>
      <c r="M1031">
        <v>1</v>
      </c>
      <c r="N1031">
        <v>1</v>
      </c>
      <c r="O1031">
        <v>1</v>
      </c>
      <c r="P1031">
        <v>1</v>
      </c>
      <c r="R1031">
        <v>49</v>
      </c>
      <c r="S1031">
        <v>1</v>
      </c>
      <c r="T1031">
        <v>1</v>
      </c>
      <c r="U1031">
        <v>1</v>
      </c>
      <c r="V1031">
        <v>1</v>
      </c>
      <c r="W1031">
        <v>1</v>
      </c>
      <c r="X1031">
        <v>1</v>
      </c>
      <c r="AA1031">
        <v>-5054.4124000000002</v>
      </c>
      <c r="AB1031">
        <v>-5054.4124000000002</v>
      </c>
      <c r="AC1031">
        <v>-5054.4124000000002</v>
      </c>
      <c r="AD1031">
        <v>-5054.4124000000002</v>
      </c>
      <c r="AE1031">
        <v>-5054.4124000000002</v>
      </c>
      <c r="AF1031">
        <v>-5054.4124000000002</v>
      </c>
    </row>
    <row r="1032" spans="2:32" x14ac:dyDescent="0.25">
      <c r="B1032">
        <v>50</v>
      </c>
      <c r="C1032">
        <v>1</v>
      </c>
      <c r="D1032">
        <v>1</v>
      </c>
      <c r="E1032">
        <v>1</v>
      </c>
      <c r="F1032">
        <v>1</v>
      </c>
      <c r="G1032">
        <v>1</v>
      </c>
      <c r="H1032">
        <v>1</v>
      </c>
      <c r="J1032">
        <v>50</v>
      </c>
      <c r="K1032">
        <v>1</v>
      </c>
      <c r="L1032">
        <v>1</v>
      </c>
      <c r="M1032">
        <v>1</v>
      </c>
      <c r="N1032">
        <v>1</v>
      </c>
      <c r="O1032">
        <v>1</v>
      </c>
      <c r="P1032">
        <v>1</v>
      </c>
      <c r="R1032">
        <v>50</v>
      </c>
      <c r="S1032">
        <v>1</v>
      </c>
      <c r="T1032">
        <v>1</v>
      </c>
      <c r="U1032">
        <v>1</v>
      </c>
      <c r="V1032">
        <v>1</v>
      </c>
      <c r="W1032">
        <v>1</v>
      </c>
      <c r="X1032">
        <v>1</v>
      </c>
      <c r="AA1032">
        <v>-5040.7671</v>
      </c>
      <c r="AB1032">
        <v>-5040.7671</v>
      </c>
      <c r="AC1032">
        <v>-5040.7671</v>
      </c>
      <c r="AD1032">
        <v>-5040.7671</v>
      </c>
      <c r="AE1032">
        <v>-5040.7671</v>
      </c>
      <c r="AF1032">
        <v>-5040.7671</v>
      </c>
    </row>
    <row r="1033" spans="2:32" x14ac:dyDescent="0.25">
      <c r="B1033">
        <v>51</v>
      </c>
      <c r="C1033">
        <v>1</v>
      </c>
      <c r="D1033">
        <v>1</v>
      </c>
      <c r="E1033">
        <v>1</v>
      </c>
      <c r="F1033">
        <v>1</v>
      </c>
      <c r="G1033">
        <v>1</v>
      </c>
      <c r="H1033">
        <v>1</v>
      </c>
      <c r="J1033">
        <v>51</v>
      </c>
      <c r="K1033">
        <v>1</v>
      </c>
      <c r="L1033">
        <v>1</v>
      </c>
      <c r="M1033">
        <v>1</v>
      </c>
      <c r="N1033">
        <v>1</v>
      </c>
      <c r="O1033">
        <v>1</v>
      </c>
      <c r="P1033">
        <v>1</v>
      </c>
      <c r="R1033">
        <v>51</v>
      </c>
      <c r="S1033">
        <v>1</v>
      </c>
      <c r="T1033">
        <v>1</v>
      </c>
      <c r="U1033">
        <v>1</v>
      </c>
      <c r="V1033">
        <v>1</v>
      </c>
      <c r="W1033">
        <v>1</v>
      </c>
      <c r="X1033">
        <v>1</v>
      </c>
      <c r="AA1033">
        <v>-5025.8329000000003</v>
      </c>
      <c r="AB1033">
        <v>-5025.8329000000003</v>
      </c>
      <c r="AC1033">
        <v>-5025.8329000000003</v>
      </c>
      <c r="AD1033">
        <v>-5025.8329000000003</v>
      </c>
      <c r="AE1033">
        <v>-5025.8329000000003</v>
      </c>
      <c r="AF1033">
        <v>-5025.8329000000003</v>
      </c>
    </row>
    <row r="1034" spans="2:32" x14ac:dyDescent="0.25">
      <c r="B1034">
        <v>52</v>
      </c>
      <c r="C1034">
        <v>1</v>
      </c>
      <c r="D1034">
        <v>1</v>
      </c>
      <c r="E1034">
        <v>1</v>
      </c>
      <c r="F1034">
        <v>1</v>
      </c>
      <c r="G1034">
        <v>1</v>
      </c>
      <c r="H1034">
        <v>1</v>
      </c>
      <c r="J1034">
        <v>52</v>
      </c>
      <c r="K1034">
        <v>1</v>
      </c>
      <c r="L1034">
        <v>1</v>
      </c>
      <c r="M1034">
        <v>1</v>
      </c>
      <c r="N1034">
        <v>1</v>
      </c>
      <c r="O1034">
        <v>1</v>
      </c>
      <c r="P1034">
        <v>1</v>
      </c>
      <c r="R1034">
        <v>52</v>
      </c>
      <c r="S1034">
        <v>1</v>
      </c>
      <c r="T1034">
        <v>1</v>
      </c>
      <c r="U1034">
        <v>1</v>
      </c>
      <c r="V1034">
        <v>1</v>
      </c>
      <c r="W1034">
        <v>1</v>
      </c>
      <c r="X1034">
        <v>1</v>
      </c>
      <c r="AA1034">
        <v>-5009.4771000000001</v>
      </c>
      <c r="AB1034">
        <v>-5009.4771000000001</v>
      </c>
      <c r="AC1034">
        <v>-5009.4771000000001</v>
      </c>
      <c r="AD1034">
        <v>-5009.4771000000001</v>
      </c>
      <c r="AE1034">
        <v>-5009.4771000000001</v>
      </c>
      <c r="AF1034">
        <v>-5009.4771000000001</v>
      </c>
    </row>
    <row r="1035" spans="2:32" x14ac:dyDescent="0.25">
      <c r="B1035">
        <v>53</v>
      </c>
      <c r="C1035">
        <v>1</v>
      </c>
      <c r="D1035">
        <v>1</v>
      </c>
      <c r="E1035">
        <v>1</v>
      </c>
      <c r="F1035">
        <v>1</v>
      </c>
      <c r="G1035">
        <v>1</v>
      </c>
      <c r="H1035">
        <v>1</v>
      </c>
      <c r="J1035">
        <v>53</v>
      </c>
      <c r="K1035">
        <v>1</v>
      </c>
      <c r="L1035">
        <v>1</v>
      </c>
      <c r="M1035">
        <v>1</v>
      </c>
      <c r="N1035">
        <v>1</v>
      </c>
      <c r="O1035">
        <v>1</v>
      </c>
      <c r="P1035">
        <v>1</v>
      </c>
      <c r="R1035">
        <v>53</v>
      </c>
      <c r="S1035">
        <v>1</v>
      </c>
      <c r="T1035">
        <v>1</v>
      </c>
      <c r="U1035">
        <v>1</v>
      </c>
      <c r="V1035">
        <v>1</v>
      </c>
      <c r="W1035">
        <v>1</v>
      </c>
      <c r="X1035">
        <v>1</v>
      </c>
      <c r="AA1035">
        <v>-4991.6184000000003</v>
      </c>
      <c r="AB1035">
        <v>-4991.6184000000003</v>
      </c>
      <c r="AC1035">
        <v>-4991.6184000000003</v>
      </c>
      <c r="AD1035">
        <v>-4991.6184000000003</v>
      </c>
      <c r="AE1035">
        <v>-4991.6184000000003</v>
      </c>
      <c r="AF1035">
        <v>-4991.6184000000003</v>
      </c>
    </row>
    <row r="1036" spans="2:32" x14ac:dyDescent="0.25">
      <c r="B1036">
        <v>54</v>
      </c>
      <c r="C1036">
        <v>1</v>
      </c>
      <c r="D1036">
        <v>1</v>
      </c>
      <c r="E1036">
        <v>1</v>
      </c>
      <c r="F1036">
        <v>1</v>
      </c>
      <c r="G1036">
        <v>1</v>
      </c>
      <c r="H1036">
        <v>1</v>
      </c>
      <c r="J1036">
        <v>54</v>
      </c>
      <c r="K1036">
        <v>1</v>
      </c>
      <c r="L1036">
        <v>1</v>
      </c>
      <c r="M1036">
        <v>1</v>
      </c>
      <c r="N1036">
        <v>1</v>
      </c>
      <c r="O1036">
        <v>1</v>
      </c>
      <c r="P1036">
        <v>1</v>
      </c>
      <c r="R1036">
        <v>54</v>
      </c>
      <c r="S1036">
        <v>1</v>
      </c>
      <c r="T1036">
        <v>1</v>
      </c>
      <c r="U1036">
        <v>1</v>
      </c>
      <c r="V1036">
        <v>1</v>
      </c>
      <c r="W1036">
        <v>1</v>
      </c>
      <c r="X1036">
        <v>1</v>
      </c>
      <c r="AA1036">
        <v>-4972.1588000000002</v>
      </c>
      <c r="AB1036">
        <v>-4972.1588000000002</v>
      </c>
      <c r="AC1036">
        <v>-4972.1588000000002</v>
      </c>
      <c r="AD1036">
        <v>-4972.1588000000002</v>
      </c>
      <c r="AE1036">
        <v>-4972.1588000000002</v>
      </c>
      <c r="AF1036">
        <v>-4972.1588000000002</v>
      </c>
    </row>
    <row r="1037" spans="2:32" x14ac:dyDescent="0.25">
      <c r="B1037">
        <v>55</v>
      </c>
      <c r="C1037">
        <v>1</v>
      </c>
      <c r="D1037">
        <v>1</v>
      </c>
      <c r="E1037">
        <v>1</v>
      </c>
      <c r="F1037">
        <v>1</v>
      </c>
      <c r="G1037">
        <v>1</v>
      </c>
      <c r="H1037">
        <v>1</v>
      </c>
      <c r="J1037">
        <v>55</v>
      </c>
      <c r="K1037">
        <v>1</v>
      </c>
      <c r="L1037">
        <v>1</v>
      </c>
      <c r="M1037">
        <v>1</v>
      </c>
      <c r="N1037">
        <v>1</v>
      </c>
      <c r="O1037">
        <v>1</v>
      </c>
      <c r="P1037">
        <v>1</v>
      </c>
      <c r="R1037">
        <v>55</v>
      </c>
      <c r="S1037">
        <v>1</v>
      </c>
      <c r="T1037">
        <v>1</v>
      </c>
      <c r="U1037">
        <v>1</v>
      </c>
      <c r="V1037">
        <v>1</v>
      </c>
      <c r="W1037">
        <v>1</v>
      </c>
      <c r="X1037">
        <v>1</v>
      </c>
      <c r="AA1037">
        <v>-4950.9426000000003</v>
      </c>
      <c r="AB1037">
        <v>-4950.9426000000003</v>
      </c>
      <c r="AC1037">
        <v>-4950.9426000000003</v>
      </c>
      <c r="AD1037">
        <v>-4950.9426000000003</v>
      </c>
      <c r="AE1037">
        <v>-4950.9426000000003</v>
      </c>
      <c r="AF1037">
        <v>-4950.9426000000003</v>
      </c>
    </row>
    <row r="1040" spans="2:32" x14ac:dyDescent="0.25">
      <c r="B1040" t="s">
        <v>46</v>
      </c>
      <c r="C1040">
        <v>100000</v>
      </c>
      <c r="D1040">
        <v>250000</v>
      </c>
      <c r="E1040">
        <v>500000</v>
      </c>
      <c r="F1040">
        <v>1000000</v>
      </c>
      <c r="G1040">
        <v>2000000</v>
      </c>
      <c r="J1040" t="s">
        <v>32</v>
      </c>
      <c r="K1040">
        <v>100000</v>
      </c>
      <c r="L1040">
        <v>250000</v>
      </c>
      <c r="M1040">
        <v>500000</v>
      </c>
      <c r="N1040">
        <v>1000000</v>
      </c>
      <c r="O1040">
        <v>2000000</v>
      </c>
      <c r="R1040" t="s">
        <v>48</v>
      </c>
      <c r="S1040">
        <v>100000</v>
      </c>
      <c r="T1040">
        <v>250000</v>
      </c>
      <c r="U1040">
        <v>500000</v>
      </c>
      <c r="V1040">
        <v>1000000</v>
      </c>
      <c r="W1040">
        <v>2000000</v>
      </c>
    </row>
    <row r="1041" spans="2:32" x14ac:dyDescent="0.25">
      <c r="B1041">
        <v>35</v>
      </c>
      <c r="C1041">
        <v>1</v>
      </c>
      <c r="D1041">
        <v>1</v>
      </c>
      <c r="E1041">
        <v>1</v>
      </c>
      <c r="F1041">
        <v>1</v>
      </c>
      <c r="G1041">
        <v>1</v>
      </c>
      <c r="J1041">
        <v>35</v>
      </c>
      <c r="K1041">
        <v>1</v>
      </c>
      <c r="L1041">
        <v>1</v>
      </c>
      <c r="M1041">
        <v>1</v>
      </c>
      <c r="N1041">
        <v>1</v>
      </c>
      <c r="O1041">
        <v>1</v>
      </c>
      <c r="R1041">
        <v>35</v>
      </c>
      <c r="S1041">
        <v>1</v>
      </c>
      <c r="T1041">
        <v>1</v>
      </c>
      <c r="U1041">
        <v>1</v>
      </c>
      <c r="V1041">
        <v>1</v>
      </c>
      <c r="W1041">
        <v>1</v>
      </c>
      <c r="AA1041">
        <v>-8996.1419000000005</v>
      </c>
      <c r="AB1041">
        <v>-8996.1419000000005</v>
      </c>
      <c r="AC1041">
        <v>-8996.1419000000005</v>
      </c>
      <c r="AD1041">
        <v>-8996.1419000000005</v>
      </c>
      <c r="AE1041">
        <v>-8996.1419000000005</v>
      </c>
      <c r="AF1041">
        <v>-759112.79520000005</v>
      </c>
    </row>
    <row r="1042" spans="2:32" x14ac:dyDescent="0.25">
      <c r="B1042">
        <f t="shared" ref="B1042:B1071" si="45">B1041+1</f>
        <v>36</v>
      </c>
      <c r="C1042">
        <v>1</v>
      </c>
      <c r="D1042">
        <v>1</v>
      </c>
      <c r="E1042">
        <v>1</v>
      </c>
      <c r="F1042">
        <v>1</v>
      </c>
      <c r="G1042">
        <v>1</v>
      </c>
      <c r="J1042">
        <f t="shared" ref="J1042:J1071" si="46">J1041+1</f>
        <v>36</v>
      </c>
      <c r="K1042">
        <v>1</v>
      </c>
      <c r="L1042">
        <v>1</v>
      </c>
      <c r="M1042">
        <v>1</v>
      </c>
      <c r="N1042">
        <v>1</v>
      </c>
      <c r="O1042">
        <v>1</v>
      </c>
      <c r="R1042">
        <f t="shared" ref="R1042:R1071" si="47">R1041+1</f>
        <v>36</v>
      </c>
      <c r="S1042">
        <v>1</v>
      </c>
      <c r="T1042">
        <v>1</v>
      </c>
      <c r="U1042">
        <v>1</v>
      </c>
      <c r="V1042">
        <v>1</v>
      </c>
      <c r="W1042">
        <v>1</v>
      </c>
      <c r="AA1042">
        <v>-8902.6679999999997</v>
      </c>
      <c r="AB1042">
        <v>-8902.6679999999997</v>
      </c>
      <c r="AC1042">
        <v>-8902.6679999999997</v>
      </c>
      <c r="AD1042">
        <v>-8902.6679999999997</v>
      </c>
      <c r="AE1042">
        <v>-8902.6679999999997</v>
      </c>
      <c r="AF1042">
        <v>-737070.86179999996</v>
      </c>
    </row>
    <row r="1043" spans="2:32" x14ac:dyDescent="0.25">
      <c r="B1043">
        <f t="shared" si="45"/>
        <v>37</v>
      </c>
      <c r="C1043">
        <v>1</v>
      </c>
      <c r="D1043">
        <v>1</v>
      </c>
      <c r="E1043">
        <v>1</v>
      </c>
      <c r="F1043">
        <v>1</v>
      </c>
      <c r="G1043">
        <v>1</v>
      </c>
      <c r="J1043">
        <f t="shared" si="46"/>
        <v>37</v>
      </c>
      <c r="K1043">
        <v>1</v>
      </c>
      <c r="L1043">
        <v>1</v>
      </c>
      <c r="M1043">
        <v>1</v>
      </c>
      <c r="N1043">
        <v>1</v>
      </c>
      <c r="O1043">
        <v>1</v>
      </c>
      <c r="R1043">
        <f t="shared" si="47"/>
        <v>37</v>
      </c>
      <c r="S1043">
        <v>1</v>
      </c>
      <c r="T1043">
        <v>1</v>
      </c>
      <c r="U1043">
        <v>1</v>
      </c>
      <c r="V1043">
        <v>1</v>
      </c>
      <c r="W1043">
        <v>1</v>
      </c>
      <c r="AA1043">
        <v>-8806.7960000000003</v>
      </c>
      <c r="AB1043">
        <v>-8806.7960000000003</v>
      </c>
      <c r="AC1043">
        <v>-8806.7960000000003</v>
      </c>
      <c r="AD1043">
        <v>-8806.7960000000003</v>
      </c>
      <c r="AE1043">
        <v>-8806.7960000000003</v>
      </c>
      <c r="AF1043">
        <v>-765978.91940000001</v>
      </c>
    </row>
    <row r="1044" spans="2:32" x14ac:dyDescent="0.25">
      <c r="B1044">
        <f t="shared" si="45"/>
        <v>38</v>
      </c>
      <c r="C1044">
        <v>1</v>
      </c>
      <c r="D1044">
        <v>1</v>
      </c>
      <c r="E1044">
        <v>1</v>
      </c>
      <c r="F1044">
        <v>1</v>
      </c>
      <c r="G1044">
        <v>1</v>
      </c>
      <c r="J1044">
        <f t="shared" si="46"/>
        <v>38</v>
      </c>
      <c r="K1044">
        <v>1</v>
      </c>
      <c r="L1044">
        <v>1</v>
      </c>
      <c r="M1044">
        <v>1</v>
      </c>
      <c r="N1044">
        <v>1</v>
      </c>
      <c r="O1044">
        <v>1</v>
      </c>
      <c r="R1044">
        <f t="shared" si="47"/>
        <v>38</v>
      </c>
      <c r="S1044">
        <v>1</v>
      </c>
      <c r="T1044">
        <v>1</v>
      </c>
      <c r="U1044">
        <v>1</v>
      </c>
      <c r="V1044">
        <v>1</v>
      </c>
      <c r="W1044">
        <v>1</v>
      </c>
      <c r="AA1044">
        <v>-8708.6234000000004</v>
      </c>
      <c r="AB1044">
        <v>-8708.6234000000004</v>
      </c>
      <c r="AC1044">
        <v>-8708.6234000000004</v>
      </c>
      <c r="AD1044">
        <v>-8708.6234000000004</v>
      </c>
      <c r="AE1044">
        <v>-8708.6234000000004</v>
      </c>
      <c r="AF1044">
        <v>-783780.576</v>
      </c>
    </row>
    <row r="1045" spans="2:32" x14ac:dyDescent="0.25">
      <c r="B1045">
        <f t="shared" si="45"/>
        <v>39</v>
      </c>
      <c r="C1045">
        <v>1</v>
      </c>
      <c r="D1045">
        <v>1</v>
      </c>
      <c r="E1045">
        <v>1</v>
      </c>
      <c r="F1045">
        <v>1</v>
      </c>
      <c r="G1045">
        <v>1</v>
      </c>
      <c r="J1045">
        <f t="shared" si="46"/>
        <v>39</v>
      </c>
      <c r="K1045">
        <v>1</v>
      </c>
      <c r="L1045">
        <v>1</v>
      </c>
      <c r="M1045">
        <v>1</v>
      </c>
      <c r="N1045">
        <v>1</v>
      </c>
      <c r="O1045">
        <v>1</v>
      </c>
      <c r="R1045">
        <f t="shared" si="47"/>
        <v>39</v>
      </c>
      <c r="S1045">
        <v>1</v>
      </c>
      <c r="T1045">
        <v>1</v>
      </c>
      <c r="U1045">
        <v>1</v>
      </c>
      <c r="V1045">
        <v>1</v>
      </c>
      <c r="W1045">
        <v>1</v>
      </c>
      <c r="AA1045">
        <v>-8608.1594000000005</v>
      </c>
      <c r="AB1045">
        <v>-8608.1594000000005</v>
      </c>
      <c r="AC1045">
        <v>-8608.1594000000005</v>
      </c>
      <c r="AD1045">
        <v>-8608.1594000000005</v>
      </c>
      <c r="AE1045">
        <v>-8608.1594000000005</v>
      </c>
      <c r="AF1045">
        <v>-769662.22069999995</v>
      </c>
    </row>
    <row r="1046" spans="2:32" x14ac:dyDescent="0.25">
      <c r="B1046">
        <f t="shared" si="45"/>
        <v>40</v>
      </c>
      <c r="C1046">
        <v>1</v>
      </c>
      <c r="D1046">
        <v>1</v>
      </c>
      <c r="E1046">
        <v>1</v>
      </c>
      <c r="F1046">
        <v>1</v>
      </c>
      <c r="G1046">
        <v>1</v>
      </c>
      <c r="J1046">
        <f t="shared" si="46"/>
        <v>40</v>
      </c>
      <c r="K1046">
        <v>1</v>
      </c>
      <c r="L1046">
        <v>1</v>
      </c>
      <c r="M1046">
        <v>1</v>
      </c>
      <c r="N1046">
        <v>1</v>
      </c>
      <c r="O1046">
        <v>1</v>
      </c>
      <c r="R1046">
        <f t="shared" si="47"/>
        <v>40</v>
      </c>
      <c r="S1046">
        <v>1</v>
      </c>
      <c r="T1046">
        <v>1</v>
      </c>
      <c r="U1046">
        <v>1</v>
      </c>
      <c r="V1046">
        <v>1</v>
      </c>
      <c r="W1046">
        <v>1</v>
      </c>
      <c r="AA1046">
        <v>-8505.3439999999991</v>
      </c>
      <c r="AB1046">
        <v>-8505.3439999999991</v>
      </c>
      <c r="AC1046">
        <v>-8505.3439999999991</v>
      </c>
      <c r="AD1046">
        <v>-8505.3439999999991</v>
      </c>
      <c r="AE1046">
        <v>-8505.3439999999991</v>
      </c>
      <c r="AF1046">
        <v>-798570.41119999997</v>
      </c>
    </row>
    <row r="1047" spans="2:32" x14ac:dyDescent="0.25">
      <c r="B1047">
        <f t="shared" si="45"/>
        <v>41</v>
      </c>
      <c r="C1047">
        <v>1</v>
      </c>
      <c r="D1047">
        <v>1</v>
      </c>
      <c r="E1047">
        <v>1</v>
      </c>
      <c r="F1047">
        <v>1</v>
      </c>
      <c r="G1047">
        <v>1</v>
      </c>
      <c r="J1047">
        <f t="shared" si="46"/>
        <v>41</v>
      </c>
      <c r="K1047">
        <v>1</v>
      </c>
      <c r="L1047">
        <v>1</v>
      </c>
      <c r="M1047">
        <v>1</v>
      </c>
      <c r="N1047">
        <v>1</v>
      </c>
      <c r="O1047">
        <v>1</v>
      </c>
      <c r="R1047">
        <f t="shared" si="47"/>
        <v>41</v>
      </c>
      <c r="S1047">
        <v>1</v>
      </c>
      <c r="T1047">
        <v>1</v>
      </c>
      <c r="U1047">
        <v>1</v>
      </c>
      <c r="V1047">
        <v>1</v>
      </c>
      <c r="W1047">
        <v>1</v>
      </c>
      <c r="AA1047">
        <v>-8400.1087000000007</v>
      </c>
      <c r="AB1047">
        <v>-8400.1087000000007</v>
      </c>
      <c r="AC1047">
        <v>-8400.1087000000007</v>
      </c>
      <c r="AD1047">
        <v>-8400.1087000000007</v>
      </c>
      <c r="AE1047">
        <v>-8400.1087000000007</v>
      </c>
      <c r="AF1047">
        <v>-803549.96459999995</v>
      </c>
    </row>
    <row r="1048" spans="2:32" x14ac:dyDescent="0.25">
      <c r="B1048">
        <f t="shared" si="45"/>
        <v>42</v>
      </c>
      <c r="C1048">
        <v>1</v>
      </c>
      <c r="D1048">
        <v>1</v>
      </c>
      <c r="E1048">
        <v>1</v>
      </c>
      <c r="F1048">
        <v>1</v>
      </c>
      <c r="G1048">
        <v>1</v>
      </c>
      <c r="J1048">
        <f t="shared" si="46"/>
        <v>42</v>
      </c>
      <c r="K1048">
        <v>1</v>
      </c>
      <c r="L1048">
        <v>1</v>
      </c>
      <c r="M1048">
        <v>1</v>
      </c>
      <c r="N1048">
        <v>1</v>
      </c>
      <c r="O1048">
        <v>1</v>
      </c>
      <c r="R1048">
        <f t="shared" si="47"/>
        <v>42</v>
      </c>
      <c r="S1048">
        <v>1</v>
      </c>
      <c r="T1048">
        <v>1</v>
      </c>
      <c r="U1048">
        <v>1</v>
      </c>
      <c r="V1048">
        <v>1</v>
      </c>
      <c r="W1048">
        <v>1</v>
      </c>
      <c r="AA1048">
        <v>-8292.4974999999995</v>
      </c>
      <c r="AB1048">
        <v>-8292.4974999999995</v>
      </c>
      <c r="AC1048">
        <v>-8292.4974999999995</v>
      </c>
      <c r="AD1048">
        <v>-8292.4974999999995</v>
      </c>
      <c r="AE1048">
        <v>-8292.4974999999995</v>
      </c>
      <c r="AF1048">
        <v>-833551.75890000002</v>
      </c>
    </row>
    <row r="1049" spans="2:32" x14ac:dyDescent="0.25">
      <c r="B1049">
        <f t="shared" si="45"/>
        <v>43</v>
      </c>
      <c r="C1049">
        <v>1</v>
      </c>
      <c r="D1049">
        <v>1</v>
      </c>
      <c r="E1049">
        <v>1</v>
      </c>
      <c r="F1049">
        <v>1</v>
      </c>
      <c r="G1049">
        <v>1</v>
      </c>
      <c r="J1049">
        <f t="shared" si="46"/>
        <v>43</v>
      </c>
      <c r="K1049">
        <v>1</v>
      </c>
      <c r="L1049">
        <v>1</v>
      </c>
      <c r="M1049">
        <v>1</v>
      </c>
      <c r="N1049">
        <v>1</v>
      </c>
      <c r="O1049">
        <v>1</v>
      </c>
      <c r="R1049">
        <f t="shared" si="47"/>
        <v>43</v>
      </c>
      <c r="S1049">
        <v>1</v>
      </c>
      <c r="T1049">
        <v>1</v>
      </c>
      <c r="U1049">
        <v>1</v>
      </c>
      <c r="V1049">
        <v>1</v>
      </c>
      <c r="W1049">
        <v>1</v>
      </c>
      <c r="AA1049">
        <v>-8182.3909999999996</v>
      </c>
      <c r="AB1049">
        <v>-8182.3909999999996</v>
      </c>
      <c r="AC1049">
        <v>-8182.3909999999996</v>
      </c>
      <c r="AD1049">
        <v>-8182.3909999999996</v>
      </c>
      <c r="AE1049">
        <v>-8182.3909999999996</v>
      </c>
      <c r="AF1049">
        <v>-844950.93949999998</v>
      </c>
    </row>
    <row r="1050" spans="2:32" x14ac:dyDescent="0.25">
      <c r="B1050">
        <f t="shared" si="45"/>
        <v>44</v>
      </c>
      <c r="C1050">
        <v>1</v>
      </c>
      <c r="D1050">
        <v>1</v>
      </c>
      <c r="E1050">
        <v>1</v>
      </c>
      <c r="F1050">
        <v>1</v>
      </c>
      <c r="G1050">
        <v>1</v>
      </c>
      <c r="J1050">
        <f t="shared" si="46"/>
        <v>44</v>
      </c>
      <c r="K1050">
        <v>1</v>
      </c>
      <c r="L1050">
        <v>1</v>
      </c>
      <c r="M1050">
        <v>1</v>
      </c>
      <c r="N1050">
        <v>1</v>
      </c>
      <c r="O1050">
        <v>1</v>
      </c>
      <c r="R1050">
        <f t="shared" si="47"/>
        <v>44</v>
      </c>
      <c r="S1050">
        <v>1</v>
      </c>
      <c r="T1050">
        <v>1</v>
      </c>
      <c r="U1050">
        <v>1</v>
      </c>
      <c r="V1050">
        <v>1</v>
      </c>
      <c r="W1050">
        <v>1</v>
      </c>
      <c r="AA1050">
        <v>-8069.8261000000002</v>
      </c>
      <c r="AB1050">
        <v>-8069.8261000000002</v>
      </c>
      <c r="AC1050">
        <v>-8069.8261000000002</v>
      </c>
      <c r="AD1050">
        <v>-8069.8261000000002</v>
      </c>
      <c r="AE1050">
        <v>-8069.8261000000002</v>
      </c>
      <c r="AF1050">
        <v>-851265.64670000004</v>
      </c>
    </row>
    <row r="1051" spans="2:32" x14ac:dyDescent="0.25">
      <c r="B1051">
        <f t="shared" si="45"/>
        <v>45</v>
      </c>
      <c r="C1051">
        <v>1</v>
      </c>
      <c r="D1051">
        <v>1</v>
      </c>
      <c r="E1051">
        <v>1</v>
      </c>
      <c r="F1051">
        <v>1</v>
      </c>
      <c r="G1051">
        <v>1</v>
      </c>
      <c r="J1051">
        <f t="shared" si="46"/>
        <v>45</v>
      </c>
      <c r="K1051">
        <v>1</v>
      </c>
      <c r="L1051">
        <v>1</v>
      </c>
      <c r="M1051">
        <v>1</v>
      </c>
      <c r="N1051">
        <v>1</v>
      </c>
      <c r="O1051">
        <v>1</v>
      </c>
      <c r="R1051">
        <f t="shared" si="47"/>
        <v>45</v>
      </c>
      <c r="S1051">
        <v>1</v>
      </c>
      <c r="T1051">
        <v>1</v>
      </c>
      <c r="U1051">
        <v>1</v>
      </c>
      <c r="V1051">
        <v>1</v>
      </c>
      <c r="W1051">
        <v>1</v>
      </c>
      <c r="AA1051">
        <v>-7954.7533999999996</v>
      </c>
      <c r="AB1051">
        <v>-7954.7533999999996</v>
      </c>
      <c r="AC1051">
        <v>-7954.7533999999996</v>
      </c>
      <c r="AD1051">
        <v>-7954.7533999999996</v>
      </c>
      <c r="AE1051">
        <v>-7954.7533999999996</v>
      </c>
      <c r="AF1051">
        <v>-870649.02139999997</v>
      </c>
    </row>
    <row r="1052" spans="2:32" x14ac:dyDescent="0.25">
      <c r="B1052">
        <f t="shared" si="45"/>
        <v>46</v>
      </c>
      <c r="C1052">
        <v>1</v>
      </c>
      <c r="D1052">
        <v>1</v>
      </c>
      <c r="E1052">
        <v>1</v>
      </c>
      <c r="F1052">
        <v>1</v>
      </c>
      <c r="G1052">
        <v>1</v>
      </c>
      <c r="J1052">
        <f t="shared" si="46"/>
        <v>46</v>
      </c>
      <c r="K1052">
        <v>1</v>
      </c>
      <c r="L1052">
        <v>1</v>
      </c>
      <c r="M1052">
        <v>1</v>
      </c>
      <c r="N1052">
        <v>1</v>
      </c>
      <c r="O1052">
        <v>1</v>
      </c>
      <c r="R1052">
        <f t="shared" si="47"/>
        <v>46</v>
      </c>
      <c r="S1052">
        <v>1</v>
      </c>
      <c r="T1052">
        <v>1</v>
      </c>
      <c r="U1052">
        <v>1</v>
      </c>
      <c r="V1052">
        <v>1</v>
      </c>
      <c r="W1052">
        <v>1</v>
      </c>
      <c r="AA1052">
        <v>-7837.1754000000001</v>
      </c>
      <c r="AB1052">
        <v>-7837.1754000000001</v>
      </c>
      <c r="AC1052">
        <v>-7837.1754000000001</v>
      </c>
      <c r="AD1052">
        <v>-7837.1754000000001</v>
      </c>
      <c r="AE1052">
        <v>-7837.1754000000001</v>
      </c>
      <c r="AF1052">
        <v>-892550.54509999999</v>
      </c>
    </row>
    <row r="1053" spans="2:32" x14ac:dyDescent="0.25">
      <c r="B1053">
        <f t="shared" si="45"/>
        <v>47</v>
      </c>
      <c r="C1053">
        <v>1</v>
      </c>
      <c r="D1053">
        <v>1</v>
      </c>
      <c r="E1053">
        <v>1</v>
      </c>
      <c r="F1053">
        <v>1</v>
      </c>
      <c r="G1053">
        <v>1</v>
      </c>
      <c r="J1053">
        <f t="shared" si="46"/>
        <v>47</v>
      </c>
      <c r="K1053">
        <v>1</v>
      </c>
      <c r="L1053">
        <v>1</v>
      </c>
      <c r="M1053">
        <v>1</v>
      </c>
      <c r="N1053">
        <v>1</v>
      </c>
      <c r="O1053">
        <v>1</v>
      </c>
      <c r="R1053">
        <f t="shared" si="47"/>
        <v>47</v>
      </c>
      <c r="S1053">
        <v>1</v>
      </c>
      <c r="T1053">
        <v>1</v>
      </c>
      <c r="U1053">
        <v>1</v>
      </c>
      <c r="V1053">
        <v>1</v>
      </c>
      <c r="W1053">
        <v>1</v>
      </c>
      <c r="AA1053">
        <v>-7717.0294999999996</v>
      </c>
      <c r="AB1053">
        <v>-7717.0294999999996</v>
      </c>
      <c r="AC1053">
        <v>-7717.0294999999996</v>
      </c>
      <c r="AD1053">
        <v>-7717.0294999999996</v>
      </c>
      <c r="AE1053">
        <v>-7717.0294999999996</v>
      </c>
      <c r="AF1053">
        <v>-910915.81969999999</v>
      </c>
    </row>
    <row r="1054" spans="2:32" x14ac:dyDescent="0.25">
      <c r="B1054">
        <f t="shared" si="45"/>
        <v>48</v>
      </c>
      <c r="C1054">
        <v>1</v>
      </c>
      <c r="D1054">
        <v>1</v>
      </c>
      <c r="E1054">
        <v>1</v>
      </c>
      <c r="F1054">
        <v>1</v>
      </c>
      <c r="G1054">
        <v>1</v>
      </c>
      <c r="J1054">
        <f t="shared" si="46"/>
        <v>48</v>
      </c>
      <c r="K1054">
        <v>1</v>
      </c>
      <c r="L1054">
        <v>1</v>
      </c>
      <c r="M1054">
        <v>1</v>
      </c>
      <c r="N1054">
        <v>1</v>
      </c>
      <c r="O1054">
        <v>1</v>
      </c>
      <c r="R1054">
        <f t="shared" si="47"/>
        <v>48</v>
      </c>
      <c r="S1054">
        <v>1</v>
      </c>
      <c r="T1054">
        <v>1</v>
      </c>
      <c r="U1054">
        <v>1</v>
      </c>
      <c r="V1054">
        <v>1</v>
      </c>
      <c r="W1054">
        <v>1</v>
      </c>
      <c r="AA1054">
        <v>-7594.4201000000003</v>
      </c>
      <c r="AB1054">
        <v>-7594.4201000000003</v>
      </c>
      <c r="AC1054">
        <v>-7594.4201000000003</v>
      </c>
      <c r="AD1054">
        <v>-7594.4201000000003</v>
      </c>
      <c r="AE1054">
        <v>-7594.4201000000003</v>
      </c>
      <c r="AF1054">
        <v>-917891.87360000005</v>
      </c>
    </row>
    <row r="1055" spans="2:32" x14ac:dyDescent="0.25">
      <c r="B1055">
        <f t="shared" si="45"/>
        <v>49</v>
      </c>
      <c r="C1055">
        <v>1</v>
      </c>
      <c r="D1055">
        <v>1</v>
      </c>
      <c r="E1055">
        <v>1</v>
      </c>
      <c r="F1055">
        <v>1</v>
      </c>
      <c r="G1055">
        <v>1</v>
      </c>
      <c r="J1055">
        <f t="shared" si="46"/>
        <v>49</v>
      </c>
      <c r="K1055">
        <v>1</v>
      </c>
      <c r="L1055">
        <v>1</v>
      </c>
      <c r="M1055">
        <v>1</v>
      </c>
      <c r="N1055">
        <v>1</v>
      </c>
      <c r="O1055">
        <v>1</v>
      </c>
      <c r="R1055">
        <f t="shared" si="47"/>
        <v>49</v>
      </c>
      <c r="S1055">
        <v>1</v>
      </c>
      <c r="T1055">
        <v>1</v>
      </c>
      <c r="U1055">
        <v>1</v>
      </c>
      <c r="V1055">
        <v>1</v>
      </c>
      <c r="W1055">
        <v>1</v>
      </c>
      <c r="AA1055">
        <v>-7469.3995999999997</v>
      </c>
      <c r="AB1055">
        <v>-7469.3995999999997</v>
      </c>
      <c r="AC1055">
        <v>-7469.3995999999997</v>
      </c>
      <c r="AD1055">
        <v>-7469.3995999999997</v>
      </c>
      <c r="AE1055">
        <v>-7469.3995999999997</v>
      </c>
      <c r="AF1055">
        <v>-944521.72470000002</v>
      </c>
    </row>
    <row r="1056" spans="2:32" x14ac:dyDescent="0.25">
      <c r="B1056">
        <f t="shared" si="45"/>
        <v>50</v>
      </c>
      <c r="C1056">
        <v>1</v>
      </c>
      <c r="D1056">
        <v>1</v>
      </c>
      <c r="E1056">
        <v>1</v>
      </c>
      <c r="F1056">
        <v>1</v>
      </c>
      <c r="G1056">
        <v>1</v>
      </c>
      <c r="J1056">
        <f t="shared" si="46"/>
        <v>50</v>
      </c>
      <c r="K1056">
        <v>1</v>
      </c>
      <c r="L1056">
        <v>1</v>
      </c>
      <c r="M1056">
        <v>1</v>
      </c>
      <c r="N1056">
        <v>1</v>
      </c>
      <c r="O1056">
        <v>1</v>
      </c>
      <c r="R1056">
        <f t="shared" si="47"/>
        <v>50</v>
      </c>
      <c r="S1056">
        <v>1</v>
      </c>
      <c r="T1056">
        <v>1</v>
      </c>
      <c r="U1056">
        <v>1</v>
      </c>
      <c r="V1056">
        <v>1</v>
      </c>
      <c r="W1056">
        <v>1</v>
      </c>
      <c r="AA1056">
        <v>-7341.9502000000002</v>
      </c>
      <c r="AB1056">
        <v>-7341.9502000000002</v>
      </c>
      <c r="AC1056">
        <v>-7341.9502000000002</v>
      </c>
      <c r="AD1056">
        <v>-7341.9502000000002</v>
      </c>
      <c r="AE1056">
        <v>-7341.9502000000002</v>
      </c>
      <c r="AF1056">
        <v>-963257.14989999996</v>
      </c>
    </row>
    <row r="1057" spans="2:32" x14ac:dyDescent="0.25">
      <c r="B1057">
        <f t="shared" si="45"/>
        <v>51</v>
      </c>
      <c r="C1057">
        <v>1</v>
      </c>
      <c r="D1057">
        <v>1</v>
      </c>
      <c r="E1057">
        <v>1</v>
      </c>
      <c r="F1057">
        <v>1</v>
      </c>
      <c r="G1057">
        <v>1</v>
      </c>
      <c r="J1057">
        <f t="shared" si="46"/>
        <v>51</v>
      </c>
      <c r="K1057">
        <v>1</v>
      </c>
      <c r="L1057">
        <v>1</v>
      </c>
      <c r="M1057">
        <v>1</v>
      </c>
      <c r="N1057">
        <v>1</v>
      </c>
      <c r="O1057">
        <v>1</v>
      </c>
      <c r="R1057">
        <f t="shared" si="47"/>
        <v>51</v>
      </c>
      <c r="S1057">
        <v>1</v>
      </c>
      <c r="T1057">
        <v>1</v>
      </c>
      <c r="U1057">
        <v>1</v>
      </c>
      <c r="V1057">
        <v>1</v>
      </c>
      <c r="W1057">
        <v>1</v>
      </c>
      <c r="AA1057">
        <v>-7212.0646999999999</v>
      </c>
      <c r="AB1057">
        <v>-7212.0646999999999</v>
      </c>
      <c r="AC1057">
        <v>-7212.0646999999999</v>
      </c>
      <c r="AD1057">
        <v>-7212.0646999999999</v>
      </c>
      <c r="AE1057">
        <v>-7212.0646999999999</v>
      </c>
      <c r="AF1057">
        <v>-981592.90729999996</v>
      </c>
    </row>
    <row r="1058" spans="2:32" x14ac:dyDescent="0.25">
      <c r="B1058">
        <f t="shared" si="45"/>
        <v>52</v>
      </c>
      <c r="C1058">
        <v>1</v>
      </c>
      <c r="D1058">
        <v>1</v>
      </c>
      <c r="E1058">
        <v>1</v>
      </c>
      <c r="F1058">
        <v>1</v>
      </c>
      <c r="G1058">
        <v>1</v>
      </c>
      <c r="J1058">
        <f t="shared" si="46"/>
        <v>52</v>
      </c>
      <c r="K1058">
        <v>1</v>
      </c>
      <c r="L1058">
        <v>1</v>
      </c>
      <c r="M1058">
        <v>1</v>
      </c>
      <c r="N1058">
        <v>1</v>
      </c>
      <c r="O1058">
        <v>1</v>
      </c>
      <c r="R1058">
        <f t="shared" si="47"/>
        <v>52</v>
      </c>
      <c r="S1058">
        <v>1</v>
      </c>
      <c r="T1058">
        <v>1</v>
      </c>
      <c r="U1058">
        <v>1</v>
      </c>
      <c r="V1058">
        <v>1</v>
      </c>
      <c r="W1058">
        <v>1</v>
      </c>
      <c r="AA1058">
        <v>-7079.7435999999998</v>
      </c>
      <c r="AB1058">
        <v>-7079.7435999999998</v>
      </c>
      <c r="AC1058">
        <v>-7079.7435999999998</v>
      </c>
      <c r="AD1058">
        <v>-7079.7435999999998</v>
      </c>
      <c r="AE1058">
        <v>-7079.7435999999998</v>
      </c>
      <c r="AF1058">
        <v>-998556.10360000003</v>
      </c>
    </row>
    <row r="1059" spans="2:32" x14ac:dyDescent="0.25">
      <c r="B1059">
        <f t="shared" si="45"/>
        <v>53</v>
      </c>
      <c r="C1059">
        <v>1</v>
      </c>
      <c r="D1059">
        <v>1</v>
      </c>
      <c r="E1059">
        <v>1</v>
      </c>
      <c r="F1059">
        <v>1</v>
      </c>
      <c r="G1059">
        <v>1</v>
      </c>
      <c r="J1059">
        <f t="shared" si="46"/>
        <v>53</v>
      </c>
      <c r="K1059">
        <v>1</v>
      </c>
      <c r="L1059">
        <v>1</v>
      </c>
      <c r="M1059">
        <v>1</v>
      </c>
      <c r="N1059">
        <v>1</v>
      </c>
      <c r="O1059">
        <v>1</v>
      </c>
      <c r="R1059">
        <f t="shared" si="47"/>
        <v>53</v>
      </c>
      <c r="S1059">
        <v>1</v>
      </c>
      <c r="T1059">
        <v>1</v>
      </c>
      <c r="U1059">
        <v>1</v>
      </c>
      <c r="V1059">
        <v>1</v>
      </c>
      <c r="W1059">
        <v>1</v>
      </c>
      <c r="AA1059">
        <v>-6945.0875999999998</v>
      </c>
      <c r="AB1059">
        <v>-6945.0875999999998</v>
      </c>
      <c r="AC1059">
        <v>-6945.0875999999998</v>
      </c>
      <c r="AD1059">
        <v>-6945.0875999999998</v>
      </c>
      <c r="AE1059">
        <v>-6945.0875999999998</v>
      </c>
      <c r="AF1059">
        <v>-1015461.3278</v>
      </c>
    </row>
    <row r="1060" spans="2:32" x14ac:dyDescent="0.25">
      <c r="B1060">
        <f t="shared" si="45"/>
        <v>54</v>
      </c>
      <c r="C1060">
        <v>1</v>
      </c>
      <c r="D1060">
        <v>1</v>
      </c>
      <c r="E1060">
        <v>1</v>
      </c>
      <c r="F1060">
        <v>1</v>
      </c>
      <c r="G1060">
        <v>1</v>
      </c>
      <c r="J1060">
        <f t="shared" si="46"/>
        <v>54</v>
      </c>
      <c r="K1060">
        <v>1</v>
      </c>
      <c r="L1060">
        <v>1</v>
      </c>
      <c r="M1060">
        <v>1</v>
      </c>
      <c r="N1060">
        <v>1</v>
      </c>
      <c r="O1060">
        <v>1</v>
      </c>
      <c r="R1060">
        <f t="shared" si="47"/>
        <v>54</v>
      </c>
      <c r="S1060">
        <v>1</v>
      </c>
      <c r="T1060">
        <v>1</v>
      </c>
      <c r="U1060">
        <v>1</v>
      </c>
      <c r="V1060">
        <v>1</v>
      </c>
      <c r="W1060">
        <v>1</v>
      </c>
      <c r="AA1060">
        <v>-6808.2438000000002</v>
      </c>
      <c r="AB1060">
        <v>-6808.2438000000002</v>
      </c>
      <c r="AC1060">
        <v>-6808.2438000000002</v>
      </c>
      <c r="AD1060">
        <v>-6808.2438000000002</v>
      </c>
      <c r="AE1060">
        <v>-6808.2438000000002</v>
      </c>
      <c r="AF1060">
        <v>-1033869.6813000001</v>
      </c>
    </row>
    <row r="1061" spans="2:32" x14ac:dyDescent="0.25">
      <c r="B1061">
        <f t="shared" si="45"/>
        <v>55</v>
      </c>
      <c r="C1061">
        <v>1</v>
      </c>
      <c r="D1061">
        <v>1</v>
      </c>
      <c r="E1061">
        <v>1</v>
      </c>
      <c r="F1061">
        <v>1</v>
      </c>
      <c r="G1061">
        <v>1</v>
      </c>
      <c r="J1061">
        <f t="shared" si="46"/>
        <v>55</v>
      </c>
      <c r="K1061">
        <v>1</v>
      </c>
      <c r="L1061">
        <v>1</v>
      </c>
      <c r="M1061">
        <v>1</v>
      </c>
      <c r="N1061">
        <v>1</v>
      </c>
      <c r="O1061">
        <v>1</v>
      </c>
      <c r="R1061">
        <f t="shared" si="47"/>
        <v>55</v>
      </c>
      <c r="S1061">
        <v>1</v>
      </c>
      <c r="T1061">
        <v>1</v>
      </c>
      <c r="U1061">
        <v>1</v>
      </c>
      <c r="V1061">
        <v>1</v>
      </c>
      <c r="W1061">
        <v>1</v>
      </c>
      <c r="AA1061">
        <v>-6669.2525999999998</v>
      </c>
      <c r="AB1061">
        <v>-6669.2525999999998</v>
      </c>
      <c r="AC1061">
        <v>-6669.2525999999998</v>
      </c>
      <c r="AD1061">
        <v>-6669.2525999999998</v>
      </c>
      <c r="AE1061">
        <v>-6669.2525999999998</v>
      </c>
      <c r="AF1061">
        <v>-1050810.2549999999</v>
      </c>
    </row>
    <row r="1062" spans="2:32" x14ac:dyDescent="0.25">
      <c r="B1062">
        <f t="shared" si="45"/>
        <v>56</v>
      </c>
      <c r="C1062">
        <v>1</v>
      </c>
      <c r="D1062">
        <v>1</v>
      </c>
      <c r="E1062">
        <v>1</v>
      </c>
      <c r="F1062">
        <v>1</v>
      </c>
      <c r="G1062">
        <v>1</v>
      </c>
      <c r="J1062">
        <f t="shared" si="46"/>
        <v>56</v>
      </c>
      <c r="K1062">
        <v>1</v>
      </c>
      <c r="L1062">
        <v>1</v>
      </c>
      <c r="M1062">
        <v>1</v>
      </c>
      <c r="N1062">
        <v>1</v>
      </c>
      <c r="O1062">
        <v>1</v>
      </c>
      <c r="R1062">
        <f t="shared" si="47"/>
        <v>56</v>
      </c>
      <c r="S1062">
        <v>1</v>
      </c>
      <c r="T1062">
        <v>1</v>
      </c>
      <c r="U1062">
        <v>1</v>
      </c>
      <c r="V1062">
        <v>1</v>
      </c>
      <c r="W1062">
        <v>1</v>
      </c>
      <c r="AA1062">
        <v>-6528.2992000000004</v>
      </c>
      <c r="AB1062">
        <v>-6528.2992000000004</v>
      </c>
      <c r="AC1062">
        <v>-6528.2992000000004</v>
      </c>
      <c r="AD1062">
        <v>-6528.2992000000004</v>
      </c>
      <c r="AE1062">
        <v>-6528.2992000000004</v>
      </c>
      <c r="AF1062">
        <v>-1073295.8774000001</v>
      </c>
    </row>
    <row r="1063" spans="2:32" x14ac:dyDescent="0.25">
      <c r="B1063">
        <f t="shared" si="45"/>
        <v>57</v>
      </c>
      <c r="C1063">
        <v>1</v>
      </c>
      <c r="D1063">
        <v>1</v>
      </c>
      <c r="E1063">
        <v>1</v>
      </c>
      <c r="F1063">
        <v>1</v>
      </c>
      <c r="G1063">
        <v>1</v>
      </c>
      <c r="J1063">
        <f t="shared" si="46"/>
        <v>57</v>
      </c>
      <c r="K1063">
        <v>1</v>
      </c>
      <c r="L1063">
        <v>1</v>
      </c>
      <c r="M1063">
        <v>1</v>
      </c>
      <c r="N1063">
        <v>1</v>
      </c>
      <c r="O1063">
        <v>1</v>
      </c>
      <c r="R1063">
        <f t="shared" si="47"/>
        <v>57</v>
      </c>
      <c r="S1063">
        <v>1</v>
      </c>
      <c r="T1063">
        <v>1</v>
      </c>
      <c r="U1063">
        <v>1</v>
      </c>
      <c r="V1063">
        <v>1</v>
      </c>
      <c r="W1063">
        <v>1</v>
      </c>
      <c r="AA1063">
        <v>-6385.5230000000001</v>
      </c>
      <c r="AB1063">
        <v>-6385.5230000000001</v>
      </c>
      <c r="AC1063">
        <v>-6385.5230000000001</v>
      </c>
      <c r="AD1063">
        <v>-6385.5230000000001</v>
      </c>
      <c r="AE1063">
        <v>-6385.5230000000001</v>
      </c>
      <c r="AF1063">
        <v>-1093242.6832999999</v>
      </c>
    </row>
    <row r="1064" spans="2:32" x14ac:dyDescent="0.25">
      <c r="B1064">
        <f t="shared" si="45"/>
        <v>58</v>
      </c>
      <c r="C1064">
        <v>1</v>
      </c>
      <c r="D1064">
        <v>1</v>
      </c>
      <c r="E1064">
        <v>1</v>
      </c>
      <c r="F1064">
        <v>1</v>
      </c>
      <c r="G1064">
        <v>1</v>
      </c>
      <c r="J1064">
        <f t="shared" si="46"/>
        <v>58</v>
      </c>
      <c r="K1064">
        <v>1</v>
      </c>
      <c r="L1064">
        <v>1</v>
      </c>
      <c r="M1064">
        <v>1</v>
      </c>
      <c r="N1064">
        <v>1</v>
      </c>
      <c r="O1064">
        <v>1</v>
      </c>
      <c r="R1064">
        <f t="shared" si="47"/>
        <v>58</v>
      </c>
      <c r="S1064">
        <v>1</v>
      </c>
      <c r="T1064">
        <v>1</v>
      </c>
      <c r="U1064">
        <v>1</v>
      </c>
      <c r="V1064">
        <v>1</v>
      </c>
      <c r="W1064">
        <v>1</v>
      </c>
      <c r="AA1064">
        <v>-6240.8730999999998</v>
      </c>
      <c r="AB1064">
        <v>-6240.8730999999998</v>
      </c>
      <c r="AC1064">
        <v>-6240.8730999999998</v>
      </c>
      <c r="AD1064">
        <v>-6240.8730999999998</v>
      </c>
      <c r="AE1064">
        <v>-6240.8730999999998</v>
      </c>
      <c r="AF1064">
        <v>-1114366.6444000001</v>
      </c>
    </row>
    <row r="1065" spans="2:32" x14ac:dyDescent="0.25">
      <c r="B1065">
        <f t="shared" si="45"/>
        <v>59</v>
      </c>
      <c r="C1065">
        <v>1</v>
      </c>
      <c r="D1065">
        <v>1</v>
      </c>
      <c r="E1065">
        <v>1</v>
      </c>
      <c r="F1065">
        <v>1</v>
      </c>
      <c r="G1065">
        <v>1</v>
      </c>
      <c r="J1065">
        <f t="shared" si="46"/>
        <v>59</v>
      </c>
      <c r="K1065">
        <v>1</v>
      </c>
      <c r="L1065">
        <v>1</v>
      </c>
      <c r="M1065">
        <v>1</v>
      </c>
      <c r="N1065">
        <v>1</v>
      </c>
      <c r="O1065">
        <v>1</v>
      </c>
      <c r="R1065">
        <f t="shared" si="47"/>
        <v>59</v>
      </c>
      <c r="S1065">
        <v>1</v>
      </c>
      <c r="T1065">
        <v>1</v>
      </c>
      <c r="U1065">
        <v>1</v>
      </c>
      <c r="V1065">
        <v>1</v>
      </c>
      <c r="W1065">
        <v>1</v>
      </c>
      <c r="AA1065">
        <v>-6094.3262999999997</v>
      </c>
      <c r="AB1065">
        <v>-6094.3262999999997</v>
      </c>
      <c r="AC1065">
        <v>-6094.3262999999997</v>
      </c>
      <c r="AD1065">
        <v>-6094.3262999999997</v>
      </c>
      <c r="AE1065">
        <v>-6094.3262999999997</v>
      </c>
      <c r="AF1065">
        <v>-1136284.0146999999</v>
      </c>
    </row>
    <row r="1066" spans="2:32" x14ac:dyDescent="0.25">
      <c r="B1066">
        <f t="shared" si="45"/>
        <v>60</v>
      </c>
      <c r="C1066">
        <v>1</v>
      </c>
      <c r="D1066">
        <v>1</v>
      </c>
      <c r="E1066">
        <v>1</v>
      </c>
      <c r="F1066">
        <v>1</v>
      </c>
      <c r="G1066">
        <v>1</v>
      </c>
      <c r="J1066">
        <f t="shared" si="46"/>
        <v>60</v>
      </c>
      <c r="K1066">
        <v>1</v>
      </c>
      <c r="L1066">
        <v>1</v>
      </c>
      <c r="M1066">
        <v>1</v>
      </c>
      <c r="N1066">
        <v>1</v>
      </c>
      <c r="O1066">
        <v>1</v>
      </c>
      <c r="R1066">
        <f t="shared" si="47"/>
        <v>60</v>
      </c>
      <c r="S1066">
        <v>1</v>
      </c>
      <c r="T1066">
        <v>1</v>
      </c>
      <c r="U1066">
        <v>1</v>
      </c>
      <c r="V1066">
        <v>1</v>
      </c>
      <c r="W1066">
        <v>1</v>
      </c>
      <c r="AA1066">
        <v>-5945.9960000000001</v>
      </c>
      <c r="AB1066">
        <v>-5945.9960000000001</v>
      </c>
      <c r="AC1066">
        <v>-5945.9960000000001</v>
      </c>
      <c r="AD1066">
        <v>-5945.9960000000001</v>
      </c>
      <c r="AE1066">
        <v>-5945.9960000000001</v>
      </c>
      <c r="AF1066">
        <v>-1157801.6717999999</v>
      </c>
    </row>
    <row r="1067" spans="2:32" x14ac:dyDescent="0.25">
      <c r="B1067">
        <f t="shared" si="45"/>
        <v>61</v>
      </c>
      <c r="C1067">
        <v>1</v>
      </c>
      <c r="D1067">
        <v>1</v>
      </c>
      <c r="E1067">
        <v>1</v>
      </c>
      <c r="F1067">
        <v>1</v>
      </c>
      <c r="G1067">
        <v>1</v>
      </c>
      <c r="J1067">
        <f t="shared" si="46"/>
        <v>61</v>
      </c>
      <c r="K1067">
        <v>1</v>
      </c>
      <c r="L1067">
        <v>1</v>
      </c>
      <c r="M1067">
        <v>1</v>
      </c>
      <c r="N1067">
        <v>1</v>
      </c>
      <c r="O1067">
        <v>1</v>
      </c>
      <c r="R1067">
        <f t="shared" si="47"/>
        <v>61</v>
      </c>
      <c r="S1067">
        <v>1</v>
      </c>
      <c r="T1067">
        <v>1</v>
      </c>
      <c r="U1067">
        <v>1</v>
      </c>
      <c r="V1067">
        <v>1</v>
      </c>
      <c r="W1067">
        <v>1</v>
      </c>
      <c r="AA1067">
        <v>-5796.3015999999998</v>
      </c>
      <c r="AB1067">
        <v>-5796.3015999999998</v>
      </c>
      <c r="AC1067">
        <v>-5796.3015999999998</v>
      </c>
      <c r="AD1067">
        <v>-5796.3015999999998</v>
      </c>
      <c r="AE1067">
        <v>-5796.3015999999998</v>
      </c>
      <c r="AF1067">
        <v>-1178581.4038</v>
      </c>
    </row>
    <row r="1068" spans="2:32" x14ac:dyDescent="0.25">
      <c r="B1068">
        <f t="shared" si="45"/>
        <v>62</v>
      </c>
      <c r="C1068">
        <v>1</v>
      </c>
      <c r="D1068">
        <v>1</v>
      </c>
      <c r="E1068">
        <v>1</v>
      </c>
      <c r="F1068">
        <v>1</v>
      </c>
      <c r="G1068">
        <v>1</v>
      </c>
      <c r="J1068">
        <f t="shared" si="46"/>
        <v>62</v>
      </c>
      <c r="K1068">
        <v>1</v>
      </c>
      <c r="L1068">
        <v>1</v>
      </c>
      <c r="M1068">
        <v>1</v>
      </c>
      <c r="N1068">
        <v>1</v>
      </c>
      <c r="O1068">
        <v>1</v>
      </c>
      <c r="R1068">
        <f t="shared" si="47"/>
        <v>62</v>
      </c>
      <c r="S1068">
        <v>1</v>
      </c>
      <c r="T1068">
        <v>1</v>
      </c>
      <c r="U1068">
        <v>1</v>
      </c>
      <c r="V1068">
        <v>1</v>
      </c>
      <c r="W1068">
        <v>1</v>
      </c>
      <c r="AA1068">
        <v>-5645.2415000000001</v>
      </c>
      <c r="AB1068">
        <v>-5645.2415000000001</v>
      </c>
      <c r="AC1068">
        <v>-5645.2415000000001</v>
      </c>
      <c r="AD1068">
        <v>-5645.2415000000001</v>
      </c>
      <c r="AE1068">
        <v>-5645.2415000000001</v>
      </c>
      <c r="AF1068">
        <v>-1199521.5327000001</v>
      </c>
    </row>
    <row r="1069" spans="2:32" x14ac:dyDescent="0.25">
      <c r="B1069">
        <f t="shared" si="45"/>
        <v>63</v>
      </c>
      <c r="C1069">
        <v>1</v>
      </c>
      <c r="D1069">
        <v>1</v>
      </c>
      <c r="E1069">
        <v>1</v>
      </c>
      <c r="F1069">
        <v>1</v>
      </c>
      <c r="G1069">
        <v>1</v>
      </c>
      <c r="J1069">
        <f t="shared" si="46"/>
        <v>63</v>
      </c>
      <c r="K1069">
        <v>1</v>
      </c>
      <c r="L1069">
        <v>1</v>
      </c>
      <c r="M1069">
        <v>1</v>
      </c>
      <c r="N1069">
        <v>1</v>
      </c>
      <c r="O1069">
        <v>1</v>
      </c>
      <c r="R1069">
        <f t="shared" si="47"/>
        <v>63</v>
      </c>
      <c r="S1069">
        <v>1</v>
      </c>
      <c r="T1069">
        <v>1</v>
      </c>
      <c r="U1069">
        <v>1</v>
      </c>
      <c r="V1069">
        <v>1</v>
      </c>
      <c r="W1069">
        <v>1</v>
      </c>
      <c r="AA1069">
        <v>-5492.4920000000002</v>
      </c>
      <c r="AB1069">
        <v>-5492.4920000000002</v>
      </c>
      <c r="AC1069">
        <v>-5492.4920000000002</v>
      </c>
      <c r="AD1069">
        <v>-5492.4920000000002</v>
      </c>
      <c r="AE1069">
        <v>-5492.4920000000002</v>
      </c>
      <c r="AF1069">
        <v>-1220461.6269</v>
      </c>
    </row>
    <row r="1070" spans="2:32" x14ac:dyDescent="0.25">
      <c r="B1070">
        <f t="shared" si="45"/>
        <v>64</v>
      </c>
      <c r="C1070">
        <v>1</v>
      </c>
      <c r="D1070">
        <v>1</v>
      </c>
      <c r="E1070">
        <v>1</v>
      </c>
      <c r="F1070">
        <v>1</v>
      </c>
      <c r="G1070">
        <v>1</v>
      </c>
      <c r="J1070">
        <f t="shared" si="46"/>
        <v>64</v>
      </c>
      <c r="K1070">
        <v>1</v>
      </c>
      <c r="L1070">
        <v>1</v>
      </c>
      <c r="M1070">
        <v>1</v>
      </c>
      <c r="N1070">
        <v>1</v>
      </c>
      <c r="O1070">
        <v>1</v>
      </c>
      <c r="R1070">
        <f t="shared" si="47"/>
        <v>64</v>
      </c>
      <c r="S1070">
        <v>1</v>
      </c>
      <c r="T1070">
        <v>1</v>
      </c>
      <c r="U1070">
        <v>1</v>
      </c>
      <c r="V1070">
        <v>1</v>
      </c>
      <c r="W1070">
        <v>1</v>
      </c>
      <c r="AA1070">
        <v>-5338.1817000000001</v>
      </c>
      <c r="AB1070">
        <v>-5338.1817000000001</v>
      </c>
      <c r="AC1070">
        <v>-5338.1817000000001</v>
      </c>
      <c r="AD1070">
        <v>-5338.1817000000001</v>
      </c>
      <c r="AE1070">
        <v>-5338.1817000000001</v>
      </c>
      <c r="AF1070">
        <v>-1240652.2526</v>
      </c>
    </row>
    <row r="1071" spans="2:32" x14ac:dyDescent="0.25">
      <c r="B1071">
        <f t="shared" si="45"/>
        <v>65</v>
      </c>
      <c r="C1071">
        <v>1</v>
      </c>
      <c r="D1071">
        <v>1</v>
      </c>
      <c r="E1071">
        <v>1</v>
      </c>
      <c r="F1071">
        <v>1</v>
      </c>
      <c r="G1071">
        <v>1</v>
      </c>
      <c r="J1071">
        <f t="shared" si="46"/>
        <v>65</v>
      </c>
      <c r="K1071">
        <v>1</v>
      </c>
      <c r="L1071">
        <v>1</v>
      </c>
      <c r="M1071">
        <v>1</v>
      </c>
      <c r="N1071">
        <v>1</v>
      </c>
      <c r="O1071">
        <v>1</v>
      </c>
      <c r="R1071">
        <f t="shared" si="47"/>
        <v>65</v>
      </c>
      <c r="S1071">
        <v>1</v>
      </c>
      <c r="T1071">
        <v>1</v>
      </c>
      <c r="U1071">
        <v>1</v>
      </c>
      <c r="V1071">
        <v>1</v>
      </c>
      <c r="W1071">
        <v>1</v>
      </c>
      <c r="AA1071">
        <v>-5182.2268999999997</v>
      </c>
      <c r="AB1071">
        <v>-5182.2268999999997</v>
      </c>
      <c r="AC1071">
        <v>-5182.2268999999997</v>
      </c>
      <c r="AD1071">
        <v>-5182.2268999999997</v>
      </c>
      <c r="AE1071">
        <v>-5182.2268999999997</v>
      </c>
      <c r="AF1071">
        <v>-1260049.8302</v>
      </c>
    </row>
    <row r="1074" spans="2:32" x14ac:dyDescent="0.25">
      <c r="B1074" t="s">
        <v>46</v>
      </c>
      <c r="C1074">
        <v>50000</v>
      </c>
      <c r="D1074">
        <v>100000</v>
      </c>
      <c r="E1074">
        <v>250000</v>
      </c>
      <c r="F1074">
        <v>500000</v>
      </c>
      <c r="G1074">
        <v>1000000</v>
      </c>
      <c r="H1074">
        <v>2000000</v>
      </c>
      <c r="J1074" t="s">
        <v>47</v>
      </c>
      <c r="K1074">
        <v>50000</v>
      </c>
      <c r="L1074">
        <v>100000</v>
      </c>
      <c r="M1074">
        <v>250000</v>
      </c>
      <c r="N1074">
        <v>500000</v>
      </c>
      <c r="O1074">
        <v>1000000</v>
      </c>
      <c r="P1074">
        <v>2000000</v>
      </c>
      <c r="R1074" t="s">
        <v>48</v>
      </c>
      <c r="S1074">
        <v>50000</v>
      </c>
      <c r="T1074">
        <v>100000</v>
      </c>
      <c r="U1074">
        <v>250000</v>
      </c>
      <c r="V1074">
        <v>500000</v>
      </c>
      <c r="W1074">
        <v>1000000</v>
      </c>
      <c r="X1074">
        <v>2000000</v>
      </c>
    </row>
    <row r="1075" spans="2:32" x14ac:dyDescent="0.25">
      <c r="B1075">
        <v>26</v>
      </c>
      <c r="C1075">
        <v>1</v>
      </c>
      <c r="D1075">
        <v>1</v>
      </c>
      <c r="E1075">
        <v>1</v>
      </c>
      <c r="F1075">
        <v>1</v>
      </c>
      <c r="G1075">
        <v>1</v>
      </c>
      <c r="H1075">
        <v>1</v>
      </c>
      <c r="J1075">
        <v>26</v>
      </c>
      <c r="K1075">
        <v>1</v>
      </c>
      <c r="L1075">
        <v>1</v>
      </c>
      <c r="M1075">
        <v>1</v>
      </c>
      <c r="N1075">
        <v>1</v>
      </c>
      <c r="O1075">
        <v>1</v>
      </c>
      <c r="P1075">
        <v>1</v>
      </c>
      <c r="R1075">
        <v>26</v>
      </c>
      <c r="S1075">
        <v>1</v>
      </c>
      <c r="T1075">
        <v>1</v>
      </c>
      <c r="U1075">
        <v>1</v>
      </c>
      <c r="V1075">
        <v>1</v>
      </c>
      <c r="W1075">
        <v>1</v>
      </c>
      <c r="X1075">
        <v>1</v>
      </c>
      <c r="AA1075">
        <v>-5174.8482999999997</v>
      </c>
      <c r="AB1075">
        <v>-5174.8482999999997</v>
      </c>
      <c r="AC1075">
        <v>-5174.8482999999997</v>
      </c>
      <c r="AD1075">
        <v>-5174.8482999999997</v>
      </c>
      <c r="AE1075">
        <v>-5174.8482999999997</v>
      </c>
      <c r="AF1075">
        <v>-5174.8482999999997</v>
      </c>
    </row>
    <row r="1076" spans="2:32" x14ac:dyDescent="0.25">
      <c r="B1076">
        <v>27</v>
      </c>
      <c r="C1076">
        <v>1</v>
      </c>
      <c r="D1076">
        <v>1</v>
      </c>
      <c r="E1076">
        <v>1</v>
      </c>
      <c r="F1076">
        <v>1</v>
      </c>
      <c r="G1076">
        <v>1</v>
      </c>
      <c r="H1076">
        <v>1</v>
      </c>
      <c r="J1076">
        <v>27</v>
      </c>
      <c r="K1076">
        <v>1</v>
      </c>
      <c r="L1076">
        <v>1</v>
      </c>
      <c r="M1076">
        <v>1</v>
      </c>
      <c r="N1076">
        <v>1</v>
      </c>
      <c r="O1076">
        <v>1</v>
      </c>
      <c r="P1076">
        <v>1</v>
      </c>
      <c r="R1076">
        <v>27</v>
      </c>
      <c r="S1076">
        <v>1</v>
      </c>
      <c r="T1076">
        <v>1</v>
      </c>
      <c r="U1076">
        <v>1</v>
      </c>
      <c r="V1076">
        <v>1</v>
      </c>
      <c r="W1076">
        <v>1</v>
      </c>
      <c r="X1076">
        <v>1</v>
      </c>
      <c r="AA1076">
        <v>-5173.6036999999997</v>
      </c>
      <c r="AB1076">
        <v>-5173.6036999999997</v>
      </c>
      <c r="AC1076">
        <v>-5173.6036999999997</v>
      </c>
      <c r="AD1076">
        <v>-5173.6036999999997</v>
      </c>
      <c r="AE1076">
        <v>-5173.6036999999997</v>
      </c>
      <c r="AF1076">
        <v>-5173.6036999999997</v>
      </c>
    </row>
    <row r="1077" spans="2:32" x14ac:dyDescent="0.25">
      <c r="B1077">
        <v>28</v>
      </c>
      <c r="C1077">
        <v>1</v>
      </c>
      <c r="D1077">
        <v>1</v>
      </c>
      <c r="E1077">
        <v>1</v>
      </c>
      <c r="F1077">
        <v>1</v>
      </c>
      <c r="G1077">
        <v>1</v>
      </c>
      <c r="H1077">
        <v>1</v>
      </c>
      <c r="J1077">
        <v>28</v>
      </c>
      <c r="K1077">
        <v>1</v>
      </c>
      <c r="L1077">
        <v>1</v>
      </c>
      <c r="M1077">
        <v>1</v>
      </c>
      <c r="N1077">
        <v>1</v>
      </c>
      <c r="O1077">
        <v>1</v>
      </c>
      <c r="P1077">
        <v>1</v>
      </c>
      <c r="R1077">
        <v>28</v>
      </c>
      <c r="S1077">
        <v>1</v>
      </c>
      <c r="T1077">
        <v>1</v>
      </c>
      <c r="U1077">
        <v>1</v>
      </c>
      <c r="V1077">
        <v>1</v>
      </c>
      <c r="W1077">
        <v>1</v>
      </c>
      <c r="X1077">
        <v>1</v>
      </c>
      <c r="AA1077">
        <v>-5172.1755999999996</v>
      </c>
      <c r="AB1077">
        <v>-5172.1755999999996</v>
      </c>
      <c r="AC1077">
        <v>-5172.1755999999996</v>
      </c>
      <c r="AD1077">
        <v>-5172.1755999999996</v>
      </c>
      <c r="AE1077">
        <v>-5172.1755999999996</v>
      </c>
      <c r="AF1077">
        <v>-5172.1755999999996</v>
      </c>
    </row>
    <row r="1078" spans="2:32" x14ac:dyDescent="0.25">
      <c r="B1078">
        <v>29</v>
      </c>
      <c r="C1078">
        <v>1</v>
      </c>
      <c r="D1078">
        <v>1</v>
      </c>
      <c r="E1078">
        <v>1</v>
      </c>
      <c r="F1078">
        <v>1</v>
      </c>
      <c r="G1078">
        <v>1</v>
      </c>
      <c r="H1078">
        <v>1</v>
      </c>
      <c r="J1078">
        <v>29</v>
      </c>
      <c r="K1078">
        <v>1</v>
      </c>
      <c r="L1078">
        <v>1</v>
      </c>
      <c r="M1078">
        <v>1</v>
      </c>
      <c r="N1078">
        <v>1</v>
      </c>
      <c r="O1078">
        <v>1</v>
      </c>
      <c r="P1078">
        <v>1</v>
      </c>
      <c r="R1078">
        <v>29</v>
      </c>
      <c r="S1078">
        <v>1</v>
      </c>
      <c r="T1078">
        <v>1</v>
      </c>
      <c r="U1078">
        <v>1</v>
      </c>
      <c r="V1078">
        <v>1</v>
      </c>
      <c r="W1078">
        <v>1</v>
      </c>
      <c r="X1078">
        <v>1</v>
      </c>
      <c r="AA1078">
        <v>-5170.5482000000002</v>
      </c>
      <c r="AB1078">
        <v>-5170.5482000000002</v>
      </c>
      <c r="AC1078">
        <v>-5170.5482000000002</v>
      </c>
      <c r="AD1078">
        <v>-5170.5482000000002</v>
      </c>
      <c r="AE1078">
        <v>-5170.5482000000002</v>
      </c>
      <c r="AF1078">
        <v>-5170.5482000000002</v>
      </c>
    </row>
    <row r="1079" spans="2:32" x14ac:dyDescent="0.25">
      <c r="B1079">
        <v>30</v>
      </c>
      <c r="C1079">
        <v>1</v>
      </c>
      <c r="D1079">
        <v>1</v>
      </c>
      <c r="E1079">
        <v>1</v>
      </c>
      <c r="F1079">
        <v>1</v>
      </c>
      <c r="G1079">
        <v>1</v>
      </c>
      <c r="H1079">
        <v>1</v>
      </c>
      <c r="J1079">
        <v>30</v>
      </c>
      <c r="K1079">
        <v>1</v>
      </c>
      <c r="L1079">
        <v>1</v>
      </c>
      <c r="M1079">
        <v>1</v>
      </c>
      <c r="N1079">
        <v>1</v>
      </c>
      <c r="O1079">
        <v>1</v>
      </c>
      <c r="P1079">
        <v>1</v>
      </c>
      <c r="R1079">
        <v>30</v>
      </c>
      <c r="S1079">
        <v>1</v>
      </c>
      <c r="T1079">
        <v>1</v>
      </c>
      <c r="U1079">
        <v>1</v>
      </c>
      <c r="V1079">
        <v>1</v>
      </c>
      <c r="W1079">
        <v>1</v>
      </c>
      <c r="X1079">
        <v>1</v>
      </c>
      <c r="AA1079">
        <v>-5168.6908999999996</v>
      </c>
      <c r="AB1079">
        <v>-5168.6908999999996</v>
      </c>
      <c r="AC1079">
        <v>-5168.6908999999996</v>
      </c>
      <c r="AD1079">
        <v>-5168.6908999999996</v>
      </c>
      <c r="AE1079">
        <v>-5168.6908999999996</v>
      </c>
      <c r="AF1079">
        <v>-5168.6908999999996</v>
      </c>
    </row>
    <row r="1080" spans="2:32" x14ac:dyDescent="0.25">
      <c r="B1080">
        <v>31</v>
      </c>
      <c r="C1080">
        <v>1</v>
      </c>
      <c r="D1080">
        <v>1</v>
      </c>
      <c r="E1080">
        <v>1</v>
      </c>
      <c r="F1080">
        <v>1</v>
      </c>
      <c r="G1080">
        <v>1</v>
      </c>
      <c r="H1080">
        <v>1</v>
      </c>
      <c r="J1080">
        <v>31</v>
      </c>
      <c r="K1080">
        <v>1</v>
      </c>
      <c r="L1080">
        <v>1</v>
      </c>
      <c r="M1080">
        <v>1</v>
      </c>
      <c r="N1080">
        <v>1</v>
      </c>
      <c r="O1080">
        <v>1</v>
      </c>
      <c r="P1080">
        <v>1</v>
      </c>
      <c r="R1080">
        <v>31</v>
      </c>
      <c r="S1080">
        <v>1</v>
      </c>
      <c r="T1080">
        <v>1</v>
      </c>
      <c r="U1080">
        <v>1</v>
      </c>
      <c r="V1080">
        <v>1</v>
      </c>
      <c r="W1080">
        <v>1</v>
      </c>
      <c r="X1080">
        <v>1</v>
      </c>
      <c r="AA1080">
        <v>-5166.5891000000001</v>
      </c>
      <c r="AB1080">
        <v>-5166.5891000000001</v>
      </c>
      <c r="AC1080">
        <v>-5166.5891000000001</v>
      </c>
      <c r="AD1080">
        <v>-5166.5891000000001</v>
      </c>
      <c r="AE1080">
        <v>-5166.5891000000001</v>
      </c>
      <c r="AF1080">
        <v>-5166.5891000000001</v>
      </c>
    </row>
    <row r="1081" spans="2:32" x14ac:dyDescent="0.25">
      <c r="B1081">
        <v>32</v>
      </c>
      <c r="C1081">
        <v>1</v>
      </c>
      <c r="D1081">
        <v>1</v>
      </c>
      <c r="E1081">
        <v>1</v>
      </c>
      <c r="F1081">
        <v>1</v>
      </c>
      <c r="G1081">
        <v>1</v>
      </c>
      <c r="H1081">
        <v>1</v>
      </c>
      <c r="J1081">
        <v>32</v>
      </c>
      <c r="K1081">
        <v>1</v>
      </c>
      <c r="L1081">
        <v>1</v>
      </c>
      <c r="M1081">
        <v>1</v>
      </c>
      <c r="N1081">
        <v>1</v>
      </c>
      <c r="O1081">
        <v>1</v>
      </c>
      <c r="P1081">
        <v>1</v>
      </c>
      <c r="R1081">
        <v>32</v>
      </c>
      <c r="S1081">
        <v>1</v>
      </c>
      <c r="T1081">
        <v>1</v>
      </c>
      <c r="U1081">
        <v>1</v>
      </c>
      <c r="V1081">
        <v>1</v>
      </c>
      <c r="W1081">
        <v>1</v>
      </c>
      <c r="X1081">
        <v>1</v>
      </c>
      <c r="AA1081">
        <v>-5164.2407000000003</v>
      </c>
      <c r="AB1081">
        <v>-5164.2407000000003</v>
      </c>
      <c r="AC1081">
        <v>-5164.2407000000003</v>
      </c>
      <c r="AD1081">
        <v>-5164.2407000000003</v>
      </c>
      <c r="AE1081">
        <v>-5164.2407000000003</v>
      </c>
      <c r="AF1081">
        <v>-5164.2407000000003</v>
      </c>
    </row>
    <row r="1082" spans="2:32" x14ac:dyDescent="0.25">
      <c r="B1082">
        <v>33</v>
      </c>
      <c r="C1082">
        <v>1</v>
      </c>
      <c r="D1082">
        <v>1</v>
      </c>
      <c r="E1082">
        <v>1</v>
      </c>
      <c r="F1082">
        <v>1</v>
      </c>
      <c r="G1082">
        <v>1</v>
      </c>
      <c r="H1082">
        <v>1</v>
      </c>
      <c r="J1082">
        <v>33</v>
      </c>
      <c r="K1082">
        <v>1</v>
      </c>
      <c r="L1082">
        <v>1</v>
      </c>
      <c r="M1082">
        <v>1</v>
      </c>
      <c r="N1082">
        <v>1</v>
      </c>
      <c r="O1082">
        <v>1</v>
      </c>
      <c r="P1082">
        <v>1</v>
      </c>
      <c r="R1082">
        <v>33</v>
      </c>
      <c r="S1082">
        <v>1</v>
      </c>
      <c r="T1082">
        <v>1</v>
      </c>
      <c r="U1082">
        <v>1</v>
      </c>
      <c r="V1082">
        <v>1</v>
      </c>
      <c r="W1082">
        <v>1</v>
      </c>
      <c r="X1082">
        <v>1</v>
      </c>
      <c r="AA1082">
        <v>-5161.6318000000001</v>
      </c>
      <c r="AB1082">
        <v>-5161.6318000000001</v>
      </c>
      <c r="AC1082">
        <v>-5161.6318000000001</v>
      </c>
      <c r="AD1082">
        <v>-5161.6318000000001</v>
      </c>
      <c r="AE1082">
        <v>-5161.6318000000001</v>
      </c>
      <c r="AF1082">
        <v>-5161.6318000000001</v>
      </c>
    </row>
    <row r="1083" spans="2:32" x14ac:dyDescent="0.25">
      <c r="B1083">
        <v>34</v>
      </c>
      <c r="C1083">
        <v>1</v>
      </c>
      <c r="D1083">
        <v>1</v>
      </c>
      <c r="E1083">
        <v>1</v>
      </c>
      <c r="F1083">
        <v>1</v>
      </c>
      <c r="G1083">
        <v>1</v>
      </c>
      <c r="H1083">
        <v>1</v>
      </c>
      <c r="J1083">
        <v>34</v>
      </c>
      <c r="K1083">
        <v>1</v>
      </c>
      <c r="L1083">
        <v>1</v>
      </c>
      <c r="M1083">
        <v>1</v>
      </c>
      <c r="N1083">
        <v>1</v>
      </c>
      <c r="O1083">
        <v>1</v>
      </c>
      <c r="P1083">
        <v>1</v>
      </c>
      <c r="R1083">
        <v>34</v>
      </c>
      <c r="S1083">
        <v>1</v>
      </c>
      <c r="T1083">
        <v>1</v>
      </c>
      <c r="U1083">
        <v>1</v>
      </c>
      <c r="V1083">
        <v>1</v>
      </c>
      <c r="W1083">
        <v>1</v>
      </c>
      <c r="X1083">
        <v>1</v>
      </c>
      <c r="AA1083">
        <v>-5158.7194</v>
      </c>
      <c r="AB1083">
        <v>-5158.7194</v>
      </c>
      <c r="AC1083">
        <v>-5158.7194</v>
      </c>
      <c r="AD1083">
        <v>-5158.7194</v>
      </c>
      <c r="AE1083">
        <v>-5158.7194</v>
      </c>
      <c r="AF1083">
        <v>-5158.7194</v>
      </c>
    </row>
    <row r="1084" spans="2:32" x14ac:dyDescent="0.25">
      <c r="B1084">
        <v>35</v>
      </c>
      <c r="C1084">
        <v>1</v>
      </c>
      <c r="D1084">
        <v>1</v>
      </c>
      <c r="E1084">
        <v>1</v>
      </c>
      <c r="F1084">
        <v>1</v>
      </c>
      <c r="G1084">
        <v>1</v>
      </c>
      <c r="H1084">
        <v>1</v>
      </c>
      <c r="J1084">
        <v>35</v>
      </c>
      <c r="K1084">
        <v>1</v>
      </c>
      <c r="L1084">
        <v>1</v>
      </c>
      <c r="M1084">
        <v>1</v>
      </c>
      <c r="N1084">
        <v>1</v>
      </c>
      <c r="O1084">
        <v>1</v>
      </c>
      <c r="P1084">
        <v>1</v>
      </c>
      <c r="R1084">
        <v>35</v>
      </c>
      <c r="S1084">
        <v>1</v>
      </c>
      <c r="T1084">
        <v>1</v>
      </c>
      <c r="U1084">
        <v>1</v>
      </c>
      <c r="V1084">
        <v>1</v>
      </c>
      <c r="W1084">
        <v>1</v>
      </c>
      <c r="X1084">
        <v>1</v>
      </c>
      <c r="AA1084">
        <v>-5155.4901</v>
      </c>
      <c r="AB1084">
        <v>-5155.4901</v>
      </c>
      <c r="AC1084">
        <v>-5155.4901</v>
      </c>
      <c r="AD1084">
        <v>-5155.4901</v>
      </c>
      <c r="AE1084">
        <v>-5155.4901</v>
      </c>
      <c r="AF1084">
        <v>-5155.4901</v>
      </c>
    </row>
    <row r="1085" spans="2:32" x14ac:dyDescent="0.25">
      <c r="B1085">
        <v>36</v>
      </c>
      <c r="C1085">
        <v>1</v>
      </c>
      <c r="D1085">
        <v>1</v>
      </c>
      <c r="E1085">
        <v>1</v>
      </c>
      <c r="F1085">
        <v>1</v>
      </c>
      <c r="G1085">
        <v>1</v>
      </c>
      <c r="H1085">
        <v>1</v>
      </c>
      <c r="J1085">
        <v>36</v>
      </c>
      <c r="K1085">
        <v>1</v>
      </c>
      <c r="L1085">
        <v>1</v>
      </c>
      <c r="M1085">
        <v>1</v>
      </c>
      <c r="N1085">
        <v>1</v>
      </c>
      <c r="O1085">
        <v>1</v>
      </c>
      <c r="P1085">
        <v>1</v>
      </c>
      <c r="R1085">
        <v>36</v>
      </c>
      <c r="S1085">
        <v>1</v>
      </c>
      <c r="T1085">
        <v>1</v>
      </c>
      <c r="U1085">
        <v>1</v>
      </c>
      <c r="V1085">
        <v>1</v>
      </c>
      <c r="W1085">
        <v>1</v>
      </c>
      <c r="X1085">
        <v>1</v>
      </c>
      <c r="AA1085">
        <v>-5151.8950999999997</v>
      </c>
      <c r="AB1085">
        <v>-5151.8950999999997</v>
      </c>
      <c r="AC1085">
        <v>-5151.8950999999997</v>
      </c>
      <c r="AD1085">
        <v>-5151.8950999999997</v>
      </c>
      <c r="AE1085">
        <v>-5151.8950999999997</v>
      </c>
      <c r="AF1085">
        <v>-5151.8950999999997</v>
      </c>
    </row>
    <row r="1086" spans="2:32" x14ac:dyDescent="0.25">
      <c r="B1086">
        <v>37</v>
      </c>
      <c r="C1086">
        <v>1</v>
      </c>
      <c r="D1086">
        <v>1</v>
      </c>
      <c r="E1086">
        <v>1</v>
      </c>
      <c r="F1086">
        <v>1</v>
      </c>
      <c r="G1086">
        <v>1</v>
      </c>
      <c r="H1086">
        <v>1</v>
      </c>
      <c r="J1086">
        <v>37</v>
      </c>
      <c r="K1086">
        <v>1</v>
      </c>
      <c r="L1086">
        <v>1</v>
      </c>
      <c r="M1086">
        <v>1</v>
      </c>
      <c r="N1086">
        <v>1</v>
      </c>
      <c r="O1086">
        <v>1</v>
      </c>
      <c r="P1086">
        <v>1</v>
      </c>
      <c r="R1086">
        <v>37</v>
      </c>
      <c r="S1086">
        <v>1</v>
      </c>
      <c r="T1086">
        <v>1</v>
      </c>
      <c r="U1086">
        <v>1</v>
      </c>
      <c r="V1086">
        <v>1</v>
      </c>
      <c r="W1086">
        <v>1</v>
      </c>
      <c r="X1086">
        <v>1</v>
      </c>
      <c r="AA1086">
        <v>-5147.9106000000002</v>
      </c>
      <c r="AB1086">
        <v>-5147.9106000000002</v>
      </c>
      <c r="AC1086">
        <v>-5147.9106000000002</v>
      </c>
      <c r="AD1086">
        <v>-5147.9106000000002</v>
      </c>
      <c r="AE1086">
        <v>-5147.9106000000002</v>
      </c>
      <c r="AF1086">
        <v>-5147.9106000000002</v>
      </c>
    </row>
    <row r="1087" spans="2:32" x14ac:dyDescent="0.25">
      <c r="B1087">
        <v>38</v>
      </c>
      <c r="C1087">
        <v>1</v>
      </c>
      <c r="D1087">
        <v>1</v>
      </c>
      <c r="E1087">
        <v>1</v>
      </c>
      <c r="F1087">
        <v>1</v>
      </c>
      <c r="G1087">
        <v>1</v>
      </c>
      <c r="H1087">
        <v>1</v>
      </c>
      <c r="J1087">
        <v>38</v>
      </c>
      <c r="K1087">
        <v>1</v>
      </c>
      <c r="L1087">
        <v>1</v>
      </c>
      <c r="M1087">
        <v>1</v>
      </c>
      <c r="N1087">
        <v>1</v>
      </c>
      <c r="O1087">
        <v>1</v>
      </c>
      <c r="P1087">
        <v>1</v>
      </c>
      <c r="R1087">
        <v>38</v>
      </c>
      <c r="S1087">
        <v>1</v>
      </c>
      <c r="T1087">
        <v>1</v>
      </c>
      <c r="U1087">
        <v>1</v>
      </c>
      <c r="V1087">
        <v>1</v>
      </c>
      <c r="W1087">
        <v>1</v>
      </c>
      <c r="X1087">
        <v>1</v>
      </c>
      <c r="AA1087">
        <v>-5143.5393999999997</v>
      </c>
      <c r="AB1087">
        <v>-5143.5393999999997</v>
      </c>
      <c r="AC1087">
        <v>-5143.5393999999997</v>
      </c>
      <c r="AD1087">
        <v>-5143.5393999999997</v>
      </c>
      <c r="AE1087">
        <v>-5143.5393999999997</v>
      </c>
      <c r="AF1087">
        <v>-5143.5393999999997</v>
      </c>
    </row>
    <row r="1088" spans="2:32" x14ac:dyDescent="0.25">
      <c r="B1088">
        <v>39</v>
      </c>
      <c r="C1088">
        <v>1</v>
      </c>
      <c r="D1088">
        <v>1</v>
      </c>
      <c r="E1088">
        <v>1</v>
      </c>
      <c r="F1088">
        <v>1</v>
      </c>
      <c r="G1088">
        <v>1</v>
      </c>
      <c r="H1088">
        <v>1</v>
      </c>
      <c r="J1088">
        <v>39</v>
      </c>
      <c r="K1088">
        <v>1</v>
      </c>
      <c r="L1088">
        <v>1</v>
      </c>
      <c r="M1088">
        <v>1</v>
      </c>
      <c r="N1088">
        <v>1</v>
      </c>
      <c r="O1088">
        <v>1</v>
      </c>
      <c r="P1088">
        <v>1</v>
      </c>
      <c r="R1088">
        <v>39</v>
      </c>
      <c r="S1088">
        <v>1</v>
      </c>
      <c r="T1088">
        <v>1</v>
      </c>
      <c r="U1088">
        <v>1</v>
      </c>
      <c r="V1088">
        <v>1</v>
      </c>
      <c r="W1088">
        <v>1</v>
      </c>
      <c r="X1088">
        <v>1</v>
      </c>
      <c r="AA1088">
        <v>-5138.76</v>
      </c>
      <c r="AB1088">
        <v>-5138.76</v>
      </c>
      <c r="AC1088">
        <v>-5138.76</v>
      </c>
      <c r="AD1088">
        <v>-5138.76</v>
      </c>
      <c r="AE1088">
        <v>-5138.76</v>
      </c>
      <c r="AF1088">
        <v>-5138.76</v>
      </c>
    </row>
    <row r="1089" spans="2:32" x14ac:dyDescent="0.25">
      <c r="B1089">
        <v>40</v>
      </c>
      <c r="C1089">
        <v>1</v>
      </c>
      <c r="D1089">
        <v>1</v>
      </c>
      <c r="E1089">
        <v>1</v>
      </c>
      <c r="F1089">
        <v>1</v>
      </c>
      <c r="G1089">
        <v>1</v>
      </c>
      <c r="H1089">
        <v>1</v>
      </c>
      <c r="J1089">
        <v>40</v>
      </c>
      <c r="K1089">
        <v>1</v>
      </c>
      <c r="L1089">
        <v>1</v>
      </c>
      <c r="M1089">
        <v>1</v>
      </c>
      <c r="N1089">
        <v>1</v>
      </c>
      <c r="O1089">
        <v>1</v>
      </c>
      <c r="P1089">
        <v>1</v>
      </c>
      <c r="R1089">
        <v>40</v>
      </c>
      <c r="S1089">
        <v>1</v>
      </c>
      <c r="T1089">
        <v>1</v>
      </c>
      <c r="U1089">
        <v>1</v>
      </c>
      <c r="V1089">
        <v>1</v>
      </c>
      <c r="W1089">
        <v>1</v>
      </c>
      <c r="X1089">
        <v>1</v>
      </c>
      <c r="AA1089">
        <v>-5133.5084999999999</v>
      </c>
      <c r="AB1089">
        <v>-5133.5084999999999</v>
      </c>
      <c r="AC1089">
        <v>-5133.5084999999999</v>
      </c>
      <c r="AD1089">
        <v>-5133.5084999999999</v>
      </c>
      <c r="AE1089">
        <v>-5133.5084999999999</v>
      </c>
      <c r="AF1089">
        <v>-5133.5084999999999</v>
      </c>
    </row>
    <row r="1090" spans="2:32" x14ac:dyDescent="0.25">
      <c r="B1090">
        <v>41</v>
      </c>
      <c r="C1090">
        <v>1</v>
      </c>
      <c r="D1090">
        <v>1</v>
      </c>
      <c r="E1090">
        <v>1</v>
      </c>
      <c r="F1090">
        <v>1</v>
      </c>
      <c r="G1090">
        <v>1</v>
      </c>
      <c r="H1090">
        <v>1</v>
      </c>
      <c r="J1090">
        <v>41</v>
      </c>
      <c r="K1090">
        <v>1</v>
      </c>
      <c r="L1090">
        <v>1</v>
      </c>
      <c r="M1090">
        <v>1</v>
      </c>
      <c r="N1090">
        <v>1</v>
      </c>
      <c r="O1090">
        <v>1</v>
      </c>
      <c r="P1090">
        <v>1</v>
      </c>
      <c r="R1090">
        <v>41</v>
      </c>
      <c r="S1090">
        <v>1</v>
      </c>
      <c r="T1090">
        <v>1</v>
      </c>
      <c r="U1090">
        <v>1</v>
      </c>
      <c r="V1090">
        <v>1</v>
      </c>
      <c r="W1090">
        <v>1</v>
      </c>
      <c r="X1090">
        <v>1</v>
      </c>
      <c r="AA1090">
        <v>-5127.7236000000003</v>
      </c>
      <c r="AB1090">
        <v>-5127.7236000000003</v>
      </c>
      <c r="AC1090">
        <v>-5127.7236000000003</v>
      </c>
      <c r="AD1090">
        <v>-5127.7236000000003</v>
      </c>
      <c r="AE1090">
        <v>-5127.7236000000003</v>
      </c>
      <c r="AF1090">
        <v>-5127.7236000000003</v>
      </c>
    </row>
    <row r="1091" spans="2:32" x14ac:dyDescent="0.25">
      <c r="B1091">
        <v>42</v>
      </c>
      <c r="C1091">
        <v>1</v>
      </c>
      <c r="D1091">
        <v>1</v>
      </c>
      <c r="E1091">
        <v>1</v>
      </c>
      <c r="F1091">
        <v>1</v>
      </c>
      <c r="G1091">
        <v>1</v>
      </c>
      <c r="H1091">
        <v>1</v>
      </c>
      <c r="J1091">
        <v>42</v>
      </c>
      <c r="K1091">
        <v>1</v>
      </c>
      <c r="L1091">
        <v>1</v>
      </c>
      <c r="M1091">
        <v>1</v>
      </c>
      <c r="N1091">
        <v>1</v>
      </c>
      <c r="O1091">
        <v>1</v>
      </c>
      <c r="P1091">
        <v>1</v>
      </c>
      <c r="R1091">
        <v>42</v>
      </c>
      <c r="S1091">
        <v>1</v>
      </c>
      <c r="T1091">
        <v>1</v>
      </c>
      <c r="U1091">
        <v>1</v>
      </c>
      <c r="V1091">
        <v>1</v>
      </c>
      <c r="W1091">
        <v>1</v>
      </c>
      <c r="X1091">
        <v>1</v>
      </c>
      <c r="AA1091">
        <v>-5121.3726999999999</v>
      </c>
      <c r="AB1091">
        <v>-5121.3726999999999</v>
      </c>
      <c r="AC1091">
        <v>-5121.3726999999999</v>
      </c>
      <c r="AD1091">
        <v>-5121.3726999999999</v>
      </c>
      <c r="AE1091">
        <v>-5121.3726999999999</v>
      </c>
      <c r="AF1091">
        <v>-5121.3726999999999</v>
      </c>
    </row>
    <row r="1092" spans="2:32" x14ac:dyDescent="0.25">
      <c r="B1092">
        <v>43</v>
      </c>
      <c r="C1092">
        <v>1</v>
      </c>
      <c r="D1092">
        <v>1</v>
      </c>
      <c r="E1092">
        <v>1</v>
      </c>
      <c r="F1092">
        <v>1</v>
      </c>
      <c r="G1092">
        <v>1</v>
      </c>
      <c r="H1092">
        <v>1</v>
      </c>
      <c r="J1092">
        <v>43</v>
      </c>
      <c r="K1092">
        <v>1</v>
      </c>
      <c r="L1092">
        <v>1</v>
      </c>
      <c r="M1092">
        <v>1</v>
      </c>
      <c r="N1092">
        <v>1</v>
      </c>
      <c r="O1092">
        <v>1</v>
      </c>
      <c r="P1092">
        <v>1</v>
      </c>
      <c r="R1092">
        <v>43</v>
      </c>
      <c r="S1092">
        <v>1</v>
      </c>
      <c r="T1092">
        <v>1</v>
      </c>
      <c r="U1092">
        <v>1</v>
      </c>
      <c r="V1092">
        <v>1</v>
      </c>
      <c r="W1092">
        <v>1</v>
      </c>
      <c r="X1092">
        <v>1</v>
      </c>
      <c r="AA1092">
        <v>-5114.3449000000001</v>
      </c>
      <c r="AB1092">
        <v>-5114.3449000000001</v>
      </c>
      <c r="AC1092">
        <v>-5114.3449000000001</v>
      </c>
      <c r="AD1092">
        <v>-5114.3449000000001</v>
      </c>
      <c r="AE1092">
        <v>-5114.3449000000001</v>
      </c>
      <c r="AF1092">
        <v>-5114.3449000000001</v>
      </c>
    </row>
    <row r="1093" spans="2:32" x14ac:dyDescent="0.25">
      <c r="B1093">
        <v>44</v>
      </c>
      <c r="C1093">
        <v>1</v>
      </c>
      <c r="D1093">
        <v>1</v>
      </c>
      <c r="E1093">
        <v>1</v>
      </c>
      <c r="F1093">
        <v>1</v>
      </c>
      <c r="G1093">
        <v>1</v>
      </c>
      <c r="H1093">
        <v>1</v>
      </c>
      <c r="J1093">
        <v>44</v>
      </c>
      <c r="K1093">
        <v>1</v>
      </c>
      <c r="L1093">
        <v>1</v>
      </c>
      <c r="M1093">
        <v>1</v>
      </c>
      <c r="N1093">
        <v>1</v>
      </c>
      <c r="O1093">
        <v>1</v>
      </c>
      <c r="P1093">
        <v>1</v>
      </c>
      <c r="R1093">
        <v>44</v>
      </c>
      <c r="S1093">
        <v>1</v>
      </c>
      <c r="T1093">
        <v>1</v>
      </c>
      <c r="U1093">
        <v>1</v>
      </c>
      <c r="V1093">
        <v>1</v>
      </c>
      <c r="W1093">
        <v>1</v>
      </c>
      <c r="X1093">
        <v>1</v>
      </c>
      <c r="AA1093">
        <v>-5106.5976000000001</v>
      </c>
      <c r="AB1093">
        <v>-5106.5976000000001</v>
      </c>
      <c r="AC1093">
        <v>-5106.5976000000001</v>
      </c>
      <c r="AD1093">
        <v>-5106.5976000000001</v>
      </c>
      <c r="AE1093">
        <v>-5106.5976000000001</v>
      </c>
      <c r="AF1093">
        <v>-5106.5976000000001</v>
      </c>
    </row>
    <row r="1094" spans="2:32" x14ac:dyDescent="0.25">
      <c r="B1094">
        <v>45</v>
      </c>
      <c r="C1094">
        <v>1</v>
      </c>
      <c r="D1094">
        <v>1</v>
      </c>
      <c r="E1094">
        <v>1</v>
      </c>
      <c r="F1094">
        <v>1</v>
      </c>
      <c r="G1094">
        <v>1</v>
      </c>
      <c r="H1094">
        <v>1</v>
      </c>
      <c r="J1094">
        <v>45</v>
      </c>
      <c r="K1094">
        <v>1</v>
      </c>
      <c r="L1094">
        <v>1</v>
      </c>
      <c r="M1094">
        <v>1</v>
      </c>
      <c r="N1094">
        <v>1</v>
      </c>
      <c r="O1094">
        <v>1</v>
      </c>
      <c r="P1094">
        <v>1</v>
      </c>
      <c r="R1094">
        <v>45</v>
      </c>
      <c r="S1094">
        <v>1</v>
      </c>
      <c r="T1094">
        <v>1</v>
      </c>
      <c r="U1094">
        <v>1</v>
      </c>
      <c r="V1094">
        <v>1</v>
      </c>
      <c r="W1094">
        <v>1</v>
      </c>
      <c r="X1094">
        <v>1</v>
      </c>
      <c r="AA1094">
        <v>-5098.0524999999998</v>
      </c>
      <c r="AB1094">
        <v>-5098.0524999999998</v>
      </c>
      <c r="AC1094">
        <v>-5098.0524999999998</v>
      </c>
      <c r="AD1094">
        <v>-5098.0524999999998</v>
      </c>
      <c r="AE1094">
        <v>-5098.0524999999998</v>
      </c>
      <c r="AF1094">
        <v>-5098.0524999999998</v>
      </c>
    </row>
    <row r="1095" spans="2:32" x14ac:dyDescent="0.25">
      <c r="B1095">
        <v>46</v>
      </c>
      <c r="C1095">
        <v>1</v>
      </c>
      <c r="D1095">
        <v>1</v>
      </c>
      <c r="E1095">
        <v>1</v>
      </c>
      <c r="F1095">
        <v>1</v>
      </c>
      <c r="G1095">
        <v>1</v>
      </c>
      <c r="H1095">
        <v>1</v>
      </c>
      <c r="J1095">
        <v>46</v>
      </c>
      <c r="K1095">
        <v>1</v>
      </c>
      <c r="L1095">
        <v>1</v>
      </c>
      <c r="M1095">
        <v>1</v>
      </c>
      <c r="N1095">
        <v>1</v>
      </c>
      <c r="O1095">
        <v>1</v>
      </c>
      <c r="P1095">
        <v>1</v>
      </c>
      <c r="R1095">
        <v>46</v>
      </c>
      <c r="S1095">
        <v>1</v>
      </c>
      <c r="T1095">
        <v>1</v>
      </c>
      <c r="U1095">
        <v>1</v>
      </c>
      <c r="V1095">
        <v>1</v>
      </c>
      <c r="W1095">
        <v>1</v>
      </c>
      <c r="X1095">
        <v>1</v>
      </c>
      <c r="AA1095">
        <v>-5088.6378000000004</v>
      </c>
      <c r="AB1095">
        <v>-5088.6378000000004</v>
      </c>
      <c r="AC1095">
        <v>-5088.6378000000004</v>
      </c>
      <c r="AD1095">
        <v>-5088.6378000000004</v>
      </c>
      <c r="AE1095">
        <v>-5088.6378000000004</v>
      </c>
      <c r="AF1095">
        <v>-5088.6378000000004</v>
      </c>
    </row>
    <row r="1096" spans="2:32" x14ac:dyDescent="0.25">
      <c r="B1096">
        <v>47</v>
      </c>
      <c r="C1096">
        <v>1</v>
      </c>
      <c r="D1096">
        <v>1</v>
      </c>
      <c r="E1096">
        <v>1</v>
      </c>
      <c r="F1096">
        <v>1</v>
      </c>
      <c r="G1096">
        <v>1</v>
      </c>
      <c r="H1096">
        <v>1</v>
      </c>
      <c r="J1096">
        <v>47</v>
      </c>
      <c r="K1096">
        <v>1</v>
      </c>
      <c r="L1096">
        <v>1</v>
      </c>
      <c r="M1096">
        <v>1</v>
      </c>
      <c r="N1096">
        <v>1</v>
      </c>
      <c r="O1096">
        <v>1</v>
      </c>
      <c r="P1096">
        <v>1</v>
      </c>
      <c r="R1096">
        <v>47</v>
      </c>
      <c r="S1096">
        <v>1</v>
      </c>
      <c r="T1096">
        <v>1</v>
      </c>
      <c r="U1096">
        <v>1</v>
      </c>
      <c r="V1096">
        <v>1</v>
      </c>
      <c r="W1096">
        <v>1</v>
      </c>
      <c r="X1096">
        <v>1</v>
      </c>
      <c r="AA1096">
        <v>-5078.2593999999999</v>
      </c>
      <c r="AB1096">
        <v>-5078.2593999999999</v>
      </c>
      <c r="AC1096">
        <v>-5078.2593999999999</v>
      </c>
      <c r="AD1096">
        <v>-5078.2593999999999</v>
      </c>
      <c r="AE1096">
        <v>-5078.2593999999999</v>
      </c>
      <c r="AF1096">
        <v>-5078.2593999999999</v>
      </c>
    </row>
    <row r="1097" spans="2:32" x14ac:dyDescent="0.25">
      <c r="B1097">
        <v>48</v>
      </c>
      <c r="C1097">
        <v>1</v>
      </c>
      <c r="D1097">
        <v>1</v>
      </c>
      <c r="E1097">
        <v>1</v>
      </c>
      <c r="F1097">
        <v>1</v>
      </c>
      <c r="G1097">
        <v>1</v>
      </c>
      <c r="H1097">
        <v>1</v>
      </c>
      <c r="J1097">
        <v>48</v>
      </c>
      <c r="K1097">
        <v>1</v>
      </c>
      <c r="L1097">
        <v>1</v>
      </c>
      <c r="M1097">
        <v>1</v>
      </c>
      <c r="N1097">
        <v>1</v>
      </c>
      <c r="O1097">
        <v>1</v>
      </c>
      <c r="P1097">
        <v>1</v>
      </c>
      <c r="R1097">
        <v>48</v>
      </c>
      <c r="S1097">
        <v>1</v>
      </c>
      <c r="T1097">
        <v>1</v>
      </c>
      <c r="U1097">
        <v>1</v>
      </c>
      <c r="V1097">
        <v>1</v>
      </c>
      <c r="W1097">
        <v>1</v>
      </c>
      <c r="X1097">
        <v>1</v>
      </c>
      <c r="AA1097">
        <v>-5066.8732</v>
      </c>
      <c r="AB1097">
        <v>-5066.8732</v>
      </c>
      <c r="AC1097">
        <v>-5066.8732</v>
      </c>
      <c r="AD1097">
        <v>-5066.8732</v>
      </c>
      <c r="AE1097">
        <v>-5066.8732</v>
      </c>
      <c r="AF1097">
        <v>-5066.8732</v>
      </c>
    </row>
    <row r="1098" spans="2:32" x14ac:dyDescent="0.25">
      <c r="B1098">
        <v>49</v>
      </c>
      <c r="C1098">
        <v>1</v>
      </c>
      <c r="D1098">
        <v>1</v>
      </c>
      <c r="E1098">
        <v>1</v>
      </c>
      <c r="F1098">
        <v>1</v>
      </c>
      <c r="G1098">
        <v>1</v>
      </c>
      <c r="H1098">
        <v>1</v>
      </c>
      <c r="J1098">
        <v>49</v>
      </c>
      <c r="K1098">
        <v>1</v>
      </c>
      <c r="L1098">
        <v>1</v>
      </c>
      <c r="M1098">
        <v>1</v>
      </c>
      <c r="N1098">
        <v>1</v>
      </c>
      <c r="O1098">
        <v>1</v>
      </c>
      <c r="P1098">
        <v>1</v>
      </c>
      <c r="R1098">
        <v>49</v>
      </c>
      <c r="S1098">
        <v>1</v>
      </c>
      <c r="T1098">
        <v>1</v>
      </c>
      <c r="U1098">
        <v>1</v>
      </c>
      <c r="V1098">
        <v>1</v>
      </c>
      <c r="W1098">
        <v>1</v>
      </c>
      <c r="X1098">
        <v>1</v>
      </c>
      <c r="AA1098">
        <v>-5054.4124000000002</v>
      </c>
      <c r="AB1098">
        <v>-5054.4124000000002</v>
      </c>
      <c r="AC1098">
        <v>-5054.4124000000002</v>
      </c>
      <c r="AD1098">
        <v>-5054.4124000000002</v>
      </c>
      <c r="AE1098">
        <v>-5054.4124000000002</v>
      </c>
      <c r="AF1098">
        <v>-5054.4124000000002</v>
      </c>
    </row>
    <row r="1099" spans="2:32" x14ac:dyDescent="0.25">
      <c r="B1099">
        <v>50</v>
      </c>
      <c r="C1099">
        <v>1</v>
      </c>
      <c r="D1099">
        <v>1</v>
      </c>
      <c r="E1099">
        <v>1</v>
      </c>
      <c r="F1099">
        <v>1</v>
      </c>
      <c r="G1099">
        <v>1</v>
      </c>
      <c r="H1099">
        <v>1</v>
      </c>
      <c r="J1099">
        <v>50</v>
      </c>
      <c r="K1099">
        <v>1</v>
      </c>
      <c r="L1099">
        <v>1</v>
      </c>
      <c r="M1099">
        <v>1</v>
      </c>
      <c r="N1099">
        <v>1</v>
      </c>
      <c r="O1099">
        <v>1</v>
      </c>
      <c r="P1099">
        <v>1</v>
      </c>
      <c r="R1099">
        <v>50</v>
      </c>
      <c r="S1099">
        <v>1</v>
      </c>
      <c r="T1099">
        <v>1</v>
      </c>
      <c r="U1099">
        <v>1</v>
      </c>
      <c r="V1099">
        <v>1</v>
      </c>
      <c r="W1099">
        <v>1</v>
      </c>
      <c r="X1099">
        <v>1</v>
      </c>
      <c r="AA1099">
        <v>-5040.7671</v>
      </c>
      <c r="AB1099">
        <v>-5040.7671</v>
      </c>
      <c r="AC1099">
        <v>-5040.7671</v>
      </c>
      <c r="AD1099">
        <v>-5040.7671</v>
      </c>
      <c r="AE1099">
        <v>-5040.7671</v>
      </c>
      <c r="AF1099">
        <v>-5040.7671</v>
      </c>
    </row>
    <row r="1100" spans="2:32" x14ac:dyDescent="0.25">
      <c r="B1100">
        <v>51</v>
      </c>
      <c r="C1100">
        <v>1</v>
      </c>
      <c r="D1100">
        <v>1</v>
      </c>
      <c r="E1100">
        <v>1</v>
      </c>
      <c r="F1100">
        <v>1</v>
      </c>
      <c r="G1100">
        <v>1</v>
      </c>
      <c r="H1100">
        <v>1</v>
      </c>
      <c r="J1100">
        <v>51</v>
      </c>
      <c r="K1100">
        <v>1</v>
      </c>
      <c r="L1100">
        <v>1</v>
      </c>
      <c r="M1100">
        <v>1</v>
      </c>
      <c r="N1100">
        <v>1</v>
      </c>
      <c r="O1100">
        <v>1</v>
      </c>
      <c r="P1100">
        <v>1</v>
      </c>
      <c r="R1100">
        <v>51</v>
      </c>
      <c r="S1100">
        <v>1</v>
      </c>
      <c r="T1100">
        <v>1</v>
      </c>
      <c r="U1100">
        <v>1</v>
      </c>
      <c r="V1100">
        <v>1</v>
      </c>
      <c r="W1100">
        <v>1</v>
      </c>
      <c r="X1100">
        <v>1</v>
      </c>
      <c r="AA1100">
        <v>-5025.8329000000003</v>
      </c>
      <c r="AB1100">
        <v>-5025.8329000000003</v>
      </c>
      <c r="AC1100">
        <v>-5025.8329000000003</v>
      </c>
      <c r="AD1100">
        <v>-5025.8329000000003</v>
      </c>
      <c r="AE1100">
        <v>-5025.8329000000003</v>
      </c>
      <c r="AF1100">
        <v>-5025.8329000000003</v>
      </c>
    </row>
    <row r="1101" spans="2:32" x14ac:dyDescent="0.25">
      <c r="B1101">
        <v>52</v>
      </c>
      <c r="C1101">
        <v>1</v>
      </c>
      <c r="D1101">
        <v>1</v>
      </c>
      <c r="E1101">
        <v>1</v>
      </c>
      <c r="F1101">
        <v>1</v>
      </c>
      <c r="G1101">
        <v>1</v>
      </c>
      <c r="H1101">
        <v>1</v>
      </c>
      <c r="J1101">
        <v>52</v>
      </c>
      <c r="K1101">
        <v>1</v>
      </c>
      <c r="L1101">
        <v>1</v>
      </c>
      <c r="M1101">
        <v>1</v>
      </c>
      <c r="N1101">
        <v>1</v>
      </c>
      <c r="O1101">
        <v>1</v>
      </c>
      <c r="P1101">
        <v>1</v>
      </c>
      <c r="R1101">
        <v>52</v>
      </c>
      <c r="S1101">
        <v>1</v>
      </c>
      <c r="T1101">
        <v>1</v>
      </c>
      <c r="U1101">
        <v>1</v>
      </c>
      <c r="V1101">
        <v>1</v>
      </c>
      <c r="W1101">
        <v>1</v>
      </c>
      <c r="X1101">
        <v>1</v>
      </c>
      <c r="AA1101">
        <v>-5009.4771000000001</v>
      </c>
      <c r="AB1101">
        <v>-5009.4771000000001</v>
      </c>
      <c r="AC1101">
        <v>-5009.4771000000001</v>
      </c>
      <c r="AD1101">
        <v>-5009.4771000000001</v>
      </c>
      <c r="AE1101">
        <v>-5009.4771000000001</v>
      </c>
      <c r="AF1101">
        <v>-5009.4771000000001</v>
      </c>
    </row>
    <row r="1102" spans="2:32" x14ac:dyDescent="0.25">
      <c r="B1102">
        <v>53</v>
      </c>
      <c r="C1102">
        <v>1</v>
      </c>
      <c r="D1102">
        <v>1</v>
      </c>
      <c r="E1102">
        <v>1</v>
      </c>
      <c r="F1102">
        <v>1</v>
      </c>
      <c r="G1102">
        <v>1</v>
      </c>
      <c r="H1102">
        <v>1</v>
      </c>
      <c r="J1102">
        <v>53</v>
      </c>
      <c r="K1102">
        <v>1</v>
      </c>
      <c r="L1102">
        <v>1</v>
      </c>
      <c r="M1102">
        <v>1</v>
      </c>
      <c r="N1102">
        <v>1</v>
      </c>
      <c r="O1102">
        <v>1</v>
      </c>
      <c r="P1102">
        <v>1</v>
      </c>
      <c r="R1102">
        <v>53</v>
      </c>
      <c r="S1102">
        <v>1</v>
      </c>
      <c r="T1102">
        <v>1</v>
      </c>
      <c r="U1102">
        <v>1</v>
      </c>
      <c r="V1102">
        <v>1</v>
      </c>
      <c r="W1102">
        <v>1</v>
      </c>
      <c r="X1102">
        <v>1</v>
      </c>
      <c r="AA1102">
        <v>-4991.6184000000003</v>
      </c>
      <c r="AB1102">
        <v>-4991.6184000000003</v>
      </c>
      <c r="AC1102">
        <v>-4991.6184000000003</v>
      </c>
      <c r="AD1102">
        <v>-4991.6184000000003</v>
      </c>
      <c r="AE1102">
        <v>-4991.6184000000003</v>
      </c>
      <c r="AF1102">
        <v>-4991.6184000000003</v>
      </c>
    </row>
    <row r="1103" spans="2:32" x14ac:dyDescent="0.25">
      <c r="B1103">
        <v>54</v>
      </c>
      <c r="C1103">
        <v>1</v>
      </c>
      <c r="D1103">
        <v>1</v>
      </c>
      <c r="E1103">
        <v>1</v>
      </c>
      <c r="F1103">
        <v>1</v>
      </c>
      <c r="G1103">
        <v>1</v>
      </c>
      <c r="H1103">
        <v>1</v>
      </c>
      <c r="J1103">
        <v>54</v>
      </c>
      <c r="K1103">
        <v>1</v>
      </c>
      <c r="L1103">
        <v>1</v>
      </c>
      <c r="M1103">
        <v>1</v>
      </c>
      <c r="N1103">
        <v>1</v>
      </c>
      <c r="O1103">
        <v>1</v>
      </c>
      <c r="P1103">
        <v>1</v>
      </c>
      <c r="R1103">
        <v>54</v>
      </c>
      <c r="S1103">
        <v>1</v>
      </c>
      <c r="T1103">
        <v>1</v>
      </c>
      <c r="U1103">
        <v>1</v>
      </c>
      <c r="V1103">
        <v>1</v>
      </c>
      <c r="W1103">
        <v>1</v>
      </c>
      <c r="X1103">
        <v>1</v>
      </c>
      <c r="AA1103">
        <v>-4972.1588000000002</v>
      </c>
      <c r="AB1103">
        <v>-4972.1588000000002</v>
      </c>
      <c r="AC1103">
        <v>-4972.1588000000002</v>
      </c>
      <c r="AD1103">
        <v>-4972.1588000000002</v>
      </c>
      <c r="AE1103">
        <v>-4972.1588000000002</v>
      </c>
      <c r="AF1103">
        <v>-4972.1588000000002</v>
      </c>
    </row>
    <row r="1104" spans="2:32" x14ac:dyDescent="0.25">
      <c r="B1104">
        <v>55</v>
      </c>
      <c r="C1104">
        <v>1</v>
      </c>
      <c r="D1104">
        <v>1</v>
      </c>
      <c r="E1104">
        <v>1</v>
      </c>
      <c r="F1104">
        <v>1</v>
      </c>
      <c r="G1104">
        <v>1</v>
      </c>
      <c r="H1104">
        <v>1</v>
      </c>
      <c r="J1104">
        <v>55</v>
      </c>
      <c r="K1104">
        <v>1</v>
      </c>
      <c r="L1104">
        <v>1</v>
      </c>
      <c r="M1104">
        <v>1</v>
      </c>
      <c r="N1104">
        <v>1</v>
      </c>
      <c r="O1104">
        <v>1</v>
      </c>
      <c r="P1104">
        <v>1</v>
      </c>
      <c r="R1104">
        <v>55</v>
      </c>
      <c r="S1104">
        <v>1</v>
      </c>
      <c r="T1104">
        <v>1</v>
      </c>
      <c r="U1104">
        <v>1</v>
      </c>
      <c r="V1104">
        <v>1</v>
      </c>
      <c r="W1104">
        <v>1</v>
      </c>
      <c r="X1104">
        <v>1</v>
      </c>
      <c r="AA1104">
        <v>-4950.9426000000003</v>
      </c>
      <c r="AB1104">
        <v>-4950.9426000000003</v>
      </c>
      <c r="AC1104">
        <v>-4950.9426000000003</v>
      </c>
      <c r="AD1104">
        <v>-4950.9426000000003</v>
      </c>
      <c r="AE1104">
        <v>-4950.9426000000003</v>
      </c>
      <c r="AF1104">
        <v>-4950.9426000000003</v>
      </c>
    </row>
    <row r="1107" spans="2:32" x14ac:dyDescent="0.25">
      <c r="B1107" t="s">
        <v>46</v>
      </c>
      <c r="C1107">
        <v>100000</v>
      </c>
      <c r="D1107">
        <v>250000</v>
      </c>
      <c r="E1107">
        <v>500000</v>
      </c>
      <c r="F1107">
        <v>1000000</v>
      </c>
      <c r="G1107">
        <v>2000000</v>
      </c>
      <c r="J1107" t="s">
        <v>32</v>
      </c>
      <c r="K1107">
        <v>100000</v>
      </c>
      <c r="L1107">
        <v>250000</v>
      </c>
      <c r="M1107">
        <v>500000</v>
      </c>
      <c r="N1107">
        <v>1000000</v>
      </c>
      <c r="O1107">
        <v>2000000</v>
      </c>
      <c r="R1107" t="s">
        <v>48</v>
      </c>
      <c r="S1107">
        <v>100000</v>
      </c>
      <c r="T1107">
        <v>250000</v>
      </c>
      <c r="U1107">
        <v>500000</v>
      </c>
      <c r="V1107">
        <v>1000000</v>
      </c>
      <c r="W1107">
        <v>2000000</v>
      </c>
    </row>
    <row r="1108" spans="2:32" x14ac:dyDescent="0.25">
      <c r="B1108">
        <v>35</v>
      </c>
      <c r="C1108">
        <v>1</v>
      </c>
      <c r="D1108">
        <v>1</v>
      </c>
      <c r="E1108">
        <v>1</v>
      </c>
      <c r="F1108">
        <v>1</v>
      </c>
      <c r="G1108">
        <v>1</v>
      </c>
      <c r="J1108">
        <v>35</v>
      </c>
      <c r="K1108">
        <v>1</v>
      </c>
      <c r="L1108">
        <v>1</v>
      </c>
      <c r="M1108">
        <v>1</v>
      </c>
      <c r="N1108">
        <v>1</v>
      </c>
      <c r="O1108">
        <v>1</v>
      </c>
      <c r="R1108">
        <v>35</v>
      </c>
      <c r="S1108">
        <v>1</v>
      </c>
      <c r="T1108">
        <v>1</v>
      </c>
      <c r="U1108">
        <v>1</v>
      </c>
      <c r="V1108">
        <v>1</v>
      </c>
      <c r="W1108">
        <v>1</v>
      </c>
      <c r="AA1108">
        <v>-8996.1419000000005</v>
      </c>
      <c r="AB1108">
        <v>-8996.1419000000005</v>
      </c>
      <c r="AC1108">
        <v>-8996.1419000000005</v>
      </c>
      <c r="AD1108">
        <v>-8996.1419000000005</v>
      </c>
      <c r="AE1108">
        <v>-8996.1419000000005</v>
      </c>
      <c r="AF1108">
        <v>-759112.79520000005</v>
      </c>
    </row>
    <row r="1109" spans="2:32" x14ac:dyDescent="0.25">
      <c r="B1109">
        <f t="shared" ref="B1109:B1138" si="48">B1108+1</f>
        <v>36</v>
      </c>
      <c r="C1109">
        <v>1</v>
      </c>
      <c r="D1109">
        <v>1</v>
      </c>
      <c r="E1109">
        <v>1</v>
      </c>
      <c r="F1109">
        <v>1</v>
      </c>
      <c r="G1109">
        <v>1</v>
      </c>
      <c r="J1109">
        <f t="shared" ref="J1109:J1138" si="49">J1108+1</f>
        <v>36</v>
      </c>
      <c r="K1109">
        <v>1</v>
      </c>
      <c r="L1109">
        <v>1</v>
      </c>
      <c r="M1109">
        <v>1</v>
      </c>
      <c r="N1109">
        <v>1</v>
      </c>
      <c r="O1109">
        <v>1</v>
      </c>
      <c r="R1109">
        <f t="shared" ref="R1109:R1138" si="50">R1108+1</f>
        <v>36</v>
      </c>
      <c r="S1109">
        <v>1</v>
      </c>
      <c r="T1109">
        <v>1</v>
      </c>
      <c r="U1109">
        <v>1</v>
      </c>
      <c r="V1109">
        <v>1</v>
      </c>
      <c r="W1109">
        <v>1</v>
      </c>
      <c r="AA1109">
        <v>-8902.6679999999997</v>
      </c>
      <c r="AB1109">
        <v>-8902.6679999999997</v>
      </c>
      <c r="AC1109">
        <v>-8902.6679999999997</v>
      </c>
      <c r="AD1109">
        <v>-8902.6679999999997</v>
      </c>
      <c r="AE1109">
        <v>-8902.6679999999997</v>
      </c>
      <c r="AF1109">
        <v>-737070.86179999996</v>
      </c>
    </row>
    <row r="1110" spans="2:32" x14ac:dyDescent="0.25">
      <c r="B1110">
        <f t="shared" si="48"/>
        <v>37</v>
      </c>
      <c r="C1110">
        <v>1</v>
      </c>
      <c r="D1110">
        <v>1</v>
      </c>
      <c r="E1110">
        <v>1</v>
      </c>
      <c r="F1110">
        <v>1</v>
      </c>
      <c r="G1110">
        <v>1</v>
      </c>
      <c r="J1110">
        <f t="shared" si="49"/>
        <v>37</v>
      </c>
      <c r="K1110">
        <v>1</v>
      </c>
      <c r="L1110">
        <v>1</v>
      </c>
      <c r="M1110">
        <v>1</v>
      </c>
      <c r="N1110">
        <v>1</v>
      </c>
      <c r="O1110">
        <v>1</v>
      </c>
      <c r="R1110">
        <f t="shared" si="50"/>
        <v>37</v>
      </c>
      <c r="S1110">
        <v>1</v>
      </c>
      <c r="T1110">
        <v>1</v>
      </c>
      <c r="U1110">
        <v>1</v>
      </c>
      <c r="V1110">
        <v>1</v>
      </c>
      <c r="W1110">
        <v>1</v>
      </c>
      <c r="AA1110">
        <v>-8806.7960000000003</v>
      </c>
      <c r="AB1110">
        <v>-8806.7960000000003</v>
      </c>
      <c r="AC1110">
        <v>-8806.7960000000003</v>
      </c>
      <c r="AD1110">
        <v>-8806.7960000000003</v>
      </c>
      <c r="AE1110">
        <v>-8806.7960000000003</v>
      </c>
      <c r="AF1110">
        <v>-765978.91940000001</v>
      </c>
    </row>
    <row r="1111" spans="2:32" x14ac:dyDescent="0.25">
      <c r="B1111">
        <f t="shared" si="48"/>
        <v>38</v>
      </c>
      <c r="C1111">
        <v>1</v>
      </c>
      <c r="D1111">
        <v>1</v>
      </c>
      <c r="E1111">
        <v>1</v>
      </c>
      <c r="F1111">
        <v>1</v>
      </c>
      <c r="G1111">
        <v>1</v>
      </c>
      <c r="J1111">
        <f t="shared" si="49"/>
        <v>38</v>
      </c>
      <c r="K1111">
        <v>1</v>
      </c>
      <c r="L1111">
        <v>1</v>
      </c>
      <c r="M1111">
        <v>1</v>
      </c>
      <c r="N1111">
        <v>1</v>
      </c>
      <c r="O1111">
        <v>1</v>
      </c>
      <c r="R1111">
        <f t="shared" si="50"/>
        <v>38</v>
      </c>
      <c r="S1111">
        <v>1</v>
      </c>
      <c r="T1111">
        <v>1</v>
      </c>
      <c r="U1111">
        <v>1</v>
      </c>
      <c r="V1111">
        <v>1</v>
      </c>
      <c r="W1111">
        <v>1</v>
      </c>
      <c r="AA1111">
        <v>-8708.6234000000004</v>
      </c>
      <c r="AB1111">
        <v>-8708.6234000000004</v>
      </c>
      <c r="AC1111">
        <v>-8708.6234000000004</v>
      </c>
      <c r="AD1111">
        <v>-8708.6234000000004</v>
      </c>
      <c r="AE1111">
        <v>-8708.6234000000004</v>
      </c>
      <c r="AF1111">
        <v>-783780.576</v>
      </c>
    </row>
    <row r="1112" spans="2:32" x14ac:dyDescent="0.25">
      <c r="B1112">
        <f t="shared" si="48"/>
        <v>39</v>
      </c>
      <c r="C1112">
        <v>1</v>
      </c>
      <c r="D1112">
        <v>1</v>
      </c>
      <c r="E1112">
        <v>1</v>
      </c>
      <c r="F1112">
        <v>1</v>
      </c>
      <c r="G1112">
        <v>1</v>
      </c>
      <c r="J1112">
        <f t="shared" si="49"/>
        <v>39</v>
      </c>
      <c r="K1112">
        <v>1</v>
      </c>
      <c r="L1112">
        <v>1</v>
      </c>
      <c r="M1112">
        <v>1</v>
      </c>
      <c r="N1112">
        <v>1</v>
      </c>
      <c r="O1112">
        <v>1</v>
      </c>
      <c r="R1112">
        <f t="shared" si="50"/>
        <v>39</v>
      </c>
      <c r="S1112">
        <v>1</v>
      </c>
      <c r="T1112">
        <v>1</v>
      </c>
      <c r="U1112">
        <v>1</v>
      </c>
      <c r="V1112">
        <v>1</v>
      </c>
      <c r="W1112">
        <v>1</v>
      </c>
      <c r="AA1112">
        <v>-8608.1594000000005</v>
      </c>
      <c r="AB1112">
        <v>-8608.1594000000005</v>
      </c>
      <c r="AC1112">
        <v>-8608.1594000000005</v>
      </c>
      <c r="AD1112">
        <v>-8608.1594000000005</v>
      </c>
      <c r="AE1112">
        <v>-8608.1594000000005</v>
      </c>
      <c r="AF1112">
        <v>-769662.22069999995</v>
      </c>
    </row>
    <row r="1113" spans="2:32" x14ac:dyDescent="0.25">
      <c r="B1113">
        <f t="shared" si="48"/>
        <v>40</v>
      </c>
      <c r="C1113">
        <v>1</v>
      </c>
      <c r="D1113">
        <v>1</v>
      </c>
      <c r="E1113">
        <v>1</v>
      </c>
      <c r="F1113">
        <v>1</v>
      </c>
      <c r="G1113">
        <v>1</v>
      </c>
      <c r="J1113">
        <f t="shared" si="49"/>
        <v>40</v>
      </c>
      <c r="K1113">
        <v>1</v>
      </c>
      <c r="L1113">
        <v>1</v>
      </c>
      <c r="M1113">
        <v>1</v>
      </c>
      <c r="N1113">
        <v>1</v>
      </c>
      <c r="O1113">
        <v>1</v>
      </c>
      <c r="R1113">
        <f t="shared" si="50"/>
        <v>40</v>
      </c>
      <c r="S1113">
        <v>1</v>
      </c>
      <c r="T1113">
        <v>1</v>
      </c>
      <c r="U1113">
        <v>1</v>
      </c>
      <c r="V1113">
        <v>1</v>
      </c>
      <c r="W1113">
        <v>1</v>
      </c>
      <c r="AA1113">
        <v>-8505.3439999999991</v>
      </c>
      <c r="AB1113">
        <v>-8505.3439999999991</v>
      </c>
      <c r="AC1113">
        <v>-8505.3439999999991</v>
      </c>
      <c r="AD1113">
        <v>-8505.3439999999991</v>
      </c>
      <c r="AE1113">
        <v>-8505.3439999999991</v>
      </c>
      <c r="AF1113">
        <v>-798570.41119999997</v>
      </c>
    </row>
    <row r="1114" spans="2:32" x14ac:dyDescent="0.25">
      <c r="B1114">
        <f t="shared" si="48"/>
        <v>41</v>
      </c>
      <c r="C1114">
        <v>1</v>
      </c>
      <c r="D1114">
        <v>1</v>
      </c>
      <c r="E1114">
        <v>1</v>
      </c>
      <c r="F1114">
        <v>1</v>
      </c>
      <c r="G1114">
        <v>1</v>
      </c>
      <c r="J1114">
        <f t="shared" si="49"/>
        <v>41</v>
      </c>
      <c r="K1114">
        <v>1</v>
      </c>
      <c r="L1114">
        <v>1</v>
      </c>
      <c r="M1114">
        <v>1</v>
      </c>
      <c r="N1114">
        <v>1</v>
      </c>
      <c r="O1114">
        <v>1</v>
      </c>
      <c r="R1114">
        <f t="shared" si="50"/>
        <v>41</v>
      </c>
      <c r="S1114">
        <v>1</v>
      </c>
      <c r="T1114">
        <v>1</v>
      </c>
      <c r="U1114">
        <v>1</v>
      </c>
      <c r="V1114">
        <v>1</v>
      </c>
      <c r="W1114">
        <v>1</v>
      </c>
      <c r="AA1114">
        <v>-8400.1087000000007</v>
      </c>
      <c r="AB1114">
        <v>-8400.1087000000007</v>
      </c>
      <c r="AC1114">
        <v>-8400.1087000000007</v>
      </c>
      <c r="AD1114">
        <v>-8400.1087000000007</v>
      </c>
      <c r="AE1114">
        <v>-8400.1087000000007</v>
      </c>
      <c r="AF1114">
        <v>-803549.96459999995</v>
      </c>
    </row>
    <row r="1115" spans="2:32" x14ac:dyDescent="0.25">
      <c r="B1115">
        <f t="shared" si="48"/>
        <v>42</v>
      </c>
      <c r="C1115">
        <v>1</v>
      </c>
      <c r="D1115">
        <v>1</v>
      </c>
      <c r="E1115">
        <v>1</v>
      </c>
      <c r="F1115">
        <v>1</v>
      </c>
      <c r="G1115">
        <v>1</v>
      </c>
      <c r="J1115">
        <f t="shared" si="49"/>
        <v>42</v>
      </c>
      <c r="K1115">
        <v>1</v>
      </c>
      <c r="L1115">
        <v>1</v>
      </c>
      <c r="M1115">
        <v>1</v>
      </c>
      <c r="N1115">
        <v>1</v>
      </c>
      <c r="O1115">
        <v>1</v>
      </c>
      <c r="R1115">
        <f t="shared" si="50"/>
        <v>42</v>
      </c>
      <c r="S1115">
        <v>1</v>
      </c>
      <c r="T1115">
        <v>1</v>
      </c>
      <c r="U1115">
        <v>1</v>
      </c>
      <c r="V1115">
        <v>1</v>
      </c>
      <c r="W1115">
        <v>1</v>
      </c>
      <c r="AA1115">
        <v>-8292.4974999999995</v>
      </c>
      <c r="AB1115">
        <v>-8292.4974999999995</v>
      </c>
      <c r="AC1115">
        <v>-8292.4974999999995</v>
      </c>
      <c r="AD1115">
        <v>-8292.4974999999995</v>
      </c>
      <c r="AE1115">
        <v>-8292.4974999999995</v>
      </c>
      <c r="AF1115">
        <v>-833551.75890000002</v>
      </c>
    </row>
    <row r="1116" spans="2:32" x14ac:dyDescent="0.25">
      <c r="B1116">
        <f t="shared" si="48"/>
        <v>43</v>
      </c>
      <c r="C1116">
        <v>1</v>
      </c>
      <c r="D1116">
        <v>1</v>
      </c>
      <c r="E1116">
        <v>1</v>
      </c>
      <c r="F1116">
        <v>1</v>
      </c>
      <c r="G1116">
        <v>1</v>
      </c>
      <c r="J1116">
        <f t="shared" si="49"/>
        <v>43</v>
      </c>
      <c r="K1116">
        <v>1</v>
      </c>
      <c r="L1116">
        <v>1</v>
      </c>
      <c r="M1116">
        <v>1</v>
      </c>
      <c r="N1116">
        <v>1</v>
      </c>
      <c r="O1116">
        <v>1</v>
      </c>
      <c r="R1116">
        <f t="shared" si="50"/>
        <v>43</v>
      </c>
      <c r="S1116">
        <v>1</v>
      </c>
      <c r="T1116">
        <v>1</v>
      </c>
      <c r="U1116">
        <v>1</v>
      </c>
      <c r="V1116">
        <v>1</v>
      </c>
      <c r="W1116">
        <v>1</v>
      </c>
      <c r="AA1116">
        <v>-8182.3909999999996</v>
      </c>
      <c r="AB1116">
        <v>-8182.3909999999996</v>
      </c>
      <c r="AC1116">
        <v>-8182.3909999999996</v>
      </c>
      <c r="AD1116">
        <v>-8182.3909999999996</v>
      </c>
      <c r="AE1116">
        <v>-8182.3909999999996</v>
      </c>
      <c r="AF1116">
        <v>-844950.93949999998</v>
      </c>
    </row>
    <row r="1117" spans="2:32" x14ac:dyDescent="0.25">
      <c r="B1117">
        <f t="shared" si="48"/>
        <v>44</v>
      </c>
      <c r="C1117">
        <v>1</v>
      </c>
      <c r="D1117">
        <v>1</v>
      </c>
      <c r="E1117">
        <v>1</v>
      </c>
      <c r="F1117">
        <v>1</v>
      </c>
      <c r="G1117">
        <v>1</v>
      </c>
      <c r="J1117">
        <f t="shared" si="49"/>
        <v>44</v>
      </c>
      <c r="K1117">
        <v>1</v>
      </c>
      <c r="L1117">
        <v>1</v>
      </c>
      <c r="M1117">
        <v>1</v>
      </c>
      <c r="N1117">
        <v>1</v>
      </c>
      <c r="O1117">
        <v>1</v>
      </c>
      <c r="R1117">
        <f t="shared" si="50"/>
        <v>44</v>
      </c>
      <c r="S1117">
        <v>1</v>
      </c>
      <c r="T1117">
        <v>1</v>
      </c>
      <c r="U1117">
        <v>1</v>
      </c>
      <c r="V1117">
        <v>1</v>
      </c>
      <c r="W1117">
        <v>1</v>
      </c>
      <c r="AA1117">
        <v>-8069.8261000000002</v>
      </c>
      <c r="AB1117">
        <v>-8069.8261000000002</v>
      </c>
      <c r="AC1117">
        <v>-8069.8261000000002</v>
      </c>
      <c r="AD1117">
        <v>-8069.8261000000002</v>
      </c>
      <c r="AE1117">
        <v>-8069.8261000000002</v>
      </c>
      <c r="AF1117">
        <v>-844950.93949999998</v>
      </c>
    </row>
    <row r="1118" spans="2:32" x14ac:dyDescent="0.25">
      <c r="B1118">
        <f t="shared" si="48"/>
        <v>45</v>
      </c>
      <c r="C1118">
        <v>1</v>
      </c>
      <c r="D1118">
        <v>1</v>
      </c>
      <c r="E1118">
        <v>1</v>
      </c>
      <c r="F1118">
        <v>1</v>
      </c>
      <c r="G1118">
        <v>1</v>
      </c>
      <c r="J1118">
        <f t="shared" si="49"/>
        <v>45</v>
      </c>
      <c r="K1118">
        <v>1</v>
      </c>
      <c r="L1118">
        <v>1</v>
      </c>
      <c r="M1118">
        <v>1</v>
      </c>
      <c r="N1118">
        <v>1</v>
      </c>
      <c r="O1118">
        <v>1</v>
      </c>
      <c r="R1118">
        <f t="shared" si="50"/>
        <v>45</v>
      </c>
      <c r="S1118">
        <v>1</v>
      </c>
      <c r="T1118">
        <v>1</v>
      </c>
      <c r="U1118">
        <v>1</v>
      </c>
      <c r="V1118">
        <v>1</v>
      </c>
      <c r="W1118">
        <v>1</v>
      </c>
      <c r="AA1118">
        <v>-7954.7533999999996</v>
      </c>
      <c r="AB1118">
        <v>-7954.7533999999996</v>
      </c>
      <c r="AC1118">
        <v>-7954.7533999999996</v>
      </c>
      <c r="AD1118">
        <v>-7954.7533999999996</v>
      </c>
      <c r="AE1118">
        <v>-7954.7533999999996</v>
      </c>
      <c r="AF1118">
        <v>-870649.02139999997</v>
      </c>
    </row>
    <row r="1119" spans="2:32" x14ac:dyDescent="0.25">
      <c r="B1119">
        <f t="shared" si="48"/>
        <v>46</v>
      </c>
      <c r="C1119">
        <v>1</v>
      </c>
      <c r="D1119">
        <v>1</v>
      </c>
      <c r="E1119">
        <v>1</v>
      </c>
      <c r="F1119">
        <v>1</v>
      </c>
      <c r="G1119">
        <v>1</v>
      </c>
      <c r="J1119">
        <f t="shared" si="49"/>
        <v>46</v>
      </c>
      <c r="K1119">
        <v>1</v>
      </c>
      <c r="L1119">
        <v>1</v>
      </c>
      <c r="M1119">
        <v>1</v>
      </c>
      <c r="N1119">
        <v>1</v>
      </c>
      <c r="O1119">
        <v>1</v>
      </c>
      <c r="R1119">
        <f t="shared" si="50"/>
        <v>46</v>
      </c>
      <c r="S1119">
        <v>1</v>
      </c>
      <c r="T1119">
        <v>1</v>
      </c>
      <c r="U1119">
        <v>1</v>
      </c>
      <c r="V1119">
        <v>1</v>
      </c>
      <c r="W1119">
        <v>1</v>
      </c>
      <c r="AA1119">
        <v>-7837.1754000000001</v>
      </c>
      <c r="AB1119">
        <v>-7837.1754000000001</v>
      </c>
      <c r="AC1119">
        <v>-7837.1754000000001</v>
      </c>
      <c r="AD1119">
        <v>-7837.1754000000001</v>
      </c>
      <c r="AE1119">
        <v>-7837.1754000000001</v>
      </c>
      <c r="AF1119">
        <v>-892550.54509999999</v>
      </c>
    </row>
    <row r="1120" spans="2:32" x14ac:dyDescent="0.25">
      <c r="B1120">
        <f t="shared" si="48"/>
        <v>47</v>
      </c>
      <c r="C1120">
        <v>1</v>
      </c>
      <c r="D1120">
        <v>1</v>
      </c>
      <c r="E1120">
        <v>1</v>
      </c>
      <c r="F1120">
        <v>1</v>
      </c>
      <c r="G1120">
        <v>1</v>
      </c>
      <c r="J1120">
        <f t="shared" si="49"/>
        <v>47</v>
      </c>
      <c r="K1120">
        <v>1</v>
      </c>
      <c r="L1120">
        <v>1</v>
      </c>
      <c r="M1120">
        <v>1</v>
      </c>
      <c r="N1120">
        <v>1</v>
      </c>
      <c r="O1120">
        <v>1</v>
      </c>
      <c r="R1120">
        <f t="shared" si="50"/>
        <v>47</v>
      </c>
      <c r="S1120">
        <v>1</v>
      </c>
      <c r="T1120">
        <v>1</v>
      </c>
      <c r="U1120">
        <v>1</v>
      </c>
      <c r="V1120">
        <v>1</v>
      </c>
      <c r="W1120">
        <v>1</v>
      </c>
      <c r="AA1120">
        <v>-7717.0294999999996</v>
      </c>
      <c r="AB1120">
        <v>-7717.0294999999996</v>
      </c>
      <c r="AC1120">
        <v>-7717.0294999999996</v>
      </c>
      <c r="AD1120">
        <v>-7717.0294999999996</v>
      </c>
      <c r="AE1120">
        <v>-7717.0294999999996</v>
      </c>
      <c r="AF1120">
        <v>-910915.81969999999</v>
      </c>
    </row>
    <row r="1121" spans="2:32" x14ac:dyDescent="0.25">
      <c r="B1121">
        <f t="shared" si="48"/>
        <v>48</v>
      </c>
      <c r="C1121">
        <v>1</v>
      </c>
      <c r="D1121">
        <v>1</v>
      </c>
      <c r="E1121">
        <v>1</v>
      </c>
      <c r="F1121">
        <v>1</v>
      </c>
      <c r="G1121">
        <v>1</v>
      </c>
      <c r="J1121">
        <f t="shared" si="49"/>
        <v>48</v>
      </c>
      <c r="K1121">
        <v>1</v>
      </c>
      <c r="L1121">
        <v>1</v>
      </c>
      <c r="M1121">
        <v>1</v>
      </c>
      <c r="N1121">
        <v>1</v>
      </c>
      <c r="O1121">
        <v>1</v>
      </c>
      <c r="R1121">
        <f t="shared" si="50"/>
        <v>48</v>
      </c>
      <c r="S1121">
        <v>1</v>
      </c>
      <c r="T1121">
        <v>1</v>
      </c>
      <c r="U1121">
        <v>1</v>
      </c>
      <c r="V1121">
        <v>1</v>
      </c>
      <c r="W1121">
        <v>1</v>
      </c>
      <c r="AA1121">
        <v>-7594.4201000000003</v>
      </c>
      <c r="AB1121">
        <v>-7594.4201000000003</v>
      </c>
      <c r="AC1121">
        <v>-7594.4201000000003</v>
      </c>
      <c r="AD1121">
        <v>-7594.4201000000003</v>
      </c>
      <c r="AE1121">
        <v>-7594.4201000000003</v>
      </c>
      <c r="AF1121">
        <v>-917891.87360000005</v>
      </c>
    </row>
    <row r="1122" spans="2:32" x14ac:dyDescent="0.25">
      <c r="B1122">
        <f t="shared" si="48"/>
        <v>49</v>
      </c>
      <c r="C1122">
        <v>1</v>
      </c>
      <c r="D1122">
        <v>1</v>
      </c>
      <c r="E1122">
        <v>1</v>
      </c>
      <c r="F1122">
        <v>1</v>
      </c>
      <c r="G1122">
        <v>1</v>
      </c>
      <c r="J1122">
        <f t="shared" si="49"/>
        <v>49</v>
      </c>
      <c r="K1122">
        <v>1</v>
      </c>
      <c r="L1122">
        <v>1</v>
      </c>
      <c r="M1122">
        <v>1</v>
      </c>
      <c r="N1122">
        <v>1</v>
      </c>
      <c r="O1122">
        <v>1</v>
      </c>
      <c r="R1122">
        <f t="shared" si="50"/>
        <v>49</v>
      </c>
      <c r="S1122">
        <v>1</v>
      </c>
      <c r="T1122">
        <v>1</v>
      </c>
      <c r="U1122">
        <v>1</v>
      </c>
      <c r="V1122">
        <v>1</v>
      </c>
      <c r="W1122">
        <v>1</v>
      </c>
      <c r="AA1122">
        <v>-7469.3995999999997</v>
      </c>
      <c r="AB1122">
        <v>-7469.3995999999997</v>
      </c>
      <c r="AC1122">
        <v>-7469.3995999999997</v>
      </c>
      <c r="AD1122">
        <v>-7469.3995999999997</v>
      </c>
      <c r="AE1122">
        <v>-7469.3995999999997</v>
      </c>
      <c r="AF1122">
        <v>-944521.72470000002</v>
      </c>
    </row>
    <row r="1123" spans="2:32" x14ac:dyDescent="0.25">
      <c r="B1123">
        <f t="shared" si="48"/>
        <v>50</v>
      </c>
      <c r="C1123">
        <v>1</v>
      </c>
      <c r="D1123">
        <v>1</v>
      </c>
      <c r="E1123">
        <v>1</v>
      </c>
      <c r="F1123">
        <v>1</v>
      </c>
      <c r="G1123">
        <v>1</v>
      </c>
      <c r="J1123">
        <f t="shared" si="49"/>
        <v>50</v>
      </c>
      <c r="K1123">
        <v>1</v>
      </c>
      <c r="L1123">
        <v>1</v>
      </c>
      <c r="M1123">
        <v>1</v>
      </c>
      <c r="N1123">
        <v>1</v>
      </c>
      <c r="O1123">
        <v>1</v>
      </c>
      <c r="R1123">
        <f t="shared" si="50"/>
        <v>50</v>
      </c>
      <c r="S1123">
        <v>1</v>
      </c>
      <c r="T1123">
        <v>1</v>
      </c>
      <c r="U1123">
        <v>1</v>
      </c>
      <c r="V1123">
        <v>1</v>
      </c>
      <c r="W1123">
        <v>1</v>
      </c>
      <c r="AA1123">
        <v>-7341.9502000000002</v>
      </c>
      <c r="AB1123">
        <v>-7341.9502000000002</v>
      </c>
      <c r="AC1123">
        <v>-7341.9502000000002</v>
      </c>
      <c r="AD1123">
        <v>-7341.9502000000002</v>
      </c>
      <c r="AE1123">
        <v>-7341.9502000000002</v>
      </c>
      <c r="AF1123">
        <v>-963257.14989999996</v>
      </c>
    </row>
    <row r="1124" spans="2:32" x14ac:dyDescent="0.25">
      <c r="B1124">
        <f t="shared" si="48"/>
        <v>51</v>
      </c>
      <c r="C1124">
        <v>1</v>
      </c>
      <c r="D1124">
        <v>1</v>
      </c>
      <c r="E1124">
        <v>1</v>
      </c>
      <c r="F1124">
        <v>1</v>
      </c>
      <c r="G1124">
        <v>1</v>
      </c>
      <c r="J1124">
        <f t="shared" si="49"/>
        <v>51</v>
      </c>
      <c r="K1124">
        <v>1</v>
      </c>
      <c r="L1124">
        <v>1</v>
      </c>
      <c r="M1124">
        <v>1</v>
      </c>
      <c r="N1124">
        <v>1</v>
      </c>
      <c r="O1124">
        <v>1</v>
      </c>
      <c r="R1124">
        <f t="shared" si="50"/>
        <v>51</v>
      </c>
      <c r="S1124">
        <v>1</v>
      </c>
      <c r="T1124">
        <v>1</v>
      </c>
      <c r="U1124">
        <v>1</v>
      </c>
      <c r="V1124">
        <v>1</v>
      </c>
      <c r="W1124">
        <v>1</v>
      </c>
      <c r="AA1124">
        <v>-7212.0646999999999</v>
      </c>
      <c r="AB1124">
        <v>-7212.0646999999999</v>
      </c>
      <c r="AC1124">
        <v>-7212.0646999999999</v>
      </c>
      <c r="AD1124">
        <v>-7212.0646999999999</v>
      </c>
      <c r="AE1124">
        <v>-7212.0646999999999</v>
      </c>
      <c r="AF1124">
        <v>-981592.90729999996</v>
      </c>
    </row>
    <row r="1125" spans="2:32" x14ac:dyDescent="0.25">
      <c r="B1125">
        <f t="shared" si="48"/>
        <v>52</v>
      </c>
      <c r="C1125">
        <v>1</v>
      </c>
      <c r="D1125">
        <v>1</v>
      </c>
      <c r="E1125">
        <v>1</v>
      </c>
      <c r="F1125">
        <v>1</v>
      </c>
      <c r="G1125">
        <v>1</v>
      </c>
      <c r="J1125">
        <f t="shared" si="49"/>
        <v>52</v>
      </c>
      <c r="K1125">
        <v>1</v>
      </c>
      <c r="L1125">
        <v>1</v>
      </c>
      <c r="M1125">
        <v>1</v>
      </c>
      <c r="N1125">
        <v>1</v>
      </c>
      <c r="O1125">
        <v>1</v>
      </c>
      <c r="R1125">
        <f t="shared" si="50"/>
        <v>52</v>
      </c>
      <c r="S1125">
        <v>1</v>
      </c>
      <c r="T1125">
        <v>1</v>
      </c>
      <c r="U1125">
        <v>1</v>
      </c>
      <c r="V1125">
        <v>1</v>
      </c>
      <c r="W1125">
        <v>1</v>
      </c>
      <c r="AA1125">
        <v>-7079.7435999999998</v>
      </c>
      <c r="AB1125">
        <v>-7079.7435999999998</v>
      </c>
      <c r="AC1125">
        <v>-7079.7435999999998</v>
      </c>
      <c r="AD1125">
        <v>-7079.7435999999998</v>
      </c>
      <c r="AE1125">
        <v>-7079.7435999999998</v>
      </c>
      <c r="AF1125">
        <v>-998556.10360000003</v>
      </c>
    </row>
    <row r="1126" spans="2:32" x14ac:dyDescent="0.25">
      <c r="B1126">
        <f t="shared" si="48"/>
        <v>53</v>
      </c>
      <c r="C1126">
        <v>1</v>
      </c>
      <c r="D1126">
        <v>1</v>
      </c>
      <c r="E1126">
        <v>1</v>
      </c>
      <c r="F1126">
        <v>1</v>
      </c>
      <c r="G1126">
        <v>1</v>
      </c>
      <c r="J1126">
        <f t="shared" si="49"/>
        <v>53</v>
      </c>
      <c r="K1126">
        <v>1</v>
      </c>
      <c r="L1126">
        <v>1</v>
      </c>
      <c r="M1126">
        <v>1</v>
      </c>
      <c r="N1126">
        <v>1</v>
      </c>
      <c r="O1126">
        <v>1</v>
      </c>
      <c r="R1126">
        <f t="shared" si="50"/>
        <v>53</v>
      </c>
      <c r="S1126">
        <v>1</v>
      </c>
      <c r="T1126">
        <v>1</v>
      </c>
      <c r="U1126">
        <v>1</v>
      </c>
      <c r="V1126">
        <v>1</v>
      </c>
      <c r="W1126">
        <v>1</v>
      </c>
      <c r="AA1126">
        <v>-6945.0875999999998</v>
      </c>
      <c r="AB1126">
        <v>-6945.0875999999998</v>
      </c>
      <c r="AC1126">
        <v>-6945.0875999999998</v>
      </c>
      <c r="AD1126">
        <v>-6945.0875999999998</v>
      </c>
      <c r="AE1126">
        <v>-6945.0875999999998</v>
      </c>
      <c r="AF1126">
        <v>-1015461.3278</v>
      </c>
    </row>
    <row r="1127" spans="2:32" x14ac:dyDescent="0.25">
      <c r="B1127">
        <f t="shared" si="48"/>
        <v>54</v>
      </c>
      <c r="C1127">
        <v>1</v>
      </c>
      <c r="D1127">
        <v>1</v>
      </c>
      <c r="E1127">
        <v>1</v>
      </c>
      <c r="F1127">
        <v>1</v>
      </c>
      <c r="G1127">
        <v>1</v>
      </c>
      <c r="J1127">
        <f t="shared" si="49"/>
        <v>54</v>
      </c>
      <c r="K1127">
        <v>1</v>
      </c>
      <c r="L1127">
        <v>1</v>
      </c>
      <c r="M1127">
        <v>1</v>
      </c>
      <c r="N1127">
        <v>1</v>
      </c>
      <c r="O1127">
        <v>1</v>
      </c>
      <c r="R1127">
        <f t="shared" si="50"/>
        <v>54</v>
      </c>
      <c r="S1127">
        <v>1</v>
      </c>
      <c r="T1127">
        <v>1</v>
      </c>
      <c r="U1127">
        <v>1</v>
      </c>
      <c r="V1127">
        <v>1</v>
      </c>
      <c r="W1127">
        <v>1</v>
      </c>
      <c r="AA1127">
        <v>-6808.2438000000002</v>
      </c>
      <c r="AB1127">
        <v>-6808.2438000000002</v>
      </c>
      <c r="AC1127">
        <v>-6808.2438000000002</v>
      </c>
      <c r="AD1127">
        <v>-6808.2438000000002</v>
      </c>
      <c r="AE1127">
        <v>-6808.2438000000002</v>
      </c>
      <c r="AF1127">
        <v>-1033869.6813000001</v>
      </c>
    </row>
    <row r="1128" spans="2:32" x14ac:dyDescent="0.25">
      <c r="B1128">
        <f t="shared" si="48"/>
        <v>55</v>
      </c>
      <c r="C1128">
        <v>1</v>
      </c>
      <c r="D1128">
        <v>1</v>
      </c>
      <c r="E1128">
        <v>1</v>
      </c>
      <c r="F1128">
        <v>1</v>
      </c>
      <c r="G1128">
        <v>1</v>
      </c>
      <c r="J1128">
        <f t="shared" si="49"/>
        <v>55</v>
      </c>
      <c r="K1128">
        <v>1</v>
      </c>
      <c r="L1128">
        <v>1</v>
      </c>
      <c r="M1128">
        <v>1</v>
      </c>
      <c r="N1128">
        <v>1</v>
      </c>
      <c r="O1128">
        <v>1</v>
      </c>
      <c r="R1128">
        <f t="shared" si="50"/>
        <v>55</v>
      </c>
      <c r="S1128">
        <v>1</v>
      </c>
      <c r="T1128">
        <v>1</v>
      </c>
      <c r="U1128">
        <v>1</v>
      </c>
      <c r="V1128">
        <v>1</v>
      </c>
      <c r="W1128">
        <v>1</v>
      </c>
      <c r="AA1128">
        <v>-6669.2525999999998</v>
      </c>
      <c r="AB1128">
        <v>-6669.2525999999998</v>
      </c>
      <c r="AC1128">
        <v>-6669.2525999999998</v>
      </c>
      <c r="AD1128">
        <v>-6669.2525999999998</v>
      </c>
      <c r="AE1128">
        <v>-6669.2525999999998</v>
      </c>
      <c r="AF1128">
        <v>-1050810.2549999999</v>
      </c>
    </row>
    <row r="1129" spans="2:32" x14ac:dyDescent="0.25">
      <c r="B1129">
        <f t="shared" si="48"/>
        <v>56</v>
      </c>
      <c r="C1129">
        <v>1</v>
      </c>
      <c r="D1129">
        <v>1</v>
      </c>
      <c r="E1129">
        <v>1</v>
      </c>
      <c r="F1129">
        <v>1</v>
      </c>
      <c r="G1129">
        <v>1</v>
      </c>
      <c r="J1129">
        <f t="shared" si="49"/>
        <v>56</v>
      </c>
      <c r="K1129">
        <v>1</v>
      </c>
      <c r="L1129">
        <v>1</v>
      </c>
      <c r="M1129">
        <v>1</v>
      </c>
      <c r="N1129">
        <v>1</v>
      </c>
      <c r="O1129">
        <v>1</v>
      </c>
      <c r="R1129">
        <f t="shared" si="50"/>
        <v>56</v>
      </c>
      <c r="S1129">
        <v>1</v>
      </c>
      <c r="T1129">
        <v>1</v>
      </c>
      <c r="U1129">
        <v>1</v>
      </c>
      <c r="V1129">
        <v>1</v>
      </c>
      <c r="W1129">
        <v>1</v>
      </c>
      <c r="AA1129">
        <v>-6528.2992000000004</v>
      </c>
      <c r="AB1129">
        <v>-6528.2992000000004</v>
      </c>
      <c r="AC1129">
        <v>-6528.2992000000004</v>
      </c>
      <c r="AD1129">
        <v>-6528.2992000000004</v>
      </c>
      <c r="AE1129">
        <v>-6528.2992000000004</v>
      </c>
      <c r="AF1129">
        <v>-1073295.8774000001</v>
      </c>
    </row>
    <row r="1130" spans="2:32" x14ac:dyDescent="0.25">
      <c r="B1130">
        <f t="shared" si="48"/>
        <v>57</v>
      </c>
      <c r="C1130">
        <v>1</v>
      </c>
      <c r="D1130">
        <v>1</v>
      </c>
      <c r="E1130">
        <v>1</v>
      </c>
      <c r="F1130">
        <v>1</v>
      </c>
      <c r="G1130">
        <v>1</v>
      </c>
      <c r="J1130">
        <f t="shared" si="49"/>
        <v>57</v>
      </c>
      <c r="K1130">
        <v>1</v>
      </c>
      <c r="L1130">
        <v>1</v>
      </c>
      <c r="M1130">
        <v>1</v>
      </c>
      <c r="N1130">
        <v>1</v>
      </c>
      <c r="O1130">
        <v>1</v>
      </c>
      <c r="R1130">
        <f t="shared" si="50"/>
        <v>57</v>
      </c>
      <c r="S1130">
        <v>1</v>
      </c>
      <c r="T1130">
        <v>1</v>
      </c>
      <c r="U1130">
        <v>1</v>
      </c>
      <c r="V1130">
        <v>1</v>
      </c>
      <c r="W1130">
        <v>1</v>
      </c>
      <c r="AA1130">
        <v>-6385.5230000000001</v>
      </c>
      <c r="AB1130">
        <v>-6385.5230000000001</v>
      </c>
      <c r="AC1130">
        <v>-6385.5230000000001</v>
      </c>
      <c r="AD1130">
        <v>-6385.5230000000001</v>
      </c>
      <c r="AE1130">
        <v>-6385.5230000000001</v>
      </c>
      <c r="AF1130">
        <v>-1093242.6832999999</v>
      </c>
    </row>
    <row r="1131" spans="2:32" x14ac:dyDescent="0.25">
      <c r="B1131">
        <f t="shared" si="48"/>
        <v>58</v>
      </c>
      <c r="C1131">
        <v>1</v>
      </c>
      <c r="D1131">
        <v>1</v>
      </c>
      <c r="E1131">
        <v>1</v>
      </c>
      <c r="F1131">
        <v>1</v>
      </c>
      <c r="G1131">
        <v>1</v>
      </c>
      <c r="J1131">
        <f t="shared" si="49"/>
        <v>58</v>
      </c>
      <c r="K1131">
        <v>1</v>
      </c>
      <c r="L1131">
        <v>1</v>
      </c>
      <c r="M1131">
        <v>1</v>
      </c>
      <c r="N1131">
        <v>1</v>
      </c>
      <c r="O1131">
        <v>1</v>
      </c>
      <c r="R1131">
        <f t="shared" si="50"/>
        <v>58</v>
      </c>
      <c r="S1131">
        <v>1</v>
      </c>
      <c r="T1131">
        <v>1</v>
      </c>
      <c r="U1131">
        <v>1</v>
      </c>
      <c r="V1131">
        <v>1</v>
      </c>
      <c r="W1131">
        <v>1</v>
      </c>
      <c r="AA1131">
        <v>-6240.8730999999998</v>
      </c>
      <c r="AB1131">
        <v>-6240.8730999999998</v>
      </c>
      <c r="AC1131">
        <v>-6240.8730999999998</v>
      </c>
      <c r="AD1131">
        <v>-6240.8730999999998</v>
      </c>
      <c r="AE1131">
        <v>-6240.8730999999998</v>
      </c>
      <c r="AF1131">
        <v>-1114366.6444000001</v>
      </c>
    </row>
    <row r="1132" spans="2:32" x14ac:dyDescent="0.25">
      <c r="B1132">
        <f t="shared" si="48"/>
        <v>59</v>
      </c>
      <c r="C1132">
        <v>1</v>
      </c>
      <c r="D1132">
        <v>1</v>
      </c>
      <c r="E1132">
        <v>1</v>
      </c>
      <c r="F1132">
        <v>1</v>
      </c>
      <c r="G1132">
        <v>1</v>
      </c>
      <c r="J1132">
        <f t="shared" si="49"/>
        <v>59</v>
      </c>
      <c r="K1132">
        <v>1</v>
      </c>
      <c r="L1132">
        <v>1</v>
      </c>
      <c r="M1132">
        <v>1</v>
      </c>
      <c r="N1132">
        <v>1</v>
      </c>
      <c r="O1132">
        <v>1</v>
      </c>
      <c r="R1132">
        <f t="shared" si="50"/>
        <v>59</v>
      </c>
      <c r="S1132">
        <v>1</v>
      </c>
      <c r="T1132">
        <v>1</v>
      </c>
      <c r="U1132">
        <v>1</v>
      </c>
      <c r="V1132">
        <v>1</v>
      </c>
      <c r="W1132">
        <v>1</v>
      </c>
      <c r="AA1132">
        <v>-6094.3262999999997</v>
      </c>
      <c r="AB1132">
        <v>-6094.3262999999997</v>
      </c>
      <c r="AC1132">
        <v>-6094.3262999999997</v>
      </c>
      <c r="AD1132">
        <v>-6094.3262999999997</v>
      </c>
      <c r="AE1132">
        <v>-6094.3262999999997</v>
      </c>
      <c r="AF1132">
        <v>-1136284.0146999999</v>
      </c>
    </row>
    <row r="1133" spans="2:32" x14ac:dyDescent="0.25">
      <c r="B1133">
        <f t="shared" si="48"/>
        <v>60</v>
      </c>
      <c r="C1133">
        <v>1</v>
      </c>
      <c r="D1133">
        <v>1</v>
      </c>
      <c r="E1133">
        <v>1</v>
      </c>
      <c r="F1133">
        <v>1</v>
      </c>
      <c r="G1133">
        <v>1</v>
      </c>
      <c r="J1133">
        <f t="shared" si="49"/>
        <v>60</v>
      </c>
      <c r="K1133">
        <v>1</v>
      </c>
      <c r="L1133">
        <v>1</v>
      </c>
      <c r="M1133">
        <v>1</v>
      </c>
      <c r="N1133">
        <v>1</v>
      </c>
      <c r="O1133">
        <v>1</v>
      </c>
      <c r="R1133">
        <f t="shared" si="50"/>
        <v>60</v>
      </c>
      <c r="S1133">
        <v>1</v>
      </c>
      <c r="T1133">
        <v>1</v>
      </c>
      <c r="U1133">
        <v>1</v>
      </c>
      <c r="V1133">
        <v>1</v>
      </c>
      <c r="W1133">
        <v>1</v>
      </c>
      <c r="AA1133">
        <v>-5945.9960000000001</v>
      </c>
      <c r="AB1133">
        <v>-5945.9960000000001</v>
      </c>
      <c r="AC1133">
        <v>-5945.9960000000001</v>
      </c>
      <c r="AD1133">
        <v>-5945.9960000000001</v>
      </c>
      <c r="AE1133">
        <v>-5945.9960000000001</v>
      </c>
      <c r="AF1133">
        <v>-1157801.6717999999</v>
      </c>
    </row>
    <row r="1134" spans="2:32" x14ac:dyDescent="0.25">
      <c r="B1134">
        <f t="shared" si="48"/>
        <v>61</v>
      </c>
      <c r="C1134">
        <v>1</v>
      </c>
      <c r="D1134">
        <v>1</v>
      </c>
      <c r="E1134">
        <v>1</v>
      </c>
      <c r="F1134">
        <v>1</v>
      </c>
      <c r="G1134">
        <v>1</v>
      </c>
      <c r="J1134">
        <f t="shared" si="49"/>
        <v>61</v>
      </c>
      <c r="K1134">
        <v>1</v>
      </c>
      <c r="L1134">
        <v>1</v>
      </c>
      <c r="M1134">
        <v>1</v>
      </c>
      <c r="N1134">
        <v>1</v>
      </c>
      <c r="O1134">
        <v>1</v>
      </c>
      <c r="R1134">
        <f t="shared" si="50"/>
        <v>61</v>
      </c>
      <c r="S1134">
        <v>1</v>
      </c>
      <c r="T1134">
        <v>1</v>
      </c>
      <c r="U1134">
        <v>1</v>
      </c>
      <c r="V1134">
        <v>1</v>
      </c>
      <c r="W1134">
        <v>1</v>
      </c>
      <c r="AA1134">
        <v>-5796.3015999999998</v>
      </c>
      <c r="AB1134">
        <v>-5796.3015999999998</v>
      </c>
      <c r="AC1134">
        <v>-5796.3015999999998</v>
      </c>
      <c r="AD1134">
        <v>-5796.3015999999998</v>
      </c>
      <c r="AE1134">
        <v>-5796.3015999999998</v>
      </c>
      <c r="AF1134">
        <v>-1178581.4038</v>
      </c>
    </row>
    <row r="1135" spans="2:32" x14ac:dyDescent="0.25">
      <c r="B1135">
        <f t="shared" si="48"/>
        <v>62</v>
      </c>
      <c r="C1135">
        <v>1</v>
      </c>
      <c r="D1135">
        <v>1</v>
      </c>
      <c r="E1135">
        <v>1</v>
      </c>
      <c r="F1135">
        <v>1</v>
      </c>
      <c r="G1135">
        <v>1</v>
      </c>
      <c r="J1135">
        <f t="shared" si="49"/>
        <v>62</v>
      </c>
      <c r="K1135">
        <v>1</v>
      </c>
      <c r="L1135">
        <v>1</v>
      </c>
      <c r="M1135">
        <v>1</v>
      </c>
      <c r="N1135">
        <v>1</v>
      </c>
      <c r="O1135">
        <v>1</v>
      </c>
      <c r="R1135">
        <f t="shared" si="50"/>
        <v>62</v>
      </c>
      <c r="S1135">
        <v>1</v>
      </c>
      <c r="T1135">
        <v>1</v>
      </c>
      <c r="U1135">
        <v>1</v>
      </c>
      <c r="V1135">
        <v>1</v>
      </c>
      <c r="W1135">
        <v>1</v>
      </c>
      <c r="AA1135">
        <v>-5645.2415000000001</v>
      </c>
      <c r="AB1135">
        <v>-5645.2415000000001</v>
      </c>
      <c r="AC1135">
        <v>-5645.2415000000001</v>
      </c>
      <c r="AD1135">
        <v>-5645.2415000000001</v>
      </c>
      <c r="AE1135">
        <v>-5645.2415000000001</v>
      </c>
      <c r="AF1135">
        <v>-1199521.5327000001</v>
      </c>
    </row>
    <row r="1136" spans="2:32" x14ac:dyDescent="0.25">
      <c r="B1136">
        <f t="shared" si="48"/>
        <v>63</v>
      </c>
      <c r="C1136">
        <v>1</v>
      </c>
      <c r="D1136">
        <v>1</v>
      </c>
      <c r="E1136">
        <v>1</v>
      </c>
      <c r="F1136">
        <v>1</v>
      </c>
      <c r="G1136">
        <v>1</v>
      </c>
      <c r="J1136">
        <f t="shared" si="49"/>
        <v>63</v>
      </c>
      <c r="K1136">
        <v>1</v>
      </c>
      <c r="L1136">
        <v>1</v>
      </c>
      <c r="M1136">
        <v>1</v>
      </c>
      <c r="N1136">
        <v>1</v>
      </c>
      <c r="O1136">
        <v>1</v>
      </c>
      <c r="R1136">
        <f t="shared" si="50"/>
        <v>63</v>
      </c>
      <c r="S1136">
        <v>1</v>
      </c>
      <c r="T1136">
        <v>1</v>
      </c>
      <c r="U1136">
        <v>1</v>
      </c>
      <c r="V1136">
        <v>1</v>
      </c>
      <c r="W1136">
        <v>1</v>
      </c>
      <c r="AA1136">
        <v>-5492.4920000000002</v>
      </c>
      <c r="AB1136">
        <v>-5492.4920000000002</v>
      </c>
      <c r="AC1136">
        <v>-5492.4920000000002</v>
      </c>
      <c r="AD1136">
        <v>-5492.4920000000002</v>
      </c>
      <c r="AE1136">
        <v>-5492.4920000000002</v>
      </c>
      <c r="AF1136">
        <v>-1220461.6269</v>
      </c>
    </row>
    <row r="1137" spans="2:32" x14ac:dyDescent="0.25">
      <c r="B1137">
        <f t="shared" si="48"/>
        <v>64</v>
      </c>
      <c r="C1137">
        <v>1</v>
      </c>
      <c r="D1137">
        <v>1</v>
      </c>
      <c r="E1137">
        <v>1</v>
      </c>
      <c r="F1137">
        <v>1</v>
      </c>
      <c r="G1137">
        <v>1</v>
      </c>
      <c r="J1137">
        <f t="shared" si="49"/>
        <v>64</v>
      </c>
      <c r="K1137">
        <v>1</v>
      </c>
      <c r="L1137">
        <v>1</v>
      </c>
      <c r="M1137">
        <v>1</v>
      </c>
      <c r="N1137">
        <v>1</v>
      </c>
      <c r="O1137">
        <v>1</v>
      </c>
      <c r="R1137">
        <f t="shared" si="50"/>
        <v>64</v>
      </c>
      <c r="S1137">
        <v>1</v>
      </c>
      <c r="T1137">
        <v>1</v>
      </c>
      <c r="U1137">
        <v>1</v>
      </c>
      <c r="V1137">
        <v>1</v>
      </c>
      <c r="W1137">
        <v>1</v>
      </c>
      <c r="AA1137">
        <v>-5338.1817000000001</v>
      </c>
      <c r="AB1137">
        <v>-5338.1817000000001</v>
      </c>
      <c r="AC1137">
        <v>-5338.1817000000001</v>
      </c>
      <c r="AD1137">
        <v>-5338.1817000000001</v>
      </c>
      <c r="AE1137">
        <v>-5338.1817000000001</v>
      </c>
      <c r="AF1137">
        <v>-1240652.2526</v>
      </c>
    </row>
    <row r="1138" spans="2:32" x14ac:dyDescent="0.25">
      <c r="B1138">
        <f t="shared" si="48"/>
        <v>65</v>
      </c>
      <c r="C1138">
        <v>1</v>
      </c>
      <c r="D1138">
        <v>1</v>
      </c>
      <c r="E1138">
        <v>1</v>
      </c>
      <c r="F1138">
        <v>1</v>
      </c>
      <c r="G1138">
        <v>1</v>
      </c>
      <c r="J1138">
        <f t="shared" si="49"/>
        <v>65</v>
      </c>
      <c r="K1138">
        <v>1</v>
      </c>
      <c r="L1138">
        <v>1</v>
      </c>
      <c r="M1138">
        <v>1</v>
      </c>
      <c r="N1138">
        <v>1</v>
      </c>
      <c r="O1138">
        <v>1</v>
      </c>
      <c r="R1138">
        <f t="shared" si="50"/>
        <v>65</v>
      </c>
      <c r="S1138">
        <v>1</v>
      </c>
      <c r="T1138">
        <v>1</v>
      </c>
      <c r="U1138">
        <v>1</v>
      </c>
      <c r="V1138">
        <v>1</v>
      </c>
      <c r="W1138">
        <v>1</v>
      </c>
      <c r="AA1138">
        <v>-5182.2268999999997</v>
      </c>
      <c r="AB1138">
        <v>-5182.2268999999997</v>
      </c>
      <c r="AC1138">
        <v>-5182.2268999999997</v>
      </c>
      <c r="AD1138">
        <v>-5182.2268999999997</v>
      </c>
      <c r="AE1138">
        <v>-5182.2268999999997</v>
      </c>
      <c r="AF1138">
        <v>-1260049.8302</v>
      </c>
    </row>
    <row r="1141" spans="2:32" x14ac:dyDescent="0.25">
      <c r="B1141" t="s">
        <v>46</v>
      </c>
      <c r="C1141">
        <v>50000</v>
      </c>
      <c r="D1141">
        <v>100000</v>
      </c>
      <c r="E1141">
        <v>250000</v>
      </c>
      <c r="F1141">
        <v>500000</v>
      </c>
      <c r="G1141">
        <v>1000000</v>
      </c>
      <c r="H1141">
        <v>2000000</v>
      </c>
      <c r="J1141" t="s">
        <v>47</v>
      </c>
      <c r="K1141">
        <v>50000</v>
      </c>
      <c r="L1141">
        <v>100000</v>
      </c>
      <c r="M1141">
        <v>250000</v>
      </c>
      <c r="N1141">
        <v>500000</v>
      </c>
      <c r="O1141">
        <v>1000000</v>
      </c>
      <c r="P1141">
        <v>2000000</v>
      </c>
      <c r="R1141" t="s">
        <v>48</v>
      </c>
      <c r="S1141">
        <v>50000</v>
      </c>
      <c r="T1141">
        <v>100000</v>
      </c>
      <c r="U1141">
        <v>250000</v>
      </c>
      <c r="V1141">
        <v>500000</v>
      </c>
      <c r="W1141">
        <v>1000000</v>
      </c>
      <c r="X1141">
        <v>2000000</v>
      </c>
    </row>
    <row r="1142" spans="2:32" x14ac:dyDescent="0.25">
      <c r="B1142">
        <v>26</v>
      </c>
      <c r="C1142">
        <v>1</v>
      </c>
      <c r="D1142">
        <v>1</v>
      </c>
      <c r="E1142">
        <v>1</v>
      </c>
      <c r="F1142">
        <v>1</v>
      </c>
      <c r="G1142">
        <v>1</v>
      </c>
      <c r="H1142">
        <v>1</v>
      </c>
      <c r="J1142">
        <v>26</v>
      </c>
      <c r="K1142">
        <v>1</v>
      </c>
      <c r="L1142">
        <v>1</v>
      </c>
      <c r="M1142">
        <v>1</v>
      </c>
      <c r="N1142">
        <v>1</v>
      </c>
      <c r="O1142">
        <v>1</v>
      </c>
      <c r="P1142">
        <v>1</v>
      </c>
      <c r="R1142">
        <v>26</v>
      </c>
      <c r="S1142">
        <v>1</v>
      </c>
      <c r="T1142">
        <v>1</v>
      </c>
      <c r="U1142">
        <v>1</v>
      </c>
      <c r="V1142">
        <v>1</v>
      </c>
      <c r="W1142">
        <v>1</v>
      </c>
      <c r="X1142">
        <v>1</v>
      </c>
      <c r="AA1142">
        <v>-5174.8482999999997</v>
      </c>
      <c r="AB1142">
        <v>-5174.8482999999997</v>
      </c>
      <c r="AC1142">
        <v>-5174.8482999999997</v>
      </c>
      <c r="AD1142">
        <v>-5174.8482999999997</v>
      </c>
      <c r="AE1142">
        <v>-5174.8482999999997</v>
      </c>
      <c r="AF1142">
        <v>-5174.8482999999997</v>
      </c>
    </row>
    <row r="1143" spans="2:32" x14ac:dyDescent="0.25">
      <c r="B1143">
        <v>27</v>
      </c>
      <c r="C1143">
        <v>1</v>
      </c>
      <c r="D1143">
        <v>1</v>
      </c>
      <c r="E1143">
        <v>1</v>
      </c>
      <c r="F1143">
        <v>1</v>
      </c>
      <c r="G1143">
        <v>1</v>
      </c>
      <c r="H1143">
        <v>1</v>
      </c>
      <c r="J1143">
        <v>27</v>
      </c>
      <c r="K1143">
        <v>1</v>
      </c>
      <c r="L1143">
        <v>1</v>
      </c>
      <c r="M1143">
        <v>1</v>
      </c>
      <c r="N1143">
        <v>1</v>
      </c>
      <c r="O1143">
        <v>1</v>
      </c>
      <c r="P1143">
        <v>1</v>
      </c>
      <c r="R1143">
        <v>27</v>
      </c>
      <c r="S1143">
        <v>1</v>
      </c>
      <c r="T1143">
        <v>1</v>
      </c>
      <c r="U1143">
        <v>1</v>
      </c>
      <c r="V1143">
        <v>1</v>
      </c>
      <c r="W1143">
        <v>1</v>
      </c>
      <c r="X1143">
        <v>1</v>
      </c>
      <c r="AA1143">
        <v>-5173.6036999999997</v>
      </c>
      <c r="AB1143">
        <v>-5173.6036999999997</v>
      </c>
      <c r="AC1143">
        <v>-5173.6036999999997</v>
      </c>
      <c r="AD1143">
        <v>-5173.6036999999997</v>
      </c>
      <c r="AE1143">
        <v>-5173.6036999999997</v>
      </c>
      <c r="AF1143">
        <v>-5173.6036999999997</v>
      </c>
    </row>
    <row r="1144" spans="2:32" x14ac:dyDescent="0.25">
      <c r="B1144">
        <v>28</v>
      </c>
      <c r="C1144">
        <v>1</v>
      </c>
      <c r="D1144">
        <v>1</v>
      </c>
      <c r="E1144">
        <v>1</v>
      </c>
      <c r="F1144">
        <v>1</v>
      </c>
      <c r="G1144">
        <v>1</v>
      </c>
      <c r="H1144">
        <v>1</v>
      </c>
      <c r="J1144">
        <v>28</v>
      </c>
      <c r="K1144">
        <v>1</v>
      </c>
      <c r="L1144">
        <v>1</v>
      </c>
      <c r="M1144">
        <v>1</v>
      </c>
      <c r="N1144">
        <v>1</v>
      </c>
      <c r="O1144">
        <v>1</v>
      </c>
      <c r="P1144">
        <v>1</v>
      </c>
      <c r="R1144">
        <v>28</v>
      </c>
      <c r="S1144">
        <v>1</v>
      </c>
      <c r="T1144">
        <v>1</v>
      </c>
      <c r="U1144">
        <v>1</v>
      </c>
      <c r="V1144">
        <v>1</v>
      </c>
      <c r="W1144">
        <v>1</v>
      </c>
      <c r="X1144">
        <v>1</v>
      </c>
      <c r="AA1144">
        <v>-5172.1755999999996</v>
      </c>
      <c r="AB1144">
        <v>-5172.1755999999996</v>
      </c>
      <c r="AC1144">
        <v>-5172.1755999999996</v>
      </c>
      <c r="AD1144">
        <v>-5172.1755999999996</v>
      </c>
      <c r="AE1144">
        <v>-5172.1755999999996</v>
      </c>
      <c r="AF1144">
        <v>-5172.1755999999996</v>
      </c>
    </row>
    <row r="1145" spans="2:32" x14ac:dyDescent="0.25">
      <c r="B1145">
        <v>29</v>
      </c>
      <c r="C1145">
        <v>1</v>
      </c>
      <c r="D1145">
        <v>1</v>
      </c>
      <c r="E1145">
        <v>1</v>
      </c>
      <c r="F1145">
        <v>1</v>
      </c>
      <c r="G1145">
        <v>1</v>
      </c>
      <c r="H1145">
        <v>1</v>
      </c>
      <c r="J1145">
        <v>29</v>
      </c>
      <c r="K1145">
        <v>1</v>
      </c>
      <c r="L1145">
        <v>1</v>
      </c>
      <c r="M1145">
        <v>1</v>
      </c>
      <c r="N1145">
        <v>1</v>
      </c>
      <c r="O1145">
        <v>1</v>
      </c>
      <c r="P1145">
        <v>1</v>
      </c>
      <c r="R1145">
        <v>29</v>
      </c>
      <c r="S1145">
        <v>1</v>
      </c>
      <c r="T1145">
        <v>1</v>
      </c>
      <c r="U1145">
        <v>1</v>
      </c>
      <c r="V1145">
        <v>1</v>
      </c>
      <c r="W1145">
        <v>1</v>
      </c>
      <c r="X1145">
        <v>1</v>
      </c>
      <c r="AA1145">
        <v>-5170.5482000000002</v>
      </c>
      <c r="AB1145">
        <v>-5170.5482000000002</v>
      </c>
      <c r="AC1145">
        <v>-5170.5482000000002</v>
      </c>
      <c r="AD1145">
        <v>-5170.5482000000002</v>
      </c>
      <c r="AE1145">
        <v>-5170.5482000000002</v>
      </c>
      <c r="AF1145">
        <v>-5170.5482000000002</v>
      </c>
    </row>
    <row r="1146" spans="2:32" x14ac:dyDescent="0.25">
      <c r="B1146">
        <v>30</v>
      </c>
      <c r="C1146">
        <v>1</v>
      </c>
      <c r="D1146">
        <v>1</v>
      </c>
      <c r="E1146">
        <v>1</v>
      </c>
      <c r="F1146">
        <v>1</v>
      </c>
      <c r="G1146">
        <v>1</v>
      </c>
      <c r="H1146">
        <v>1</v>
      </c>
      <c r="J1146">
        <v>30</v>
      </c>
      <c r="K1146">
        <v>1</v>
      </c>
      <c r="L1146">
        <v>1</v>
      </c>
      <c r="M1146">
        <v>1</v>
      </c>
      <c r="N1146">
        <v>1</v>
      </c>
      <c r="O1146">
        <v>1</v>
      </c>
      <c r="P1146">
        <v>1</v>
      </c>
      <c r="R1146">
        <v>30</v>
      </c>
      <c r="S1146">
        <v>1</v>
      </c>
      <c r="T1146">
        <v>1</v>
      </c>
      <c r="U1146">
        <v>1</v>
      </c>
      <c r="V1146">
        <v>1</v>
      </c>
      <c r="W1146">
        <v>1</v>
      </c>
      <c r="X1146">
        <v>1</v>
      </c>
      <c r="AA1146">
        <v>-5168.6908999999996</v>
      </c>
      <c r="AB1146">
        <v>-5168.6908999999996</v>
      </c>
      <c r="AC1146">
        <v>-5168.6908999999996</v>
      </c>
      <c r="AD1146">
        <v>-5168.6908999999996</v>
      </c>
      <c r="AE1146">
        <v>-5168.6908999999996</v>
      </c>
      <c r="AF1146">
        <v>-5168.6908999999996</v>
      </c>
    </row>
    <row r="1147" spans="2:32" x14ac:dyDescent="0.25">
      <c r="B1147">
        <v>31</v>
      </c>
      <c r="C1147">
        <v>1</v>
      </c>
      <c r="D1147">
        <v>1</v>
      </c>
      <c r="E1147">
        <v>1</v>
      </c>
      <c r="F1147">
        <v>1</v>
      </c>
      <c r="G1147">
        <v>1</v>
      </c>
      <c r="H1147">
        <v>1</v>
      </c>
      <c r="J1147">
        <v>31</v>
      </c>
      <c r="K1147">
        <v>1</v>
      </c>
      <c r="L1147">
        <v>1</v>
      </c>
      <c r="M1147">
        <v>1</v>
      </c>
      <c r="N1147">
        <v>1</v>
      </c>
      <c r="O1147">
        <v>1</v>
      </c>
      <c r="P1147">
        <v>1</v>
      </c>
      <c r="R1147">
        <v>31</v>
      </c>
      <c r="S1147">
        <v>1</v>
      </c>
      <c r="T1147">
        <v>1</v>
      </c>
      <c r="U1147">
        <v>1</v>
      </c>
      <c r="V1147">
        <v>1</v>
      </c>
      <c r="W1147">
        <v>1</v>
      </c>
      <c r="X1147">
        <v>1</v>
      </c>
      <c r="AA1147">
        <v>-5166.5891000000001</v>
      </c>
      <c r="AB1147">
        <v>-5166.5891000000001</v>
      </c>
      <c r="AC1147">
        <v>-5166.5891000000001</v>
      </c>
      <c r="AD1147">
        <v>-5166.5891000000001</v>
      </c>
      <c r="AE1147">
        <v>-5166.5891000000001</v>
      </c>
      <c r="AF1147">
        <v>-5166.5891000000001</v>
      </c>
    </row>
    <row r="1148" spans="2:32" x14ac:dyDescent="0.25">
      <c r="B1148">
        <v>32</v>
      </c>
      <c r="C1148">
        <v>1</v>
      </c>
      <c r="D1148">
        <v>1</v>
      </c>
      <c r="E1148">
        <v>1</v>
      </c>
      <c r="F1148">
        <v>1</v>
      </c>
      <c r="G1148">
        <v>1</v>
      </c>
      <c r="H1148">
        <v>1</v>
      </c>
      <c r="J1148">
        <v>32</v>
      </c>
      <c r="K1148">
        <v>1</v>
      </c>
      <c r="L1148">
        <v>1</v>
      </c>
      <c r="M1148">
        <v>1</v>
      </c>
      <c r="N1148">
        <v>1</v>
      </c>
      <c r="O1148">
        <v>1</v>
      </c>
      <c r="P1148">
        <v>1</v>
      </c>
      <c r="R1148">
        <v>32</v>
      </c>
      <c r="S1148">
        <v>1</v>
      </c>
      <c r="T1148">
        <v>1</v>
      </c>
      <c r="U1148">
        <v>1</v>
      </c>
      <c r="V1148">
        <v>1</v>
      </c>
      <c r="W1148">
        <v>1</v>
      </c>
      <c r="X1148">
        <v>1</v>
      </c>
      <c r="AA1148">
        <v>-5164.2407000000003</v>
      </c>
      <c r="AB1148">
        <v>-5164.2407000000003</v>
      </c>
      <c r="AC1148">
        <v>-5164.2407000000003</v>
      </c>
      <c r="AD1148">
        <v>-5164.2407000000003</v>
      </c>
      <c r="AE1148">
        <v>-5164.2407000000003</v>
      </c>
      <c r="AF1148">
        <v>-5164.2407000000003</v>
      </c>
    </row>
    <row r="1149" spans="2:32" x14ac:dyDescent="0.25">
      <c r="B1149">
        <v>33</v>
      </c>
      <c r="C1149">
        <v>1</v>
      </c>
      <c r="D1149">
        <v>1</v>
      </c>
      <c r="E1149">
        <v>1</v>
      </c>
      <c r="F1149">
        <v>1</v>
      </c>
      <c r="G1149">
        <v>1</v>
      </c>
      <c r="H1149">
        <v>1</v>
      </c>
      <c r="J1149">
        <v>33</v>
      </c>
      <c r="K1149">
        <v>1</v>
      </c>
      <c r="L1149">
        <v>1</v>
      </c>
      <c r="M1149">
        <v>1</v>
      </c>
      <c r="N1149">
        <v>1</v>
      </c>
      <c r="O1149">
        <v>1</v>
      </c>
      <c r="P1149">
        <v>1</v>
      </c>
      <c r="R1149">
        <v>33</v>
      </c>
      <c r="S1149">
        <v>1</v>
      </c>
      <c r="T1149">
        <v>1</v>
      </c>
      <c r="U1149">
        <v>1</v>
      </c>
      <c r="V1149">
        <v>1</v>
      </c>
      <c r="W1149">
        <v>1</v>
      </c>
      <c r="X1149">
        <v>1</v>
      </c>
      <c r="AA1149">
        <v>-5161.6318000000001</v>
      </c>
      <c r="AB1149">
        <v>-5161.6318000000001</v>
      </c>
      <c r="AC1149">
        <v>-5161.6318000000001</v>
      </c>
      <c r="AD1149">
        <v>-5161.6318000000001</v>
      </c>
      <c r="AE1149">
        <v>-5161.6318000000001</v>
      </c>
      <c r="AF1149">
        <v>-5161.6318000000001</v>
      </c>
    </row>
    <row r="1150" spans="2:32" x14ac:dyDescent="0.25">
      <c r="B1150">
        <v>34</v>
      </c>
      <c r="C1150">
        <v>1</v>
      </c>
      <c r="D1150">
        <v>1</v>
      </c>
      <c r="E1150">
        <v>1</v>
      </c>
      <c r="F1150">
        <v>1</v>
      </c>
      <c r="G1150">
        <v>1</v>
      </c>
      <c r="H1150">
        <v>1</v>
      </c>
      <c r="J1150">
        <v>34</v>
      </c>
      <c r="K1150">
        <v>1</v>
      </c>
      <c r="L1150">
        <v>1</v>
      </c>
      <c r="M1150">
        <v>1</v>
      </c>
      <c r="N1150">
        <v>1</v>
      </c>
      <c r="O1150">
        <v>1</v>
      </c>
      <c r="P1150">
        <v>1</v>
      </c>
      <c r="R1150">
        <v>34</v>
      </c>
      <c r="S1150">
        <v>1</v>
      </c>
      <c r="T1150">
        <v>1</v>
      </c>
      <c r="U1150">
        <v>1</v>
      </c>
      <c r="V1150">
        <v>1</v>
      </c>
      <c r="W1150">
        <v>1</v>
      </c>
      <c r="X1150">
        <v>1</v>
      </c>
      <c r="AA1150">
        <v>-5158.7194</v>
      </c>
      <c r="AB1150">
        <v>-5158.7194</v>
      </c>
      <c r="AC1150">
        <v>-5158.7194</v>
      </c>
      <c r="AD1150">
        <v>-5158.7194</v>
      </c>
      <c r="AE1150">
        <v>-5158.7194</v>
      </c>
      <c r="AF1150">
        <v>-5158.7194</v>
      </c>
    </row>
    <row r="1151" spans="2:32" x14ac:dyDescent="0.25">
      <c r="B1151">
        <v>35</v>
      </c>
      <c r="C1151">
        <v>1</v>
      </c>
      <c r="D1151">
        <v>1</v>
      </c>
      <c r="E1151">
        <v>1</v>
      </c>
      <c r="F1151">
        <v>1</v>
      </c>
      <c r="G1151">
        <v>1</v>
      </c>
      <c r="H1151">
        <v>1</v>
      </c>
      <c r="J1151">
        <v>35</v>
      </c>
      <c r="K1151">
        <v>1</v>
      </c>
      <c r="L1151">
        <v>1</v>
      </c>
      <c r="M1151">
        <v>1</v>
      </c>
      <c r="N1151">
        <v>1</v>
      </c>
      <c r="O1151">
        <v>1</v>
      </c>
      <c r="P1151">
        <v>1</v>
      </c>
      <c r="R1151">
        <v>35</v>
      </c>
      <c r="S1151">
        <v>1</v>
      </c>
      <c r="T1151">
        <v>1</v>
      </c>
      <c r="U1151">
        <v>1</v>
      </c>
      <c r="V1151">
        <v>1</v>
      </c>
      <c r="W1151">
        <v>1</v>
      </c>
      <c r="X1151">
        <v>1</v>
      </c>
      <c r="AA1151">
        <v>-5155.4901</v>
      </c>
      <c r="AB1151">
        <v>-5155.4901</v>
      </c>
      <c r="AC1151">
        <v>-5155.4901</v>
      </c>
      <c r="AD1151">
        <v>-5155.4901</v>
      </c>
      <c r="AE1151">
        <v>-5155.4901</v>
      </c>
      <c r="AF1151">
        <v>-5155.4901</v>
      </c>
    </row>
    <row r="1152" spans="2:32" x14ac:dyDescent="0.25">
      <c r="B1152">
        <v>36</v>
      </c>
      <c r="C1152">
        <v>1</v>
      </c>
      <c r="D1152">
        <v>1</v>
      </c>
      <c r="E1152">
        <v>1</v>
      </c>
      <c r="F1152">
        <v>1</v>
      </c>
      <c r="G1152">
        <v>1</v>
      </c>
      <c r="H1152">
        <v>1</v>
      </c>
      <c r="J1152">
        <v>36</v>
      </c>
      <c r="K1152">
        <v>1</v>
      </c>
      <c r="L1152">
        <v>1</v>
      </c>
      <c r="M1152">
        <v>1</v>
      </c>
      <c r="N1152">
        <v>1</v>
      </c>
      <c r="O1152">
        <v>1</v>
      </c>
      <c r="P1152">
        <v>1</v>
      </c>
      <c r="R1152">
        <v>36</v>
      </c>
      <c r="S1152">
        <v>1</v>
      </c>
      <c r="T1152">
        <v>1</v>
      </c>
      <c r="U1152">
        <v>1</v>
      </c>
      <c r="V1152">
        <v>1</v>
      </c>
      <c r="W1152">
        <v>1</v>
      </c>
      <c r="X1152">
        <v>1</v>
      </c>
      <c r="AA1152">
        <v>-5151.8950999999997</v>
      </c>
      <c r="AB1152">
        <v>-5151.8950999999997</v>
      </c>
      <c r="AC1152">
        <v>-5151.8950999999997</v>
      </c>
      <c r="AD1152">
        <v>-5151.8950999999997</v>
      </c>
      <c r="AE1152">
        <v>-5151.8950999999997</v>
      </c>
      <c r="AF1152">
        <v>-5151.8950999999997</v>
      </c>
    </row>
    <row r="1153" spans="2:32" x14ac:dyDescent="0.25">
      <c r="B1153">
        <v>37</v>
      </c>
      <c r="C1153">
        <v>1</v>
      </c>
      <c r="D1153">
        <v>1</v>
      </c>
      <c r="E1153">
        <v>1</v>
      </c>
      <c r="F1153">
        <v>1</v>
      </c>
      <c r="G1153">
        <v>1</v>
      </c>
      <c r="H1153">
        <v>1</v>
      </c>
      <c r="J1153">
        <v>37</v>
      </c>
      <c r="K1153">
        <v>1</v>
      </c>
      <c r="L1153">
        <v>1</v>
      </c>
      <c r="M1153">
        <v>1</v>
      </c>
      <c r="N1153">
        <v>1</v>
      </c>
      <c r="O1153">
        <v>1</v>
      </c>
      <c r="P1153">
        <v>1</v>
      </c>
      <c r="R1153">
        <v>37</v>
      </c>
      <c r="S1153">
        <v>1</v>
      </c>
      <c r="T1153">
        <v>1</v>
      </c>
      <c r="U1153">
        <v>1</v>
      </c>
      <c r="V1153">
        <v>1</v>
      </c>
      <c r="W1153">
        <v>1</v>
      </c>
      <c r="X1153">
        <v>1</v>
      </c>
      <c r="AA1153">
        <v>-5147.9106000000002</v>
      </c>
      <c r="AB1153">
        <v>-5147.9106000000002</v>
      </c>
      <c r="AC1153">
        <v>-5147.9106000000002</v>
      </c>
      <c r="AD1153">
        <v>-5147.9106000000002</v>
      </c>
      <c r="AE1153">
        <v>-5147.9106000000002</v>
      </c>
      <c r="AF1153">
        <v>-5147.9106000000002</v>
      </c>
    </row>
    <row r="1154" spans="2:32" x14ac:dyDescent="0.25">
      <c r="B1154">
        <v>38</v>
      </c>
      <c r="C1154">
        <v>1</v>
      </c>
      <c r="D1154">
        <v>1</v>
      </c>
      <c r="E1154">
        <v>1</v>
      </c>
      <c r="F1154">
        <v>1</v>
      </c>
      <c r="G1154">
        <v>1</v>
      </c>
      <c r="H1154">
        <v>1</v>
      </c>
      <c r="J1154">
        <v>38</v>
      </c>
      <c r="K1154">
        <v>1</v>
      </c>
      <c r="L1154">
        <v>1</v>
      </c>
      <c r="M1154">
        <v>1</v>
      </c>
      <c r="N1154">
        <v>1</v>
      </c>
      <c r="O1154">
        <v>1</v>
      </c>
      <c r="P1154">
        <v>1</v>
      </c>
      <c r="R1154">
        <v>38</v>
      </c>
      <c r="S1154">
        <v>1</v>
      </c>
      <c r="T1154">
        <v>1</v>
      </c>
      <c r="U1154">
        <v>1</v>
      </c>
      <c r="V1154">
        <v>1</v>
      </c>
      <c r="W1154">
        <v>1</v>
      </c>
      <c r="X1154">
        <v>1</v>
      </c>
      <c r="AA1154">
        <v>-5143.5393999999997</v>
      </c>
      <c r="AB1154">
        <v>-5143.5393999999997</v>
      </c>
      <c r="AC1154">
        <v>-5143.5393999999997</v>
      </c>
      <c r="AD1154">
        <v>-5143.5393999999997</v>
      </c>
      <c r="AE1154">
        <v>-5143.5393999999997</v>
      </c>
      <c r="AF1154">
        <v>-5143.5393999999997</v>
      </c>
    </row>
    <row r="1155" spans="2:32" x14ac:dyDescent="0.25">
      <c r="B1155">
        <v>39</v>
      </c>
      <c r="C1155">
        <v>1</v>
      </c>
      <c r="D1155">
        <v>1</v>
      </c>
      <c r="E1155">
        <v>1</v>
      </c>
      <c r="F1155">
        <v>1</v>
      </c>
      <c r="G1155">
        <v>1</v>
      </c>
      <c r="H1155">
        <v>1</v>
      </c>
      <c r="J1155">
        <v>39</v>
      </c>
      <c r="K1155">
        <v>1</v>
      </c>
      <c r="L1155">
        <v>1</v>
      </c>
      <c r="M1155">
        <v>1</v>
      </c>
      <c r="N1155">
        <v>1</v>
      </c>
      <c r="O1155">
        <v>1</v>
      </c>
      <c r="P1155">
        <v>1</v>
      </c>
      <c r="R1155">
        <v>39</v>
      </c>
      <c r="S1155">
        <v>1</v>
      </c>
      <c r="T1155">
        <v>1</v>
      </c>
      <c r="U1155">
        <v>1</v>
      </c>
      <c r="V1155">
        <v>1</v>
      </c>
      <c r="W1155">
        <v>1</v>
      </c>
      <c r="X1155">
        <v>1</v>
      </c>
      <c r="AA1155">
        <v>-5138.76</v>
      </c>
      <c r="AB1155">
        <v>-5138.76</v>
      </c>
      <c r="AC1155">
        <v>-5138.76</v>
      </c>
      <c r="AD1155">
        <v>-5138.76</v>
      </c>
      <c r="AE1155">
        <v>-5138.76</v>
      </c>
      <c r="AF1155">
        <v>-5138.76</v>
      </c>
    </row>
    <row r="1156" spans="2:32" x14ac:dyDescent="0.25">
      <c r="B1156">
        <v>40</v>
      </c>
      <c r="C1156">
        <v>1</v>
      </c>
      <c r="D1156">
        <v>1</v>
      </c>
      <c r="E1156">
        <v>1</v>
      </c>
      <c r="F1156">
        <v>1</v>
      </c>
      <c r="G1156">
        <v>1</v>
      </c>
      <c r="H1156">
        <v>1</v>
      </c>
      <c r="J1156">
        <v>40</v>
      </c>
      <c r="K1156">
        <v>1</v>
      </c>
      <c r="L1156">
        <v>1</v>
      </c>
      <c r="M1156">
        <v>1</v>
      </c>
      <c r="N1156">
        <v>1</v>
      </c>
      <c r="O1156">
        <v>1</v>
      </c>
      <c r="P1156">
        <v>1</v>
      </c>
      <c r="R1156">
        <v>40</v>
      </c>
      <c r="S1156">
        <v>1</v>
      </c>
      <c r="T1156">
        <v>1</v>
      </c>
      <c r="U1156">
        <v>1</v>
      </c>
      <c r="V1156">
        <v>1</v>
      </c>
      <c r="W1156">
        <v>1</v>
      </c>
      <c r="X1156">
        <v>1</v>
      </c>
      <c r="AA1156">
        <v>-5133.5084999999999</v>
      </c>
      <c r="AB1156">
        <v>-5133.5084999999999</v>
      </c>
      <c r="AC1156">
        <v>-5133.5084999999999</v>
      </c>
      <c r="AD1156">
        <v>-5133.5084999999999</v>
      </c>
      <c r="AE1156">
        <v>-5133.5084999999999</v>
      </c>
      <c r="AF1156">
        <v>-5133.5084999999999</v>
      </c>
    </row>
    <row r="1157" spans="2:32" x14ac:dyDescent="0.25">
      <c r="B1157">
        <v>41</v>
      </c>
      <c r="C1157">
        <v>1</v>
      </c>
      <c r="D1157">
        <v>1</v>
      </c>
      <c r="E1157">
        <v>1</v>
      </c>
      <c r="F1157">
        <v>1</v>
      </c>
      <c r="G1157">
        <v>1</v>
      </c>
      <c r="H1157">
        <v>1</v>
      </c>
      <c r="J1157">
        <v>41</v>
      </c>
      <c r="K1157">
        <v>1</v>
      </c>
      <c r="L1157">
        <v>1</v>
      </c>
      <c r="M1157">
        <v>1</v>
      </c>
      <c r="N1157">
        <v>1</v>
      </c>
      <c r="O1157">
        <v>1</v>
      </c>
      <c r="P1157">
        <v>1</v>
      </c>
      <c r="R1157">
        <v>41</v>
      </c>
      <c r="S1157">
        <v>1</v>
      </c>
      <c r="T1157">
        <v>1</v>
      </c>
      <c r="U1157">
        <v>1</v>
      </c>
      <c r="V1157">
        <v>1</v>
      </c>
      <c r="W1157">
        <v>1</v>
      </c>
      <c r="X1157">
        <v>1</v>
      </c>
      <c r="AA1157">
        <v>-5127.7236000000003</v>
      </c>
      <c r="AB1157">
        <v>-5127.7236000000003</v>
      </c>
      <c r="AC1157">
        <v>-5127.7236000000003</v>
      </c>
      <c r="AD1157">
        <v>-5127.7236000000003</v>
      </c>
      <c r="AE1157">
        <v>-5127.7236000000003</v>
      </c>
      <c r="AF1157">
        <v>-5127.7236000000003</v>
      </c>
    </row>
    <row r="1158" spans="2:32" x14ac:dyDescent="0.25">
      <c r="B1158">
        <v>42</v>
      </c>
      <c r="C1158">
        <v>1</v>
      </c>
      <c r="D1158">
        <v>1</v>
      </c>
      <c r="E1158">
        <v>1</v>
      </c>
      <c r="F1158">
        <v>1</v>
      </c>
      <c r="G1158">
        <v>1</v>
      </c>
      <c r="H1158">
        <v>1</v>
      </c>
      <c r="J1158">
        <v>42</v>
      </c>
      <c r="K1158">
        <v>1</v>
      </c>
      <c r="L1158">
        <v>1</v>
      </c>
      <c r="M1158">
        <v>1</v>
      </c>
      <c r="N1158">
        <v>1</v>
      </c>
      <c r="O1158">
        <v>1</v>
      </c>
      <c r="P1158">
        <v>1</v>
      </c>
      <c r="R1158">
        <v>42</v>
      </c>
      <c r="S1158">
        <v>1</v>
      </c>
      <c r="T1158">
        <v>1</v>
      </c>
      <c r="U1158">
        <v>1</v>
      </c>
      <c r="V1158">
        <v>1</v>
      </c>
      <c r="W1158">
        <v>1</v>
      </c>
      <c r="X1158">
        <v>1</v>
      </c>
      <c r="AA1158">
        <v>-5121.3726999999999</v>
      </c>
      <c r="AB1158">
        <v>-5121.3726999999999</v>
      </c>
      <c r="AC1158">
        <v>-5121.3726999999999</v>
      </c>
      <c r="AD1158">
        <v>-5121.3726999999999</v>
      </c>
      <c r="AE1158">
        <v>-5121.3726999999999</v>
      </c>
      <c r="AF1158">
        <v>-5121.3726999999999</v>
      </c>
    </row>
    <row r="1159" spans="2:32" x14ac:dyDescent="0.25">
      <c r="B1159">
        <v>43</v>
      </c>
      <c r="C1159">
        <v>1</v>
      </c>
      <c r="D1159">
        <v>1</v>
      </c>
      <c r="E1159">
        <v>1</v>
      </c>
      <c r="F1159">
        <v>1</v>
      </c>
      <c r="G1159">
        <v>1</v>
      </c>
      <c r="H1159">
        <v>1</v>
      </c>
      <c r="J1159">
        <v>43</v>
      </c>
      <c r="K1159">
        <v>1</v>
      </c>
      <c r="L1159">
        <v>1</v>
      </c>
      <c r="M1159">
        <v>1</v>
      </c>
      <c r="N1159">
        <v>1</v>
      </c>
      <c r="O1159">
        <v>1</v>
      </c>
      <c r="P1159">
        <v>1</v>
      </c>
      <c r="R1159">
        <v>43</v>
      </c>
      <c r="S1159">
        <v>1</v>
      </c>
      <c r="T1159">
        <v>1</v>
      </c>
      <c r="U1159">
        <v>1</v>
      </c>
      <c r="V1159">
        <v>1</v>
      </c>
      <c r="W1159">
        <v>1</v>
      </c>
      <c r="X1159">
        <v>1</v>
      </c>
      <c r="AA1159">
        <v>-5114.3449000000001</v>
      </c>
      <c r="AB1159">
        <v>-5114.3449000000001</v>
      </c>
      <c r="AC1159">
        <v>-5114.3449000000001</v>
      </c>
      <c r="AD1159">
        <v>-5114.3449000000001</v>
      </c>
      <c r="AE1159">
        <v>-5114.3449000000001</v>
      </c>
      <c r="AF1159">
        <v>-5114.3449000000001</v>
      </c>
    </row>
    <row r="1160" spans="2:32" x14ac:dyDescent="0.25">
      <c r="B1160">
        <v>44</v>
      </c>
      <c r="C1160">
        <v>1</v>
      </c>
      <c r="D1160">
        <v>1</v>
      </c>
      <c r="E1160">
        <v>1</v>
      </c>
      <c r="F1160">
        <v>1</v>
      </c>
      <c r="G1160">
        <v>1</v>
      </c>
      <c r="H1160">
        <v>1</v>
      </c>
      <c r="J1160">
        <v>44</v>
      </c>
      <c r="K1160">
        <v>1</v>
      </c>
      <c r="L1160">
        <v>1</v>
      </c>
      <c r="M1160">
        <v>1</v>
      </c>
      <c r="N1160">
        <v>1</v>
      </c>
      <c r="O1160">
        <v>1</v>
      </c>
      <c r="P1160">
        <v>1</v>
      </c>
      <c r="R1160">
        <v>44</v>
      </c>
      <c r="S1160">
        <v>1</v>
      </c>
      <c r="T1160">
        <v>1</v>
      </c>
      <c r="U1160">
        <v>1</v>
      </c>
      <c r="V1160">
        <v>1</v>
      </c>
      <c r="W1160">
        <v>1</v>
      </c>
      <c r="X1160">
        <v>1</v>
      </c>
      <c r="AA1160">
        <v>-5106.5976000000001</v>
      </c>
      <c r="AB1160">
        <v>-5106.5976000000001</v>
      </c>
      <c r="AC1160">
        <v>-5106.5976000000001</v>
      </c>
      <c r="AD1160">
        <v>-5106.5976000000001</v>
      </c>
      <c r="AE1160">
        <v>-5106.5976000000001</v>
      </c>
      <c r="AF1160">
        <v>-5106.5976000000001</v>
      </c>
    </row>
    <row r="1161" spans="2:32" x14ac:dyDescent="0.25">
      <c r="B1161">
        <v>45</v>
      </c>
      <c r="C1161">
        <v>1</v>
      </c>
      <c r="D1161">
        <v>1</v>
      </c>
      <c r="E1161">
        <v>1</v>
      </c>
      <c r="F1161">
        <v>1</v>
      </c>
      <c r="G1161">
        <v>1</v>
      </c>
      <c r="H1161">
        <v>1</v>
      </c>
      <c r="J1161">
        <v>45</v>
      </c>
      <c r="K1161">
        <v>1</v>
      </c>
      <c r="L1161">
        <v>1</v>
      </c>
      <c r="M1161">
        <v>1</v>
      </c>
      <c r="N1161">
        <v>1</v>
      </c>
      <c r="O1161">
        <v>1</v>
      </c>
      <c r="P1161">
        <v>1</v>
      </c>
      <c r="R1161">
        <v>45</v>
      </c>
      <c r="S1161">
        <v>1</v>
      </c>
      <c r="T1161">
        <v>1</v>
      </c>
      <c r="U1161">
        <v>1</v>
      </c>
      <c r="V1161">
        <v>1</v>
      </c>
      <c r="W1161">
        <v>1</v>
      </c>
      <c r="X1161">
        <v>1</v>
      </c>
      <c r="AA1161">
        <v>-5098.0524999999998</v>
      </c>
      <c r="AB1161">
        <v>-5098.0524999999998</v>
      </c>
      <c r="AC1161">
        <v>-5098.0524999999998</v>
      </c>
      <c r="AD1161">
        <v>-5098.0524999999998</v>
      </c>
      <c r="AE1161">
        <v>-5098.0524999999998</v>
      </c>
      <c r="AF1161">
        <v>-5098.0524999999998</v>
      </c>
    </row>
    <row r="1162" spans="2:32" x14ac:dyDescent="0.25">
      <c r="B1162">
        <v>46</v>
      </c>
      <c r="C1162">
        <v>1</v>
      </c>
      <c r="D1162">
        <v>1</v>
      </c>
      <c r="E1162">
        <v>1</v>
      </c>
      <c r="F1162">
        <v>1</v>
      </c>
      <c r="G1162">
        <v>1</v>
      </c>
      <c r="H1162">
        <v>1</v>
      </c>
      <c r="J1162">
        <v>46</v>
      </c>
      <c r="K1162">
        <v>1</v>
      </c>
      <c r="L1162">
        <v>1</v>
      </c>
      <c r="M1162">
        <v>1</v>
      </c>
      <c r="N1162">
        <v>1</v>
      </c>
      <c r="O1162">
        <v>1</v>
      </c>
      <c r="P1162">
        <v>1</v>
      </c>
      <c r="R1162">
        <v>46</v>
      </c>
      <c r="S1162">
        <v>1</v>
      </c>
      <c r="T1162">
        <v>1</v>
      </c>
      <c r="U1162">
        <v>1</v>
      </c>
      <c r="V1162">
        <v>1</v>
      </c>
      <c r="W1162">
        <v>1</v>
      </c>
      <c r="X1162">
        <v>1</v>
      </c>
      <c r="AA1162">
        <v>-5088.6378000000004</v>
      </c>
      <c r="AB1162">
        <v>-5088.6378000000004</v>
      </c>
      <c r="AC1162">
        <v>-5088.6378000000004</v>
      </c>
      <c r="AD1162">
        <v>-5088.6378000000004</v>
      </c>
      <c r="AE1162">
        <v>-5088.6378000000004</v>
      </c>
      <c r="AF1162">
        <v>-5088.6378000000004</v>
      </c>
    </row>
    <row r="1163" spans="2:32" x14ac:dyDescent="0.25">
      <c r="B1163">
        <v>47</v>
      </c>
      <c r="C1163">
        <v>1</v>
      </c>
      <c r="D1163">
        <v>1</v>
      </c>
      <c r="E1163">
        <v>1</v>
      </c>
      <c r="F1163">
        <v>1</v>
      </c>
      <c r="G1163">
        <v>1</v>
      </c>
      <c r="H1163">
        <v>1</v>
      </c>
      <c r="J1163">
        <v>47</v>
      </c>
      <c r="K1163">
        <v>1</v>
      </c>
      <c r="L1163">
        <v>1</v>
      </c>
      <c r="M1163">
        <v>1</v>
      </c>
      <c r="N1163">
        <v>1</v>
      </c>
      <c r="O1163">
        <v>1</v>
      </c>
      <c r="P1163">
        <v>1</v>
      </c>
      <c r="R1163">
        <v>47</v>
      </c>
      <c r="S1163">
        <v>1</v>
      </c>
      <c r="T1163">
        <v>1</v>
      </c>
      <c r="U1163">
        <v>1</v>
      </c>
      <c r="V1163">
        <v>1</v>
      </c>
      <c r="W1163">
        <v>1</v>
      </c>
      <c r="X1163">
        <v>1</v>
      </c>
      <c r="AA1163">
        <v>-5078.2593999999999</v>
      </c>
      <c r="AB1163">
        <v>-5078.2593999999999</v>
      </c>
      <c r="AC1163">
        <v>-5078.2593999999999</v>
      </c>
      <c r="AD1163">
        <v>-5078.2593999999999</v>
      </c>
      <c r="AE1163">
        <v>-5078.2593999999999</v>
      </c>
      <c r="AF1163">
        <v>-5078.2593999999999</v>
      </c>
    </row>
    <row r="1164" spans="2:32" x14ac:dyDescent="0.25">
      <c r="B1164">
        <v>48</v>
      </c>
      <c r="C1164">
        <v>1</v>
      </c>
      <c r="D1164">
        <v>1</v>
      </c>
      <c r="E1164">
        <v>1</v>
      </c>
      <c r="F1164">
        <v>1</v>
      </c>
      <c r="G1164">
        <v>1</v>
      </c>
      <c r="H1164">
        <v>1</v>
      </c>
      <c r="J1164">
        <v>48</v>
      </c>
      <c r="K1164">
        <v>1</v>
      </c>
      <c r="L1164">
        <v>1</v>
      </c>
      <c r="M1164">
        <v>1</v>
      </c>
      <c r="N1164">
        <v>1</v>
      </c>
      <c r="O1164">
        <v>1</v>
      </c>
      <c r="P1164">
        <v>1</v>
      </c>
      <c r="R1164">
        <v>48</v>
      </c>
      <c r="S1164">
        <v>1</v>
      </c>
      <c r="T1164">
        <v>1</v>
      </c>
      <c r="U1164">
        <v>1</v>
      </c>
      <c r="V1164">
        <v>1</v>
      </c>
      <c r="W1164">
        <v>1</v>
      </c>
      <c r="X1164">
        <v>1</v>
      </c>
      <c r="AA1164">
        <v>-5066.8732</v>
      </c>
      <c r="AB1164">
        <v>-5066.8732</v>
      </c>
      <c r="AC1164">
        <v>-5066.8732</v>
      </c>
      <c r="AD1164">
        <v>-5066.8732</v>
      </c>
      <c r="AE1164">
        <v>-5066.8732</v>
      </c>
      <c r="AF1164">
        <v>-5066.8732</v>
      </c>
    </row>
    <row r="1165" spans="2:32" x14ac:dyDescent="0.25">
      <c r="B1165">
        <v>49</v>
      </c>
      <c r="C1165">
        <v>1</v>
      </c>
      <c r="D1165">
        <v>1</v>
      </c>
      <c r="E1165">
        <v>1</v>
      </c>
      <c r="F1165">
        <v>1</v>
      </c>
      <c r="G1165">
        <v>1</v>
      </c>
      <c r="H1165">
        <v>1</v>
      </c>
      <c r="J1165">
        <v>49</v>
      </c>
      <c r="K1165">
        <v>1</v>
      </c>
      <c r="L1165">
        <v>1</v>
      </c>
      <c r="M1165">
        <v>1</v>
      </c>
      <c r="N1165">
        <v>1</v>
      </c>
      <c r="O1165">
        <v>1</v>
      </c>
      <c r="P1165">
        <v>1</v>
      </c>
      <c r="R1165">
        <v>49</v>
      </c>
      <c r="S1165">
        <v>1</v>
      </c>
      <c r="T1165">
        <v>1</v>
      </c>
      <c r="U1165">
        <v>1</v>
      </c>
      <c r="V1165">
        <v>1</v>
      </c>
      <c r="W1165">
        <v>1</v>
      </c>
      <c r="X1165">
        <v>1</v>
      </c>
      <c r="AA1165">
        <v>-5054.4124000000002</v>
      </c>
      <c r="AB1165">
        <v>-5054.4124000000002</v>
      </c>
      <c r="AC1165">
        <v>-5054.4124000000002</v>
      </c>
      <c r="AD1165">
        <v>-5054.4124000000002</v>
      </c>
      <c r="AE1165">
        <v>-5054.4124000000002</v>
      </c>
      <c r="AF1165">
        <v>-5054.4124000000002</v>
      </c>
    </row>
    <row r="1166" spans="2:32" x14ac:dyDescent="0.25">
      <c r="B1166">
        <v>50</v>
      </c>
      <c r="C1166">
        <v>1</v>
      </c>
      <c r="D1166">
        <v>1</v>
      </c>
      <c r="E1166">
        <v>1</v>
      </c>
      <c r="F1166">
        <v>1</v>
      </c>
      <c r="G1166">
        <v>1</v>
      </c>
      <c r="H1166">
        <v>1</v>
      </c>
      <c r="J1166">
        <v>50</v>
      </c>
      <c r="K1166">
        <v>1</v>
      </c>
      <c r="L1166">
        <v>1</v>
      </c>
      <c r="M1166">
        <v>1</v>
      </c>
      <c r="N1166">
        <v>1</v>
      </c>
      <c r="O1166">
        <v>1</v>
      </c>
      <c r="P1166">
        <v>1</v>
      </c>
      <c r="R1166">
        <v>50</v>
      </c>
      <c r="S1166">
        <v>1</v>
      </c>
      <c r="T1166">
        <v>1</v>
      </c>
      <c r="U1166">
        <v>1</v>
      </c>
      <c r="V1166">
        <v>1</v>
      </c>
      <c r="W1166">
        <v>1</v>
      </c>
      <c r="X1166">
        <v>1</v>
      </c>
      <c r="AA1166">
        <v>-5040.7671</v>
      </c>
      <c r="AB1166">
        <v>-5040.7671</v>
      </c>
      <c r="AC1166">
        <v>-5040.7671</v>
      </c>
      <c r="AD1166">
        <v>-5040.7671</v>
      </c>
      <c r="AE1166">
        <v>-5040.7671</v>
      </c>
      <c r="AF1166">
        <v>-5040.7671</v>
      </c>
    </row>
    <row r="1167" spans="2:32" x14ac:dyDescent="0.25">
      <c r="B1167">
        <v>51</v>
      </c>
      <c r="C1167">
        <v>1</v>
      </c>
      <c r="D1167">
        <v>1</v>
      </c>
      <c r="E1167">
        <v>1</v>
      </c>
      <c r="F1167">
        <v>1</v>
      </c>
      <c r="G1167">
        <v>1</v>
      </c>
      <c r="H1167">
        <v>1</v>
      </c>
      <c r="J1167">
        <v>51</v>
      </c>
      <c r="K1167">
        <v>1</v>
      </c>
      <c r="L1167">
        <v>1</v>
      </c>
      <c r="M1167">
        <v>1</v>
      </c>
      <c r="N1167">
        <v>1</v>
      </c>
      <c r="O1167">
        <v>1</v>
      </c>
      <c r="P1167">
        <v>1</v>
      </c>
      <c r="R1167">
        <v>51</v>
      </c>
      <c r="S1167">
        <v>1</v>
      </c>
      <c r="T1167">
        <v>1</v>
      </c>
      <c r="U1167">
        <v>1</v>
      </c>
      <c r="V1167">
        <v>1</v>
      </c>
      <c r="W1167">
        <v>1</v>
      </c>
      <c r="X1167">
        <v>1</v>
      </c>
      <c r="AA1167">
        <v>-5025.8329000000003</v>
      </c>
      <c r="AB1167">
        <v>-5025.8329000000003</v>
      </c>
      <c r="AC1167">
        <v>-5025.8329000000003</v>
      </c>
      <c r="AD1167">
        <v>-5025.8329000000003</v>
      </c>
      <c r="AE1167">
        <v>-5025.8329000000003</v>
      </c>
      <c r="AF1167">
        <v>-5025.8329000000003</v>
      </c>
    </row>
    <row r="1168" spans="2:32" x14ac:dyDescent="0.25">
      <c r="B1168">
        <v>52</v>
      </c>
      <c r="C1168">
        <v>1</v>
      </c>
      <c r="D1168">
        <v>1</v>
      </c>
      <c r="E1168">
        <v>1</v>
      </c>
      <c r="F1168">
        <v>1</v>
      </c>
      <c r="G1168">
        <v>1</v>
      </c>
      <c r="H1168">
        <v>1</v>
      </c>
      <c r="J1168">
        <v>52</v>
      </c>
      <c r="K1168">
        <v>1</v>
      </c>
      <c r="L1168">
        <v>1</v>
      </c>
      <c r="M1168">
        <v>1</v>
      </c>
      <c r="N1168">
        <v>1</v>
      </c>
      <c r="O1168">
        <v>1</v>
      </c>
      <c r="P1168">
        <v>1</v>
      </c>
      <c r="R1168">
        <v>52</v>
      </c>
      <c r="S1168">
        <v>1</v>
      </c>
      <c r="T1168">
        <v>1</v>
      </c>
      <c r="U1168">
        <v>1</v>
      </c>
      <c r="V1168">
        <v>1</v>
      </c>
      <c r="W1168">
        <v>1</v>
      </c>
      <c r="X1168">
        <v>1</v>
      </c>
      <c r="AA1168">
        <v>-5009.4771000000001</v>
      </c>
      <c r="AB1168">
        <v>-5009.4771000000001</v>
      </c>
      <c r="AC1168">
        <v>-5009.4771000000001</v>
      </c>
      <c r="AD1168">
        <v>-5009.4771000000001</v>
      </c>
      <c r="AE1168">
        <v>-5009.4771000000001</v>
      </c>
      <c r="AF1168">
        <v>-5009.4771000000001</v>
      </c>
    </row>
    <row r="1169" spans="2:32" x14ac:dyDescent="0.25">
      <c r="B1169">
        <v>53</v>
      </c>
      <c r="C1169">
        <v>1</v>
      </c>
      <c r="D1169">
        <v>1</v>
      </c>
      <c r="E1169">
        <v>1</v>
      </c>
      <c r="F1169">
        <v>1</v>
      </c>
      <c r="G1169">
        <v>1</v>
      </c>
      <c r="H1169">
        <v>1</v>
      </c>
      <c r="J1169">
        <v>53</v>
      </c>
      <c r="K1169">
        <v>1</v>
      </c>
      <c r="L1169">
        <v>1</v>
      </c>
      <c r="M1169">
        <v>1</v>
      </c>
      <c r="N1169">
        <v>1</v>
      </c>
      <c r="O1169">
        <v>1</v>
      </c>
      <c r="P1169">
        <v>1</v>
      </c>
      <c r="R1169">
        <v>53</v>
      </c>
      <c r="S1169">
        <v>1</v>
      </c>
      <c r="T1169">
        <v>1</v>
      </c>
      <c r="U1169">
        <v>1</v>
      </c>
      <c r="V1169">
        <v>1</v>
      </c>
      <c r="W1169">
        <v>1</v>
      </c>
      <c r="X1169">
        <v>1</v>
      </c>
      <c r="AA1169">
        <v>-4991.6184000000003</v>
      </c>
      <c r="AB1169">
        <v>-4991.6184000000003</v>
      </c>
      <c r="AC1169">
        <v>-4991.6184000000003</v>
      </c>
      <c r="AD1169">
        <v>-4991.6184000000003</v>
      </c>
      <c r="AE1169">
        <v>-4991.6184000000003</v>
      </c>
      <c r="AF1169">
        <v>-4991.6184000000003</v>
      </c>
    </row>
    <row r="1170" spans="2:32" x14ac:dyDescent="0.25">
      <c r="B1170">
        <v>54</v>
      </c>
      <c r="C1170">
        <v>1</v>
      </c>
      <c r="D1170">
        <v>1</v>
      </c>
      <c r="E1170">
        <v>1</v>
      </c>
      <c r="F1170">
        <v>1</v>
      </c>
      <c r="G1170">
        <v>1</v>
      </c>
      <c r="H1170">
        <v>1</v>
      </c>
      <c r="J1170">
        <v>54</v>
      </c>
      <c r="K1170">
        <v>1</v>
      </c>
      <c r="L1170">
        <v>1</v>
      </c>
      <c r="M1170">
        <v>1</v>
      </c>
      <c r="N1170">
        <v>1</v>
      </c>
      <c r="O1170">
        <v>1</v>
      </c>
      <c r="P1170">
        <v>1</v>
      </c>
      <c r="R1170">
        <v>54</v>
      </c>
      <c r="S1170">
        <v>1</v>
      </c>
      <c r="T1170">
        <v>1</v>
      </c>
      <c r="U1170">
        <v>1</v>
      </c>
      <c r="V1170">
        <v>1</v>
      </c>
      <c r="W1170">
        <v>1</v>
      </c>
      <c r="X1170">
        <v>1</v>
      </c>
      <c r="AA1170">
        <v>-4972.1588000000002</v>
      </c>
      <c r="AB1170">
        <v>-4972.1588000000002</v>
      </c>
      <c r="AC1170">
        <v>-4972.1588000000002</v>
      </c>
      <c r="AD1170">
        <v>-4972.1588000000002</v>
      </c>
      <c r="AE1170">
        <v>-4972.1588000000002</v>
      </c>
      <c r="AF1170">
        <v>-4972.1588000000002</v>
      </c>
    </row>
    <row r="1171" spans="2:32" x14ac:dyDescent="0.25">
      <c r="B1171">
        <v>55</v>
      </c>
      <c r="C1171">
        <v>1</v>
      </c>
      <c r="D1171">
        <v>1</v>
      </c>
      <c r="E1171">
        <v>1</v>
      </c>
      <c r="F1171">
        <v>1</v>
      </c>
      <c r="G1171">
        <v>1</v>
      </c>
      <c r="H1171">
        <v>1</v>
      </c>
      <c r="J1171">
        <v>55</v>
      </c>
      <c r="K1171">
        <v>1</v>
      </c>
      <c r="L1171">
        <v>1</v>
      </c>
      <c r="M1171">
        <v>1</v>
      </c>
      <c r="N1171">
        <v>1</v>
      </c>
      <c r="O1171">
        <v>1</v>
      </c>
      <c r="P1171">
        <v>1</v>
      </c>
      <c r="R1171">
        <v>55</v>
      </c>
      <c r="S1171">
        <v>1</v>
      </c>
      <c r="T1171">
        <v>1</v>
      </c>
      <c r="U1171">
        <v>1</v>
      </c>
      <c r="V1171">
        <v>1</v>
      </c>
      <c r="W1171">
        <v>1</v>
      </c>
      <c r="X1171">
        <v>1</v>
      </c>
      <c r="AA1171">
        <v>-4950.9426000000003</v>
      </c>
      <c r="AB1171">
        <v>-4950.9426000000003</v>
      </c>
      <c r="AC1171">
        <v>-4950.9426000000003</v>
      </c>
      <c r="AD1171">
        <v>-4950.9426000000003</v>
      </c>
      <c r="AE1171">
        <v>-4950.9426000000003</v>
      </c>
      <c r="AF1171">
        <v>-4950.9426000000003</v>
      </c>
    </row>
    <row r="1174" spans="2:32" x14ac:dyDescent="0.25">
      <c r="B1174" t="s">
        <v>46</v>
      </c>
      <c r="C1174">
        <v>100000</v>
      </c>
      <c r="D1174">
        <v>250000</v>
      </c>
      <c r="E1174">
        <v>500000</v>
      </c>
      <c r="F1174">
        <v>1000000</v>
      </c>
      <c r="G1174">
        <v>2000000</v>
      </c>
      <c r="J1174" t="s">
        <v>32</v>
      </c>
      <c r="K1174">
        <v>100000</v>
      </c>
      <c r="L1174">
        <v>250000</v>
      </c>
      <c r="M1174">
        <v>500000</v>
      </c>
      <c r="N1174">
        <v>1000000</v>
      </c>
      <c r="O1174">
        <v>2000000</v>
      </c>
      <c r="R1174" t="s">
        <v>48</v>
      </c>
      <c r="S1174">
        <v>100000</v>
      </c>
      <c r="T1174">
        <v>250000</v>
      </c>
      <c r="U1174">
        <v>500000</v>
      </c>
      <c r="V1174">
        <v>1000000</v>
      </c>
      <c r="W1174">
        <v>2000000</v>
      </c>
    </row>
    <row r="1175" spans="2:32" x14ac:dyDescent="0.25">
      <c r="B1175">
        <v>35</v>
      </c>
      <c r="C1175">
        <v>1</v>
      </c>
      <c r="D1175">
        <v>1</v>
      </c>
      <c r="E1175">
        <v>1</v>
      </c>
      <c r="F1175">
        <v>1</v>
      </c>
      <c r="G1175">
        <v>1</v>
      </c>
      <c r="J1175">
        <v>35</v>
      </c>
      <c r="K1175">
        <v>1</v>
      </c>
      <c r="L1175">
        <v>1</v>
      </c>
      <c r="M1175">
        <v>1</v>
      </c>
      <c r="N1175">
        <v>1</v>
      </c>
      <c r="O1175">
        <v>1</v>
      </c>
      <c r="R1175">
        <v>35</v>
      </c>
      <c r="S1175">
        <v>1</v>
      </c>
      <c r="T1175">
        <v>1</v>
      </c>
      <c r="U1175">
        <v>1</v>
      </c>
      <c r="V1175">
        <v>1</v>
      </c>
      <c r="W1175">
        <v>1</v>
      </c>
      <c r="AA1175">
        <v>-8996.1419000000005</v>
      </c>
      <c r="AB1175">
        <v>-8996.1419000000005</v>
      </c>
      <c r="AC1175">
        <v>-8996.1419000000005</v>
      </c>
      <c r="AD1175">
        <v>-8996.1419000000005</v>
      </c>
      <c r="AE1175">
        <v>-8996.1419000000005</v>
      </c>
      <c r="AF1175">
        <v>-759112.79520000005</v>
      </c>
    </row>
    <row r="1176" spans="2:32" x14ac:dyDescent="0.25">
      <c r="B1176">
        <f t="shared" ref="B1176:B1205" si="51">B1175+1</f>
        <v>36</v>
      </c>
      <c r="C1176">
        <v>1</v>
      </c>
      <c r="D1176">
        <v>1</v>
      </c>
      <c r="E1176">
        <v>1</v>
      </c>
      <c r="F1176">
        <v>1</v>
      </c>
      <c r="G1176">
        <v>1</v>
      </c>
      <c r="J1176">
        <f t="shared" ref="J1176:J1205" si="52">J1175+1</f>
        <v>36</v>
      </c>
      <c r="K1176">
        <v>1</v>
      </c>
      <c r="L1176">
        <v>1</v>
      </c>
      <c r="M1176">
        <v>1</v>
      </c>
      <c r="N1176">
        <v>1</v>
      </c>
      <c r="O1176">
        <v>1</v>
      </c>
      <c r="R1176">
        <f t="shared" ref="R1176:R1205" si="53">R1175+1</f>
        <v>36</v>
      </c>
      <c r="S1176">
        <v>1</v>
      </c>
      <c r="T1176">
        <v>1</v>
      </c>
      <c r="U1176">
        <v>1</v>
      </c>
      <c r="V1176">
        <v>1</v>
      </c>
      <c r="W1176">
        <v>1</v>
      </c>
      <c r="AA1176">
        <v>-8902.6679999999997</v>
      </c>
      <c r="AB1176">
        <v>-8902.6679999999997</v>
      </c>
      <c r="AC1176">
        <v>-8902.6679999999997</v>
      </c>
      <c r="AD1176">
        <v>-8902.6679999999997</v>
      </c>
      <c r="AE1176">
        <v>-8902.6679999999997</v>
      </c>
      <c r="AF1176">
        <v>-737070.86179999996</v>
      </c>
    </row>
    <row r="1177" spans="2:32" x14ac:dyDescent="0.25">
      <c r="B1177">
        <f t="shared" si="51"/>
        <v>37</v>
      </c>
      <c r="C1177">
        <v>1</v>
      </c>
      <c r="D1177">
        <v>1</v>
      </c>
      <c r="E1177">
        <v>1</v>
      </c>
      <c r="F1177">
        <v>1</v>
      </c>
      <c r="G1177">
        <v>1</v>
      </c>
      <c r="J1177">
        <f t="shared" si="52"/>
        <v>37</v>
      </c>
      <c r="K1177">
        <v>1</v>
      </c>
      <c r="L1177">
        <v>1</v>
      </c>
      <c r="M1177">
        <v>1</v>
      </c>
      <c r="N1177">
        <v>1</v>
      </c>
      <c r="O1177">
        <v>1</v>
      </c>
      <c r="R1177">
        <f t="shared" si="53"/>
        <v>37</v>
      </c>
      <c r="S1177">
        <v>1</v>
      </c>
      <c r="T1177">
        <v>1</v>
      </c>
      <c r="U1177">
        <v>1</v>
      </c>
      <c r="V1177">
        <v>1</v>
      </c>
      <c r="W1177">
        <v>1</v>
      </c>
      <c r="AA1177">
        <v>-8806.7960000000003</v>
      </c>
      <c r="AB1177">
        <v>-8806.7960000000003</v>
      </c>
      <c r="AC1177">
        <v>-8806.7960000000003</v>
      </c>
      <c r="AD1177">
        <v>-8806.7960000000003</v>
      </c>
      <c r="AE1177">
        <v>-8806.7960000000003</v>
      </c>
      <c r="AF1177">
        <v>-765978.91940000001</v>
      </c>
    </row>
    <row r="1178" spans="2:32" x14ac:dyDescent="0.25">
      <c r="B1178">
        <f t="shared" si="51"/>
        <v>38</v>
      </c>
      <c r="C1178">
        <v>1</v>
      </c>
      <c r="D1178">
        <v>1</v>
      </c>
      <c r="E1178">
        <v>1</v>
      </c>
      <c r="F1178">
        <v>1</v>
      </c>
      <c r="G1178">
        <v>1</v>
      </c>
      <c r="J1178">
        <f t="shared" si="52"/>
        <v>38</v>
      </c>
      <c r="K1178">
        <v>1</v>
      </c>
      <c r="L1178">
        <v>1</v>
      </c>
      <c r="M1178">
        <v>1</v>
      </c>
      <c r="N1178">
        <v>1</v>
      </c>
      <c r="O1178">
        <v>1</v>
      </c>
      <c r="R1178">
        <f t="shared" si="53"/>
        <v>38</v>
      </c>
      <c r="S1178">
        <v>1</v>
      </c>
      <c r="T1178">
        <v>1</v>
      </c>
      <c r="U1178">
        <v>1</v>
      </c>
      <c r="V1178">
        <v>1</v>
      </c>
      <c r="W1178">
        <v>1</v>
      </c>
      <c r="AA1178">
        <v>-8708.6234000000004</v>
      </c>
      <c r="AB1178">
        <v>-8708.6234000000004</v>
      </c>
      <c r="AC1178">
        <v>-8708.6234000000004</v>
      </c>
      <c r="AD1178">
        <v>-8708.6234000000004</v>
      </c>
      <c r="AE1178">
        <v>-8708.6234000000004</v>
      </c>
      <c r="AF1178">
        <v>-783780.576</v>
      </c>
    </row>
    <row r="1179" spans="2:32" x14ac:dyDescent="0.25">
      <c r="B1179">
        <f t="shared" si="51"/>
        <v>39</v>
      </c>
      <c r="C1179">
        <v>1</v>
      </c>
      <c r="D1179">
        <v>1</v>
      </c>
      <c r="E1179">
        <v>1</v>
      </c>
      <c r="F1179">
        <v>1</v>
      </c>
      <c r="G1179">
        <v>1</v>
      </c>
      <c r="J1179">
        <f t="shared" si="52"/>
        <v>39</v>
      </c>
      <c r="K1179">
        <v>1</v>
      </c>
      <c r="L1179">
        <v>1</v>
      </c>
      <c r="M1179">
        <v>1</v>
      </c>
      <c r="N1179">
        <v>1</v>
      </c>
      <c r="O1179">
        <v>1</v>
      </c>
      <c r="R1179">
        <f t="shared" si="53"/>
        <v>39</v>
      </c>
      <c r="S1179">
        <v>1</v>
      </c>
      <c r="T1179">
        <v>1</v>
      </c>
      <c r="U1179">
        <v>1</v>
      </c>
      <c r="V1179">
        <v>1</v>
      </c>
      <c r="W1179">
        <v>1</v>
      </c>
      <c r="AA1179">
        <v>-8608.1594000000005</v>
      </c>
      <c r="AB1179">
        <v>-8608.1594000000005</v>
      </c>
      <c r="AC1179">
        <v>-8608.1594000000005</v>
      </c>
      <c r="AD1179">
        <v>-8608.1594000000005</v>
      </c>
      <c r="AE1179">
        <v>-8608.1594000000005</v>
      </c>
      <c r="AF1179">
        <v>-769662.22069999995</v>
      </c>
    </row>
    <row r="1180" spans="2:32" x14ac:dyDescent="0.25">
      <c r="B1180">
        <f t="shared" si="51"/>
        <v>40</v>
      </c>
      <c r="C1180">
        <v>1</v>
      </c>
      <c r="D1180">
        <v>1</v>
      </c>
      <c r="E1180">
        <v>1</v>
      </c>
      <c r="F1180">
        <v>1</v>
      </c>
      <c r="G1180">
        <v>1</v>
      </c>
      <c r="J1180">
        <f t="shared" si="52"/>
        <v>40</v>
      </c>
      <c r="K1180">
        <v>1</v>
      </c>
      <c r="L1180">
        <v>1</v>
      </c>
      <c r="M1180">
        <v>1</v>
      </c>
      <c r="N1180">
        <v>1</v>
      </c>
      <c r="O1180">
        <v>1</v>
      </c>
      <c r="R1180">
        <f t="shared" si="53"/>
        <v>40</v>
      </c>
      <c r="S1180">
        <v>1</v>
      </c>
      <c r="T1180">
        <v>1</v>
      </c>
      <c r="U1180">
        <v>1</v>
      </c>
      <c r="V1180">
        <v>1</v>
      </c>
      <c r="W1180">
        <v>1</v>
      </c>
      <c r="AA1180">
        <v>-8505.3439999999991</v>
      </c>
      <c r="AB1180">
        <v>-8505.3439999999991</v>
      </c>
      <c r="AC1180">
        <v>-8505.3439999999991</v>
      </c>
      <c r="AD1180">
        <v>-8505.3439999999991</v>
      </c>
      <c r="AE1180">
        <v>-8505.3439999999991</v>
      </c>
      <c r="AF1180">
        <v>-798570.41119999997</v>
      </c>
    </row>
    <row r="1181" spans="2:32" x14ac:dyDescent="0.25">
      <c r="B1181">
        <f t="shared" si="51"/>
        <v>41</v>
      </c>
      <c r="C1181">
        <v>1</v>
      </c>
      <c r="D1181">
        <v>1</v>
      </c>
      <c r="E1181">
        <v>1</v>
      </c>
      <c r="F1181">
        <v>1</v>
      </c>
      <c r="G1181">
        <v>1</v>
      </c>
      <c r="J1181">
        <f t="shared" si="52"/>
        <v>41</v>
      </c>
      <c r="K1181">
        <v>1</v>
      </c>
      <c r="L1181">
        <v>1</v>
      </c>
      <c r="M1181">
        <v>1</v>
      </c>
      <c r="N1181">
        <v>1</v>
      </c>
      <c r="O1181">
        <v>1</v>
      </c>
      <c r="R1181">
        <f t="shared" si="53"/>
        <v>41</v>
      </c>
      <c r="S1181">
        <v>1</v>
      </c>
      <c r="T1181">
        <v>1</v>
      </c>
      <c r="U1181">
        <v>1</v>
      </c>
      <c r="V1181">
        <v>1</v>
      </c>
      <c r="W1181">
        <v>1</v>
      </c>
      <c r="AA1181">
        <v>-8400.1087000000007</v>
      </c>
      <c r="AB1181">
        <v>-8400.1087000000007</v>
      </c>
      <c r="AC1181">
        <v>-8400.1087000000007</v>
      </c>
      <c r="AD1181">
        <v>-8400.1087000000007</v>
      </c>
      <c r="AE1181">
        <v>-8400.1087000000007</v>
      </c>
      <c r="AF1181">
        <v>-803549.96459999995</v>
      </c>
    </row>
    <row r="1182" spans="2:32" x14ac:dyDescent="0.25">
      <c r="B1182">
        <f t="shared" si="51"/>
        <v>42</v>
      </c>
      <c r="C1182">
        <v>1</v>
      </c>
      <c r="D1182">
        <v>1</v>
      </c>
      <c r="E1182">
        <v>1</v>
      </c>
      <c r="F1182">
        <v>1</v>
      </c>
      <c r="G1182">
        <v>1</v>
      </c>
      <c r="J1182">
        <f t="shared" si="52"/>
        <v>42</v>
      </c>
      <c r="K1182">
        <v>1</v>
      </c>
      <c r="L1182">
        <v>1</v>
      </c>
      <c r="M1182">
        <v>1</v>
      </c>
      <c r="N1182">
        <v>1</v>
      </c>
      <c r="O1182">
        <v>1</v>
      </c>
      <c r="R1182">
        <f t="shared" si="53"/>
        <v>42</v>
      </c>
      <c r="S1182">
        <v>1</v>
      </c>
      <c r="T1182">
        <v>1</v>
      </c>
      <c r="U1182">
        <v>1</v>
      </c>
      <c r="V1182">
        <v>1</v>
      </c>
      <c r="W1182">
        <v>1</v>
      </c>
      <c r="AA1182">
        <v>-8292.4974999999995</v>
      </c>
      <c r="AB1182">
        <v>-8292.4974999999995</v>
      </c>
      <c r="AC1182">
        <v>-8292.4974999999995</v>
      </c>
      <c r="AD1182">
        <v>-8292.4974999999995</v>
      </c>
      <c r="AE1182">
        <v>-8292.4974999999995</v>
      </c>
      <c r="AF1182">
        <v>-833551.75890000002</v>
      </c>
    </row>
    <row r="1183" spans="2:32" x14ac:dyDescent="0.25">
      <c r="B1183">
        <f t="shared" si="51"/>
        <v>43</v>
      </c>
      <c r="C1183">
        <v>1</v>
      </c>
      <c r="D1183">
        <v>1</v>
      </c>
      <c r="E1183">
        <v>1</v>
      </c>
      <c r="F1183">
        <v>1</v>
      </c>
      <c r="G1183">
        <v>1</v>
      </c>
      <c r="J1183">
        <f t="shared" si="52"/>
        <v>43</v>
      </c>
      <c r="K1183">
        <v>1</v>
      </c>
      <c r="L1183">
        <v>1</v>
      </c>
      <c r="M1183">
        <v>1</v>
      </c>
      <c r="N1183">
        <v>1</v>
      </c>
      <c r="O1183">
        <v>1</v>
      </c>
      <c r="R1183">
        <f t="shared" si="53"/>
        <v>43</v>
      </c>
      <c r="S1183">
        <v>1</v>
      </c>
      <c r="T1183">
        <v>1</v>
      </c>
      <c r="U1183">
        <v>1</v>
      </c>
      <c r="V1183">
        <v>1</v>
      </c>
      <c r="W1183">
        <v>1</v>
      </c>
      <c r="AA1183">
        <v>-8182.3909999999996</v>
      </c>
      <c r="AB1183">
        <v>-8182.3909999999996</v>
      </c>
      <c r="AC1183">
        <v>-8182.3909999999996</v>
      </c>
      <c r="AD1183">
        <v>-8182.3909999999996</v>
      </c>
      <c r="AE1183">
        <v>-8182.3909999999996</v>
      </c>
      <c r="AF1183">
        <v>-844950.93949999998</v>
      </c>
    </row>
    <row r="1184" spans="2:32" x14ac:dyDescent="0.25">
      <c r="B1184">
        <f t="shared" si="51"/>
        <v>44</v>
      </c>
      <c r="C1184">
        <v>1</v>
      </c>
      <c r="D1184">
        <v>1</v>
      </c>
      <c r="E1184">
        <v>1</v>
      </c>
      <c r="F1184">
        <v>1</v>
      </c>
      <c r="G1184">
        <v>1</v>
      </c>
      <c r="J1184">
        <f t="shared" si="52"/>
        <v>44</v>
      </c>
      <c r="K1184">
        <v>1</v>
      </c>
      <c r="L1184">
        <v>1</v>
      </c>
      <c r="M1184">
        <v>1</v>
      </c>
      <c r="N1184">
        <v>1</v>
      </c>
      <c r="O1184">
        <v>1</v>
      </c>
      <c r="R1184">
        <f t="shared" si="53"/>
        <v>44</v>
      </c>
      <c r="S1184">
        <v>1</v>
      </c>
      <c r="T1184">
        <v>1</v>
      </c>
      <c r="U1184">
        <v>1</v>
      </c>
      <c r="V1184">
        <v>1</v>
      </c>
      <c r="W1184">
        <v>1</v>
      </c>
      <c r="AA1184">
        <v>-8069.8261000000002</v>
      </c>
      <c r="AB1184">
        <v>-8069.8261000000002</v>
      </c>
      <c r="AC1184">
        <v>-8069.8261000000002</v>
      </c>
      <c r="AD1184">
        <v>-8069.8261000000002</v>
      </c>
      <c r="AE1184">
        <v>-8069.8261000000002</v>
      </c>
      <c r="AF1184">
        <v>-851265.64670000004</v>
      </c>
    </row>
    <row r="1185" spans="2:32" x14ac:dyDescent="0.25">
      <c r="B1185">
        <f t="shared" si="51"/>
        <v>45</v>
      </c>
      <c r="C1185">
        <v>1</v>
      </c>
      <c r="D1185">
        <v>1</v>
      </c>
      <c r="E1185">
        <v>1</v>
      </c>
      <c r="F1185">
        <v>1</v>
      </c>
      <c r="G1185">
        <v>1</v>
      </c>
      <c r="J1185">
        <f t="shared" si="52"/>
        <v>45</v>
      </c>
      <c r="K1185">
        <v>1</v>
      </c>
      <c r="L1185">
        <v>1</v>
      </c>
      <c r="M1185">
        <v>1</v>
      </c>
      <c r="N1185">
        <v>1</v>
      </c>
      <c r="O1185">
        <v>1</v>
      </c>
      <c r="R1185">
        <f t="shared" si="53"/>
        <v>45</v>
      </c>
      <c r="S1185">
        <v>1</v>
      </c>
      <c r="T1185">
        <v>1</v>
      </c>
      <c r="U1185">
        <v>1</v>
      </c>
      <c r="V1185">
        <v>1</v>
      </c>
      <c r="W1185">
        <v>1</v>
      </c>
      <c r="AA1185">
        <v>-7954.7533999999996</v>
      </c>
      <c r="AB1185">
        <v>-7954.7533999999996</v>
      </c>
      <c r="AC1185">
        <v>-7954.7533999999996</v>
      </c>
      <c r="AD1185">
        <v>-7954.7533999999996</v>
      </c>
      <c r="AE1185">
        <v>-7954.7533999999996</v>
      </c>
      <c r="AF1185">
        <v>-870649.02139999997</v>
      </c>
    </row>
    <row r="1186" spans="2:32" x14ac:dyDescent="0.25">
      <c r="B1186">
        <f t="shared" si="51"/>
        <v>46</v>
      </c>
      <c r="C1186">
        <v>1</v>
      </c>
      <c r="D1186">
        <v>1</v>
      </c>
      <c r="E1186">
        <v>1</v>
      </c>
      <c r="F1186">
        <v>1</v>
      </c>
      <c r="G1186">
        <v>1</v>
      </c>
      <c r="J1186">
        <f t="shared" si="52"/>
        <v>46</v>
      </c>
      <c r="K1186">
        <v>1</v>
      </c>
      <c r="L1186">
        <v>1</v>
      </c>
      <c r="M1186">
        <v>1</v>
      </c>
      <c r="N1186">
        <v>1</v>
      </c>
      <c r="O1186">
        <v>1</v>
      </c>
      <c r="R1186">
        <f t="shared" si="53"/>
        <v>46</v>
      </c>
      <c r="S1186">
        <v>1</v>
      </c>
      <c r="T1186">
        <v>1</v>
      </c>
      <c r="U1186">
        <v>1</v>
      </c>
      <c r="V1186">
        <v>1</v>
      </c>
      <c r="W1186">
        <v>1</v>
      </c>
      <c r="AA1186">
        <v>-7837.1754000000001</v>
      </c>
      <c r="AB1186">
        <v>-7837.1754000000001</v>
      </c>
      <c r="AC1186">
        <v>-7837.1754000000001</v>
      </c>
      <c r="AD1186">
        <v>-7837.1754000000001</v>
      </c>
      <c r="AE1186">
        <v>-7837.1754000000001</v>
      </c>
      <c r="AF1186">
        <v>-892550.54509999999</v>
      </c>
    </row>
    <row r="1187" spans="2:32" x14ac:dyDescent="0.25">
      <c r="B1187">
        <f t="shared" si="51"/>
        <v>47</v>
      </c>
      <c r="C1187">
        <v>1</v>
      </c>
      <c r="D1187">
        <v>1</v>
      </c>
      <c r="E1187">
        <v>1</v>
      </c>
      <c r="F1187">
        <v>1</v>
      </c>
      <c r="G1187">
        <v>1</v>
      </c>
      <c r="J1187">
        <f t="shared" si="52"/>
        <v>47</v>
      </c>
      <c r="K1187">
        <v>1</v>
      </c>
      <c r="L1187">
        <v>1</v>
      </c>
      <c r="M1187">
        <v>1</v>
      </c>
      <c r="N1187">
        <v>1</v>
      </c>
      <c r="O1187">
        <v>1</v>
      </c>
      <c r="R1187">
        <f t="shared" si="53"/>
        <v>47</v>
      </c>
      <c r="S1187">
        <v>1</v>
      </c>
      <c r="T1187">
        <v>1</v>
      </c>
      <c r="U1187">
        <v>1</v>
      </c>
      <c r="V1187">
        <v>1</v>
      </c>
      <c r="W1187">
        <v>1</v>
      </c>
      <c r="AA1187">
        <v>-7717.0294999999996</v>
      </c>
      <c r="AB1187">
        <v>-7717.0294999999996</v>
      </c>
      <c r="AC1187">
        <v>-7717.0294999999996</v>
      </c>
      <c r="AD1187">
        <v>-7717.0294999999996</v>
      </c>
      <c r="AE1187">
        <v>-7717.0294999999996</v>
      </c>
      <c r="AF1187">
        <v>-910915.81969999999</v>
      </c>
    </row>
    <row r="1188" spans="2:32" x14ac:dyDescent="0.25">
      <c r="B1188">
        <f t="shared" si="51"/>
        <v>48</v>
      </c>
      <c r="C1188">
        <v>1</v>
      </c>
      <c r="D1188">
        <v>1</v>
      </c>
      <c r="E1188">
        <v>1</v>
      </c>
      <c r="F1188">
        <v>1</v>
      </c>
      <c r="G1188">
        <v>1</v>
      </c>
      <c r="J1188">
        <f t="shared" si="52"/>
        <v>48</v>
      </c>
      <c r="K1188">
        <v>1</v>
      </c>
      <c r="L1188">
        <v>1</v>
      </c>
      <c r="M1188">
        <v>1</v>
      </c>
      <c r="N1188">
        <v>1</v>
      </c>
      <c r="O1188">
        <v>1</v>
      </c>
      <c r="R1188">
        <f t="shared" si="53"/>
        <v>48</v>
      </c>
      <c r="S1188">
        <v>1</v>
      </c>
      <c r="T1188">
        <v>1</v>
      </c>
      <c r="U1188">
        <v>1</v>
      </c>
      <c r="V1188">
        <v>1</v>
      </c>
      <c r="W1188">
        <v>1</v>
      </c>
      <c r="AA1188">
        <v>-7594.4201000000003</v>
      </c>
      <c r="AB1188">
        <v>-7594.4201000000003</v>
      </c>
      <c r="AC1188">
        <v>-7594.4201000000003</v>
      </c>
      <c r="AD1188">
        <v>-7594.4201000000003</v>
      </c>
      <c r="AE1188">
        <v>-7594.4201000000003</v>
      </c>
      <c r="AF1188">
        <v>-917891.87360000005</v>
      </c>
    </row>
    <row r="1189" spans="2:32" x14ac:dyDescent="0.25">
      <c r="B1189">
        <f t="shared" si="51"/>
        <v>49</v>
      </c>
      <c r="C1189">
        <v>1</v>
      </c>
      <c r="D1189">
        <v>1</v>
      </c>
      <c r="E1189">
        <v>1</v>
      </c>
      <c r="F1189">
        <v>1</v>
      </c>
      <c r="G1189">
        <v>1</v>
      </c>
      <c r="J1189">
        <f t="shared" si="52"/>
        <v>49</v>
      </c>
      <c r="K1189">
        <v>1</v>
      </c>
      <c r="L1189">
        <v>1</v>
      </c>
      <c r="M1189">
        <v>1</v>
      </c>
      <c r="N1189">
        <v>1</v>
      </c>
      <c r="O1189">
        <v>1</v>
      </c>
      <c r="R1189">
        <f t="shared" si="53"/>
        <v>49</v>
      </c>
      <c r="S1189">
        <v>1</v>
      </c>
      <c r="T1189">
        <v>1</v>
      </c>
      <c r="U1189">
        <v>1</v>
      </c>
      <c r="V1189">
        <v>1</v>
      </c>
      <c r="W1189">
        <v>1</v>
      </c>
      <c r="AA1189">
        <v>-7469.3995999999997</v>
      </c>
      <c r="AB1189">
        <v>-7469.3995999999997</v>
      </c>
      <c r="AC1189">
        <v>-7469.3995999999997</v>
      </c>
      <c r="AD1189">
        <v>-7469.3995999999997</v>
      </c>
      <c r="AE1189">
        <v>-7469.3995999999997</v>
      </c>
      <c r="AF1189">
        <v>-944521.72470000002</v>
      </c>
    </row>
    <row r="1190" spans="2:32" x14ac:dyDescent="0.25">
      <c r="B1190">
        <f t="shared" si="51"/>
        <v>50</v>
      </c>
      <c r="C1190">
        <v>1</v>
      </c>
      <c r="D1190">
        <v>1</v>
      </c>
      <c r="E1190">
        <v>1</v>
      </c>
      <c r="F1190">
        <v>1</v>
      </c>
      <c r="G1190">
        <v>1</v>
      </c>
      <c r="J1190">
        <f t="shared" si="52"/>
        <v>50</v>
      </c>
      <c r="K1190">
        <v>1</v>
      </c>
      <c r="L1190">
        <v>1</v>
      </c>
      <c r="M1190">
        <v>1</v>
      </c>
      <c r="N1190">
        <v>1</v>
      </c>
      <c r="O1190">
        <v>1</v>
      </c>
      <c r="R1190">
        <f t="shared" si="53"/>
        <v>50</v>
      </c>
      <c r="S1190">
        <v>1</v>
      </c>
      <c r="T1190">
        <v>1</v>
      </c>
      <c r="U1190">
        <v>1</v>
      </c>
      <c r="V1190">
        <v>1</v>
      </c>
      <c r="W1190">
        <v>1</v>
      </c>
      <c r="AA1190">
        <v>-7341.9502000000002</v>
      </c>
      <c r="AB1190">
        <v>-7341.9502000000002</v>
      </c>
      <c r="AC1190">
        <v>-7341.9502000000002</v>
      </c>
      <c r="AD1190">
        <v>-7341.9502000000002</v>
      </c>
      <c r="AE1190">
        <v>-7341.9502000000002</v>
      </c>
      <c r="AF1190">
        <v>-963257.14989999996</v>
      </c>
    </row>
    <row r="1191" spans="2:32" x14ac:dyDescent="0.25">
      <c r="B1191">
        <f t="shared" si="51"/>
        <v>51</v>
      </c>
      <c r="C1191">
        <v>1</v>
      </c>
      <c r="D1191">
        <v>1</v>
      </c>
      <c r="E1191">
        <v>1</v>
      </c>
      <c r="F1191">
        <v>1</v>
      </c>
      <c r="G1191">
        <v>1</v>
      </c>
      <c r="J1191">
        <f t="shared" si="52"/>
        <v>51</v>
      </c>
      <c r="K1191">
        <v>1</v>
      </c>
      <c r="L1191">
        <v>1</v>
      </c>
      <c r="M1191">
        <v>1</v>
      </c>
      <c r="N1191">
        <v>1</v>
      </c>
      <c r="O1191">
        <v>1</v>
      </c>
      <c r="R1191">
        <f t="shared" si="53"/>
        <v>51</v>
      </c>
      <c r="S1191">
        <v>1</v>
      </c>
      <c r="T1191">
        <v>1</v>
      </c>
      <c r="U1191">
        <v>1</v>
      </c>
      <c r="V1191">
        <v>1</v>
      </c>
      <c r="W1191">
        <v>1</v>
      </c>
      <c r="AA1191">
        <v>-7212.0646999999999</v>
      </c>
      <c r="AB1191">
        <v>-7212.0646999999999</v>
      </c>
      <c r="AC1191">
        <v>-7212.0646999999999</v>
      </c>
      <c r="AD1191">
        <v>-7212.0646999999999</v>
      </c>
      <c r="AE1191">
        <v>-7212.0646999999999</v>
      </c>
      <c r="AF1191">
        <v>-981592.90729999996</v>
      </c>
    </row>
    <row r="1192" spans="2:32" x14ac:dyDescent="0.25">
      <c r="B1192">
        <f t="shared" si="51"/>
        <v>52</v>
      </c>
      <c r="C1192">
        <v>1</v>
      </c>
      <c r="D1192">
        <v>1</v>
      </c>
      <c r="E1192">
        <v>1</v>
      </c>
      <c r="F1192">
        <v>1</v>
      </c>
      <c r="G1192">
        <v>1</v>
      </c>
      <c r="J1192">
        <f t="shared" si="52"/>
        <v>52</v>
      </c>
      <c r="K1192">
        <v>1</v>
      </c>
      <c r="L1192">
        <v>1</v>
      </c>
      <c r="M1192">
        <v>1</v>
      </c>
      <c r="N1192">
        <v>1</v>
      </c>
      <c r="O1192">
        <v>1</v>
      </c>
      <c r="R1192">
        <f t="shared" si="53"/>
        <v>52</v>
      </c>
      <c r="S1192">
        <v>1</v>
      </c>
      <c r="T1192">
        <v>1</v>
      </c>
      <c r="U1192">
        <v>1</v>
      </c>
      <c r="V1192">
        <v>1</v>
      </c>
      <c r="W1192">
        <v>1</v>
      </c>
      <c r="AA1192">
        <v>-7079.7435999999998</v>
      </c>
      <c r="AB1192">
        <v>-7079.7435999999998</v>
      </c>
      <c r="AC1192">
        <v>-7079.7435999999998</v>
      </c>
      <c r="AD1192">
        <v>-7079.7435999999998</v>
      </c>
      <c r="AE1192">
        <v>-7079.7435999999998</v>
      </c>
      <c r="AF1192">
        <v>-998556.10360000003</v>
      </c>
    </row>
    <row r="1193" spans="2:32" x14ac:dyDescent="0.25">
      <c r="B1193">
        <f t="shared" si="51"/>
        <v>53</v>
      </c>
      <c r="C1193">
        <v>1</v>
      </c>
      <c r="D1193">
        <v>1</v>
      </c>
      <c r="E1193">
        <v>1</v>
      </c>
      <c r="F1193">
        <v>1</v>
      </c>
      <c r="G1193">
        <v>1</v>
      </c>
      <c r="J1193">
        <f t="shared" si="52"/>
        <v>53</v>
      </c>
      <c r="K1193">
        <v>1</v>
      </c>
      <c r="L1193">
        <v>1</v>
      </c>
      <c r="M1193">
        <v>1</v>
      </c>
      <c r="N1193">
        <v>1</v>
      </c>
      <c r="O1193">
        <v>1</v>
      </c>
      <c r="R1193">
        <f t="shared" si="53"/>
        <v>53</v>
      </c>
      <c r="S1193">
        <v>1</v>
      </c>
      <c r="T1193">
        <v>1</v>
      </c>
      <c r="U1193">
        <v>1</v>
      </c>
      <c r="V1193">
        <v>1</v>
      </c>
      <c r="W1193">
        <v>1</v>
      </c>
      <c r="AA1193">
        <v>-6945.0875999999998</v>
      </c>
      <c r="AB1193">
        <v>-6945.0875999999998</v>
      </c>
      <c r="AC1193">
        <v>-6945.0875999999998</v>
      </c>
      <c r="AD1193">
        <v>-6945.0875999999998</v>
      </c>
      <c r="AE1193">
        <v>-6945.0875999999998</v>
      </c>
      <c r="AF1193">
        <v>-1015461.3278</v>
      </c>
    </row>
    <row r="1194" spans="2:32" x14ac:dyDescent="0.25">
      <c r="B1194">
        <f t="shared" si="51"/>
        <v>54</v>
      </c>
      <c r="C1194">
        <v>1</v>
      </c>
      <c r="D1194">
        <v>1</v>
      </c>
      <c r="E1194">
        <v>1</v>
      </c>
      <c r="F1194">
        <v>1</v>
      </c>
      <c r="G1194">
        <v>1</v>
      </c>
      <c r="J1194">
        <f t="shared" si="52"/>
        <v>54</v>
      </c>
      <c r="K1194">
        <v>1</v>
      </c>
      <c r="L1194">
        <v>1</v>
      </c>
      <c r="M1194">
        <v>1</v>
      </c>
      <c r="N1194">
        <v>1</v>
      </c>
      <c r="O1194">
        <v>1</v>
      </c>
      <c r="R1194">
        <f t="shared" si="53"/>
        <v>54</v>
      </c>
      <c r="S1194">
        <v>1</v>
      </c>
      <c r="T1194">
        <v>1</v>
      </c>
      <c r="U1194">
        <v>1</v>
      </c>
      <c r="V1194">
        <v>1</v>
      </c>
      <c r="W1194">
        <v>1</v>
      </c>
      <c r="AA1194">
        <v>-6808.2438000000002</v>
      </c>
      <c r="AB1194">
        <v>-6808.2438000000002</v>
      </c>
      <c r="AC1194">
        <v>-6808.2438000000002</v>
      </c>
      <c r="AD1194">
        <v>-6808.2438000000002</v>
      </c>
      <c r="AE1194">
        <v>-6808.2438000000002</v>
      </c>
      <c r="AF1194">
        <v>-1033869.6813000001</v>
      </c>
    </row>
    <row r="1195" spans="2:32" x14ac:dyDescent="0.25">
      <c r="B1195">
        <f t="shared" si="51"/>
        <v>55</v>
      </c>
      <c r="C1195">
        <v>1</v>
      </c>
      <c r="D1195">
        <v>1</v>
      </c>
      <c r="E1195">
        <v>1</v>
      </c>
      <c r="F1195">
        <v>1</v>
      </c>
      <c r="G1195">
        <v>1</v>
      </c>
      <c r="J1195">
        <f t="shared" si="52"/>
        <v>55</v>
      </c>
      <c r="K1195">
        <v>1</v>
      </c>
      <c r="L1195">
        <v>1</v>
      </c>
      <c r="M1195">
        <v>1</v>
      </c>
      <c r="N1195">
        <v>1</v>
      </c>
      <c r="O1195">
        <v>1</v>
      </c>
      <c r="R1195">
        <f t="shared" si="53"/>
        <v>55</v>
      </c>
      <c r="S1195">
        <v>1</v>
      </c>
      <c r="T1195">
        <v>1</v>
      </c>
      <c r="U1195">
        <v>1</v>
      </c>
      <c r="V1195">
        <v>1</v>
      </c>
      <c r="W1195">
        <v>1</v>
      </c>
      <c r="AA1195">
        <v>-6669.2525999999998</v>
      </c>
      <c r="AB1195">
        <v>-6669.2525999999998</v>
      </c>
      <c r="AC1195">
        <v>-6669.2525999999998</v>
      </c>
      <c r="AD1195">
        <v>-6669.2525999999998</v>
      </c>
      <c r="AE1195">
        <v>-6669.2525999999998</v>
      </c>
      <c r="AF1195">
        <v>-1050810.2549999999</v>
      </c>
    </row>
    <row r="1196" spans="2:32" x14ac:dyDescent="0.25">
      <c r="B1196">
        <f t="shared" si="51"/>
        <v>56</v>
      </c>
      <c r="C1196">
        <v>1</v>
      </c>
      <c r="D1196">
        <v>1</v>
      </c>
      <c r="E1196">
        <v>1</v>
      </c>
      <c r="F1196">
        <v>1</v>
      </c>
      <c r="G1196">
        <v>1</v>
      </c>
      <c r="J1196">
        <f t="shared" si="52"/>
        <v>56</v>
      </c>
      <c r="K1196">
        <v>1</v>
      </c>
      <c r="L1196">
        <v>1</v>
      </c>
      <c r="M1196">
        <v>1</v>
      </c>
      <c r="N1196">
        <v>1</v>
      </c>
      <c r="O1196">
        <v>1</v>
      </c>
      <c r="R1196">
        <f t="shared" si="53"/>
        <v>56</v>
      </c>
      <c r="S1196">
        <v>1</v>
      </c>
      <c r="T1196">
        <v>1</v>
      </c>
      <c r="U1196">
        <v>1</v>
      </c>
      <c r="V1196">
        <v>1</v>
      </c>
      <c r="W1196">
        <v>1</v>
      </c>
      <c r="AA1196">
        <v>-6528.2992000000004</v>
      </c>
      <c r="AB1196">
        <v>-6528.2992000000004</v>
      </c>
      <c r="AC1196">
        <v>-6528.2992000000004</v>
      </c>
      <c r="AD1196">
        <v>-6528.2992000000004</v>
      </c>
      <c r="AE1196">
        <v>-6528.2992000000004</v>
      </c>
      <c r="AF1196">
        <v>-1073295.8774000001</v>
      </c>
    </row>
    <row r="1197" spans="2:32" x14ac:dyDescent="0.25">
      <c r="B1197">
        <f t="shared" si="51"/>
        <v>57</v>
      </c>
      <c r="C1197">
        <v>1</v>
      </c>
      <c r="D1197">
        <v>1</v>
      </c>
      <c r="E1197">
        <v>1</v>
      </c>
      <c r="F1197">
        <v>1</v>
      </c>
      <c r="G1197">
        <v>1</v>
      </c>
      <c r="J1197">
        <f t="shared" si="52"/>
        <v>57</v>
      </c>
      <c r="K1197">
        <v>1</v>
      </c>
      <c r="L1197">
        <v>1</v>
      </c>
      <c r="M1197">
        <v>1</v>
      </c>
      <c r="N1197">
        <v>1</v>
      </c>
      <c r="O1197">
        <v>1</v>
      </c>
      <c r="R1197">
        <f t="shared" si="53"/>
        <v>57</v>
      </c>
      <c r="S1197">
        <v>1</v>
      </c>
      <c r="T1197">
        <v>1</v>
      </c>
      <c r="U1197">
        <v>1</v>
      </c>
      <c r="V1197">
        <v>1</v>
      </c>
      <c r="W1197">
        <v>1</v>
      </c>
      <c r="AA1197">
        <v>-6385.5230000000001</v>
      </c>
      <c r="AB1197">
        <v>-6385.5230000000001</v>
      </c>
      <c r="AC1197">
        <v>-6385.5230000000001</v>
      </c>
      <c r="AD1197">
        <v>-6385.5230000000001</v>
      </c>
      <c r="AE1197">
        <v>-6385.5230000000001</v>
      </c>
      <c r="AF1197">
        <v>-1093242.6832999999</v>
      </c>
    </row>
    <row r="1198" spans="2:32" x14ac:dyDescent="0.25">
      <c r="B1198">
        <f t="shared" si="51"/>
        <v>58</v>
      </c>
      <c r="C1198">
        <v>1</v>
      </c>
      <c r="D1198">
        <v>1</v>
      </c>
      <c r="E1198">
        <v>1</v>
      </c>
      <c r="F1198">
        <v>1</v>
      </c>
      <c r="G1198">
        <v>1</v>
      </c>
      <c r="J1198">
        <f t="shared" si="52"/>
        <v>58</v>
      </c>
      <c r="K1198">
        <v>1</v>
      </c>
      <c r="L1198">
        <v>1</v>
      </c>
      <c r="M1198">
        <v>1</v>
      </c>
      <c r="N1198">
        <v>1</v>
      </c>
      <c r="O1198">
        <v>1</v>
      </c>
      <c r="R1198">
        <f t="shared" si="53"/>
        <v>58</v>
      </c>
      <c r="S1198">
        <v>1</v>
      </c>
      <c r="T1198">
        <v>1</v>
      </c>
      <c r="U1198">
        <v>1</v>
      </c>
      <c r="V1198">
        <v>1</v>
      </c>
      <c r="W1198">
        <v>1</v>
      </c>
      <c r="AA1198">
        <v>-6240.8730999999998</v>
      </c>
      <c r="AB1198">
        <v>-6240.8730999999998</v>
      </c>
      <c r="AC1198">
        <v>-6240.8730999999998</v>
      </c>
      <c r="AD1198">
        <v>-6240.8730999999998</v>
      </c>
      <c r="AE1198">
        <v>-6240.8730999999998</v>
      </c>
      <c r="AF1198">
        <v>-1114366.6444000001</v>
      </c>
    </row>
    <row r="1199" spans="2:32" x14ac:dyDescent="0.25">
      <c r="B1199">
        <f t="shared" si="51"/>
        <v>59</v>
      </c>
      <c r="C1199">
        <v>1</v>
      </c>
      <c r="D1199">
        <v>1</v>
      </c>
      <c r="E1199">
        <v>1</v>
      </c>
      <c r="F1199">
        <v>1</v>
      </c>
      <c r="G1199">
        <v>1</v>
      </c>
      <c r="J1199">
        <f t="shared" si="52"/>
        <v>59</v>
      </c>
      <c r="K1199">
        <v>1</v>
      </c>
      <c r="L1199">
        <v>1</v>
      </c>
      <c r="M1199">
        <v>1</v>
      </c>
      <c r="N1199">
        <v>1</v>
      </c>
      <c r="O1199">
        <v>1</v>
      </c>
      <c r="R1199">
        <f t="shared" si="53"/>
        <v>59</v>
      </c>
      <c r="S1199">
        <v>1</v>
      </c>
      <c r="T1199">
        <v>1</v>
      </c>
      <c r="U1199">
        <v>1</v>
      </c>
      <c r="V1199">
        <v>1</v>
      </c>
      <c r="W1199">
        <v>1</v>
      </c>
      <c r="AA1199">
        <v>-6094.3262999999997</v>
      </c>
      <c r="AB1199">
        <v>-6094.3262999999997</v>
      </c>
      <c r="AC1199">
        <v>-6094.3262999999997</v>
      </c>
      <c r="AD1199">
        <v>-6094.3262999999997</v>
      </c>
      <c r="AE1199">
        <v>-6094.3262999999997</v>
      </c>
      <c r="AF1199">
        <v>-1136284.0146999999</v>
      </c>
    </row>
    <row r="1200" spans="2:32" x14ac:dyDescent="0.25">
      <c r="B1200">
        <f t="shared" si="51"/>
        <v>60</v>
      </c>
      <c r="C1200">
        <v>1</v>
      </c>
      <c r="D1200">
        <v>1</v>
      </c>
      <c r="E1200">
        <v>1</v>
      </c>
      <c r="F1200">
        <v>1</v>
      </c>
      <c r="G1200">
        <v>1</v>
      </c>
      <c r="J1200">
        <f t="shared" si="52"/>
        <v>60</v>
      </c>
      <c r="K1200">
        <v>1</v>
      </c>
      <c r="L1200">
        <v>1</v>
      </c>
      <c r="M1200">
        <v>1</v>
      </c>
      <c r="N1200">
        <v>1</v>
      </c>
      <c r="O1200">
        <v>1</v>
      </c>
      <c r="R1200">
        <f t="shared" si="53"/>
        <v>60</v>
      </c>
      <c r="S1200">
        <v>1</v>
      </c>
      <c r="T1200">
        <v>1</v>
      </c>
      <c r="U1200">
        <v>1</v>
      </c>
      <c r="V1200">
        <v>1</v>
      </c>
      <c r="W1200">
        <v>1</v>
      </c>
      <c r="AA1200">
        <v>-5945.9960000000001</v>
      </c>
      <c r="AB1200">
        <v>-5945.9960000000001</v>
      </c>
      <c r="AC1200">
        <v>-5945.9960000000001</v>
      </c>
      <c r="AD1200">
        <v>-5945.9960000000001</v>
      </c>
      <c r="AE1200">
        <v>-5945.9960000000001</v>
      </c>
      <c r="AF1200">
        <v>-1157801.6717999999</v>
      </c>
    </row>
    <row r="1201" spans="2:32" x14ac:dyDescent="0.25">
      <c r="B1201">
        <f t="shared" si="51"/>
        <v>61</v>
      </c>
      <c r="C1201">
        <v>1</v>
      </c>
      <c r="D1201">
        <v>1</v>
      </c>
      <c r="E1201">
        <v>1</v>
      </c>
      <c r="F1201">
        <v>1</v>
      </c>
      <c r="G1201">
        <v>1</v>
      </c>
      <c r="J1201">
        <f t="shared" si="52"/>
        <v>61</v>
      </c>
      <c r="K1201">
        <v>1</v>
      </c>
      <c r="L1201">
        <v>1</v>
      </c>
      <c r="M1201">
        <v>1</v>
      </c>
      <c r="N1201">
        <v>1</v>
      </c>
      <c r="O1201">
        <v>1</v>
      </c>
      <c r="R1201">
        <f t="shared" si="53"/>
        <v>61</v>
      </c>
      <c r="S1201">
        <v>1</v>
      </c>
      <c r="T1201">
        <v>1</v>
      </c>
      <c r="U1201">
        <v>1</v>
      </c>
      <c r="V1201">
        <v>1</v>
      </c>
      <c r="W1201">
        <v>1</v>
      </c>
      <c r="AA1201">
        <v>-5796.3015999999998</v>
      </c>
      <c r="AB1201">
        <v>-5796.3015999999998</v>
      </c>
      <c r="AC1201">
        <v>-5796.3015999999998</v>
      </c>
      <c r="AD1201">
        <v>-5796.3015999999998</v>
      </c>
      <c r="AE1201">
        <v>-5796.3015999999998</v>
      </c>
      <c r="AF1201">
        <v>-1178581.4038</v>
      </c>
    </row>
    <row r="1202" spans="2:32" x14ac:dyDescent="0.25">
      <c r="B1202">
        <f t="shared" si="51"/>
        <v>62</v>
      </c>
      <c r="C1202">
        <v>1</v>
      </c>
      <c r="D1202">
        <v>1</v>
      </c>
      <c r="E1202">
        <v>1</v>
      </c>
      <c r="F1202">
        <v>1</v>
      </c>
      <c r="G1202">
        <v>1</v>
      </c>
      <c r="J1202">
        <f t="shared" si="52"/>
        <v>62</v>
      </c>
      <c r="K1202">
        <v>1</v>
      </c>
      <c r="L1202">
        <v>1</v>
      </c>
      <c r="M1202">
        <v>1</v>
      </c>
      <c r="N1202">
        <v>1</v>
      </c>
      <c r="O1202">
        <v>1</v>
      </c>
      <c r="R1202">
        <f t="shared" si="53"/>
        <v>62</v>
      </c>
      <c r="S1202">
        <v>1</v>
      </c>
      <c r="T1202">
        <v>1</v>
      </c>
      <c r="U1202">
        <v>1</v>
      </c>
      <c r="V1202">
        <v>1</v>
      </c>
      <c r="W1202">
        <v>1</v>
      </c>
      <c r="AA1202">
        <v>-5645.2415000000001</v>
      </c>
      <c r="AB1202">
        <v>-5645.2415000000001</v>
      </c>
      <c r="AC1202">
        <v>-5645.2415000000001</v>
      </c>
      <c r="AD1202">
        <v>-5645.2415000000001</v>
      </c>
      <c r="AE1202">
        <v>-5645.2415000000001</v>
      </c>
      <c r="AF1202">
        <v>-1178581.4038</v>
      </c>
    </row>
    <row r="1203" spans="2:32" x14ac:dyDescent="0.25">
      <c r="B1203">
        <f t="shared" si="51"/>
        <v>63</v>
      </c>
      <c r="C1203">
        <v>1</v>
      </c>
      <c r="D1203">
        <v>1</v>
      </c>
      <c r="E1203">
        <v>1</v>
      </c>
      <c r="F1203">
        <v>1</v>
      </c>
      <c r="G1203">
        <v>1</v>
      </c>
      <c r="J1203">
        <f t="shared" si="52"/>
        <v>63</v>
      </c>
      <c r="K1203">
        <v>1</v>
      </c>
      <c r="L1203">
        <v>1</v>
      </c>
      <c r="M1203">
        <v>1</v>
      </c>
      <c r="N1203">
        <v>1</v>
      </c>
      <c r="O1203">
        <v>1</v>
      </c>
      <c r="R1203">
        <f t="shared" si="53"/>
        <v>63</v>
      </c>
      <c r="S1203">
        <v>1</v>
      </c>
      <c r="T1203">
        <v>1</v>
      </c>
      <c r="U1203">
        <v>1</v>
      </c>
      <c r="V1203">
        <v>1</v>
      </c>
      <c r="W1203">
        <v>1</v>
      </c>
      <c r="AA1203">
        <v>-5492.4920000000002</v>
      </c>
      <c r="AB1203">
        <v>-5492.4920000000002</v>
      </c>
      <c r="AC1203">
        <v>-5492.4920000000002</v>
      </c>
      <c r="AD1203">
        <v>-5492.4920000000002</v>
      </c>
      <c r="AE1203">
        <v>-5492.4920000000002</v>
      </c>
      <c r="AF1203">
        <v>-1220461.6269</v>
      </c>
    </row>
    <row r="1204" spans="2:32" x14ac:dyDescent="0.25">
      <c r="B1204">
        <f t="shared" si="51"/>
        <v>64</v>
      </c>
      <c r="C1204">
        <v>1</v>
      </c>
      <c r="D1204">
        <v>1</v>
      </c>
      <c r="E1204">
        <v>1</v>
      </c>
      <c r="F1204">
        <v>1</v>
      </c>
      <c r="G1204">
        <v>1</v>
      </c>
      <c r="J1204">
        <f t="shared" si="52"/>
        <v>64</v>
      </c>
      <c r="K1204">
        <v>1</v>
      </c>
      <c r="L1204">
        <v>1</v>
      </c>
      <c r="M1204">
        <v>1</v>
      </c>
      <c r="N1204">
        <v>1</v>
      </c>
      <c r="O1204">
        <v>1</v>
      </c>
      <c r="R1204">
        <f t="shared" si="53"/>
        <v>64</v>
      </c>
      <c r="S1204">
        <v>1</v>
      </c>
      <c r="T1204">
        <v>1</v>
      </c>
      <c r="U1204">
        <v>1</v>
      </c>
      <c r="V1204">
        <v>1</v>
      </c>
      <c r="W1204">
        <v>1</v>
      </c>
      <c r="AA1204">
        <v>-5338.1817000000001</v>
      </c>
      <c r="AB1204">
        <v>-5338.1817000000001</v>
      </c>
      <c r="AC1204">
        <v>-5338.1817000000001</v>
      </c>
      <c r="AD1204">
        <v>-5338.1817000000001</v>
      </c>
      <c r="AE1204">
        <v>-5338.1817000000001</v>
      </c>
      <c r="AF1204">
        <v>-1240652.2526</v>
      </c>
    </row>
    <row r="1205" spans="2:32" x14ac:dyDescent="0.25">
      <c r="B1205">
        <f t="shared" si="51"/>
        <v>65</v>
      </c>
      <c r="C1205">
        <v>1</v>
      </c>
      <c r="D1205">
        <v>1</v>
      </c>
      <c r="E1205">
        <v>1</v>
      </c>
      <c r="F1205">
        <v>1</v>
      </c>
      <c r="G1205">
        <v>1</v>
      </c>
      <c r="J1205">
        <f t="shared" si="52"/>
        <v>65</v>
      </c>
      <c r="K1205">
        <v>1</v>
      </c>
      <c r="L1205">
        <v>1</v>
      </c>
      <c r="M1205">
        <v>1</v>
      </c>
      <c r="N1205">
        <v>1</v>
      </c>
      <c r="O1205">
        <v>1</v>
      </c>
      <c r="R1205">
        <f t="shared" si="53"/>
        <v>65</v>
      </c>
      <c r="S1205">
        <v>1</v>
      </c>
      <c r="T1205">
        <v>1</v>
      </c>
      <c r="U1205">
        <v>1</v>
      </c>
      <c r="V1205">
        <v>1</v>
      </c>
      <c r="W1205">
        <v>1</v>
      </c>
      <c r="AA1205">
        <v>-5182.2268999999997</v>
      </c>
      <c r="AB1205">
        <v>-5182.2268999999997</v>
      </c>
      <c r="AC1205">
        <v>-5182.2268999999997</v>
      </c>
      <c r="AD1205">
        <v>-5182.2268999999997</v>
      </c>
      <c r="AE1205">
        <v>-5182.2268999999997</v>
      </c>
      <c r="AF1205">
        <v>-1260049.8302</v>
      </c>
    </row>
    <row r="1208" spans="2:32" x14ac:dyDescent="0.25">
      <c r="B1208" t="s">
        <v>46</v>
      </c>
      <c r="C1208">
        <v>50000</v>
      </c>
      <c r="D1208">
        <v>100000</v>
      </c>
      <c r="E1208">
        <v>250000</v>
      </c>
      <c r="F1208">
        <v>500000</v>
      </c>
      <c r="G1208">
        <v>1000000</v>
      </c>
      <c r="H1208">
        <v>2000000</v>
      </c>
      <c r="J1208" t="s">
        <v>47</v>
      </c>
      <c r="K1208">
        <v>50000</v>
      </c>
      <c r="L1208">
        <v>100000</v>
      </c>
      <c r="M1208">
        <v>250000</v>
      </c>
      <c r="N1208">
        <v>500000</v>
      </c>
      <c r="O1208">
        <v>1000000</v>
      </c>
      <c r="P1208">
        <v>2000000</v>
      </c>
      <c r="R1208" t="s">
        <v>48</v>
      </c>
      <c r="S1208">
        <v>50000</v>
      </c>
      <c r="T1208">
        <v>100000</v>
      </c>
      <c r="U1208">
        <v>250000</v>
      </c>
      <c r="V1208">
        <v>500000</v>
      </c>
      <c r="W1208">
        <v>1000000</v>
      </c>
      <c r="X1208">
        <v>2000000</v>
      </c>
    </row>
    <row r="1209" spans="2:32" x14ac:dyDescent="0.25">
      <c r="B1209">
        <v>26</v>
      </c>
      <c r="C1209">
        <v>1</v>
      </c>
      <c r="D1209">
        <v>1</v>
      </c>
      <c r="E1209">
        <v>1</v>
      </c>
      <c r="F1209">
        <v>1</v>
      </c>
      <c r="G1209">
        <v>1</v>
      </c>
      <c r="H1209">
        <v>1</v>
      </c>
      <c r="J1209">
        <v>26</v>
      </c>
      <c r="K1209">
        <v>1</v>
      </c>
      <c r="L1209">
        <v>1</v>
      </c>
      <c r="M1209">
        <v>1</v>
      </c>
      <c r="N1209">
        <v>1</v>
      </c>
      <c r="O1209">
        <v>1</v>
      </c>
      <c r="P1209">
        <v>1</v>
      </c>
      <c r="R1209">
        <v>26</v>
      </c>
      <c r="S1209">
        <v>1</v>
      </c>
      <c r="T1209">
        <v>1</v>
      </c>
      <c r="U1209">
        <v>1</v>
      </c>
      <c r="V1209">
        <v>1</v>
      </c>
      <c r="W1209">
        <v>1</v>
      </c>
      <c r="X1209">
        <v>1</v>
      </c>
      <c r="AA1209">
        <v>-5174.8482999999997</v>
      </c>
      <c r="AB1209">
        <v>-5174.8482999999997</v>
      </c>
      <c r="AC1209">
        <v>-5174.8482999999997</v>
      </c>
      <c r="AD1209">
        <v>-5174.8482999999997</v>
      </c>
      <c r="AE1209">
        <v>-5174.8482999999997</v>
      </c>
      <c r="AF1209">
        <v>-5174.8482999999997</v>
      </c>
    </row>
    <row r="1210" spans="2:32" x14ac:dyDescent="0.25">
      <c r="B1210">
        <v>27</v>
      </c>
      <c r="C1210">
        <v>1</v>
      </c>
      <c r="D1210">
        <v>1</v>
      </c>
      <c r="E1210">
        <v>1</v>
      </c>
      <c r="F1210">
        <v>1</v>
      </c>
      <c r="G1210">
        <v>1</v>
      </c>
      <c r="H1210">
        <v>1</v>
      </c>
      <c r="J1210">
        <v>27</v>
      </c>
      <c r="K1210">
        <v>1</v>
      </c>
      <c r="L1210">
        <v>1</v>
      </c>
      <c r="M1210">
        <v>1</v>
      </c>
      <c r="N1210">
        <v>1</v>
      </c>
      <c r="O1210">
        <v>1</v>
      </c>
      <c r="P1210">
        <v>1</v>
      </c>
      <c r="R1210">
        <v>27</v>
      </c>
      <c r="S1210">
        <v>1</v>
      </c>
      <c r="T1210">
        <v>1</v>
      </c>
      <c r="U1210">
        <v>1</v>
      </c>
      <c r="V1210">
        <v>1</v>
      </c>
      <c r="W1210">
        <v>1</v>
      </c>
      <c r="X1210">
        <v>1</v>
      </c>
      <c r="AA1210">
        <v>-5173.6036999999997</v>
      </c>
      <c r="AB1210">
        <v>-5173.6036999999997</v>
      </c>
      <c r="AC1210">
        <v>-5173.6036999999997</v>
      </c>
      <c r="AD1210">
        <v>-5173.6036999999997</v>
      </c>
      <c r="AE1210">
        <v>-5173.6036999999997</v>
      </c>
      <c r="AF1210">
        <v>-5173.6036999999997</v>
      </c>
    </row>
    <row r="1211" spans="2:32" x14ac:dyDescent="0.25">
      <c r="B1211">
        <v>28</v>
      </c>
      <c r="C1211">
        <v>1</v>
      </c>
      <c r="D1211">
        <v>1</v>
      </c>
      <c r="E1211">
        <v>1</v>
      </c>
      <c r="F1211">
        <v>1</v>
      </c>
      <c r="G1211">
        <v>1</v>
      </c>
      <c r="H1211">
        <v>1</v>
      </c>
      <c r="J1211">
        <v>28</v>
      </c>
      <c r="K1211">
        <v>1</v>
      </c>
      <c r="L1211">
        <v>1</v>
      </c>
      <c r="M1211">
        <v>1</v>
      </c>
      <c r="N1211">
        <v>1</v>
      </c>
      <c r="O1211">
        <v>1</v>
      </c>
      <c r="P1211">
        <v>1</v>
      </c>
      <c r="R1211">
        <v>28</v>
      </c>
      <c r="S1211">
        <v>1</v>
      </c>
      <c r="T1211">
        <v>1</v>
      </c>
      <c r="U1211">
        <v>1</v>
      </c>
      <c r="V1211">
        <v>1</v>
      </c>
      <c r="W1211">
        <v>1</v>
      </c>
      <c r="X1211">
        <v>1</v>
      </c>
      <c r="AA1211">
        <v>-5172.1755999999996</v>
      </c>
      <c r="AB1211">
        <v>-5172.1755999999996</v>
      </c>
      <c r="AC1211">
        <v>-5172.1755999999996</v>
      </c>
      <c r="AD1211">
        <v>-5172.1755999999996</v>
      </c>
      <c r="AE1211">
        <v>-5172.1755999999996</v>
      </c>
      <c r="AF1211">
        <v>-5172.1755999999996</v>
      </c>
    </row>
    <row r="1212" spans="2:32" x14ac:dyDescent="0.25">
      <c r="B1212">
        <v>29</v>
      </c>
      <c r="C1212">
        <v>1</v>
      </c>
      <c r="D1212">
        <v>1</v>
      </c>
      <c r="E1212">
        <v>1</v>
      </c>
      <c r="F1212">
        <v>1</v>
      </c>
      <c r="G1212">
        <v>1</v>
      </c>
      <c r="H1212">
        <v>1</v>
      </c>
      <c r="J1212">
        <v>29</v>
      </c>
      <c r="K1212">
        <v>1</v>
      </c>
      <c r="L1212">
        <v>1</v>
      </c>
      <c r="M1212">
        <v>1</v>
      </c>
      <c r="N1212">
        <v>1</v>
      </c>
      <c r="O1212">
        <v>1</v>
      </c>
      <c r="P1212">
        <v>1</v>
      </c>
      <c r="R1212">
        <v>29</v>
      </c>
      <c r="S1212">
        <v>1</v>
      </c>
      <c r="T1212">
        <v>1</v>
      </c>
      <c r="U1212">
        <v>1</v>
      </c>
      <c r="V1212">
        <v>1</v>
      </c>
      <c r="W1212">
        <v>1</v>
      </c>
      <c r="X1212">
        <v>1</v>
      </c>
      <c r="AA1212">
        <v>-5170.5482000000002</v>
      </c>
      <c r="AB1212">
        <v>-5170.5482000000002</v>
      </c>
      <c r="AC1212">
        <v>-5170.5482000000002</v>
      </c>
      <c r="AD1212">
        <v>-5170.5482000000002</v>
      </c>
      <c r="AE1212">
        <v>-5170.5482000000002</v>
      </c>
      <c r="AF1212">
        <v>-5170.5482000000002</v>
      </c>
    </row>
    <row r="1213" spans="2:32" x14ac:dyDescent="0.25">
      <c r="B1213">
        <v>30</v>
      </c>
      <c r="C1213">
        <v>1</v>
      </c>
      <c r="D1213">
        <v>1</v>
      </c>
      <c r="E1213">
        <v>1</v>
      </c>
      <c r="F1213">
        <v>1</v>
      </c>
      <c r="G1213">
        <v>1</v>
      </c>
      <c r="H1213">
        <v>1</v>
      </c>
      <c r="J1213">
        <v>30</v>
      </c>
      <c r="K1213">
        <v>1</v>
      </c>
      <c r="L1213">
        <v>1</v>
      </c>
      <c r="M1213">
        <v>1</v>
      </c>
      <c r="N1213">
        <v>1</v>
      </c>
      <c r="O1213">
        <v>1</v>
      </c>
      <c r="P1213">
        <v>1</v>
      </c>
      <c r="R1213">
        <v>30</v>
      </c>
      <c r="S1213">
        <v>1</v>
      </c>
      <c r="T1213">
        <v>1</v>
      </c>
      <c r="U1213">
        <v>1</v>
      </c>
      <c r="V1213">
        <v>1</v>
      </c>
      <c r="W1213">
        <v>1</v>
      </c>
      <c r="X1213">
        <v>1</v>
      </c>
      <c r="AA1213">
        <v>-5168.6908999999996</v>
      </c>
      <c r="AB1213">
        <v>-5168.6908999999996</v>
      </c>
      <c r="AC1213">
        <v>-5168.6908999999996</v>
      </c>
      <c r="AD1213">
        <v>-5168.6908999999996</v>
      </c>
      <c r="AE1213">
        <v>-5168.6908999999996</v>
      </c>
      <c r="AF1213">
        <v>-5168.6908999999996</v>
      </c>
    </row>
    <row r="1214" spans="2:32" x14ac:dyDescent="0.25">
      <c r="B1214">
        <v>31</v>
      </c>
      <c r="C1214">
        <v>1</v>
      </c>
      <c r="D1214">
        <v>1</v>
      </c>
      <c r="E1214">
        <v>1</v>
      </c>
      <c r="F1214">
        <v>1</v>
      </c>
      <c r="G1214">
        <v>1</v>
      </c>
      <c r="H1214">
        <v>1</v>
      </c>
      <c r="J1214">
        <v>31</v>
      </c>
      <c r="K1214">
        <v>1</v>
      </c>
      <c r="L1214">
        <v>1</v>
      </c>
      <c r="M1214">
        <v>1</v>
      </c>
      <c r="N1214">
        <v>1</v>
      </c>
      <c r="O1214">
        <v>1</v>
      </c>
      <c r="P1214">
        <v>1</v>
      </c>
      <c r="R1214">
        <v>31</v>
      </c>
      <c r="S1214">
        <v>1</v>
      </c>
      <c r="T1214">
        <v>1</v>
      </c>
      <c r="U1214">
        <v>1</v>
      </c>
      <c r="V1214">
        <v>1</v>
      </c>
      <c r="W1214">
        <v>1</v>
      </c>
      <c r="X1214">
        <v>1</v>
      </c>
      <c r="AA1214">
        <v>-5166.5891000000001</v>
      </c>
      <c r="AB1214">
        <v>-5166.5891000000001</v>
      </c>
      <c r="AC1214">
        <v>-5166.5891000000001</v>
      </c>
      <c r="AD1214">
        <v>-5166.5891000000001</v>
      </c>
      <c r="AE1214">
        <v>-5166.5891000000001</v>
      </c>
      <c r="AF1214">
        <v>-5166.5891000000001</v>
      </c>
    </row>
    <row r="1215" spans="2:32" x14ac:dyDescent="0.25">
      <c r="B1215">
        <v>32</v>
      </c>
      <c r="C1215">
        <v>1</v>
      </c>
      <c r="D1215">
        <v>1</v>
      </c>
      <c r="E1215">
        <v>1</v>
      </c>
      <c r="F1215">
        <v>1</v>
      </c>
      <c r="G1215">
        <v>1</v>
      </c>
      <c r="H1215">
        <v>1</v>
      </c>
      <c r="J1215">
        <v>32</v>
      </c>
      <c r="K1215">
        <v>1</v>
      </c>
      <c r="L1215">
        <v>1</v>
      </c>
      <c r="M1215">
        <v>1</v>
      </c>
      <c r="N1215">
        <v>1</v>
      </c>
      <c r="O1215">
        <v>1</v>
      </c>
      <c r="P1215">
        <v>1</v>
      </c>
      <c r="R1215">
        <v>32</v>
      </c>
      <c r="S1215">
        <v>1</v>
      </c>
      <c r="T1215">
        <v>1</v>
      </c>
      <c r="U1215">
        <v>1</v>
      </c>
      <c r="V1215">
        <v>1</v>
      </c>
      <c r="W1215">
        <v>1</v>
      </c>
      <c r="X1215">
        <v>1</v>
      </c>
      <c r="AA1215">
        <v>-5164.2407000000003</v>
      </c>
      <c r="AB1215">
        <v>-5164.2407000000003</v>
      </c>
      <c r="AC1215">
        <v>-5164.2407000000003</v>
      </c>
      <c r="AD1215">
        <v>-5164.2407000000003</v>
      </c>
      <c r="AE1215">
        <v>-5164.2407000000003</v>
      </c>
      <c r="AF1215">
        <v>-5164.2407000000003</v>
      </c>
    </row>
    <row r="1216" spans="2:32" x14ac:dyDescent="0.25">
      <c r="B1216">
        <v>33</v>
      </c>
      <c r="C1216">
        <v>1</v>
      </c>
      <c r="D1216">
        <v>1</v>
      </c>
      <c r="E1216">
        <v>1</v>
      </c>
      <c r="F1216">
        <v>1</v>
      </c>
      <c r="G1216">
        <v>1</v>
      </c>
      <c r="H1216">
        <v>1</v>
      </c>
      <c r="J1216">
        <v>33</v>
      </c>
      <c r="K1216">
        <v>1</v>
      </c>
      <c r="L1216">
        <v>1</v>
      </c>
      <c r="M1216">
        <v>1</v>
      </c>
      <c r="N1216">
        <v>1</v>
      </c>
      <c r="O1216">
        <v>1</v>
      </c>
      <c r="P1216">
        <v>1</v>
      </c>
      <c r="R1216">
        <v>33</v>
      </c>
      <c r="S1216">
        <v>1</v>
      </c>
      <c r="T1216">
        <v>1</v>
      </c>
      <c r="U1216">
        <v>1</v>
      </c>
      <c r="V1216">
        <v>1</v>
      </c>
      <c r="W1216">
        <v>1</v>
      </c>
      <c r="X1216">
        <v>1</v>
      </c>
      <c r="AA1216">
        <v>-5161.6318000000001</v>
      </c>
      <c r="AB1216">
        <v>-5161.6318000000001</v>
      </c>
      <c r="AC1216">
        <v>-5161.6318000000001</v>
      </c>
      <c r="AD1216">
        <v>-5161.6318000000001</v>
      </c>
      <c r="AE1216">
        <v>-5161.6318000000001</v>
      </c>
      <c r="AF1216">
        <v>-5161.6318000000001</v>
      </c>
    </row>
    <row r="1217" spans="2:32" x14ac:dyDescent="0.25">
      <c r="B1217">
        <v>34</v>
      </c>
      <c r="C1217">
        <v>1</v>
      </c>
      <c r="D1217">
        <v>1</v>
      </c>
      <c r="E1217">
        <v>1</v>
      </c>
      <c r="F1217">
        <v>1</v>
      </c>
      <c r="G1217">
        <v>1</v>
      </c>
      <c r="H1217">
        <v>1</v>
      </c>
      <c r="J1217">
        <v>34</v>
      </c>
      <c r="K1217">
        <v>1</v>
      </c>
      <c r="L1217">
        <v>1</v>
      </c>
      <c r="M1217">
        <v>1</v>
      </c>
      <c r="N1217">
        <v>1</v>
      </c>
      <c r="O1217">
        <v>1</v>
      </c>
      <c r="P1217">
        <v>1</v>
      </c>
      <c r="R1217">
        <v>34</v>
      </c>
      <c r="S1217">
        <v>1</v>
      </c>
      <c r="T1217">
        <v>1</v>
      </c>
      <c r="U1217">
        <v>1</v>
      </c>
      <c r="V1217">
        <v>1</v>
      </c>
      <c r="W1217">
        <v>1</v>
      </c>
      <c r="X1217">
        <v>1</v>
      </c>
      <c r="AA1217">
        <v>-5158.7194</v>
      </c>
      <c r="AB1217">
        <v>-5158.7194</v>
      </c>
      <c r="AC1217">
        <v>-5158.7194</v>
      </c>
      <c r="AD1217">
        <v>-5158.7194</v>
      </c>
      <c r="AE1217">
        <v>-5158.7194</v>
      </c>
      <c r="AF1217">
        <v>-5158.7194</v>
      </c>
    </row>
    <row r="1218" spans="2:32" x14ac:dyDescent="0.25">
      <c r="B1218">
        <v>35</v>
      </c>
      <c r="C1218">
        <v>1</v>
      </c>
      <c r="D1218">
        <v>1</v>
      </c>
      <c r="E1218">
        <v>1</v>
      </c>
      <c r="F1218">
        <v>1</v>
      </c>
      <c r="G1218">
        <v>1</v>
      </c>
      <c r="H1218">
        <v>1</v>
      </c>
      <c r="J1218">
        <v>35</v>
      </c>
      <c r="K1218">
        <v>1</v>
      </c>
      <c r="L1218">
        <v>1</v>
      </c>
      <c r="M1218">
        <v>1</v>
      </c>
      <c r="N1218">
        <v>1</v>
      </c>
      <c r="O1218">
        <v>1</v>
      </c>
      <c r="P1218">
        <v>1</v>
      </c>
      <c r="R1218">
        <v>35</v>
      </c>
      <c r="S1218">
        <v>1</v>
      </c>
      <c r="T1218">
        <v>1</v>
      </c>
      <c r="U1218">
        <v>1</v>
      </c>
      <c r="V1218">
        <v>1</v>
      </c>
      <c r="W1218">
        <v>1</v>
      </c>
      <c r="X1218">
        <v>1</v>
      </c>
      <c r="AA1218">
        <v>-5155.4901</v>
      </c>
      <c r="AB1218">
        <v>-5155.4901</v>
      </c>
      <c r="AC1218">
        <v>-5155.4901</v>
      </c>
      <c r="AD1218">
        <v>-5155.4901</v>
      </c>
      <c r="AE1218">
        <v>-5155.4901</v>
      </c>
      <c r="AF1218">
        <v>-5155.4901</v>
      </c>
    </row>
    <row r="1219" spans="2:32" x14ac:dyDescent="0.25">
      <c r="B1219">
        <v>36</v>
      </c>
      <c r="C1219">
        <v>1</v>
      </c>
      <c r="D1219">
        <v>1</v>
      </c>
      <c r="E1219">
        <v>1</v>
      </c>
      <c r="F1219">
        <v>1</v>
      </c>
      <c r="G1219">
        <v>1</v>
      </c>
      <c r="H1219">
        <v>1</v>
      </c>
      <c r="J1219">
        <v>36</v>
      </c>
      <c r="K1219">
        <v>1</v>
      </c>
      <c r="L1219">
        <v>1</v>
      </c>
      <c r="M1219">
        <v>1</v>
      </c>
      <c r="N1219">
        <v>1</v>
      </c>
      <c r="O1219">
        <v>1</v>
      </c>
      <c r="P1219">
        <v>1</v>
      </c>
      <c r="R1219">
        <v>36</v>
      </c>
      <c r="S1219">
        <v>1</v>
      </c>
      <c r="T1219">
        <v>1</v>
      </c>
      <c r="U1219">
        <v>1</v>
      </c>
      <c r="V1219">
        <v>1</v>
      </c>
      <c r="W1219">
        <v>1</v>
      </c>
      <c r="X1219">
        <v>1</v>
      </c>
      <c r="AA1219">
        <v>-5151.8950999999997</v>
      </c>
      <c r="AB1219">
        <v>-5151.8950999999997</v>
      </c>
      <c r="AC1219">
        <v>-5151.8950999999997</v>
      </c>
      <c r="AD1219">
        <v>-5151.8950999999997</v>
      </c>
      <c r="AE1219">
        <v>-5151.8950999999997</v>
      </c>
      <c r="AF1219">
        <v>-5151.8950999999997</v>
      </c>
    </row>
    <row r="1220" spans="2:32" x14ac:dyDescent="0.25">
      <c r="B1220">
        <v>37</v>
      </c>
      <c r="C1220">
        <v>1</v>
      </c>
      <c r="D1220">
        <v>1</v>
      </c>
      <c r="E1220">
        <v>1</v>
      </c>
      <c r="F1220">
        <v>1</v>
      </c>
      <c r="G1220">
        <v>1</v>
      </c>
      <c r="H1220">
        <v>1</v>
      </c>
      <c r="J1220">
        <v>37</v>
      </c>
      <c r="K1220">
        <v>1</v>
      </c>
      <c r="L1220">
        <v>1</v>
      </c>
      <c r="M1220">
        <v>1</v>
      </c>
      <c r="N1220">
        <v>1</v>
      </c>
      <c r="O1220">
        <v>1</v>
      </c>
      <c r="P1220">
        <v>1</v>
      </c>
      <c r="R1220">
        <v>37</v>
      </c>
      <c r="S1220">
        <v>1</v>
      </c>
      <c r="T1220">
        <v>1</v>
      </c>
      <c r="U1220">
        <v>1</v>
      </c>
      <c r="V1220">
        <v>1</v>
      </c>
      <c r="W1220">
        <v>1</v>
      </c>
      <c r="X1220">
        <v>1</v>
      </c>
      <c r="AA1220">
        <v>-5147.9106000000002</v>
      </c>
      <c r="AB1220">
        <v>-5147.9106000000002</v>
      </c>
      <c r="AC1220">
        <v>-5147.9106000000002</v>
      </c>
      <c r="AD1220">
        <v>-5147.9106000000002</v>
      </c>
      <c r="AE1220">
        <v>-5147.9106000000002</v>
      </c>
      <c r="AF1220">
        <v>-5147.9106000000002</v>
      </c>
    </row>
    <row r="1221" spans="2:32" x14ac:dyDescent="0.25">
      <c r="B1221">
        <v>38</v>
      </c>
      <c r="C1221">
        <v>1</v>
      </c>
      <c r="D1221">
        <v>1</v>
      </c>
      <c r="E1221">
        <v>1</v>
      </c>
      <c r="F1221">
        <v>1</v>
      </c>
      <c r="G1221">
        <v>1</v>
      </c>
      <c r="H1221">
        <v>1</v>
      </c>
      <c r="J1221">
        <v>38</v>
      </c>
      <c r="K1221">
        <v>1</v>
      </c>
      <c r="L1221">
        <v>1</v>
      </c>
      <c r="M1221">
        <v>1</v>
      </c>
      <c r="N1221">
        <v>1</v>
      </c>
      <c r="O1221">
        <v>1</v>
      </c>
      <c r="P1221">
        <v>1</v>
      </c>
      <c r="R1221">
        <v>38</v>
      </c>
      <c r="S1221">
        <v>1</v>
      </c>
      <c r="T1221">
        <v>1</v>
      </c>
      <c r="U1221">
        <v>1</v>
      </c>
      <c r="V1221">
        <v>1</v>
      </c>
      <c r="W1221">
        <v>1</v>
      </c>
      <c r="X1221">
        <v>1</v>
      </c>
      <c r="AA1221">
        <v>-5143.5393999999997</v>
      </c>
      <c r="AB1221">
        <v>-5143.5393999999997</v>
      </c>
      <c r="AC1221">
        <v>-5143.5393999999997</v>
      </c>
      <c r="AD1221">
        <v>-5143.5393999999997</v>
      </c>
      <c r="AE1221">
        <v>-5143.5393999999997</v>
      </c>
      <c r="AF1221">
        <v>-5143.5393999999997</v>
      </c>
    </row>
    <row r="1222" spans="2:32" x14ac:dyDescent="0.25">
      <c r="B1222">
        <v>39</v>
      </c>
      <c r="C1222">
        <v>1</v>
      </c>
      <c r="D1222">
        <v>1</v>
      </c>
      <c r="E1222">
        <v>1</v>
      </c>
      <c r="F1222">
        <v>1</v>
      </c>
      <c r="G1222">
        <v>1</v>
      </c>
      <c r="H1222">
        <v>1</v>
      </c>
      <c r="J1222">
        <v>39</v>
      </c>
      <c r="K1222">
        <v>1</v>
      </c>
      <c r="L1222">
        <v>1</v>
      </c>
      <c r="M1222">
        <v>1</v>
      </c>
      <c r="N1222">
        <v>1</v>
      </c>
      <c r="O1222">
        <v>1</v>
      </c>
      <c r="P1222">
        <v>1</v>
      </c>
      <c r="R1222">
        <v>39</v>
      </c>
      <c r="S1222">
        <v>1</v>
      </c>
      <c r="T1222">
        <v>1</v>
      </c>
      <c r="U1222">
        <v>1</v>
      </c>
      <c r="V1222">
        <v>1</v>
      </c>
      <c r="W1222">
        <v>1</v>
      </c>
      <c r="X1222">
        <v>1</v>
      </c>
      <c r="AA1222">
        <v>-5138.76</v>
      </c>
      <c r="AB1222">
        <v>-5138.76</v>
      </c>
      <c r="AC1222">
        <v>-5138.76</v>
      </c>
      <c r="AD1222">
        <v>-5138.76</v>
      </c>
      <c r="AE1222">
        <v>-5138.76</v>
      </c>
      <c r="AF1222">
        <v>-5138.76</v>
      </c>
    </row>
    <row r="1223" spans="2:32" x14ac:dyDescent="0.25">
      <c r="B1223">
        <v>40</v>
      </c>
      <c r="C1223">
        <v>1</v>
      </c>
      <c r="D1223">
        <v>1</v>
      </c>
      <c r="E1223">
        <v>1</v>
      </c>
      <c r="F1223">
        <v>1</v>
      </c>
      <c r="G1223">
        <v>1</v>
      </c>
      <c r="H1223">
        <v>1</v>
      </c>
      <c r="J1223">
        <v>40</v>
      </c>
      <c r="K1223">
        <v>1</v>
      </c>
      <c r="L1223">
        <v>1</v>
      </c>
      <c r="M1223">
        <v>1</v>
      </c>
      <c r="N1223">
        <v>1</v>
      </c>
      <c r="O1223">
        <v>1</v>
      </c>
      <c r="P1223">
        <v>1</v>
      </c>
      <c r="R1223">
        <v>40</v>
      </c>
      <c r="S1223">
        <v>1</v>
      </c>
      <c r="T1223">
        <v>1</v>
      </c>
      <c r="U1223">
        <v>1</v>
      </c>
      <c r="V1223">
        <v>1</v>
      </c>
      <c r="W1223">
        <v>1</v>
      </c>
      <c r="X1223">
        <v>1</v>
      </c>
      <c r="AA1223">
        <v>-5133.5084999999999</v>
      </c>
      <c r="AB1223">
        <v>-5133.5084999999999</v>
      </c>
      <c r="AC1223">
        <v>-5133.5084999999999</v>
      </c>
      <c r="AD1223">
        <v>-5133.5084999999999</v>
      </c>
      <c r="AE1223">
        <v>-5133.5084999999999</v>
      </c>
      <c r="AF1223">
        <v>-5133.5084999999999</v>
      </c>
    </row>
    <row r="1224" spans="2:32" x14ac:dyDescent="0.25">
      <c r="B1224">
        <v>41</v>
      </c>
      <c r="C1224">
        <v>1</v>
      </c>
      <c r="D1224">
        <v>1</v>
      </c>
      <c r="E1224">
        <v>1</v>
      </c>
      <c r="F1224">
        <v>1</v>
      </c>
      <c r="G1224">
        <v>1</v>
      </c>
      <c r="H1224">
        <v>1</v>
      </c>
      <c r="J1224">
        <v>41</v>
      </c>
      <c r="K1224">
        <v>1</v>
      </c>
      <c r="L1224">
        <v>1</v>
      </c>
      <c r="M1224">
        <v>1</v>
      </c>
      <c r="N1224">
        <v>1</v>
      </c>
      <c r="O1224">
        <v>1</v>
      </c>
      <c r="P1224">
        <v>1</v>
      </c>
      <c r="R1224">
        <v>41</v>
      </c>
      <c r="S1224">
        <v>1</v>
      </c>
      <c r="T1224">
        <v>1</v>
      </c>
      <c r="U1224">
        <v>1</v>
      </c>
      <c r="V1224">
        <v>1</v>
      </c>
      <c r="W1224">
        <v>1</v>
      </c>
      <c r="X1224">
        <v>1</v>
      </c>
      <c r="AA1224">
        <v>-5127.7236000000003</v>
      </c>
      <c r="AB1224">
        <v>-5127.7236000000003</v>
      </c>
      <c r="AC1224">
        <v>-5127.7236000000003</v>
      </c>
      <c r="AD1224">
        <v>-5127.7236000000003</v>
      </c>
      <c r="AE1224">
        <v>-5127.7236000000003</v>
      </c>
      <c r="AF1224">
        <v>-5127.7236000000003</v>
      </c>
    </row>
    <row r="1225" spans="2:32" x14ac:dyDescent="0.25">
      <c r="B1225">
        <v>42</v>
      </c>
      <c r="C1225">
        <v>1</v>
      </c>
      <c r="D1225">
        <v>1</v>
      </c>
      <c r="E1225">
        <v>1</v>
      </c>
      <c r="F1225">
        <v>1</v>
      </c>
      <c r="G1225">
        <v>1</v>
      </c>
      <c r="H1225">
        <v>1</v>
      </c>
      <c r="J1225">
        <v>42</v>
      </c>
      <c r="K1225">
        <v>1</v>
      </c>
      <c r="L1225">
        <v>1</v>
      </c>
      <c r="M1225">
        <v>1</v>
      </c>
      <c r="N1225">
        <v>1</v>
      </c>
      <c r="O1225">
        <v>1</v>
      </c>
      <c r="P1225">
        <v>1</v>
      </c>
      <c r="R1225">
        <v>42</v>
      </c>
      <c r="S1225">
        <v>1</v>
      </c>
      <c r="T1225">
        <v>1</v>
      </c>
      <c r="U1225">
        <v>1</v>
      </c>
      <c r="V1225">
        <v>1</v>
      </c>
      <c r="W1225">
        <v>1</v>
      </c>
      <c r="X1225">
        <v>1</v>
      </c>
      <c r="AA1225">
        <v>-5121.3726999999999</v>
      </c>
      <c r="AB1225">
        <v>-5121.3726999999999</v>
      </c>
      <c r="AC1225">
        <v>-5121.3726999999999</v>
      </c>
      <c r="AD1225">
        <v>-5121.3726999999999</v>
      </c>
      <c r="AE1225">
        <v>-5121.3726999999999</v>
      </c>
      <c r="AF1225">
        <v>-5121.3726999999999</v>
      </c>
    </row>
    <row r="1226" spans="2:32" x14ac:dyDescent="0.25">
      <c r="B1226">
        <v>43</v>
      </c>
      <c r="C1226">
        <v>1</v>
      </c>
      <c r="D1226">
        <v>1</v>
      </c>
      <c r="E1226">
        <v>1</v>
      </c>
      <c r="F1226">
        <v>1</v>
      </c>
      <c r="G1226">
        <v>1</v>
      </c>
      <c r="H1226">
        <v>1</v>
      </c>
      <c r="J1226">
        <v>43</v>
      </c>
      <c r="K1226">
        <v>1</v>
      </c>
      <c r="L1226">
        <v>1</v>
      </c>
      <c r="M1226">
        <v>1</v>
      </c>
      <c r="N1226">
        <v>1</v>
      </c>
      <c r="O1226">
        <v>1</v>
      </c>
      <c r="P1226">
        <v>1</v>
      </c>
      <c r="R1226">
        <v>43</v>
      </c>
      <c r="S1226">
        <v>1</v>
      </c>
      <c r="T1226">
        <v>1</v>
      </c>
      <c r="U1226">
        <v>1</v>
      </c>
      <c r="V1226">
        <v>1</v>
      </c>
      <c r="W1226">
        <v>1</v>
      </c>
      <c r="X1226">
        <v>1</v>
      </c>
      <c r="AA1226">
        <v>-5114.3449000000001</v>
      </c>
      <c r="AB1226">
        <v>-5114.3449000000001</v>
      </c>
      <c r="AC1226">
        <v>-5114.3449000000001</v>
      </c>
      <c r="AD1226">
        <v>-5114.3449000000001</v>
      </c>
      <c r="AE1226">
        <v>-5114.3449000000001</v>
      </c>
      <c r="AF1226">
        <v>-5114.3449000000001</v>
      </c>
    </row>
    <row r="1227" spans="2:32" x14ac:dyDescent="0.25">
      <c r="B1227">
        <v>44</v>
      </c>
      <c r="C1227">
        <v>1</v>
      </c>
      <c r="D1227">
        <v>1</v>
      </c>
      <c r="E1227">
        <v>1</v>
      </c>
      <c r="F1227">
        <v>1</v>
      </c>
      <c r="G1227">
        <v>1</v>
      </c>
      <c r="H1227">
        <v>1</v>
      </c>
      <c r="J1227">
        <v>44</v>
      </c>
      <c r="K1227">
        <v>1</v>
      </c>
      <c r="L1227">
        <v>1</v>
      </c>
      <c r="M1227">
        <v>1</v>
      </c>
      <c r="N1227">
        <v>1</v>
      </c>
      <c r="O1227">
        <v>1</v>
      </c>
      <c r="P1227">
        <v>1</v>
      </c>
      <c r="R1227">
        <v>44</v>
      </c>
      <c r="S1227">
        <v>1</v>
      </c>
      <c r="T1227">
        <v>1</v>
      </c>
      <c r="U1227">
        <v>1</v>
      </c>
      <c r="V1227">
        <v>1</v>
      </c>
      <c r="W1227">
        <v>1</v>
      </c>
      <c r="X1227">
        <v>1</v>
      </c>
      <c r="AA1227">
        <v>-5106.5976000000001</v>
      </c>
      <c r="AB1227">
        <v>-5106.5976000000001</v>
      </c>
      <c r="AC1227">
        <v>-5106.5976000000001</v>
      </c>
      <c r="AD1227">
        <v>-5106.5976000000001</v>
      </c>
      <c r="AE1227">
        <v>-5106.5976000000001</v>
      </c>
      <c r="AF1227">
        <v>-5106.5976000000001</v>
      </c>
    </row>
    <row r="1228" spans="2:32" x14ac:dyDescent="0.25">
      <c r="B1228">
        <v>45</v>
      </c>
      <c r="C1228">
        <v>1</v>
      </c>
      <c r="D1228">
        <v>1</v>
      </c>
      <c r="E1228">
        <v>1</v>
      </c>
      <c r="F1228">
        <v>1</v>
      </c>
      <c r="G1228">
        <v>1</v>
      </c>
      <c r="H1228">
        <v>1</v>
      </c>
      <c r="J1228">
        <v>45</v>
      </c>
      <c r="K1228">
        <v>1</v>
      </c>
      <c r="L1228">
        <v>1</v>
      </c>
      <c r="M1228">
        <v>1</v>
      </c>
      <c r="N1228">
        <v>1</v>
      </c>
      <c r="O1228">
        <v>1</v>
      </c>
      <c r="P1228">
        <v>1</v>
      </c>
      <c r="R1228">
        <v>45</v>
      </c>
      <c r="S1228">
        <v>1</v>
      </c>
      <c r="T1228">
        <v>1</v>
      </c>
      <c r="U1228">
        <v>1</v>
      </c>
      <c r="V1228">
        <v>1</v>
      </c>
      <c r="W1228">
        <v>1</v>
      </c>
      <c r="X1228">
        <v>1</v>
      </c>
      <c r="AA1228">
        <v>-5098.0524999999998</v>
      </c>
      <c r="AB1228">
        <v>-5098.0524999999998</v>
      </c>
      <c r="AC1228">
        <v>-5098.0524999999998</v>
      </c>
      <c r="AD1228">
        <v>-5098.0524999999998</v>
      </c>
      <c r="AE1228">
        <v>-5098.0524999999998</v>
      </c>
      <c r="AF1228">
        <v>-5098.0524999999998</v>
      </c>
    </row>
    <row r="1229" spans="2:32" x14ac:dyDescent="0.25">
      <c r="B1229">
        <v>46</v>
      </c>
      <c r="C1229">
        <v>1</v>
      </c>
      <c r="D1229">
        <v>1</v>
      </c>
      <c r="E1229">
        <v>1</v>
      </c>
      <c r="F1229">
        <v>1</v>
      </c>
      <c r="G1229">
        <v>1</v>
      </c>
      <c r="H1229">
        <v>1</v>
      </c>
      <c r="J1229">
        <v>46</v>
      </c>
      <c r="K1229">
        <v>1</v>
      </c>
      <c r="L1229">
        <v>1</v>
      </c>
      <c r="M1229">
        <v>1</v>
      </c>
      <c r="N1229">
        <v>1</v>
      </c>
      <c r="O1229">
        <v>1</v>
      </c>
      <c r="P1229">
        <v>1</v>
      </c>
      <c r="R1229">
        <v>46</v>
      </c>
      <c r="S1229">
        <v>1</v>
      </c>
      <c r="T1229">
        <v>1</v>
      </c>
      <c r="U1229">
        <v>1</v>
      </c>
      <c r="V1229">
        <v>1</v>
      </c>
      <c r="W1229">
        <v>1</v>
      </c>
      <c r="X1229">
        <v>1</v>
      </c>
      <c r="AA1229">
        <v>-5088.6378000000004</v>
      </c>
      <c r="AB1229">
        <v>-5088.6378000000004</v>
      </c>
      <c r="AC1229">
        <v>-5088.6378000000004</v>
      </c>
      <c r="AD1229">
        <v>-5088.6378000000004</v>
      </c>
      <c r="AE1229">
        <v>-5088.6378000000004</v>
      </c>
      <c r="AF1229">
        <v>-5088.6378000000004</v>
      </c>
    </row>
    <row r="1230" spans="2:32" x14ac:dyDescent="0.25">
      <c r="B1230">
        <v>47</v>
      </c>
      <c r="C1230">
        <v>1</v>
      </c>
      <c r="D1230">
        <v>1</v>
      </c>
      <c r="E1230">
        <v>1</v>
      </c>
      <c r="F1230">
        <v>1</v>
      </c>
      <c r="G1230">
        <v>1</v>
      </c>
      <c r="H1230">
        <v>1</v>
      </c>
      <c r="J1230">
        <v>47</v>
      </c>
      <c r="K1230">
        <v>1</v>
      </c>
      <c r="L1230">
        <v>1</v>
      </c>
      <c r="M1230">
        <v>1</v>
      </c>
      <c r="N1230">
        <v>1</v>
      </c>
      <c r="O1230">
        <v>1</v>
      </c>
      <c r="P1230">
        <v>1</v>
      </c>
      <c r="R1230">
        <v>47</v>
      </c>
      <c r="S1230">
        <v>1</v>
      </c>
      <c r="T1230">
        <v>1</v>
      </c>
      <c r="U1230">
        <v>1</v>
      </c>
      <c r="V1230">
        <v>1</v>
      </c>
      <c r="W1230">
        <v>1</v>
      </c>
      <c r="X1230">
        <v>1</v>
      </c>
      <c r="AA1230">
        <v>-5078.2593999999999</v>
      </c>
      <c r="AB1230">
        <v>-5078.2593999999999</v>
      </c>
      <c r="AC1230">
        <v>-5078.2593999999999</v>
      </c>
      <c r="AD1230">
        <v>-5078.2593999999999</v>
      </c>
      <c r="AE1230">
        <v>-5078.2593999999999</v>
      </c>
      <c r="AF1230">
        <v>-5078.2593999999999</v>
      </c>
    </row>
    <row r="1231" spans="2:32" x14ac:dyDescent="0.25">
      <c r="B1231">
        <v>48</v>
      </c>
      <c r="C1231">
        <v>1</v>
      </c>
      <c r="D1231">
        <v>1</v>
      </c>
      <c r="E1231">
        <v>1</v>
      </c>
      <c r="F1231">
        <v>1</v>
      </c>
      <c r="G1231">
        <v>1</v>
      </c>
      <c r="H1231">
        <v>1</v>
      </c>
      <c r="J1231">
        <v>48</v>
      </c>
      <c r="K1231">
        <v>1</v>
      </c>
      <c r="L1231">
        <v>1</v>
      </c>
      <c r="M1231">
        <v>1</v>
      </c>
      <c r="N1231">
        <v>1</v>
      </c>
      <c r="O1231">
        <v>1</v>
      </c>
      <c r="P1231">
        <v>1</v>
      </c>
      <c r="R1231">
        <v>48</v>
      </c>
      <c r="S1231">
        <v>1</v>
      </c>
      <c r="T1231">
        <v>1</v>
      </c>
      <c r="U1231">
        <v>1</v>
      </c>
      <c r="V1231">
        <v>1</v>
      </c>
      <c r="W1231">
        <v>1</v>
      </c>
      <c r="X1231">
        <v>1</v>
      </c>
      <c r="AA1231">
        <v>-5066.8732</v>
      </c>
      <c r="AB1231">
        <v>-5066.8732</v>
      </c>
      <c r="AC1231">
        <v>-5066.8732</v>
      </c>
      <c r="AD1231">
        <v>-5066.8732</v>
      </c>
      <c r="AE1231">
        <v>-5066.8732</v>
      </c>
      <c r="AF1231">
        <v>-5066.8732</v>
      </c>
    </row>
    <row r="1232" spans="2:32" x14ac:dyDescent="0.25">
      <c r="B1232">
        <v>49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v>1</v>
      </c>
      <c r="J1232">
        <v>49</v>
      </c>
      <c r="K1232">
        <v>1</v>
      </c>
      <c r="L1232">
        <v>1</v>
      </c>
      <c r="M1232">
        <v>1</v>
      </c>
      <c r="N1232">
        <v>1</v>
      </c>
      <c r="O1232">
        <v>1</v>
      </c>
      <c r="P1232">
        <v>1</v>
      </c>
      <c r="R1232">
        <v>49</v>
      </c>
      <c r="S1232">
        <v>1</v>
      </c>
      <c r="T1232">
        <v>1</v>
      </c>
      <c r="U1232">
        <v>1</v>
      </c>
      <c r="V1232">
        <v>1</v>
      </c>
      <c r="W1232">
        <v>1</v>
      </c>
      <c r="X1232">
        <v>1</v>
      </c>
      <c r="AA1232">
        <v>-5054.4124000000002</v>
      </c>
      <c r="AB1232">
        <v>-5054.4124000000002</v>
      </c>
      <c r="AC1232">
        <v>-5054.4124000000002</v>
      </c>
      <c r="AD1232">
        <v>-5054.4124000000002</v>
      </c>
      <c r="AE1232">
        <v>-5054.4124000000002</v>
      </c>
      <c r="AF1232">
        <v>-5054.4124000000002</v>
      </c>
    </row>
    <row r="1233" spans="2:32" x14ac:dyDescent="0.25">
      <c r="B1233">
        <v>50</v>
      </c>
      <c r="C1233">
        <v>1</v>
      </c>
      <c r="D1233">
        <v>1</v>
      </c>
      <c r="E1233">
        <v>1</v>
      </c>
      <c r="F1233">
        <v>1</v>
      </c>
      <c r="G1233">
        <v>1</v>
      </c>
      <c r="H1233">
        <v>1</v>
      </c>
      <c r="J1233">
        <v>50</v>
      </c>
      <c r="K1233">
        <v>1</v>
      </c>
      <c r="L1233">
        <v>1</v>
      </c>
      <c r="M1233">
        <v>1</v>
      </c>
      <c r="N1233">
        <v>1</v>
      </c>
      <c r="O1233">
        <v>1</v>
      </c>
      <c r="P1233">
        <v>1</v>
      </c>
      <c r="R1233">
        <v>50</v>
      </c>
      <c r="S1233">
        <v>1</v>
      </c>
      <c r="T1233">
        <v>1</v>
      </c>
      <c r="U1233">
        <v>1</v>
      </c>
      <c r="V1233">
        <v>1</v>
      </c>
      <c r="W1233">
        <v>1</v>
      </c>
      <c r="X1233">
        <v>1</v>
      </c>
      <c r="AA1233">
        <v>-5040.7671</v>
      </c>
      <c r="AB1233">
        <v>-5040.7671</v>
      </c>
      <c r="AC1233">
        <v>-5040.7671</v>
      </c>
      <c r="AD1233">
        <v>-5040.7671</v>
      </c>
      <c r="AE1233">
        <v>-5040.7671</v>
      </c>
      <c r="AF1233">
        <v>-5040.7671</v>
      </c>
    </row>
    <row r="1234" spans="2:32" x14ac:dyDescent="0.25">
      <c r="B1234">
        <v>51</v>
      </c>
      <c r="C1234">
        <v>1</v>
      </c>
      <c r="D1234">
        <v>1</v>
      </c>
      <c r="E1234">
        <v>1</v>
      </c>
      <c r="F1234">
        <v>1</v>
      </c>
      <c r="G1234">
        <v>1</v>
      </c>
      <c r="H1234">
        <v>1</v>
      </c>
      <c r="J1234">
        <v>51</v>
      </c>
      <c r="K1234">
        <v>1</v>
      </c>
      <c r="L1234">
        <v>1</v>
      </c>
      <c r="M1234">
        <v>1</v>
      </c>
      <c r="N1234">
        <v>1</v>
      </c>
      <c r="O1234">
        <v>1</v>
      </c>
      <c r="P1234">
        <v>1</v>
      </c>
      <c r="R1234">
        <v>51</v>
      </c>
      <c r="S1234">
        <v>1</v>
      </c>
      <c r="T1234">
        <v>1</v>
      </c>
      <c r="U1234">
        <v>1</v>
      </c>
      <c r="V1234">
        <v>1</v>
      </c>
      <c r="W1234">
        <v>1</v>
      </c>
      <c r="X1234">
        <v>1</v>
      </c>
      <c r="AA1234">
        <v>-5025.8329000000003</v>
      </c>
      <c r="AB1234">
        <v>-5025.8329000000003</v>
      </c>
      <c r="AC1234">
        <v>-5025.8329000000003</v>
      </c>
      <c r="AD1234">
        <v>-5025.8329000000003</v>
      </c>
      <c r="AE1234">
        <v>-5025.8329000000003</v>
      </c>
      <c r="AF1234">
        <v>-5025.8329000000003</v>
      </c>
    </row>
    <row r="1235" spans="2:32" x14ac:dyDescent="0.25">
      <c r="B1235">
        <v>52</v>
      </c>
      <c r="C1235">
        <v>1</v>
      </c>
      <c r="D1235">
        <v>1</v>
      </c>
      <c r="E1235">
        <v>1</v>
      </c>
      <c r="F1235">
        <v>1</v>
      </c>
      <c r="G1235">
        <v>1</v>
      </c>
      <c r="H1235">
        <v>1</v>
      </c>
      <c r="J1235">
        <v>52</v>
      </c>
      <c r="K1235">
        <v>1</v>
      </c>
      <c r="L1235">
        <v>1</v>
      </c>
      <c r="M1235">
        <v>1</v>
      </c>
      <c r="N1235">
        <v>1</v>
      </c>
      <c r="O1235">
        <v>1</v>
      </c>
      <c r="P1235">
        <v>1</v>
      </c>
      <c r="R1235">
        <v>52</v>
      </c>
      <c r="S1235">
        <v>1</v>
      </c>
      <c r="T1235">
        <v>1</v>
      </c>
      <c r="U1235">
        <v>1</v>
      </c>
      <c r="V1235">
        <v>1</v>
      </c>
      <c r="W1235">
        <v>1</v>
      </c>
      <c r="X1235">
        <v>1</v>
      </c>
      <c r="AA1235">
        <v>-5009.4771000000001</v>
      </c>
      <c r="AB1235">
        <v>-5009.4771000000001</v>
      </c>
      <c r="AC1235">
        <v>-5009.4771000000001</v>
      </c>
      <c r="AD1235">
        <v>-5009.4771000000001</v>
      </c>
      <c r="AE1235">
        <v>-5009.4771000000001</v>
      </c>
      <c r="AF1235">
        <v>-5009.4771000000001</v>
      </c>
    </row>
    <row r="1236" spans="2:32" x14ac:dyDescent="0.25">
      <c r="B1236">
        <v>53</v>
      </c>
      <c r="C1236">
        <v>1</v>
      </c>
      <c r="D1236">
        <v>1</v>
      </c>
      <c r="E1236">
        <v>1</v>
      </c>
      <c r="F1236">
        <v>1</v>
      </c>
      <c r="G1236">
        <v>1</v>
      </c>
      <c r="H1236">
        <v>1</v>
      </c>
      <c r="J1236">
        <v>53</v>
      </c>
      <c r="K1236">
        <v>1</v>
      </c>
      <c r="L1236">
        <v>1</v>
      </c>
      <c r="M1236">
        <v>1</v>
      </c>
      <c r="N1236">
        <v>1</v>
      </c>
      <c r="O1236">
        <v>1</v>
      </c>
      <c r="P1236">
        <v>1</v>
      </c>
      <c r="R1236">
        <v>53</v>
      </c>
      <c r="S1236">
        <v>1</v>
      </c>
      <c r="T1236">
        <v>1</v>
      </c>
      <c r="U1236">
        <v>1</v>
      </c>
      <c r="V1236">
        <v>1</v>
      </c>
      <c r="W1236">
        <v>1</v>
      </c>
      <c r="X1236">
        <v>1</v>
      </c>
      <c r="AA1236">
        <v>-4991.6184000000003</v>
      </c>
      <c r="AB1236">
        <v>-4991.6184000000003</v>
      </c>
      <c r="AC1236">
        <v>-4991.6184000000003</v>
      </c>
      <c r="AD1236">
        <v>-4991.6184000000003</v>
      </c>
      <c r="AE1236">
        <v>-4991.6184000000003</v>
      </c>
      <c r="AF1236">
        <v>-4991.6184000000003</v>
      </c>
    </row>
    <row r="1237" spans="2:32" x14ac:dyDescent="0.25">
      <c r="B1237">
        <v>54</v>
      </c>
      <c r="C1237">
        <v>1</v>
      </c>
      <c r="D1237">
        <v>1</v>
      </c>
      <c r="E1237">
        <v>1</v>
      </c>
      <c r="F1237">
        <v>1</v>
      </c>
      <c r="G1237">
        <v>1</v>
      </c>
      <c r="H1237">
        <v>1</v>
      </c>
      <c r="J1237">
        <v>54</v>
      </c>
      <c r="K1237">
        <v>1</v>
      </c>
      <c r="L1237">
        <v>1</v>
      </c>
      <c r="M1237">
        <v>1</v>
      </c>
      <c r="N1237">
        <v>1</v>
      </c>
      <c r="O1237">
        <v>1</v>
      </c>
      <c r="P1237">
        <v>1</v>
      </c>
      <c r="R1237">
        <v>54</v>
      </c>
      <c r="S1237">
        <v>1</v>
      </c>
      <c r="T1237">
        <v>1</v>
      </c>
      <c r="U1237">
        <v>1</v>
      </c>
      <c r="V1237">
        <v>1</v>
      </c>
      <c r="W1237">
        <v>1</v>
      </c>
      <c r="X1237">
        <v>1</v>
      </c>
      <c r="AA1237">
        <v>-4972.1588000000002</v>
      </c>
      <c r="AB1237">
        <v>-4972.1588000000002</v>
      </c>
      <c r="AC1237">
        <v>-4972.1588000000002</v>
      </c>
      <c r="AD1237">
        <v>-4972.1588000000002</v>
      </c>
      <c r="AE1237">
        <v>-4972.1588000000002</v>
      </c>
      <c r="AF1237">
        <v>-4972.1588000000002</v>
      </c>
    </row>
    <row r="1238" spans="2:32" x14ac:dyDescent="0.25">
      <c r="B1238">
        <v>55</v>
      </c>
      <c r="C1238">
        <v>1</v>
      </c>
      <c r="D1238">
        <v>1</v>
      </c>
      <c r="E1238">
        <v>1</v>
      </c>
      <c r="F1238">
        <v>1</v>
      </c>
      <c r="G1238">
        <v>1</v>
      </c>
      <c r="H1238">
        <v>1</v>
      </c>
      <c r="J1238">
        <v>55</v>
      </c>
      <c r="K1238">
        <v>1</v>
      </c>
      <c r="L1238">
        <v>1</v>
      </c>
      <c r="M1238">
        <v>1</v>
      </c>
      <c r="N1238">
        <v>1</v>
      </c>
      <c r="O1238">
        <v>1</v>
      </c>
      <c r="P1238">
        <v>1</v>
      </c>
      <c r="R1238">
        <v>55</v>
      </c>
      <c r="S1238">
        <v>1</v>
      </c>
      <c r="T1238">
        <v>1</v>
      </c>
      <c r="U1238">
        <v>1</v>
      </c>
      <c r="V1238">
        <v>1</v>
      </c>
      <c r="W1238">
        <v>1</v>
      </c>
      <c r="X1238">
        <v>1</v>
      </c>
      <c r="AA1238">
        <v>-4950.9426000000003</v>
      </c>
      <c r="AB1238">
        <v>-4950.9426000000003</v>
      </c>
      <c r="AC1238">
        <v>-4950.9426000000003</v>
      </c>
      <c r="AD1238">
        <v>-4950.9426000000003</v>
      </c>
      <c r="AE1238">
        <v>-4950.9426000000003</v>
      </c>
      <c r="AF1238">
        <v>-4950.9426000000003</v>
      </c>
    </row>
    <row r="1241" spans="2:32" x14ac:dyDescent="0.25">
      <c r="B1241" t="s">
        <v>46</v>
      </c>
      <c r="C1241">
        <v>100000</v>
      </c>
      <c r="D1241">
        <v>250000</v>
      </c>
      <c r="E1241">
        <v>500000</v>
      </c>
      <c r="F1241">
        <v>1000000</v>
      </c>
      <c r="G1241">
        <v>2000000</v>
      </c>
      <c r="J1241" t="s">
        <v>32</v>
      </c>
      <c r="K1241">
        <v>100000</v>
      </c>
      <c r="L1241">
        <v>250000</v>
      </c>
      <c r="M1241">
        <v>500000</v>
      </c>
      <c r="N1241">
        <v>1000000</v>
      </c>
      <c r="O1241">
        <v>2000000</v>
      </c>
      <c r="R1241" t="s">
        <v>48</v>
      </c>
      <c r="S1241">
        <v>100000</v>
      </c>
      <c r="T1241">
        <v>250000</v>
      </c>
      <c r="U1241">
        <v>500000</v>
      </c>
      <c r="V1241">
        <v>1000000</v>
      </c>
      <c r="W1241">
        <v>2000000</v>
      </c>
    </row>
    <row r="1242" spans="2:32" x14ac:dyDescent="0.25">
      <c r="B1242">
        <v>35</v>
      </c>
      <c r="C1242">
        <v>1</v>
      </c>
      <c r="D1242">
        <v>1</v>
      </c>
      <c r="E1242">
        <v>1</v>
      </c>
      <c r="F1242">
        <v>1</v>
      </c>
      <c r="G1242">
        <v>1</v>
      </c>
      <c r="J1242">
        <v>35</v>
      </c>
      <c r="K1242">
        <v>1</v>
      </c>
      <c r="L1242">
        <v>1</v>
      </c>
      <c r="M1242">
        <v>1</v>
      </c>
      <c r="N1242">
        <v>1</v>
      </c>
      <c r="O1242">
        <v>1</v>
      </c>
      <c r="R1242">
        <v>35</v>
      </c>
      <c r="S1242">
        <v>1</v>
      </c>
      <c r="T1242">
        <v>1</v>
      </c>
      <c r="U1242">
        <v>1</v>
      </c>
      <c r="V1242">
        <v>1</v>
      </c>
      <c r="W1242">
        <v>1</v>
      </c>
      <c r="AA1242">
        <v>-8996.1419000000005</v>
      </c>
      <c r="AB1242">
        <v>-8996.1419000000005</v>
      </c>
      <c r="AC1242">
        <v>-8996.1419000000005</v>
      </c>
      <c r="AD1242">
        <v>-8996.1419000000005</v>
      </c>
      <c r="AE1242">
        <v>-8996.1419000000005</v>
      </c>
      <c r="AF1242">
        <v>-759112.79520000005</v>
      </c>
    </row>
    <row r="1243" spans="2:32" x14ac:dyDescent="0.25">
      <c r="B1243">
        <f t="shared" ref="B1243:B1272" si="54">B1242+1</f>
        <v>36</v>
      </c>
      <c r="C1243">
        <v>1</v>
      </c>
      <c r="D1243">
        <v>1</v>
      </c>
      <c r="E1243">
        <v>1</v>
      </c>
      <c r="F1243">
        <v>1</v>
      </c>
      <c r="G1243">
        <v>1</v>
      </c>
      <c r="J1243">
        <f t="shared" ref="J1243:J1272" si="55">J1242+1</f>
        <v>36</v>
      </c>
      <c r="K1243">
        <v>1</v>
      </c>
      <c r="L1243">
        <v>1</v>
      </c>
      <c r="M1243">
        <v>1</v>
      </c>
      <c r="N1243">
        <v>1</v>
      </c>
      <c r="O1243">
        <v>1</v>
      </c>
      <c r="R1243">
        <f t="shared" ref="R1243:R1272" si="56">R1242+1</f>
        <v>36</v>
      </c>
      <c r="S1243">
        <v>1</v>
      </c>
      <c r="T1243">
        <v>1</v>
      </c>
      <c r="U1243">
        <v>1</v>
      </c>
      <c r="V1243">
        <v>1</v>
      </c>
      <c r="W1243">
        <v>1</v>
      </c>
      <c r="AA1243">
        <v>-8902.6679999999997</v>
      </c>
      <c r="AB1243">
        <v>-8902.6679999999997</v>
      </c>
      <c r="AC1243">
        <v>-8902.6679999999997</v>
      </c>
      <c r="AD1243">
        <v>-8902.6679999999997</v>
      </c>
      <c r="AE1243">
        <v>-8902.6679999999997</v>
      </c>
      <c r="AF1243">
        <v>-737070.86179999996</v>
      </c>
    </row>
    <row r="1244" spans="2:32" x14ac:dyDescent="0.25">
      <c r="B1244">
        <f t="shared" si="54"/>
        <v>37</v>
      </c>
      <c r="C1244">
        <v>1</v>
      </c>
      <c r="D1244">
        <v>1</v>
      </c>
      <c r="E1244">
        <v>1</v>
      </c>
      <c r="F1244">
        <v>1</v>
      </c>
      <c r="G1244">
        <v>1</v>
      </c>
      <c r="J1244">
        <f t="shared" si="55"/>
        <v>37</v>
      </c>
      <c r="K1244">
        <v>1</v>
      </c>
      <c r="L1244">
        <v>1</v>
      </c>
      <c r="M1244">
        <v>1</v>
      </c>
      <c r="N1244">
        <v>1</v>
      </c>
      <c r="O1244">
        <v>1</v>
      </c>
      <c r="R1244">
        <f t="shared" si="56"/>
        <v>37</v>
      </c>
      <c r="S1244">
        <v>1</v>
      </c>
      <c r="T1244">
        <v>1</v>
      </c>
      <c r="U1244">
        <v>1</v>
      </c>
      <c r="V1244">
        <v>1</v>
      </c>
      <c r="W1244">
        <v>1</v>
      </c>
      <c r="AA1244">
        <v>-8806.7960000000003</v>
      </c>
      <c r="AB1244">
        <v>-8806.7960000000003</v>
      </c>
      <c r="AC1244">
        <v>-8806.7960000000003</v>
      </c>
      <c r="AD1244">
        <v>-8806.7960000000003</v>
      </c>
      <c r="AE1244">
        <v>-8806.7960000000003</v>
      </c>
      <c r="AF1244">
        <v>-765978.91940000001</v>
      </c>
    </row>
    <row r="1245" spans="2:32" x14ac:dyDescent="0.25">
      <c r="B1245">
        <f t="shared" si="54"/>
        <v>38</v>
      </c>
      <c r="C1245">
        <v>1</v>
      </c>
      <c r="D1245">
        <v>1</v>
      </c>
      <c r="E1245">
        <v>1</v>
      </c>
      <c r="F1245">
        <v>1</v>
      </c>
      <c r="G1245">
        <v>1</v>
      </c>
      <c r="J1245">
        <f t="shared" si="55"/>
        <v>38</v>
      </c>
      <c r="K1245">
        <v>1</v>
      </c>
      <c r="L1245">
        <v>1</v>
      </c>
      <c r="M1245">
        <v>1</v>
      </c>
      <c r="N1245">
        <v>1</v>
      </c>
      <c r="O1245">
        <v>1</v>
      </c>
      <c r="R1245">
        <f t="shared" si="56"/>
        <v>38</v>
      </c>
      <c r="S1245">
        <v>1</v>
      </c>
      <c r="T1245">
        <v>1</v>
      </c>
      <c r="U1245">
        <v>1</v>
      </c>
      <c r="V1245">
        <v>1</v>
      </c>
      <c r="W1245">
        <v>1</v>
      </c>
      <c r="AA1245">
        <v>-8708.6234000000004</v>
      </c>
      <c r="AB1245">
        <v>-8708.6234000000004</v>
      </c>
      <c r="AC1245">
        <v>-8708.6234000000004</v>
      </c>
      <c r="AD1245">
        <v>-8708.6234000000004</v>
      </c>
      <c r="AE1245">
        <v>-8708.6234000000004</v>
      </c>
      <c r="AF1245">
        <v>-783780.576</v>
      </c>
    </row>
    <row r="1246" spans="2:32" x14ac:dyDescent="0.25">
      <c r="B1246">
        <f t="shared" si="54"/>
        <v>39</v>
      </c>
      <c r="C1246">
        <v>1</v>
      </c>
      <c r="D1246">
        <v>1</v>
      </c>
      <c r="E1246">
        <v>1</v>
      </c>
      <c r="F1246">
        <v>1</v>
      </c>
      <c r="G1246">
        <v>1</v>
      </c>
      <c r="J1246">
        <f t="shared" si="55"/>
        <v>39</v>
      </c>
      <c r="K1246">
        <v>1</v>
      </c>
      <c r="L1246">
        <v>1</v>
      </c>
      <c r="M1246">
        <v>1</v>
      </c>
      <c r="N1246">
        <v>1</v>
      </c>
      <c r="O1246">
        <v>1</v>
      </c>
      <c r="R1246">
        <f t="shared" si="56"/>
        <v>39</v>
      </c>
      <c r="S1246">
        <v>1</v>
      </c>
      <c r="T1246">
        <v>1</v>
      </c>
      <c r="U1246">
        <v>1</v>
      </c>
      <c r="V1246">
        <v>1</v>
      </c>
      <c r="W1246">
        <v>1</v>
      </c>
      <c r="AA1246">
        <v>-8608.1594000000005</v>
      </c>
      <c r="AB1246">
        <v>-8608.1594000000005</v>
      </c>
      <c r="AC1246">
        <v>-8608.1594000000005</v>
      </c>
      <c r="AD1246">
        <v>-8608.1594000000005</v>
      </c>
      <c r="AE1246">
        <v>-8608.1594000000005</v>
      </c>
      <c r="AF1246">
        <v>-769662.22069999995</v>
      </c>
    </row>
    <row r="1247" spans="2:32" x14ac:dyDescent="0.25">
      <c r="B1247">
        <f t="shared" si="54"/>
        <v>40</v>
      </c>
      <c r="C1247">
        <v>1</v>
      </c>
      <c r="D1247">
        <v>1</v>
      </c>
      <c r="E1247">
        <v>1</v>
      </c>
      <c r="F1247">
        <v>1</v>
      </c>
      <c r="G1247">
        <v>1</v>
      </c>
      <c r="J1247">
        <f t="shared" si="55"/>
        <v>40</v>
      </c>
      <c r="K1247">
        <v>1</v>
      </c>
      <c r="L1247">
        <v>1</v>
      </c>
      <c r="M1247">
        <v>1</v>
      </c>
      <c r="N1247">
        <v>1</v>
      </c>
      <c r="O1247">
        <v>1</v>
      </c>
      <c r="R1247">
        <f t="shared" si="56"/>
        <v>40</v>
      </c>
      <c r="S1247">
        <v>1</v>
      </c>
      <c r="T1247">
        <v>1</v>
      </c>
      <c r="U1247">
        <v>1</v>
      </c>
      <c r="V1247">
        <v>1</v>
      </c>
      <c r="W1247">
        <v>1</v>
      </c>
      <c r="AA1247">
        <v>-8505.3439999999991</v>
      </c>
      <c r="AB1247">
        <v>-8505.3439999999991</v>
      </c>
      <c r="AC1247">
        <v>-8505.3439999999991</v>
      </c>
      <c r="AD1247">
        <v>-8505.3439999999991</v>
      </c>
      <c r="AE1247">
        <v>-8505.3439999999991</v>
      </c>
      <c r="AF1247">
        <v>-798570.41119999997</v>
      </c>
    </row>
    <row r="1248" spans="2:32" x14ac:dyDescent="0.25">
      <c r="B1248">
        <f t="shared" si="54"/>
        <v>41</v>
      </c>
      <c r="C1248">
        <v>1</v>
      </c>
      <c r="D1248">
        <v>1</v>
      </c>
      <c r="E1248">
        <v>1</v>
      </c>
      <c r="F1248">
        <v>1</v>
      </c>
      <c r="G1248">
        <v>1</v>
      </c>
      <c r="J1248">
        <f t="shared" si="55"/>
        <v>41</v>
      </c>
      <c r="K1248">
        <v>1</v>
      </c>
      <c r="L1248">
        <v>1</v>
      </c>
      <c r="M1248">
        <v>1</v>
      </c>
      <c r="N1248">
        <v>1</v>
      </c>
      <c r="O1248">
        <v>1</v>
      </c>
      <c r="R1248">
        <f t="shared" si="56"/>
        <v>41</v>
      </c>
      <c r="S1248">
        <v>1</v>
      </c>
      <c r="T1248">
        <v>1</v>
      </c>
      <c r="U1248">
        <v>1</v>
      </c>
      <c r="V1248">
        <v>1</v>
      </c>
      <c r="W1248">
        <v>1</v>
      </c>
      <c r="AA1248">
        <v>-8400.1087000000007</v>
      </c>
      <c r="AB1248">
        <v>-8400.1087000000007</v>
      </c>
      <c r="AC1248">
        <v>-8400.1087000000007</v>
      </c>
      <c r="AD1248">
        <v>-8400.1087000000007</v>
      </c>
      <c r="AE1248">
        <v>-8400.1087000000007</v>
      </c>
      <c r="AF1248">
        <v>-803549.96459999995</v>
      </c>
    </row>
    <row r="1249" spans="2:32" x14ac:dyDescent="0.25">
      <c r="B1249">
        <f t="shared" si="54"/>
        <v>42</v>
      </c>
      <c r="C1249">
        <v>1</v>
      </c>
      <c r="D1249">
        <v>1</v>
      </c>
      <c r="E1249">
        <v>1</v>
      </c>
      <c r="F1249">
        <v>1</v>
      </c>
      <c r="G1249">
        <v>1</v>
      </c>
      <c r="J1249">
        <f t="shared" si="55"/>
        <v>42</v>
      </c>
      <c r="K1249">
        <v>1</v>
      </c>
      <c r="L1249">
        <v>1</v>
      </c>
      <c r="M1249">
        <v>1</v>
      </c>
      <c r="N1249">
        <v>1</v>
      </c>
      <c r="O1249">
        <v>1</v>
      </c>
      <c r="R1249">
        <f t="shared" si="56"/>
        <v>42</v>
      </c>
      <c r="S1249">
        <v>1</v>
      </c>
      <c r="T1249">
        <v>1</v>
      </c>
      <c r="U1249">
        <v>1</v>
      </c>
      <c r="V1249">
        <v>1</v>
      </c>
      <c r="W1249">
        <v>1</v>
      </c>
      <c r="AA1249">
        <v>-8292.4974999999995</v>
      </c>
      <c r="AB1249">
        <v>-8292.4974999999995</v>
      </c>
      <c r="AC1249">
        <v>-8292.4974999999995</v>
      </c>
      <c r="AD1249">
        <v>-8292.4974999999995</v>
      </c>
      <c r="AE1249">
        <v>-8292.4974999999995</v>
      </c>
      <c r="AF1249">
        <v>-833551.75890000002</v>
      </c>
    </row>
    <row r="1250" spans="2:32" x14ac:dyDescent="0.25">
      <c r="B1250">
        <f t="shared" si="54"/>
        <v>43</v>
      </c>
      <c r="C1250">
        <v>1</v>
      </c>
      <c r="D1250">
        <v>1</v>
      </c>
      <c r="E1250">
        <v>1</v>
      </c>
      <c r="F1250">
        <v>1</v>
      </c>
      <c r="G1250">
        <v>1</v>
      </c>
      <c r="J1250">
        <f t="shared" si="55"/>
        <v>43</v>
      </c>
      <c r="K1250">
        <v>1</v>
      </c>
      <c r="L1250">
        <v>1</v>
      </c>
      <c r="M1250">
        <v>1</v>
      </c>
      <c r="N1250">
        <v>1</v>
      </c>
      <c r="O1250">
        <v>1</v>
      </c>
      <c r="R1250">
        <f t="shared" si="56"/>
        <v>43</v>
      </c>
      <c r="S1250">
        <v>1</v>
      </c>
      <c r="T1250">
        <v>1</v>
      </c>
      <c r="U1250">
        <v>1</v>
      </c>
      <c r="V1250">
        <v>1</v>
      </c>
      <c r="W1250">
        <v>1</v>
      </c>
      <c r="AA1250">
        <v>-8182.3909999999996</v>
      </c>
      <c r="AB1250">
        <v>-8182.3909999999996</v>
      </c>
      <c r="AC1250">
        <v>-8182.3909999999996</v>
      </c>
      <c r="AD1250">
        <v>-8182.3909999999996</v>
      </c>
      <c r="AE1250">
        <v>-8182.3909999999996</v>
      </c>
      <c r="AF1250">
        <v>-844950.93949999998</v>
      </c>
    </row>
    <row r="1251" spans="2:32" x14ac:dyDescent="0.25">
      <c r="B1251">
        <f t="shared" si="54"/>
        <v>44</v>
      </c>
      <c r="C1251">
        <v>1</v>
      </c>
      <c r="D1251">
        <v>1</v>
      </c>
      <c r="E1251">
        <v>1</v>
      </c>
      <c r="F1251">
        <v>1</v>
      </c>
      <c r="G1251">
        <v>1</v>
      </c>
      <c r="J1251">
        <f t="shared" si="55"/>
        <v>44</v>
      </c>
      <c r="K1251">
        <v>1</v>
      </c>
      <c r="L1251">
        <v>1</v>
      </c>
      <c r="M1251">
        <v>1</v>
      </c>
      <c r="N1251">
        <v>1</v>
      </c>
      <c r="O1251">
        <v>1</v>
      </c>
      <c r="R1251">
        <f t="shared" si="56"/>
        <v>44</v>
      </c>
      <c r="S1251">
        <v>1</v>
      </c>
      <c r="T1251">
        <v>1</v>
      </c>
      <c r="U1251">
        <v>1</v>
      </c>
      <c r="V1251">
        <v>1</v>
      </c>
      <c r="W1251">
        <v>1</v>
      </c>
      <c r="AA1251">
        <v>-8069.8261000000002</v>
      </c>
      <c r="AB1251">
        <v>-8069.8261000000002</v>
      </c>
      <c r="AC1251">
        <v>-8069.8261000000002</v>
      </c>
      <c r="AD1251">
        <v>-8069.8261000000002</v>
      </c>
      <c r="AE1251">
        <v>-8069.8261000000002</v>
      </c>
      <c r="AF1251">
        <v>-851265.64670000004</v>
      </c>
    </row>
    <row r="1252" spans="2:32" x14ac:dyDescent="0.25">
      <c r="B1252">
        <f t="shared" si="54"/>
        <v>45</v>
      </c>
      <c r="C1252">
        <v>1</v>
      </c>
      <c r="D1252">
        <v>1</v>
      </c>
      <c r="E1252">
        <v>1</v>
      </c>
      <c r="F1252">
        <v>1</v>
      </c>
      <c r="G1252">
        <v>1</v>
      </c>
      <c r="J1252">
        <f t="shared" si="55"/>
        <v>45</v>
      </c>
      <c r="K1252">
        <v>1</v>
      </c>
      <c r="L1252">
        <v>1</v>
      </c>
      <c r="M1252">
        <v>1</v>
      </c>
      <c r="N1252">
        <v>1</v>
      </c>
      <c r="O1252">
        <v>1</v>
      </c>
      <c r="R1252">
        <f t="shared" si="56"/>
        <v>45</v>
      </c>
      <c r="S1252">
        <v>1</v>
      </c>
      <c r="T1252">
        <v>1</v>
      </c>
      <c r="U1252">
        <v>1</v>
      </c>
      <c r="V1252">
        <v>1</v>
      </c>
      <c r="W1252">
        <v>1</v>
      </c>
      <c r="AA1252">
        <v>-7954.7533999999996</v>
      </c>
      <c r="AB1252">
        <v>-7954.7533999999996</v>
      </c>
      <c r="AC1252">
        <v>-7954.7533999999996</v>
      </c>
      <c r="AD1252">
        <v>-7954.7533999999996</v>
      </c>
      <c r="AE1252">
        <v>-7954.7533999999996</v>
      </c>
      <c r="AF1252">
        <v>-870649.02139999997</v>
      </c>
    </row>
    <row r="1253" spans="2:32" x14ac:dyDescent="0.25">
      <c r="B1253">
        <f t="shared" si="54"/>
        <v>46</v>
      </c>
      <c r="C1253">
        <v>1</v>
      </c>
      <c r="D1253">
        <v>1</v>
      </c>
      <c r="E1253">
        <v>1</v>
      </c>
      <c r="F1253">
        <v>1</v>
      </c>
      <c r="G1253">
        <v>1</v>
      </c>
      <c r="J1253">
        <f t="shared" si="55"/>
        <v>46</v>
      </c>
      <c r="K1253">
        <v>1</v>
      </c>
      <c r="L1253">
        <v>1</v>
      </c>
      <c r="M1253">
        <v>1</v>
      </c>
      <c r="N1253">
        <v>1</v>
      </c>
      <c r="O1253">
        <v>1</v>
      </c>
      <c r="R1253">
        <f t="shared" si="56"/>
        <v>46</v>
      </c>
      <c r="S1253">
        <v>1</v>
      </c>
      <c r="T1253">
        <v>1</v>
      </c>
      <c r="U1253">
        <v>1</v>
      </c>
      <c r="V1253">
        <v>1</v>
      </c>
      <c r="W1253">
        <v>1</v>
      </c>
      <c r="AA1253">
        <v>-7837.1754000000001</v>
      </c>
      <c r="AB1253">
        <v>-7837.1754000000001</v>
      </c>
      <c r="AC1253">
        <v>-7837.1754000000001</v>
      </c>
      <c r="AD1253">
        <v>-7837.1754000000001</v>
      </c>
      <c r="AE1253">
        <v>-7837.1754000000001</v>
      </c>
      <c r="AF1253">
        <v>-892550.54509999999</v>
      </c>
    </row>
    <row r="1254" spans="2:32" x14ac:dyDescent="0.25">
      <c r="B1254">
        <f t="shared" si="54"/>
        <v>47</v>
      </c>
      <c r="C1254">
        <v>1</v>
      </c>
      <c r="D1254">
        <v>1</v>
      </c>
      <c r="E1254">
        <v>1</v>
      </c>
      <c r="F1254">
        <v>1</v>
      </c>
      <c r="G1254">
        <v>1</v>
      </c>
      <c r="J1254">
        <f t="shared" si="55"/>
        <v>47</v>
      </c>
      <c r="K1254">
        <v>1</v>
      </c>
      <c r="L1254">
        <v>1</v>
      </c>
      <c r="M1254">
        <v>1</v>
      </c>
      <c r="N1254">
        <v>1</v>
      </c>
      <c r="O1254">
        <v>1</v>
      </c>
      <c r="R1254">
        <f t="shared" si="56"/>
        <v>47</v>
      </c>
      <c r="S1254">
        <v>1</v>
      </c>
      <c r="T1254">
        <v>1</v>
      </c>
      <c r="U1254">
        <v>1</v>
      </c>
      <c r="V1254">
        <v>1</v>
      </c>
      <c r="W1254">
        <v>1</v>
      </c>
      <c r="AA1254">
        <v>-7717.0294999999996</v>
      </c>
      <c r="AB1254">
        <v>-7717.0294999999996</v>
      </c>
      <c r="AC1254">
        <v>-7717.0294999999996</v>
      </c>
      <c r="AD1254">
        <v>-7717.0294999999996</v>
      </c>
      <c r="AE1254">
        <v>-7717.0294999999996</v>
      </c>
      <c r="AF1254">
        <v>-910915.81969999999</v>
      </c>
    </row>
    <row r="1255" spans="2:32" x14ac:dyDescent="0.25">
      <c r="B1255">
        <f t="shared" si="54"/>
        <v>48</v>
      </c>
      <c r="C1255">
        <v>1</v>
      </c>
      <c r="D1255">
        <v>1</v>
      </c>
      <c r="E1255">
        <v>1</v>
      </c>
      <c r="F1255">
        <v>1</v>
      </c>
      <c r="G1255">
        <v>1</v>
      </c>
      <c r="J1255">
        <f t="shared" si="55"/>
        <v>48</v>
      </c>
      <c r="K1255">
        <v>1</v>
      </c>
      <c r="L1255">
        <v>1</v>
      </c>
      <c r="M1255">
        <v>1</v>
      </c>
      <c r="N1255">
        <v>1</v>
      </c>
      <c r="O1255">
        <v>1</v>
      </c>
      <c r="R1255">
        <f t="shared" si="56"/>
        <v>48</v>
      </c>
      <c r="S1255">
        <v>1</v>
      </c>
      <c r="T1255">
        <v>1</v>
      </c>
      <c r="U1255">
        <v>1</v>
      </c>
      <c r="V1255">
        <v>1</v>
      </c>
      <c r="W1255">
        <v>1</v>
      </c>
      <c r="AA1255">
        <v>-7594.4201000000003</v>
      </c>
      <c r="AB1255">
        <v>-7594.4201000000003</v>
      </c>
      <c r="AC1255">
        <v>-7594.4201000000003</v>
      </c>
      <c r="AD1255">
        <v>-7594.4201000000003</v>
      </c>
      <c r="AE1255">
        <v>-7594.4201000000003</v>
      </c>
      <c r="AF1255">
        <v>-917891.87360000005</v>
      </c>
    </row>
    <row r="1256" spans="2:32" x14ac:dyDescent="0.25">
      <c r="B1256">
        <f t="shared" si="54"/>
        <v>49</v>
      </c>
      <c r="C1256">
        <v>1</v>
      </c>
      <c r="D1256">
        <v>1</v>
      </c>
      <c r="E1256">
        <v>1</v>
      </c>
      <c r="F1256">
        <v>1</v>
      </c>
      <c r="G1256">
        <v>1</v>
      </c>
      <c r="J1256">
        <f t="shared" si="55"/>
        <v>49</v>
      </c>
      <c r="K1256">
        <v>1</v>
      </c>
      <c r="L1256">
        <v>1</v>
      </c>
      <c r="M1256">
        <v>1</v>
      </c>
      <c r="N1256">
        <v>1</v>
      </c>
      <c r="O1256">
        <v>1</v>
      </c>
      <c r="R1256">
        <f t="shared" si="56"/>
        <v>49</v>
      </c>
      <c r="S1256">
        <v>1</v>
      </c>
      <c r="T1256">
        <v>1</v>
      </c>
      <c r="U1256">
        <v>1</v>
      </c>
      <c r="V1256">
        <v>1</v>
      </c>
      <c r="W1256">
        <v>1</v>
      </c>
      <c r="AA1256">
        <v>-7469.3995999999997</v>
      </c>
      <c r="AB1256">
        <v>-7469.3995999999997</v>
      </c>
      <c r="AC1256">
        <v>-7469.3995999999997</v>
      </c>
      <c r="AD1256">
        <v>-7469.3995999999997</v>
      </c>
      <c r="AE1256">
        <v>-7469.3995999999997</v>
      </c>
      <c r="AF1256">
        <v>-944521.72470000002</v>
      </c>
    </row>
    <row r="1257" spans="2:32" x14ac:dyDescent="0.25">
      <c r="B1257">
        <f t="shared" si="54"/>
        <v>50</v>
      </c>
      <c r="C1257">
        <v>1</v>
      </c>
      <c r="D1257">
        <v>1</v>
      </c>
      <c r="E1257">
        <v>1</v>
      </c>
      <c r="F1257">
        <v>1</v>
      </c>
      <c r="G1257">
        <v>1</v>
      </c>
      <c r="J1257">
        <f t="shared" si="55"/>
        <v>50</v>
      </c>
      <c r="K1257">
        <v>1</v>
      </c>
      <c r="L1257">
        <v>1</v>
      </c>
      <c r="M1257">
        <v>1</v>
      </c>
      <c r="N1257">
        <v>1</v>
      </c>
      <c r="O1257">
        <v>1</v>
      </c>
      <c r="R1257">
        <f t="shared" si="56"/>
        <v>50</v>
      </c>
      <c r="S1257">
        <v>1</v>
      </c>
      <c r="T1257">
        <v>1</v>
      </c>
      <c r="U1257">
        <v>1</v>
      </c>
      <c r="V1257">
        <v>1</v>
      </c>
      <c r="W1257">
        <v>1</v>
      </c>
      <c r="AA1257">
        <v>-7341.9502000000002</v>
      </c>
      <c r="AB1257">
        <v>-7341.9502000000002</v>
      </c>
      <c r="AC1257">
        <v>-7341.9502000000002</v>
      </c>
      <c r="AD1257">
        <v>-7341.9502000000002</v>
      </c>
      <c r="AE1257">
        <v>-7341.9502000000002</v>
      </c>
      <c r="AF1257">
        <v>-963257.14989999996</v>
      </c>
    </row>
    <row r="1258" spans="2:32" x14ac:dyDescent="0.25">
      <c r="B1258">
        <f t="shared" si="54"/>
        <v>51</v>
      </c>
      <c r="C1258">
        <v>1</v>
      </c>
      <c r="D1258">
        <v>1</v>
      </c>
      <c r="E1258">
        <v>1</v>
      </c>
      <c r="F1258">
        <v>1</v>
      </c>
      <c r="G1258">
        <v>1</v>
      </c>
      <c r="J1258">
        <f t="shared" si="55"/>
        <v>51</v>
      </c>
      <c r="K1258">
        <v>1</v>
      </c>
      <c r="L1258">
        <v>1</v>
      </c>
      <c r="M1258">
        <v>1</v>
      </c>
      <c r="N1258">
        <v>1</v>
      </c>
      <c r="O1258">
        <v>1</v>
      </c>
      <c r="R1258">
        <f t="shared" si="56"/>
        <v>51</v>
      </c>
      <c r="S1258">
        <v>1</v>
      </c>
      <c r="T1258">
        <v>1</v>
      </c>
      <c r="U1258">
        <v>1</v>
      </c>
      <c r="V1258">
        <v>1</v>
      </c>
      <c r="W1258">
        <v>1</v>
      </c>
      <c r="AA1258">
        <v>-7212.0646999999999</v>
      </c>
      <c r="AB1258">
        <v>-7212.0646999999999</v>
      </c>
      <c r="AC1258">
        <v>-7212.0646999999999</v>
      </c>
      <c r="AD1258">
        <v>-7212.0646999999999</v>
      </c>
      <c r="AE1258">
        <v>-7212.0646999999999</v>
      </c>
      <c r="AF1258">
        <v>-981592.90729999996</v>
      </c>
    </row>
    <row r="1259" spans="2:32" x14ac:dyDescent="0.25">
      <c r="B1259">
        <f t="shared" si="54"/>
        <v>52</v>
      </c>
      <c r="C1259">
        <v>1</v>
      </c>
      <c r="D1259">
        <v>1</v>
      </c>
      <c r="E1259">
        <v>1</v>
      </c>
      <c r="F1259">
        <v>1</v>
      </c>
      <c r="G1259">
        <v>1</v>
      </c>
      <c r="J1259">
        <f t="shared" si="55"/>
        <v>52</v>
      </c>
      <c r="K1259">
        <v>1</v>
      </c>
      <c r="L1259">
        <v>1</v>
      </c>
      <c r="M1259">
        <v>1</v>
      </c>
      <c r="N1259">
        <v>1</v>
      </c>
      <c r="O1259">
        <v>1</v>
      </c>
      <c r="R1259">
        <f t="shared" si="56"/>
        <v>52</v>
      </c>
      <c r="S1259">
        <v>1</v>
      </c>
      <c r="T1259">
        <v>1</v>
      </c>
      <c r="U1259">
        <v>1</v>
      </c>
      <c r="V1259">
        <v>1</v>
      </c>
      <c r="W1259">
        <v>1</v>
      </c>
      <c r="AA1259">
        <v>-7079.7435999999998</v>
      </c>
      <c r="AB1259">
        <v>-7079.7435999999998</v>
      </c>
      <c r="AC1259">
        <v>-7079.7435999999998</v>
      </c>
      <c r="AD1259">
        <v>-7079.7435999999998</v>
      </c>
      <c r="AE1259">
        <v>-7079.7435999999998</v>
      </c>
      <c r="AF1259">
        <v>-998556.10360000003</v>
      </c>
    </row>
    <row r="1260" spans="2:32" x14ac:dyDescent="0.25">
      <c r="B1260">
        <f t="shared" si="54"/>
        <v>53</v>
      </c>
      <c r="C1260">
        <v>1</v>
      </c>
      <c r="D1260">
        <v>1</v>
      </c>
      <c r="E1260">
        <v>1</v>
      </c>
      <c r="F1260">
        <v>1</v>
      </c>
      <c r="G1260">
        <v>1</v>
      </c>
      <c r="J1260">
        <f t="shared" si="55"/>
        <v>53</v>
      </c>
      <c r="K1260">
        <v>1</v>
      </c>
      <c r="L1260">
        <v>1</v>
      </c>
      <c r="M1260">
        <v>1</v>
      </c>
      <c r="N1260">
        <v>1</v>
      </c>
      <c r="O1260">
        <v>1</v>
      </c>
      <c r="R1260">
        <f t="shared" si="56"/>
        <v>53</v>
      </c>
      <c r="S1260">
        <v>1</v>
      </c>
      <c r="T1260">
        <v>1</v>
      </c>
      <c r="U1260">
        <v>1</v>
      </c>
      <c r="V1260">
        <v>1</v>
      </c>
      <c r="W1260">
        <v>1</v>
      </c>
      <c r="AA1260">
        <v>-6945.0875999999998</v>
      </c>
      <c r="AB1260">
        <v>-6945.0875999999998</v>
      </c>
      <c r="AC1260">
        <v>-6945.0875999999998</v>
      </c>
      <c r="AD1260">
        <v>-6945.0875999999998</v>
      </c>
      <c r="AE1260">
        <v>-6945.0875999999998</v>
      </c>
      <c r="AF1260">
        <v>-1015461.3278</v>
      </c>
    </row>
    <row r="1261" spans="2:32" x14ac:dyDescent="0.25">
      <c r="B1261">
        <f t="shared" si="54"/>
        <v>54</v>
      </c>
      <c r="C1261">
        <v>1</v>
      </c>
      <c r="D1261">
        <v>1</v>
      </c>
      <c r="E1261">
        <v>1</v>
      </c>
      <c r="F1261">
        <v>1</v>
      </c>
      <c r="G1261">
        <v>1</v>
      </c>
      <c r="J1261">
        <f t="shared" si="55"/>
        <v>54</v>
      </c>
      <c r="K1261">
        <v>1</v>
      </c>
      <c r="L1261">
        <v>1</v>
      </c>
      <c r="M1261">
        <v>1</v>
      </c>
      <c r="N1261">
        <v>1</v>
      </c>
      <c r="O1261">
        <v>1</v>
      </c>
      <c r="R1261">
        <f t="shared" si="56"/>
        <v>54</v>
      </c>
      <c r="S1261">
        <v>1</v>
      </c>
      <c r="T1261">
        <v>1</v>
      </c>
      <c r="U1261">
        <v>1</v>
      </c>
      <c r="V1261">
        <v>1</v>
      </c>
      <c r="W1261">
        <v>1</v>
      </c>
      <c r="AA1261">
        <v>-6808.2438000000002</v>
      </c>
      <c r="AB1261">
        <v>-6808.2438000000002</v>
      </c>
      <c r="AC1261">
        <v>-6808.2438000000002</v>
      </c>
      <c r="AD1261">
        <v>-6808.2438000000002</v>
      </c>
      <c r="AE1261">
        <v>-6808.2438000000002</v>
      </c>
      <c r="AF1261">
        <v>-1033869.6813000001</v>
      </c>
    </row>
    <row r="1262" spans="2:32" x14ac:dyDescent="0.25">
      <c r="B1262">
        <f t="shared" si="54"/>
        <v>55</v>
      </c>
      <c r="C1262">
        <v>1</v>
      </c>
      <c r="D1262">
        <v>1</v>
      </c>
      <c r="E1262">
        <v>1</v>
      </c>
      <c r="F1262">
        <v>1</v>
      </c>
      <c r="G1262">
        <v>1</v>
      </c>
      <c r="J1262">
        <f t="shared" si="55"/>
        <v>55</v>
      </c>
      <c r="K1262">
        <v>1</v>
      </c>
      <c r="L1262">
        <v>1</v>
      </c>
      <c r="M1262">
        <v>1</v>
      </c>
      <c r="N1262">
        <v>1</v>
      </c>
      <c r="O1262">
        <v>1</v>
      </c>
      <c r="R1262">
        <f t="shared" si="56"/>
        <v>55</v>
      </c>
      <c r="S1262">
        <v>1</v>
      </c>
      <c r="T1262">
        <v>1</v>
      </c>
      <c r="U1262">
        <v>1</v>
      </c>
      <c r="V1262">
        <v>1</v>
      </c>
      <c r="W1262">
        <v>1</v>
      </c>
      <c r="AA1262">
        <v>-6669.2525999999998</v>
      </c>
      <c r="AB1262">
        <v>-6669.2525999999998</v>
      </c>
      <c r="AC1262">
        <v>-6669.2525999999998</v>
      </c>
      <c r="AD1262">
        <v>-6669.2525999999998</v>
      </c>
      <c r="AE1262">
        <v>-6669.2525999999998</v>
      </c>
      <c r="AF1262">
        <v>-1050810.2549999999</v>
      </c>
    </row>
    <row r="1263" spans="2:32" x14ac:dyDescent="0.25">
      <c r="B1263">
        <f t="shared" si="54"/>
        <v>56</v>
      </c>
      <c r="C1263">
        <v>1</v>
      </c>
      <c r="D1263">
        <v>1</v>
      </c>
      <c r="E1263">
        <v>1</v>
      </c>
      <c r="F1263">
        <v>1</v>
      </c>
      <c r="G1263">
        <v>1</v>
      </c>
      <c r="J1263">
        <f t="shared" si="55"/>
        <v>56</v>
      </c>
      <c r="K1263">
        <v>1</v>
      </c>
      <c r="L1263">
        <v>1</v>
      </c>
      <c r="M1263">
        <v>1</v>
      </c>
      <c r="N1263">
        <v>1</v>
      </c>
      <c r="O1263">
        <v>1</v>
      </c>
      <c r="R1263">
        <f t="shared" si="56"/>
        <v>56</v>
      </c>
      <c r="S1263">
        <v>1</v>
      </c>
      <c r="T1263">
        <v>1</v>
      </c>
      <c r="U1263">
        <v>1</v>
      </c>
      <c r="V1263">
        <v>1</v>
      </c>
      <c r="W1263">
        <v>1</v>
      </c>
      <c r="AA1263">
        <v>-6528.2992000000004</v>
      </c>
      <c r="AB1263">
        <v>-6528.2992000000004</v>
      </c>
      <c r="AC1263">
        <v>-6528.2992000000004</v>
      </c>
      <c r="AD1263">
        <v>-6528.2992000000004</v>
      </c>
      <c r="AE1263">
        <v>-6528.2992000000004</v>
      </c>
      <c r="AF1263">
        <v>-1073295.8774000001</v>
      </c>
    </row>
    <row r="1264" spans="2:32" x14ac:dyDescent="0.25">
      <c r="B1264">
        <f t="shared" si="54"/>
        <v>57</v>
      </c>
      <c r="C1264">
        <v>1</v>
      </c>
      <c r="D1264">
        <v>1</v>
      </c>
      <c r="E1264">
        <v>1</v>
      </c>
      <c r="F1264">
        <v>1</v>
      </c>
      <c r="G1264">
        <v>1</v>
      </c>
      <c r="J1264">
        <f t="shared" si="55"/>
        <v>57</v>
      </c>
      <c r="K1264">
        <v>1</v>
      </c>
      <c r="L1264">
        <v>1</v>
      </c>
      <c r="M1264">
        <v>1</v>
      </c>
      <c r="N1264">
        <v>1</v>
      </c>
      <c r="O1264">
        <v>1</v>
      </c>
      <c r="R1264">
        <f t="shared" si="56"/>
        <v>57</v>
      </c>
      <c r="S1264">
        <v>1</v>
      </c>
      <c r="T1264">
        <v>1</v>
      </c>
      <c r="U1264">
        <v>1</v>
      </c>
      <c r="V1264">
        <v>1</v>
      </c>
      <c r="W1264">
        <v>1</v>
      </c>
      <c r="AA1264">
        <v>-6385.5230000000001</v>
      </c>
      <c r="AB1264">
        <v>-6385.5230000000001</v>
      </c>
      <c r="AC1264">
        <v>-6385.5230000000001</v>
      </c>
      <c r="AD1264">
        <v>-6385.5230000000001</v>
      </c>
      <c r="AE1264">
        <v>-6385.5230000000001</v>
      </c>
      <c r="AF1264">
        <v>-1093242.6832999999</v>
      </c>
    </row>
    <row r="1265" spans="2:32" x14ac:dyDescent="0.25">
      <c r="B1265">
        <f t="shared" si="54"/>
        <v>58</v>
      </c>
      <c r="C1265">
        <v>1</v>
      </c>
      <c r="D1265">
        <v>1</v>
      </c>
      <c r="E1265">
        <v>1</v>
      </c>
      <c r="F1265">
        <v>1</v>
      </c>
      <c r="G1265">
        <v>1</v>
      </c>
      <c r="J1265">
        <f t="shared" si="55"/>
        <v>58</v>
      </c>
      <c r="K1265">
        <v>1</v>
      </c>
      <c r="L1265">
        <v>1</v>
      </c>
      <c r="M1265">
        <v>1</v>
      </c>
      <c r="N1265">
        <v>1</v>
      </c>
      <c r="O1265">
        <v>1</v>
      </c>
      <c r="R1265">
        <f t="shared" si="56"/>
        <v>58</v>
      </c>
      <c r="S1265">
        <v>1</v>
      </c>
      <c r="T1265">
        <v>1</v>
      </c>
      <c r="U1265">
        <v>1</v>
      </c>
      <c r="V1265">
        <v>1</v>
      </c>
      <c r="W1265">
        <v>1</v>
      </c>
      <c r="AA1265">
        <v>-6240.8730999999998</v>
      </c>
      <c r="AB1265">
        <v>-6240.8730999999998</v>
      </c>
      <c r="AC1265">
        <v>-6240.8730999999998</v>
      </c>
      <c r="AD1265">
        <v>-6240.8730999999998</v>
      </c>
      <c r="AE1265">
        <v>-6240.8730999999998</v>
      </c>
      <c r="AF1265">
        <v>-1114366.6444000001</v>
      </c>
    </row>
    <row r="1266" spans="2:32" x14ac:dyDescent="0.25">
      <c r="B1266">
        <f t="shared" si="54"/>
        <v>59</v>
      </c>
      <c r="C1266">
        <v>1</v>
      </c>
      <c r="D1266">
        <v>1</v>
      </c>
      <c r="E1266">
        <v>1</v>
      </c>
      <c r="F1266">
        <v>1</v>
      </c>
      <c r="G1266">
        <v>1</v>
      </c>
      <c r="J1266">
        <f t="shared" si="55"/>
        <v>59</v>
      </c>
      <c r="K1266">
        <v>1</v>
      </c>
      <c r="L1266">
        <v>1</v>
      </c>
      <c r="M1266">
        <v>1</v>
      </c>
      <c r="N1266">
        <v>1</v>
      </c>
      <c r="O1266">
        <v>1</v>
      </c>
      <c r="R1266">
        <f t="shared" si="56"/>
        <v>59</v>
      </c>
      <c r="S1266">
        <v>1</v>
      </c>
      <c r="T1266">
        <v>1</v>
      </c>
      <c r="U1266">
        <v>1</v>
      </c>
      <c r="V1266">
        <v>1</v>
      </c>
      <c r="W1266">
        <v>1</v>
      </c>
      <c r="AA1266">
        <v>-6094.3262999999997</v>
      </c>
      <c r="AB1266">
        <v>-6094.3262999999997</v>
      </c>
      <c r="AC1266">
        <v>-6094.3262999999997</v>
      </c>
      <c r="AD1266">
        <v>-6094.3262999999997</v>
      </c>
      <c r="AE1266">
        <v>-6094.3262999999997</v>
      </c>
      <c r="AF1266">
        <v>-1114366.6444000001</v>
      </c>
    </row>
    <row r="1267" spans="2:32" x14ac:dyDescent="0.25">
      <c r="B1267">
        <f t="shared" si="54"/>
        <v>60</v>
      </c>
      <c r="C1267">
        <v>1</v>
      </c>
      <c r="D1267">
        <v>1</v>
      </c>
      <c r="E1267">
        <v>1</v>
      </c>
      <c r="F1267">
        <v>1</v>
      </c>
      <c r="G1267">
        <v>1</v>
      </c>
      <c r="J1267">
        <f t="shared" si="55"/>
        <v>60</v>
      </c>
      <c r="K1267">
        <v>1</v>
      </c>
      <c r="L1267">
        <v>1</v>
      </c>
      <c r="M1267">
        <v>1</v>
      </c>
      <c r="N1267">
        <v>1</v>
      </c>
      <c r="O1267">
        <v>1</v>
      </c>
      <c r="R1267">
        <f t="shared" si="56"/>
        <v>60</v>
      </c>
      <c r="S1267">
        <v>1</v>
      </c>
      <c r="T1267">
        <v>1</v>
      </c>
      <c r="U1267">
        <v>1</v>
      </c>
      <c r="V1267">
        <v>1</v>
      </c>
      <c r="W1267">
        <v>1</v>
      </c>
      <c r="AA1267">
        <v>-5945.9960000000001</v>
      </c>
      <c r="AB1267">
        <v>-5945.9960000000001</v>
      </c>
      <c r="AC1267">
        <v>-5945.9960000000001</v>
      </c>
      <c r="AD1267">
        <v>-5945.9960000000001</v>
      </c>
      <c r="AE1267">
        <v>-5945.9960000000001</v>
      </c>
      <c r="AF1267">
        <v>-1157801.6717999999</v>
      </c>
    </row>
    <row r="1268" spans="2:32" x14ac:dyDescent="0.25">
      <c r="B1268">
        <f t="shared" si="54"/>
        <v>61</v>
      </c>
      <c r="C1268">
        <v>1</v>
      </c>
      <c r="D1268">
        <v>1</v>
      </c>
      <c r="E1268">
        <v>1</v>
      </c>
      <c r="F1268">
        <v>1</v>
      </c>
      <c r="G1268">
        <v>1</v>
      </c>
      <c r="J1268">
        <f t="shared" si="55"/>
        <v>61</v>
      </c>
      <c r="K1268">
        <v>1</v>
      </c>
      <c r="L1268">
        <v>1</v>
      </c>
      <c r="M1268">
        <v>1</v>
      </c>
      <c r="N1268">
        <v>1</v>
      </c>
      <c r="O1268">
        <v>1</v>
      </c>
      <c r="R1268">
        <f t="shared" si="56"/>
        <v>61</v>
      </c>
      <c r="S1268">
        <v>1</v>
      </c>
      <c r="T1268">
        <v>1</v>
      </c>
      <c r="U1268">
        <v>1</v>
      </c>
      <c r="V1268">
        <v>1</v>
      </c>
      <c r="W1268">
        <v>1</v>
      </c>
      <c r="AA1268">
        <v>-5796.3015999999998</v>
      </c>
      <c r="AB1268">
        <v>-5796.3015999999998</v>
      </c>
      <c r="AC1268">
        <v>-5796.3015999999998</v>
      </c>
      <c r="AD1268">
        <v>-5796.3015999999998</v>
      </c>
      <c r="AE1268">
        <v>-5796.3015999999998</v>
      </c>
      <c r="AF1268">
        <v>-1178581.4038</v>
      </c>
    </row>
    <row r="1269" spans="2:32" x14ac:dyDescent="0.25">
      <c r="B1269">
        <f t="shared" si="54"/>
        <v>62</v>
      </c>
      <c r="C1269">
        <v>1</v>
      </c>
      <c r="D1269">
        <v>1</v>
      </c>
      <c r="E1269">
        <v>1</v>
      </c>
      <c r="F1269">
        <v>1</v>
      </c>
      <c r="G1269">
        <v>1</v>
      </c>
      <c r="J1269">
        <f t="shared" si="55"/>
        <v>62</v>
      </c>
      <c r="K1269">
        <v>1</v>
      </c>
      <c r="L1269">
        <v>1</v>
      </c>
      <c r="M1269">
        <v>1</v>
      </c>
      <c r="N1269">
        <v>1</v>
      </c>
      <c r="O1269">
        <v>1</v>
      </c>
      <c r="R1269">
        <f t="shared" si="56"/>
        <v>62</v>
      </c>
      <c r="S1269">
        <v>1</v>
      </c>
      <c r="T1269">
        <v>1</v>
      </c>
      <c r="U1269">
        <v>1</v>
      </c>
      <c r="V1269">
        <v>1</v>
      </c>
      <c r="W1269">
        <v>1</v>
      </c>
      <c r="AA1269">
        <v>-5645.2415000000001</v>
      </c>
      <c r="AB1269">
        <v>-5645.2415000000001</v>
      </c>
      <c r="AC1269">
        <v>-5645.2415000000001</v>
      </c>
      <c r="AD1269">
        <v>-5645.2415000000001</v>
      </c>
      <c r="AE1269">
        <v>-5645.2415000000001</v>
      </c>
      <c r="AF1269">
        <v>-1199521.5327000001</v>
      </c>
    </row>
    <row r="1270" spans="2:32" x14ac:dyDescent="0.25">
      <c r="B1270">
        <f t="shared" si="54"/>
        <v>63</v>
      </c>
      <c r="C1270">
        <v>1</v>
      </c>
      <c r="D1270">
        <v>1</v>
      </c>
      <c r="E1270">
        <v>1</v>
      </c>
      <c r="F1270">
        <v>1</v>
      </c>
      <c r="G1270">
        <v>1</v>
      </c>
      <c r="J1270">
        <f t="shared" si="55"/>
        <v>63</v>
      </c>
      <c r="K1270">
        <v>1</v>
      </c>
      <c r="L1270">
        <v>1</v>
      </c>
      <c r="M1270">
        <v>1</v>
      </c>
      <c r="N1270">
        <v>1</v>
      </c>
      <c r="O1270">
        <v>1</v>
      </c>
      <c r="R1270">
        <f t="shared" si="56"/>
        <v>63</v>
      </c>
      <c r="S1270">
        <v>1</v>
      </c>
      <c r="T1270">
        <v>1</v>
      </c>
      <c r="U1270">
        <v>1</v>
      </c>
      <c r="V1270">
        <v>1</v>
      </c>
      <c r="W1270">
        <v>1</v>
      </c>
      <c r="AA1270">
        <v>-5492.4920000000002</v>
      </c>
      <c r="AB1270">
        <v>-5492.4920000000002</v>
      </c>
      <c r="AC1270">
        <v>-5492.4920000000002</v>
      </c>
      <c r="AD1270">
        <v>-5492.4920000000002</v>
      </c>
      <c r="AE1270">
        <v>-5492.4920000000002</v>
      </c>
      <c r="AF1270">
        <v>-1220461.6269</v>
      </c>
    </row>
    <row r="1271" spans="2:32" x14ac:dyDescent="0.25">
      <c r="B1271">
        <f t="shared" si="54"/>
        <v>64</v>
      </c>
      <c r="C1271">
        <v>1</v>
      </c>
      <c r="D1271">
        <v>1</v>
      </c>
      <c r="E1271">
        <v>1</v>
      </c>
      <c r="F1271">
        <v>1</v>
      </c>
      <c r="G1271">
        <v>1</v>
      </c>
      <c r="J1271">
        <f t="shared" si="55"/>
        <v>64</v>
      </c>
      <c r="K1271">
        <v>1</v>
      </c>
      <c r="L1271">
        <v>1</v>
      </c>
      <c r="M1271">
        <v>1</v>
      </c>
      <c r="N1271">
        <v>1</v>
      </c>
      <c r="O1271">
        <v>1</v>
      </c>
      <c r="R1271">
        <f t="shared" si="56"/>
        <v>64</v>
      </c>
      <c r="S1271">
        <v>1</v>
      </c>
      <c r="T1271">
        <v>1</v>
      </c>
      <c r="U1271">
        <v>1</v>
      </c>
      <c r="V1271">
        <v>1</v>
      </c>
      <c r="W1271">
        <v>1</v>
      </c>
      <c r="AA1271">
        <v>-5338.1817000000001</v>
      </c>
      <c r="AB1271">
        <v>-5338.1817000000001</v>
      </c>
      <c r="AC1271">
        <v>-5338.1817000000001</v>
      </c>
      <c r="AD1271">
        <v>-5338.1817000000001</v>
      </c>
      <c r="AE1271">
        <v>-5338.1817000000001</v>
      </c>
      <c r="AF1271">
        <v>-1240652.2526</v>
      </c>
    </row>
    <row r="1272" spans="2:32" x14ac:dyDescent="0.25">
      <c r="B1272">
        <f t="shared" si="54"/>
        <v>65</v>
      </c>
      <c r="C1272">
        <v>1</v>
      </c>
      <c r="D1272">
        <v>1</v>
      </c>
      <c r="E1272">
        <v>1</v>
      </c>
      <c r="F1272">
        <v>1</v>
      </c>
      <c r="G1272">
        <v>1</v>
      </c>
      <c r="J1272">
        <f t="shared" si="55"/>
        <v>65</v>
      </c>
      <c r="K1272">
        <v>1</v>
      </c>
      <c r="L1272">
        <v>1</v>
      </c>
      <c r="M1272">
        <v>1</v>
      </c>
      <c r="N1272">
        <v>1</v>
      </c>
      <c r="O1272">
        <v>1</v>
      </c>
      <c r="R1272">
        <f t="shared" si="56"/>
        <v>65</v>
      </c>
      <c r="S1272">
        <v>1</v>
      </c>
      <c r="T1272">
        <v>1</v>
      </c>
      <c r="U1272">
        <v>1</v>
      </c>
      <c r="V1272">
        <v>1</v>
      </c>
      <c r="W1272">
        <v>1</v>
      </c>
      <c r="AA1272">
        <v>-5182.2268999999997</v>
      </c>
      <c r="AB1272">
        <v>-5182.2268999999997</v>
      </c>
      <c r="AC1272">
        <v>-5182.2268999999997</v>
      </c>
      <c r="AD1272">
        <v>-5182.2268999999997</v>
      </c>
      <c r="AE1272">
        <v>-5182.2268999999997</v>
      </c>
      <c r="AF1272">
        <v>-1260049.8302</v>
      </c>
    </row>
    <row r="1275" spans="2:32" x14ac:dyDescent="0.25">
      <c r="B1275" t="s">
        <v>46</v>
      </c>
      <c r="C1275">
        <v>50000</v>
      </c>
      <c r="D1275">
        <v>100000</v>
      </c>
      <c r="E1275">
        <v>250000</v>
      </c>
      <c r="F1275">
        <v>500000</v>
      </c>
      <c r="G1275">
        <v>1000000</v>
      </c>
      <c r="H1275">
        <v>2000000</v>
      </c>
      <c r="J1275" t="s">
        <v>47</v>
      </c>
      <c r="K1275">
        <v>50000</v>
      </c>
      <c r="L1275">
        <v>100000</v>
      </c>
      <c r="M1275">
        <v>250000</v>
      </c>
      <c r="N1275">
        <v>500000</v>
      </c>
      <c r="O1275">
        <v>1000000</v>
      </c>
      <c r="P1275">
        <v>2000000</v>
      </c>
      <c r="R1275" t="s">
        <v>48</v>
      </c>
      <c r="S1275">
        <v>50000</v>
      </c>
      <c r="T1275">
        <v>100000</v>
      </c>
      <c r="U1275">
        <v>250000</v>
      </c>
      <c r="V1275">
        <v>500000</v>
      </c>
      <c r="W1275">
        <v>1000000</v>
      </c>
      <c r="X1275">
        <v>2000000</v>
      </c>
    </row>
    <row r="1276" spans="2:32" x14ac:dyDescent="0.25">
      <c r="B1276">
        <v>26</v>
      </c>
      <c r="C1276">
        <v>1</v>
      </c>
      <c r="D1276">
        <v>1</v>
      </c>
      <c r="E1276">
        <v>1</v>
      </c>
      <c r="F1276">
        <v>1</v>
      </c>
      <c r="G1276">
        <v>1</v>
      </c>
      <c r="H1276">
        <v>1</v>
      </c>
      <c r="J1276">
        <v>26</v>
      </c>
      <c r="K1276">
        <v>1</v>
      </c>
      <c r="L1276">
        <v>1</v>
      </c>
      <c r="M1276">
        <v>1</v>
      </c>
      <c r="N1276">
        <v>1</v>
      </c>
      <c r="O1276">
        <v>1</v>
      </c>
      <c r="P1276">
        <v>1</v>
      </c>
      <c r="R1276">
        <v>26</v>
      </c>
      <c r="S1276">
        <v>1</v>
      </c>
      <c r="T1276">
        <v>1</v>
      </c>
      <c r="U1276">
        <v>1</v>
      </c>
      <c r="V1276">
        <v>1</v>
      </c>
      <c r="W1276">
        <v>1</v>
      </c>
      <c r="X1276">
        <v>1</v>
      </c>
      <c r="AA1276">
        <v>-5174.8482999999997</v>
      </c>
      <c r="AB1276">
        <v>-5174.8482999999997</v>
      </c>
      <c r="AC1276">
        <v>-5174.8482999999997</v>
      </c>
      <c r="AD1276">
        <v>-5174.8482999999997</v>
      </c>
      <c r="AE1276">
        <v>-5174.8482999999997</v>
      </c>
      <c r="AF1276">
        <v>-5174.8482999999997</v>
      </c>
    </row>
    <row r="1277" spans="2:32" x14ac:dyDescent="0.25">
      <c r="B1277">
        <v>27</v>
      </c>
      <c r="C1277">
        <v>1</v>
      </c>
      <c r="D1277">
        <v>1</v>
      </c>
      <c r="E1277">
        <v>1</v>
      </c>
      <c r="F1277">
        <v>1</v>
      </c>
      <c r="G1277">
        <v>1</v>
      </c>
      <c r="H1277">
        <v>1</v>
      </c>
      <c r="J1277">
        <v>27</v>
      </c>
      <c r="K1277">
        <v>1</v>
      </c>
      <c r="L1277">
        <v>1</v>
      </c>
      <c r="M1277">
        <v>1</v>
      </c>
      <c r="N1277">
        <v>1</v>
      </c>
      <c r="O1277">
        <v>1</v>
      </c>
      <c r="P1277">
        <v>1</v>
      </c>
      <c r="R1277">
        <v>27</v>
      </c>
      <c r="S1277">
        <v>1</v>
      </c>
      <c r="T1277">
        <v>1</v>
      </c>
      <c r="U1277">
        <v>1</v>
      </c>
      <c r="V1277">
        <v>1</v>
      </c>
      <c r="W1277">
        <v>1</v>
      </c>
      <c r="X1277">
        <v>1</v>
      </c>
      <c r="AA1277">
        <v>-5173.6036999999997</v>
      </c>
      <c r="AB1277">
        <v>-5173.6036999999997</v>
      </c>
      <c r="AC1277">
        <v>-5173.6036999999997</v>
      </c>
      <c r="AD1277">
        <v>-5173.6036999999997</v>
      </c>
      <c r="AE1277">
        <v>-5173.6036999999997</v>
      </c>
      <c r="AF1277">
        <v>-5173.6036999999997</v>
      </c>
    </row>
    <row r="1278" spans="2:32" x14ac:dyDescent="0.25">
      <c r="B1278">
        <v>28</v>
      </c>
      <c r="C1278">
        <v>1</v>
      </c>
      <c r="D1278">
        <v>1</v>
      </c>
      <c r="E1278">
        <v>1</v>
      </c>
      <c r="F1278">
        <v>1</v>
      </c>
      <c r="G1278">
        <v>1</v>
      </c>
      <c r="H1278">
        <v>1</v>
      </c>
      <c r="J1278">
        <v>28</v>
      </c>
      <c r="K1278">
        <v>1</v>
      </c>
      <c r="L1278">
        <v>1</v>
      </c>
      <c r="M1278">
        <v>1</v>
      </c>
      <c r="N1278">
        <v>1</v>
      </c>
      <c r="O1278">
        <v>1</v>
      </c>
      <c r="P1278">
        <v>1</v>
      </c>
      <c r="R1278">
        <v>28</v>
      </c>
      <c r="S1278">
        <v>1</v>
      </c>
      <c r="T1278">
        <v>1</v>
      </c>
      <c r="U1278">
        <v>1</v>
      </c>
      <c r="V1278">
        <v>1</v>
      </c>
      <c r="W1278">
        <v>1</v>
      </c>
      <c r="X1278">
        <v>1</v>
      </c>
      <c r="AA1278">
        <v>-5172.1755999999996</v>
      </c>
      <c r="AB1278">
        <v>-5172.1755999999996</v>
      </c>
      <c r="AC1278">
        <v>-5172.1755999999996</v>
      </c>
      <c r="AD1278">
        <v>-5172.1755999999996</v>
      </c>
      <c r="AE1278">
        <v>-5172.1755999999996</v>
      </c>
      <c r="AF1278">
        <v>-5172.1755999999996</v>
      </c>
    </row>
    <row r="1279" spans="2:32" x14ac:dyDescent="0.25">
      <c r="B1279">
        <v>29</v>
      </c>
      <c r="C1279">
        <v>1</v>
      </c>
      <c r="D1279">
        <v>1</v>
      </c>
      <c r="E1279">
        <v>1</v>
      </c>
      <c r="F1279">
        <v>1</v>
      </c>
      <c r="G1279">
        <v>1</v>
      </c>
      <c r="H1279">
        <v>1</v>
      </c>
      <c r="J1279">
        <v>29</v>
      </c>
      <c r="K1279">
        <v>1</v>
      </c>
      <c r="L1279">
        <v>1</v>
      </c>
      <c r="M1279">
        <v>1</v>
      </c>
      <c r="N1279">
        <v>1</v>
      </c>
      <c r="O1279">
        <v>1</v>
      </c>
      <c r="P1279">
        <v>1</v>
      </c>
      <c r="R1279">
        <v>29</v>
      </c>
      <c r="S1279">
        <v>1</v>
      </c>
      <c r="T1279">
        <v>1</v>
      </c>
      <c r="U1279">
        <v>1</v>
      </c>
      <c r="V1279">
        <v>1</v>
      </c>
      <c r="W1279">
        <v>1</v>
      </c>
      <c r="X1279">
        <v>1</v>
      </c>
      <c r="AA1279">
        <v>-5170.5482000000002</v>
      </c>
      <c r="AB1279">
        <v>-5170.5482000000002</v>
      </c>
      <c r="AC1279">
        <v>-5170.5482000000002</v>
      </c>
      <c r="AD1279">
        <v>-5170.5482000000002</v>
      </c>
      <c r="AE1279">
        <v>-5170.5482000000002</v>
      </c>
      <c r="AF1279">
        <v>-5170.5482000000002</v>
      </c>
    </row>
    <row r="1280" spans="2:32" x14ac:dyDescent="0.25">
      <c r="B1280">
        <v>30</v>
      </c>
      <c r="C1280">
        <v>1</v>
      </c>
      <c r="D1280">
        <v>1</v>
      </c>
      <c r="E1280">
        <v>1</v>
      </c>
      <c r="F1280">
        <v>1</v>
      </c>
      <c r="G1280">
        <v>1</v>
      </c>
      <c r="H1280">
        <v>1</v>
      </c>
      <c r="J1280">
        <v>30</v>
      </c>
      <c r="K1280">
        <v>1</v>
      </c>
      <c r="L1280">
        <v>1</v>
      </c>
      <c r="M1280">
        <v>1</v>
      </c>
      <c r="N1280">
        <v>1</v>
      </c>
      <c r="O1280">
        <v>1</v>
      </c>
      <c r="P1280">
        <v>1</v>
      </c>
      <c r="R1280">
        <v>30</v>
      </c>
      <c r="S1280">
        <v>1</v>
      </c>
      <c r="T1280">
        <v>1</v>
      </c>
      <c r="U1280">
        <v>1</v>
      </c>
      <c r="V1280">
        <v>1</v>
      </c>
      <c r="W1280">
        <v>1</v>
      </c>
      <c r="X1280">
        <v>1</v>
      </c>
      <c r="AA1280">
        <v>-5168.6908999999996</v>
      </c>
      <c r="AB1280">
        <v>-5168.6908999999996</v>
      </c>
      <c r="AC1280">
        <v>-5168.6908999999996</v>
      </c>
      <c r="AD1280">
        <v>-5168.6908999999996</v>
      </c>
      <c r="AE1280">
        <v>-5168.6908999999996</v>
      </c>
      <c r="AF1280">
        <v>-5168.6908999999996</v>
      </c>
    </row>
    <row r="1281" spans="2:32" x14ac:dyDescent="0.25">
      <c r="B1281">
        <v>31</v>
      </c>
      <c r="C1281">
        <v>1</v>
      </c>
      <c r="D1281">
        <v>1</v>
      </c>
      <c r="E1281">
        <v>1</v>
      </c>
      <c r="F1281">
        <v>1</v>
      </c>
      <c r="G1281">
        <v>1</v>
      </c>
      <c r="H1281">
        <v>1</v>
      </c>
      <c r="J1281">
        <v>31</v>
      </c>
      <c r="K1281">
        <v>1</v>
      </c>
      <c r="L1281">
        <v>1</v>
      </c>
      <c r="M1281">
        <v>1</v>
      </c>
      <c r="N1281">
        <v>1</v>
      </c>
      <c r="O1281">
        <v>1</v>
      </c>
      <c r="P1281">
        <v>1</v>
      </c>
      <c r="R1281">
        <v>31</v>
      </c>
      <c r="S1281">
        <v>1</v>
      </c>
      <c r="T1281">
        <v>1</v>
      </c>
      <c r="U1281">
        <v>1</v>
      </c>
      <c r="V1281">
        <v>1</v>
      </c>
      <c r="W1281">
        <v>1</v>
      </c>
      <c r="X1281">
        <v>1</v>
      </c>
      <c r="AA1281">
        <v>-5166.5891000000001</v>
      </c>
      <c r="AB1281">
        <v>-5166.5891000000001</v>
      </c>
      <c r="AC1281">
        <v>-5166.5891000000001</v>
      </c>
      <c r="AD1281">
        <v>-5166.5891000000001</v>
      </c>
      <c r="AE1281">
        <v>-5166.5891000000001</v>
      </c>
      <c r="AF1281">
        <v>-5166.5891000000001</v>
      </c>
    </row>
    <row r="1282" spans="2:32" x14ac:dyDescent="0.25">
      <c r="B1282">
        <v>32</v>
      </c>
      <c r="C1282">
        <v>1</v>
      </c>
      <c r="D1282">
        <v>1</v>
      </c>
      <c r="E1282">
        <v>1</v>
      </c>
      <c r="F1282">
        <v>1</v>
      </c>
      <c r="G1282">
        <v>1</v>
      </c>
      <c r="H1282">
        <v>1</v>
      </c>
      <c r="J1282">
        <v>32</v>
      </c>
      <c r="K1282">
        <v>1</v>
      </c>
      <c r="L1282">
        <v>1</v>
      </c>
      <c r="M1282">
        <v>1</v>
      </c>
      <c r="N1282">
        <v>1</v>
      </c>
      <c r="O1282">
        <v>1</v>
      </c>
      <c r="P1282">
        <v>1</v>
      </c>
      <c r="R1282">
        <v>32</v>
      </c>
      <c r="S1282">
        <v>1</v>
      </c>
      <c r="T1282">
        <v>1</v>
      </c>
      <c r="U1282">
        <v>1</v>
      </c>
      <c r="V1282">
        <v>1</v>
      </c>
      <c r="W1282">
        <v>1</v>
      </c>
      <c r="X1282">
        <v>1</v>
      </c>
      <c r="AA1282">
        <v>-5164.2407000000003</v>
      </c>
      <c r="AB1282">
        <v>-5164.2407000000003</v>
      </c>
      <c r="AC1282">
        <v>-5164.2407000000003</v>
      </c>
      <c r="AD1282">
        <v>-5164.2407000000003</v>
      </c>
      <c r="AE1282">
        <v>-5164.2407000000003</v>
      </c>
      <c r="AF1282">
        <v>-5164.2407000000003</v>
      </c>
    </row>
    <row r="1283" spans="2:32" x14ac:dyDescent="0.25">
      <c r="B1283">
        <v>33</v>
      </c>
      <c r="C1283">
        <v>1</v>
      </c>
      <c r="D1283">
        <v>1</v>
      </c>
      <c r="E1283">
        <v>1</v>
      </c>
      <c r="F1283">
        <v>1</v>
      </c>
      <c r="G1283">
        <v>1</v>
      </c>
      <c r="H1283">
        <v>1</v>
      </c>
      <c r="J1283">
        <v>33</v>
      </c>
      <c r="K1283">
        <v>1</v>
      </c>
      <c r="L1283">
        <v>1</v>
      </c>
      <c r="M1283">
        <v>1</v>
      </c>
      <c r="N1283">
        <v>1</v>
      </c>
      <c r="O1283">
        <v>1</v>
      </c>
      <c r="P1283">
        <v>1</v>
      </c>
      <c r="R1283">
        <v>33</v>
      </c>
      <c r="S1283">
        <v>1</v>
      </c>
      <c r="T1283">
        <v>1</v>
      </c>
      <c r="U1283">
        <v>1</v>
      </c>
      <c r="V1283">
        <v>1</v>
      </c>
      <c r="W1283">
        <v>1</v>
      </c>
      <c r="X1283">
        <v>1</v>
      </c>
      <c r="AA1283">
        <v>-5161.6318000000001</v>
      </c>
      <c r="AB1283">
        <v>-5161.6318000000001</v>
      </c>
      <c r="AC1283">
        <v>-5161.6318000000001</v>
      </c>
      <c r="AD1283">
        <v>-5161.6318000000001</v>
      </c>
      <c r="AE1283">
        <v>-5161.6318000000001</v>
      </c>
      <c r="AF1283">
        <v>-5161.6318000000001</v>
      </c>
    </row>
    <row r="1284" spans="2:32" x14ac:dyDescent="0.25">
      <c r="B1284">
        <v>34</v>
      </c>
      <c r="C1284">
        <v>1</v>
      </c>
      <c r="D1284">
        <v>1</v>
      </c>
      <c r="E1284">
        <v>1</v>
      </c>
      <c r="F1284">
        <v>1</v>
      </c>
      <c r="G1284">
        <v>1</v>
      </c>
      <c r="H1284">
        <v>1</v>
      </c>
      <c r="J1284">
        <v>34</v>
      </c>
      <c r="K1284">
        <v>1</v>
      </c>
      <c r="L1284">
        <v>1</v>
      </c>
      <c r="M1284">
        <v>1</v>
      </c>
      <c r="N1284">
        <v>1</v>
      </c>
      <c r="O1284">
        <v>1</v>
      </c>
      <c r="P1284">
        <v>1</v>
      </c>
      <c r="R1284">
        <v>34</v>
      </c>
      <c r="S1284">
        <v>1</v>
      </c>
      <c r="T1284">
        <v>1</v>
      </c>
      <c r="U1284">
        <v>1</v>
      </c>
      <c r="V1284">
        <v>1</v>
      </c>
      <c r="W1284">
        <v>1</v>
      </c>
      <c r="X1284">
        <v>1</v>
      </c>
      <c r="AA1284">
        <v>-5158.7194</v>
      </c>
      <c r="AB1284">
        <v>-5158.7194</v>
      </c>
      <c r="AC1284">
        <v>-5158.7194</v>
      </c>
      <c r="AD1284">
        <v>-5158.7194</v>
      </c>
      <c r="AE1284">
        <v>-5158.7194</v>
      </c>
      <c r="AF1284">
        <v>-5158.7194</v>
      </c>
    </row>
    <row r="1285" spans="2:32" x14ac:dyDescent="0.25">
      <c r="B1285">
        <v>35</v>
      </c>
      <c r="C1285">
        <v>1</v>
      </c>
      <c r="D1285">
        <v>1</v>
      </c>
      <c r="E1285">
        <v>1</v>
      </c>
      <c r="F1285">
        <v>1</v>
      </c>
      <c r="G1285">
        <v>1</v>
      </c>
      <c r="H1285">
        <v>1</v>
      </c>
      <c r="J1285">
        <v>35</v>
      </c>
      <c r="K1285">
        <v>1</v>
      </c>
      <c r="L1285">
        <v>1</v>
      </c>
      <c r="M1285">
        <v>1</v>
      </c>
      <c r="N1285">
        <v>1</v>
      </c>
      <c r="O1285">
        <v>1</v>
      </c>
      <c r="P1285">
        <v>1</v>
      </c>
      <c r="R1285">
        <v>35</v>
      </c>
      <c r="S1285">
        <v>1</v>
      </c>
      <c r="T1285">
        <v>1</v>
      </c>
      <c r="U1285">
        <v>1</v>
      </c>
      <c r="V1285">
        <v>1</v>
      </c>
      <c r="W1285">
        <v>1</v>
      </c>
      <c r="X1285">
        <v>1</v>
      </c>
      <c r="AA1285">
        <v>-5155.4901</v>
      </c>
      <c r="AB1285">
        <v>-5155.4901</v>
      </c>
      <c r="AC1285">
        <v>-5155.4901</v>
      </c>
      <c r="AD1285">
        <v>-5155.4901</v>
      </c>
      <c r="AE1285">
        <v>-5155.4901</v>
      </c>
      <c r="AF1285">
        <v>-5155.4901</v>
      </c>
    </row>
    <row r="1286" spans="2:32" x14ac:dyDescent="0.25">
      <c r="B1286">
        <v>36</v>
      </c>
      <c r="C1286">
        <v>1</v>
      </c>
      <c r="D1286">
        <v>1</v>
      </c>
      <c r="E1286">
        <v>1</v>
      </c>
      <c r="F1286">
        <v>1</v>
      </c>
      <c r="G1286">
        <v>1</v>
      </c>
      <c r="H1286">
        <v>1</v>
      </c>
      <c r="J1286">
        <v>36</v>
      </c>
      <c r="K1286">
        <v>1</v>
      </c>
      <c r="L1286">
        <v>1</v>
      </c>
      <c r="M1286">
        <v>1</v>
      </c>
      <c r="N1286">
        <v>1</v>
      </c>
      <c r="O1286">
        <v>1</v>
      </c>
      <c r="P1286">
        <v>1</v>
      </c>
      <c r="R1286">
        <v>36</v>
      </c>
      <c r="S1286">
        <v>1</v>
      </c>
      <c r="T1286">
        <v>1</v>
      </c>
      <c r="U1286">
        <v>1</v>
      </c>
      <c r="V1286">
        <v>1</v>
      </c>
      <c r="W1286">
        <v>1</v>
      </c>
      <c r="X1286">
        <v>1</v>
      </c>
      <c r="AA1286">
        <v>-5151.8950999999997</v>
      </c>
      <c r="AB1286">
        <v>-5151.8950999999997</v>
      </c>
      <c r="AC1286">
        <v>-5151.8950999999997</v>
      </c>
      <c r="AD1286">
        <v>-5151.8950999999997</v>
      </c>
      <c r="AE1286">
        <v>-5151.8950999999997</v>
      </c>
      <c r="AF1286">
        <v>-5151.8950999999997</v>
      </c>
    </row>
    <row r="1287" spans="2:32" x14ac:dyDescent="0.25">
      <c r="B1287">
        <v>37</v>
      </c>
      <c r="C1287">
        <v>1</v>
      </c>
      <c r="D1287">
        <v>1</v>
      </c>
      <c r="E1287">
        <v>1</v>
      </c>
      <c r="F1287">
        <v>1</v>
      </c>
      <c r="G1287">
        <v>1</v>
      </c>
      <c r="H1287">
        <v>1</v>
      </c>
      <c r="J1287">
        <v>37</v>
      </c>
      <c r="K1287">
        <v>1</v>
      </c>
      <c r="L1287">
        <v>1</v>
      </c>
      <c r="M1287">
        <v>1</v>
      </c>
      <c r="N1287">
        <v>1</v>
      </c>
      <c r="O1287">
        <v>1</v>
      </c>
      <c r="P1287">
        <v>1</v>
      </c>
      <c r="R1287">
        <v>37</v>
      </c>
      <c r="S1287">
        <v>1</v>
      </c>
      <c r="T1287">
        <v>1</v>
      </c>
      <c r="U1287">
        <v>1</v>
      </c>
      <c r="V1287">
        <v>1</v>
      </c>
      <c r="W1287">
        <v>1</v>
      </c>
      <c r="X1287">
        <v>1</v>
      </c>
      <c r="AA1287">
        <v>-5147.9106000000002</v>
      </c>
      <c r="AB1287">
        <v>-5147.9106000000002</v>
      </c>
      <c r="AC1287">
        <v>-5147.9106000000002</v>
      </c>
      <c r="AD1287">
        <v>-5147.9106000000002</v>
      </c>
      <c r="AE1287">
        <v>-5147.9106000000002</v>
      </c>
      <c r="AF1287">
        <v>-5147.9106000000002</v>
      </c>
    </row>
    <row r="1288" spans="2:32" x14ac:dyDescent="0.25">
      <c r="B1288">
        <v>38</v>
      </c>
      <c r="C1288">
        <v>1</v>
      </c>
      <c r="D1288">
        <v>1</v>
      </c>
      <c r="E1288">
        <v>1</v>
      </c>
      <c r="F1288">
        <v>1</v>
      </c>
      <c r="G1288">
        <v>1</v>
      </c>
      <c r="H1288">
        <v>1</v>
      </c>
      <c r="J1288">
        <v>38</v>
      </c>
      <c r="K1288">
        <v>1</v>
      </c>
      <c r="L1288">
        <v>1</v>
      </c>
      <c r="M1288">
        <v>1</v>
      </c>
      <c r="N1288">
        <v>1</v>
      </c>
      <c r="O1288">
        <v>1</v>
      </c>
      <c r="P1288">
        <v>1</v>
      </c>
      <c r="R1288">
        <v>38</v>
      </c>
      <c r="S1288">
        <v>1</v>
      </c>
      <c r="T1288">
        <v>1</v>
      </c>
      <c r="U1288">
        <v>1</v>
      </c>
      <c r="V1288">
        <v>1</v>
      </c>
      <c r="W1288">
        <v>1</v>
      </c>
      <c r="X1288">
        <v>1</v>
      </c>
      <c r="AA1288">
        <v>-5143.5393999999997</v>
      </c>
      <c r="AB1288">
        <v>-5143.5393999999997</v>
      </c>
      <c r="AC1288">
        <v>-5143.5393999999997</v>
      </c>
      <c r="AD1288">
        <v>-5143.5393999999997</v>
      </c>
      <c r="AE1288">
        <v>-5143.5393999999997</v>
      </c>
      <c r="AF1288">
        <v>-5143.5393999999997</v>
      </c>
    </row>
    <row r="1289" spans="2:32" x14ac:dyDescent="0.25">
      <c r="B1289">
        <v>39</v>
      </c>
      <c r="C1289">
        <v>1</v>
      </c>
      <c r="D1289">
        <v>1</v>
      </c>
      <c r="E1289">
        <v>1</v>
      </c>
      <c r="F1289">
        <v>1</v>
      </c>
      <c r="G1289">
        <v>1</v>
      </c>
      <c r="H1289">
        <v>1</v>
      </c>
      <c r="J1289">
        <v>39</v>
      </c>
      <c r="K1289">
        <v>1</v>
      </c>
      <c r="L1289">
        <v>1</v>
      </c>
      <c r="M1289">
        <v>1</v>
      </c>
      <c r="N1289">
        <v>1</v>
      </c>
      <c r="O1289">
        <v>1</v>
      </c>
      <c r="P1289">
        <v>1</v>
      </c>
      <c r="R1289">
        <v>39</v>
      </c>
      <c r="S1289">
        <v>1</v>
      </c>
      <c r="T1289">
        <v>1</v>
      </c>
      <c r="U1289">
        <v>1</v>
      </c>
      <c r="V1289">
        <v>1</v>
      </c>
      <c r="W1289">
        <v>1</v>
      </c>
      <c r="X1289">
        <v>1</v>
      </c>
      <c r="AA1289">
        <v>-5138.76</v>
      </c>
      <c r="AB1289">
        <v>-5138.76</v>
      </c>
      <c r="AC1289">
        <v>-5138.76</v>
      </c>
      <c r="AD1289">
        <v>-5138.76</v>
      </c>
      <c r="AE1289">
        <v>-5138.76</v>
      </c>
      <c r="AF1289">
        <v>-5138.76</v>
      </c>
    </row>
    <row r="1290" spans="2:32" x14ac:dyDescent="0.25">
      <c r="B1290">
        <v>40</v>
      </c>
      <c r="C1290">
        <v>1</v>
      </c>
      <c r="D1290">
        <v>1</v>
      </c>
      <c r="E1290">
        <v>1</v>
      </c>
      <c r="F1290">
        <v>1</v>
      </c>
      <c r="G1290">
        <v>1</v>
      </c>
      <c r="H1290">
        <v>1</v>
      </c>
      <c r="J1290">
        <v>40</v>
      </c>
      <c r="K1290">
        <v>1</v>
      </c>
      <c r="L1290">
        <v>1</v>
      </c>
      <c r="M1290">
        <v>1</v>
      </c>
      <c r="N1290">
        <v>1</v>
      </c>
      <c r="O1290">
        <v>1</v>
      </c>
      <c r="P1290">
        <v>1</v>
      </c>
      <c r="R1290">
        <v>40</v>
      </c>
      <c r="S1290">
        <v>1</v>
      </c>
      <c r="T1290">
        <v>1</v>
      </c>
      <c r="U1290">
        <v>1</v>
      </c>
      <c r="V1290">
        <v>1</v>
      </c>
      <c r="W1290">
        <v>1</v>
      </c>
      <c r="X1290">
        <v>1</v>
      </c>
      <c r="AA1290">
        <v>-5133.5084999999999</v>
      </c>
      <c r="AB1290">
        <v>-5133.5084999999999</v>
      </c>
      <c r="AC1290">
        <v>-5133.5084999999999</v>
      </c>
      <c r="AD1290">
        <v>-5133.5084999999999</v>
      </c>
      <c r="AE1290">
        <v>-5133.5084999999999</v>
      </c>
      <c r="AF1290">
        <v>-5133.5084999999999</v>
      </c>
    </row>
    <row r="1291" spans="2:32" x14ac:dyDescent="0.25">
      <c r="B1291">
        <v>41</v>
      </c>
      <c r="C1291">
        <v>1</v>
      </c>
      <c r="D1291">
        <v>1</v>
      </c>
      <c r="E1291">
        <v>1</v>
      </c>
      <c r="F1291">
        <v>1</v>
      </c>
      <c r="G1291">
        <v>1</v>
      </c>
      <c r="H1291">
        <v>1</v>
      </c>
      <c r="J1291">
        <v>41</v>
      </c>
      <c r="K1291">
        <v>1</v>
      </c>
      <c r="L1291">
        <v>1</v>
      </c>
      <c r="M1291">
        <v>1</v>
      </c>
      <c r="N1291">
        <v>1</v>
      </c>
      <c r="O1291">
        <v>1</v>
      </c>
      <c r="P1291">
        <v>1</v>
      </c>
      <c r="R1291">
        <v>41</v>
      </c>
      <c r="S1291">
        <v>1</v>
      </c>
      <c r="T1291">
        <v>1</v>
      </c>
      <c r="U1291">
        <v>1</v>
      </c>
      <c r="V1291">
        <v>1</v>
      </c>
      <c r="W1291">
        <v>1</v>
      </c>
      <c r="X1291">
        <v>1</v>
      </c>
      <c r="AA1291">
        <v>-5127.7236000000003</v>
      </c>
      <c r="AB1291">
        <v>-5127.7236000000003</v>
      </c>
      <c r="AC1291">
        <v>-5127.7236000000003</v>
      </c>
      <c r="AD1291">
        <v>-5127.7236000000003</v>
      </c>
      <c r="AE1291">
        <v>-5127.7236000000003</v>
      </c>
      <c r="AF1291">
        <v>-5127.7236000000003</v>
      </c>
    </row>
    <row r="1292" spans="2:32" x14ac:dyDescent="0.25">
      <c r="B1292">
        <v>42</v>
      </c>
      <c r="C1292">
        <v>1</v>
      </c>
      <c r="D1292">
        <v>1</v>
      </c>
      <c r="E1292">
        <v>1</v>
      </c>
      <c r="F1292">
        <v>1</v>
      </c>
      <c r="G1292">
        <v>1</v>
      </c>
      <c r="H1292">
        <v>1</v>
      </c>
      <c r="J1292">
        <v>42</v>
      </c>
      <c r="K1292">
        <v>1</v>
      </c>
      <c r="L1292">
        <v>1</v>
      </c>
      <c r="M1292">
        <v>1</v>
      </c>
      <c r="N1292">
        <v>1</v>
      </c>
      <c r="O1292">
        <v>1</v>
      </c>
      <c r="P1292">
        <v>1</v>
      </c>
      <c r="R1292">
        <v>42</v>
      </c>
      <c r="S1292">
        <v>1</v>
      </c>
      <c r="T1292">
        <v>1</v>
      </c>
      <c r="U1292">
        <v>1</v>
      </c>
      <c r="V1292">
        <v>1</v>
      </c>
      <c r="W1292">
        <v>1</v>
      </c>
      <c r="X1292">
        <v>1</v>
      </c>
      <c r="AA1292">
        <v>-5121.3726999999999</v>
      </c>
      <c r="AB1292">
        <v>-5121.3726999999999</v>
      </c>
      <c r="AC1292">
        <v>-5121.3726999999999</v>
      </c>
      <c r="AD1292">
        <v>-5121.3726999999999</v>
      </c>
      <c r="AE1292">
        <v>-5121.3726999999999</v>
      </c>
      <c r="AF1292">
        <v>-5121.3726999999999</v>
      </c>
    </row>
    <row r="1293" spans="2:32" x14ac:dyDescent="0.25">
      <c r="B1293">
        <v>43</v>
      </c>
      <c r="C1293">
        <v>1</v>
      </c>
      <c r="D1293">
        <v>1</v>
      </c>
      <c r="E1293">
        <v>1</v>
      </c>
      <c r="F1293">
        <v>1</v>
      </c>
      <c r="G1293">
        <v>1</v>
      </c>
      <c r="H1293">
        <v>1</v>
      </c>
      <c r="J1293">
        <v>43</v>
      </c>
      <c r="K1293">
        <v>1</v>
      </c>
      <c r="L1293">
        <v>1</v>
      </c>
      <c r="M1293">
        <v>1</v>
      </c>
      <c r="N1293">
        <v>1</v>
      </c>
      <c r="O1293">
        <v>1</v>
      </c>
      <c r="P1293">
        <v>1</v>
      </c>
      <c r="R1293">
        <v>43</v>
      </c>
      <c r="S1293">
        <v>1</v>
      </c>
      <c r="T1293">
        <v>1</v>
      </c>
      <c r="U1293">
        <v>1</v>
      </c>
      <c r="V1293">
        <v>1</v>
      </c>
      <c r="W1293">
        <v>1</v>
      </c>
      <c r="X1293">
        <v>1</v>
      </c>
      <c r="AA1293">
        <v>-5114.3449000000001</v>
      </c>
      <c r="AB1293">
        <v>-5114.3449000000001</v>
      </c>
      <c r="AC1293">
        <v>-5114.3449000000001</v>
      </c>
      <c r="AD1293">
        <v>-5114.3449000000001</v>
      </c>
      <c r="AE1293">
        <v>-5114.3449000000001</v>
      </c>
      <c r="AF1293">
        <v>-5114.3449000000001</v>
      </c>
    </row>
    <row r="1294" spans="2:32" x14ac:dyDescent="0.25">
      <c r="B1294">
        <v>44</v>
      </c>
      <c r="C1294">
        <v>1</v>
      </c>
      <c r="D1294">
        <v>1</v>
      </c>
      <c r="E1294">
        <v>1</v>
      </c>
      <c r="F1294">
        <v>1</v>
      </c>
      <c r="G1294">
        <v>1</v>
      </c>
      <c r="H1294">
        <v>1</v>
      </c>
      <c r="J1294">
        <v>44</v>
      </c>
      <c r="K1294">
        <v>1</v>
      </c>
      <c r="L1294">
        <v>1</v>
      </c>
      <c r="M1294">
        <v>1</v>
      </c>
      <c r="N1294">
        <v>1</v>
      </c>
      <c r="O1294">
        <v>1</v>
      </c>
      <c r="P1294">
        <v>1</v>
      </c>
      <c r="R1294">
        <v>44</v>
      </c>
      <c r="S1294">
        <v>1</v>
      </c>
      <c r="T1294">
        <v>1</v>
      </c>
      <c r="U1294">
        <v>1</v>
      </c>
      <c r="V1294">
        <v>1</v>
      </c>
      <c r="W1294">
        <v>1</v>
      </c>
      <c r="X1294">
        <v>1</v>
      </c>
      <c r="AA1294">
        <v>-5106.5976000000001</v>
      </c>
      <c r="AB1294">
        <v>-5106.5976000000001</v>
      </c>
      <c r="AC1294">
        <v>-5106.5976000000001</v>
      </c>
      <c r="AD1294">
        <v>-5106.5976000000001</v>
      </c>
      <c r="AE1294">
        <v>-5106.5976000000001</v>
      </c>
      <c r="AF1294">
        <v>-5106.5976000000001</v>
      </c>
    </row>
    <row r="1295" spans="2:32" x14ac:dyDescent="0.25">
      <c r="B1295">
        <v>45</v>
      </c>
      <c r="C1295">
        <v>1</v>
      </c>
      <c r="D1295">
        <v>1</v>
      </c>
      <c r="E1295">
        <v>1</v>
      </c>
      <c r="F1295">
        <v>1</v>
      </c>
      <c r="G1295">
        <v>1</v>
      </c>
      <c r="H1295">
        <v>1</v>
      </c>
      <c r="J1295">
        <v>45</v>
      </c>
      <c r="K1295">
        <v>1</v>
      </c>
      <c r="L1295">
        <v>1</v>
      </c>
      <c r="M1295">
        <v>1</v>
      </c>
      <c r="N1295">
        <v>1</v>
      </c>
      <c r="O1295">
        <v>1</v>
      </c>
      <c r="P1295">
        <v>1</v>
      </c>
      <c r="R1295">
        <v>45</v>
      </c>
      <c r="S1295">
        <v>1</v>
      </c>
      <c r="T1295">
        <v>1</v>
      </c>
      <c r="U1295">
        <v>1</v>
      </c>
      <c r="V1295">
        <v>1</v>
      </c>
      <c r="W1295">
        <v>1</v>
      </c>
      <c r="X1295">
        <v>1</v>
      </c>
      <c r="AA1295">
        <v>-5098.0524999999998</v>
      </c>
      <c r="AB1295">
        <v>-5098.0524999999998</v>
      </c>
      <c r="AC1295">
        <v>-5098.0524999999998</v>
      </c>
      <c r="AD1295">
        <v>-5098.0524999999998</v>
      </c>
      <c r="AE1295">
        <v>-5098.0524999999998</v>
      </c>
      <c r="AF1295">
        <v>-5098.0524999999998</v>
      </c>
    </row>
    <row r="1296" spans="2:32" x14ac:dyDescent="0.25">
      <c r="B1296">
        <v>46</v>
      </c>
      <c r="C1296">
        <v>1</v>
      </c>
      <c r="D1296">
        <v>1</v>
      </c>
      <c r="E1296">
        <v>1</v>
      </c>
      <c r="F1296">
        <v>1</v>
      </c>
      <c r="G1296">
        <v>1</v>
      </c>
      <c r="H1296">
        <v>1</v>
      </c>
      <c r="J1296">
        <v>46</v>
      </c>
      <c r="K1296">
        <v>1</v>
      </c>
      <c r="L1296">
        <v>1</v>
      </c>
      <c r="M1296">
        <v>1</v>
      </c>
      <c r="N1296">
        <v>1</v>
      </c>
      <c r="O1296">
        <v>1</v>
      </c>
      <c r="P1296">
        <v>1</v>
      </c>
      <c r="R1296">
        <v>46</v>
      </c>
      <c r="S1296">
        <v>1</v>
      </c>
      <c r="T1296">
        <v>1</v>
      </c>
      <c r="U1296">
        <v>1</v>
      </c>
      <c r="V1296">
        <v>1</v>
      </c>
      <c r="W1296">
        <v>1</v>
      </c>
      <c r="X1296">
        <v>1</v>
      </c>
      <c r="AA1296">
        <v>-5088.6378000000004</v>
      </c>
      <c r="AB1296">
        <v>-5088.6378000000004</v>
      </c>
      <c r="AC1296">
        <v>-5088.6378000000004</v>
      </c>
      <c r="AD1296">
        <v>-5088.6378000000004</v>
      </c>
      <c r="AE1296">
        <v>-5088.6378000000004</v>
      </c>
      <c r="AF1296">
        <v>-5088.6378000000004</v>
      </c>
    </row>
    <row r="1297" spans="2:32" x14ac:dyDescent="0.25">
      <c r="B1297">
        <v>47</v>
      </c>
      <c r="C1297">
        <v>1</v>
      </c>
      <c r="D1297">
        <v>1</v>
      </c>
      <c r="E1297">
        <v>1</v>
      </c>
      <c r="F1297">
        <v>1</v>
      </c>
      <c r="G1297">
        <v>1</v>
      </c>
      <c r="H1297">
        <v>1</v>
      </c>
      <c r="J1297">
        <v>47</v>
      </c>
      <c r="K1297">
        <v>1</v>
      </c>
      <c r="L1297">
        <v>1</v>
      </c>
      <c r="M1297">
        <v>1</v>
      </c>
      <c r="N1297">
        <v>1</v>
      </c>
      <c r="O1297">
        <v>1</v>
      </c>
      <c r="P1297">
        <v>1</v>
      </c>
      <c r="R1297">
        <v>47</v>
      </c>
      <c r="S1297">
        <v>1</v>
      </c>
      <c r="T1297">
        <v>1</v>
      </c>
      <c r="U1297">
        <v>1</v>
      </c>
      <c r="V1297">
        <v>1</v>
      </c>
      <c r="W1297">
        <v>1</v>
      </c>
      <c r="X1297">
        <v>1</v>
      </c>
      <c r="AA1297">
        <v>-5078.2593999999999</v>
      </c>
      <c r="AB1297">
        <v>-5078.2593999999999</v>
      </c>
      <c r="AC1297">
        <v>-5078.2593999999999</v>
      </c>
      <c r="AD1297">
        <v>-5078.2593999999999</v>
      </c>
      <c r="AE1297">
        <v>-5078.2593999999999</v>
      </c>
      <c r="AF1297">
        <v>-5078.2593999999999</v>
      </c>
    </row>
    <row r="1298" spans="2:32" x14ac:dyDescent="0.25">
      <c r="B1298">
        <v>48</v>
      </c>
      <c r="C1298">
        <v>1</v>
      </c>
      <c r="D1298">
        <v>1</v>
      </c>
      <c r="E1298">
        <v>1</v>
      </c>
      <c r="F1298">
        <v>1</v>
      </c>
      <c r="G1298">
        <v>1</v>
      </c>
      <c r="H1298">
        <v>1</v>
      </c>
      <c r="J1298">
        <v>48</v>
      </c>
      <c r="K1298">
        <v>1</v>
      </c>
      <c r="L1298">
        <v>1</v>
      </c>
      <c r="M1298">
        <v>1</v>
      </c>
      <c r="N1298">
        <v>1</v>
      </c>
      <c r="O1298">
        <v>1</v>
      </c>
      <c r="P1298">
        <v>1</v>
      </c>
      <c r="R1298">
        <v>48</v>
      </c>
      <c r="S1298">
        <v>1</v>
      </c>
      <c r="T1298">
        <v>1</v>
      </c>
      <c r="U1298">
        <v>1</v>
      </c>
      <c r="V1298">
        <v>1</v>
      </c>
      <c r="W1298">
        <v>1</v>
      </c>
      <c r="X1298">
        <v>1</v>
      </c>
      <c r="AA1298">
        <v>-5066.8732</v>
      </c>
      <c r="AB1298">
        <v>-5066.8732</v>
      </c>
      <c r="AC1298">
        <v>-5066.8732</v>
      </c>
      <c r="AD1298">
        <v>-5066.8732</v>
      </c>
      <c r="AE1298">
        <v>-5066.8732</v>
      </c>
      <c r="AF1298">
        <v>-5066.8732</v>
      </c>
    </row>
    <row r="1299" spans="2:32" x14ac:dyDescent="0.25">
      <c r="B1299">
        <v>49</v>
      </c>
      <c r="C1299">
        <v>1</v>
      </c>
      <c r="D1299">
        <v>1</v>
      </c>
      <c r="E1299">
        <v>1</v>
      </c>
      <c r="F1299">
        <v>1</v>
      </c>
      <c r="G1299">
        <v>1</v>
      </c>
      <c r="H1299">
        <v>1</v>
      </c>
      <c r="J1299">
        <v>49</v>
      </c>
      <c r="K1299">
        <v>1</v>
      </c>
      <c r="L1299">
        <v>1</v>
      </c>
      <c r="M1299">
        <v>1</v>
      </c>
      <c r="N1299">
        <v>1</v>
      </c>
      <c r="O1299">
        <v>1</v>
      </c>
      <c r="P1299">
        <v>1</v>
      </c>
      <c r="R1299">
        <v>49</v>
      </c>
      <c r="S1299">
        <v>1</v>
      </c>
      <c r="T1299">
        <v>1</v>
      </c>
      <c r="U1299">
        <v>1</v>
      </c>
      <c r="V1299">
        <v>1</v>
      </c>
      <c r="W1299">
        <v>1</v>
      </c>
      <c r="X1299">
        <v>1</v>
      </c>
      <c r="AA1299">
        <v>-5054.4124000000002</v>
      </c>
      <c r="AB1299">
        <v>-5054.4124000000002</v>
      </c>
      <c r="AC1299">
        <v>-5054.4124000000002</v>
      </c>
      <c r="AD1299">
        <v>-5054.4124000000002</v>
      </c>
      <c r="AE1299">
        <v>-5054.4124000000002</v>
      </c>
      <c r="AF1299">
        <v>-5054.4124000000002</v>
      </c>
    </row>
    <row r="1300" spans="2:32" x14ac:dyDescent="0.25">
      <c r="B1300">
        <v>50</v>
      </c>
      <c r="C1300">
        <v>1</v>
      </c>
      <c r="D1300">
        <v>1</v>
      </c>
      <c r="E1300">
        <v>1</v>
      </c>
      <c r="F1300">
        <v>1</v>
      </c>
      <c r="G1300">
        <v>1</v>
      </c>
      <c r="H1300">
        <v>1</v>
      </c>
      <c r="J1300">
        <v>50</v>
      </c>
      <c r="K1300">
        <v>1</v>
      </c>
      <c r="L1300">
        <v>1</v>
      </c>
      <c r="M1300">
        <v>1</v>
      </c>
      <c r="N1300">
        <v>1</v>
      </c>
      <c r="O1300">
        <v>1</v>
      </c>
      <c r="P1300">
        <v>1</v>
      </c>
      <c r="R1300">
        <v>50</v>
      </c>
      <c r="S1300">
        <v>1</v>
      </c>
      <c r="T1300">
        <v>1</v>
      </c>
      <c r="U1300">
        <v>1</v>
      </c>
      <c r="V1300">
        <v>1</v>
      </c>
      <c r="W1300">
        <v>1</v>
      </c>
      <c r="X1300">
        <v>1</v>
      </c>
      <c r="AA1300">
        <v>-5040.7671</v>
      </c>
      <c r="AB1300">
        <v>-5040.7671</v>
      </c>
      <c r="AC1300">
        <v>-5040.7671</v>
      </c>
      <c r="AD1300">
        <v>-5040.7671</v>
      </c>
      <c r="AE1300">
        <v>-5040.7671</v>
      </c>
      <c r="AF1300">
        <v>-5040.7671</v>
      </c>
    </row>
    <row r="1301" spans="2:32" x14ac:dyDescent="0.25">
      <c r="B1301">
        <v>51</v>
      </c>
      <c r="C1301">
        <v>1</v>
      </c>
      <c r="D1301">
        <v>1</v>
      </c>
      <c r="E1301">
        <v>1</v>
      </c>
      <c r="F1301">
        <v>1</v>
      </c>
      <c r="G1301">
        <v>1</v>
      </c>
      <c r="H1301">
        <v>1</v>
      </c>
      <c r="J1301">
        <v>51</v>
      </c>
      <c r="K1301">
        <v>1</v>
      </c>
      <c r="L1301">
        <v>1</v>
      </c>
      <c r="M1301">
        <v>1</v>
      </c>
      <c r="N1301">
        <v>1</v>
      </c>
      <c r="O1301">
        <v>1</v>
      </c>
      <c r="P1301">
        <v>1</v>
      </c>
      <c r="R1301">
        <v>51</v>
      </c>
      <c r="S1301">
        <v>1</v>
      </c>
      <c r="T1301">
        <v>1</v>
      </c>
      <c r="U1301">
        <v>1</v>
      </c>
      <c r="V1301">
        <v>1</v>
      </c>
      <c r="W1301">
        <v>1</v>
      </c>
      <c r="X1301">
        <v>1</v>
      </c>
      <c r="AA1301">
        <v>-5025.8329000000003</v>
      </c>
      <c r="AB1301">
        <v>-5025.8329000000003</v>
      </c>
      <c r="AC1301">
        <v>-5025.8329000000003</v>
      </c>
      <c r="AD1301">
        <v>-5025.8329000000003</v>
      </c>
      <c r="AE1301">
        <v>-5025.8329000000003</v>
      </c>
      <c r="AF1301">
        <v>-5025.8329000000003</v>
      </c>
    </row>
    <row r="1302" spans="2:32" x14ac:dyDescent="0.25">
      <c r="B1302">
        <v>52</v>
      </c>
      <c r="C1302">
        <v>1</v>
      </c>
      <c r="D1302">
        <v>1</v>
      </c>
      <c r="E1302">
        <v>1</v>
      </c>
      <c r="F1302">
        <v>1</v>
      </c>
      <c r="G1302">
        <v>1</v>
      </c>
      <c r="H1302">
        <v>1</v>
      </c>
      <c r="J1302">
        <v>52</v>
      </c>
      <c r="K1302">
        <v>1</v>
      </c>
      <c r="L1302">
        <v>1</v>
      </c>
      <c r="M1302">
        <v>1</v>
      </c>
      <c r="N1302">
        <v>1</v>
      </c>
      <c r="O1302">
        <v>1</v>
      </c>
      <c r="P1302">
        <v>1</v>
      </c>
      <c r="R1302">
        <v>52</v>
      </c>
      <c r="S1302">
        <v>1</v>
      </c>
      <c r="T1302">
        <v>1</v>
      </c>
      <c r="U1302">
        <v>1</v>
      </c>
      <c r="V1302">
        <v>1</v>
      </c>
      <c r="W1302">
        <v>1</v>
      </c>
      <c r="X1302">
        <v>1</v>
      </c>
      <c r="AA1302">
        <v>-5009.4771000000001</v>
      </c>
      <c r="AB1302">
        <v>-5009.4771000000001</v>
      </c>
      <c r="AC1302">
        <v>-5009.4771000000001</v>
      </c>
      <c r="AD1302">
        <v>-5009.4771000000001</v>
      </c>
      <c r="AE1302">
        <v>-5009.4771000000001</v>
      </c>
      <c r="AF1302">
        <v>-5009.4771000000001</v>
      </c>
    </row>
    <row r="1303" spans="2:32" x14ac:dyDescent="0.25">
      <c r="B1303">
        <v>53</v>
      </c>
      <c r="C1303">
        <v>1</v>
      </c>
      <c r="D1303">
        <v>1</v>
      </c>
      <c r="E1303">
        <v>1</v>
      </c>
      <c r="F1303">
        <v>1</v>
      </c>
      <c r="G1303">
        <v>1</v>
      </c>
      <c r="H1303">
        <v>1</v>
      </c>
      <c r="J1303">
        <v>53</v>
      </c>
      <c r="K1303">
        <v>1</v>
      </c>
      <c r="L1303">
        <v>1</v>
      </c>
      <c r="M1303">
        <v>1</v>
      </c>
      <c r="N1303">
        <v>1</v>
      </c>
      <c r="O1303">
        <v>1</v>
      </c>
      <c r="P1303">
        <v>1</v>
      </c>
      <c r="R1303">
        <v>53</v>
      </c>
      <c r="S1303">
        <v>1</v>
      </c>
      <c r="T1303">
        <v>1</v>
      </c>
      <c r="U1303">
        <v>1</v>
      </c>
      <c r="V1303">
        <v>1</v>
      </c>
      <c r="W1303">
        <v>1</v>
      </c>
      <c r="X1303">
        <v>1</v>
      </c>
      <c r="AA1303">
        <v>-4991.6184000000003</v>
      </c>
      <c r="AB1303">
        <v>-4991.6184000000003</v>
      </c>
      <c r="AC1303">
        <v>-4991.6184000000003</v>
      </c>
      <c r="AD1303">
        <v>-4991.6184000000003</v>
      </c>
      <c r="AE1303">
        <v>-4991.6184000000003</v>
      </c>
      <c r="AF1303">
        <v>-4991.6184000000003</v>
      </c>
    </row>
    <row r="1304" spans="2:32" x14ac:dyDescent="0.25">
      <c r="B1304">
        <v>54</v>
      </c>
      <c r="C1304">
        <v>1</v>
      </c>
      <c r="D1304">
        <v>1</v>
      </c>
      <c r="E1304">
        <v>1</v>
      </c>
      <c r="F1304">
        <v>1</v>
      </c>
      <c r="G1304">
        <v>1</v>
      </c>
      <c r="H1304">
        <v>1</v>
      </c>
      <c r="J1304">
        <v>54</v>
      </c>
      <c r="K1304">
        <v>1</v>
      </c>
      <c r="L1304">
        <v>1</v>
      </c>
      <c r="M1304">
        <v>1</v>
      </c>
      <c r="N1304">
        <v>1</v>
      </c>
      <c r="O1304">
        <v>1</v>
      </c>
      <c r="P1304">
        <v>1</v>
      </c>
      <c r="R1304">
        <v>54</v>
      </c>
      <c r="S1304">
        <v>1</v>
      </c>
      <c r="T1304">
        <v>1</v>
      </c>
      <c r="U1304">
        <v>1</v>
      </c>
      <c r="V1304">
        <v>1</v>
      </c>
      <c r="W1304">
        <v>1</v>
      </c>
      <c r="X1304">
        <v>1</v>
      </c>
      <c r="AA1304">
        <v>-4972.1588000000002</v>
      </c>
      <c r="AB1304">
        <v>-4972.1588000000002</v>
      </c>
      <c r="AC1304">
        <v>-4972.1588000000002</v>
      </c>
      <c r="AD1304">
        <v>-4972.1588000000002</v>
      </c>
      <c r="AE1304">
        <v>-4972.1588000000002</v>
      </c>
      <c r="AF1304">
        <v>-4972.1588000000002</v>
      </c>
    </row>
    <row r="1305" spans="2:32" x14ac:dyDescent="0.25">
      <c r="B1305">
        <v>55</v>
      </c>
      <c r="C1305">
        <v>1</v>
      </c>
      <c r="D1305">
        <v>1</v>
      </c>
      <c r="E1305">
        <v>1</v>
      </c>
      <c r="F1305">
        <v>1</v>
      </c>
      <c r="G1305">
        <v>1</v>
      </c>
      <c r="H1305">
        <v>1</v>
      </c>
      <c r="J1305">
        <v>55</v>
      </c>
      <c r="K1305">
        <v>1</v>
      </c>
      <c r="L1305">
        <v>1</v>
      </c>
      <c r="M1305">
        <v>1</v>
      </c>
      <c r="N1305">
        <v>1</v>
      </c>
      <c r="O1305">
        <v>1</v>
      </c>
      <c r="P1305">
        <v>1</v>
      </c>
      <c r="R1305">
        <v>55</v>
      </c>
      <c r="S1305">
        <v>1</v>
      </c>
      <c r="T1305">
        <v>1</v>
      </c>
      <c r="U1305">
        <v>1</v>
      </c>
      <c r="V1305">
        <v>1</v>
      </c>
      <c r="W1305">
        <v>1</v>
      </c>
      <c r="X1305">
        <v>1</v>
      </c>
      <c r="AA1305">
        <v>-4950.9426000000003</v>
      </c>
      <c r="AB1305">
        <v>-4950.9426000000003</v>
      </c>
      <c r="AC1305">
        <v>-4950.9426000000003</v>
      </c>
      <c r="AD1305">
        <v>-4950.9426000000003</v>
      </c>
      <c r="AE1305">
        <v>-4950.9426000000003</v>
      </c>
      <c r="AF1305">
        <v>-4950.9426000000003</v>
      </c>
    </row>
    <row r="1308" spans="2:32" x14ac:dyDescent="0.25">
      <c r="B1308" t="s">
        <v>46</v>
      </c>
      <c r="C1308">
        <v>100000</v>
      </c>
      <c r="D1308">
        <v>250000</v>
      </c>
      <c r="E1308">
        <v>500000</v>
      </c>
      <c r="F1308">
        <v>1000000</v>
      </c>
      <c r="G1308">
        <v>2000000</v>
      </c>
      <c r="J1308" t="s">
        <v>32</v>
      </c>
      <c r="K1308">
        <v>100000</v>
      </c>
      <c r="L1308">
        <v>250000</v>
      </c>
      <c r="M1308">
        <v>500000</v>
      </c>
      <c r="N1308">
        <v>1000000</v>
      </c>
      <c r="O1308">
        <v>2000000</v>
      </c>
      <c r="R1308" t="s">
        <v>48</v>
      </c>
      <c r="S1308">
        <v>100000</v>
      </c>
      <c r="T1308">
        <v>250000</v>
      </c>
      <c r="U1308">
        <v>500000</v>
      </c>
      <c r="V1308">
        <v>1000000</v>
      </c>
      <c r="W1308">
        <v>2000000</v>
      </c>
    </row>
    <row r="1309" spans="2:32" x14ac:dyDescent="0.25">
      <c r="B1309">
        <v>35</v>
      </c>
      <c r="C1309">
        <v>1</v>
      </c>
      <c r="D1309">
        <v>1</v>
      </c>
      <c r="E1309">
        <v>1</v>
      </c>
      <c r="F1309">
        <v>1</v>
      </c>
      <c r="G1309">
        <v>1</v>
      </c>
      <c r="J1309">
        <v>35</v>
      </c>
      <c r="K1309">
        <v>1</v>
      </c>
      <c r="L1309">
        <v>1</v>
      </c>
      <c r="M1309">
        <v>1</v>
      </c>
      <c r="N1309">
        <v>1</v>
      </c>
      <c r="O1309">
        <v>1</v>
      </c>
      <c r="R1309">
        <v>35</v>
      </c>
      <c r="S1309">
        <v>1</v>
      </c>
      <c r="T1309">
        <v>1</v>
      </c>
      <c r="U1309">
        <v>1</v>
      </c>
      <c r="V1309">
        <v>1</v>
      </c>
      <c r="W1309">
        <v>1</v>
      </c>
      <c r="AA1309">
        <v>-8996.1419000000005</v>
      </c>
      <c r="AB1309">
        <v>-8996.1419000000005</v>
      </c>
      <c r="AC1309">
        <v>-8996.1419000000005</v>
      </c>
      <c r="AD1309">
        <v>-8996.1419000000005</v>
      </c>
      <c r="AE1309">
        <v>-8996.1419000000005</v>
      </c>
      <c r="AF1309">
        <v>-759112.79520000005</v>
      </c>
    </row>
    <row r="1310" spans="2:32" x14ac:dyDescent="0.25">
      <c r="B1310">
        <f t="shared" ref="B1310:B1339" si="57">B1309+1</f>
        <v>36</v>
      </c>
      <c r="C1310">
        <v>1</v>
      </c>
      <c r="D1310">
        <v>1</v>
      </c>
      <c r="E1310">
        <v>1</v>
      </c>
      <c r="F1310">
        <v>1</v>
      </c>
      <c r="G1310">
        <v>1</v>
      </c>
      <c r="J1310">
        <f t="shared" ref="J1310:J1339" si="58">J1309+1</f>
        <v>36</v>
      </c>
      <c r="K1310">
        <v>1</v>
      </c>
      <c r="L1310">
        <v>1</v>
      </c>
      <c r="M1310">
        <v>1</v>
      </c>
      <c r="N1310">
        <v>1</v>
      </c>
      <c r="O1310">
        <v>1</v>
      </c>
      <c r="R1310">
        <f t="shared" ref="R1310:R1339" si="59">R1309+1</f>
        <v>36</v>
      </c>
      <c r="S1310">
        <v>1</v>
      </c>
      <c r="T1310">
        <v>1</v>
      </c>
      <c r="U1310">
        <v>1</v>
      </c>
      <c r="V1310">
        <v>1</v>
      </c>
      <c r="W1310">
        <v>1</v>
      </c>
      <c r="AA1310">
        <v>-8902.6679999999997</v>
      </c>
      <c r="AB1310">
        <v>-8902.6679999999997</v>
      </c>
      <c r="AC1310">
        <v>-8902.6679999999997</v>
      </c>
      <c r="AD1310">
        <v>-8902.6679999999997</v>
      </c>
      <c r="AE1310">
        <v>-8902.6679999999997</v>
      </c>
      <c r="AF1310">
        <v>-737070.86179999996</v>
      </c>
    </row>
    <row r="1311" spans="2:32" x14ac:dyDescent="0.25">
      <c r="B1311">
        <f t="shared" si="57"/>
        <v>37</v>
      </c>
      <c r="C1311">
        <v>1</v>
      </c>
      <c r="D1311">
        <v>1</v>
      </c>
      <c r="E1311">
        <v>1</v>
      </c>
      <c r="F1311">
        <v>1</v>
      </c>
      <c r="G1311">
        <v>1</v>
      </c>
      <c r="J1311">
        <f t="shared" si="58"/>
        <v>37</v>
      </c>
      <c r="K1311">
        <v>1</v>
      </c>
      <c r="L1311">
        <v>1</v>
      </c>
      <c r="M1311">
        <v>1</v>
      </c>
      <c r="N1311">
        <v>1</v>
      </c>
      <c r="O1311">
        <v>1</v>
      </c>
      <c r="R1311">
        <f t="shared" si="59"/>
        <v>37</v>
      </c>
      <c r="S1311">
        <v>1</v>
      </c>
      <c r="T1311">
        <v>1</v>
      </c>
      <c r="U1311">
        <v>1</v>
      </c>
      <c r="V1311">
        <v>1</v>
      </c>
      <c r="W1311">
        <v>1</v>
      </c>
      <c r="AA1311">
        <v>-8806.7960000000003</v>
      </c>
      <c r="AB1311">
        <v>-8806.7960000000003</v>
      </c>
      <c r="AC1311">
        <v>-8806.7960000000003</v>
      </c>
      <c r="AD1311">
        <v>-8806.7960000000003</v>
      </c>
      <c r="AE1311">
        <v>-8806.7960000000003</v>
      </c>
      <c r="AF1311">
        <v>-765978.91940000001</v>
      </c>
    </row>
    <row r="1312" spans="2:32" x14ac:dyDescent="0.25">
      <c r="B1312">
        <f t="shared" si="57"/>
        <v>38</v>
      </c>
      <c r="C1312">
        <v>1</v>
      </c>
      <c r="D1312">
        <v>1</v>
      </c>
      <c r="E1312">
        <v>1</v>
      </c>
      <c r="F1312">
        <v>1</v>
      </c>
      <c r="G1312">
        <v>1</v>
      </c>
      <c r="J1312">
        <f t="shared" si="58"/>
        <v>38</v>
      </c>
      <c r="K1312">
        <v>1</v>
      </c>
      <c r="L1312">
        <v>1</v>
      </c>
      <c r="M1312">
        <v>1</v>
      </c>
      <c r="N1312">
        <v>1</v>
      </c>
      <c r="O1312">
        <v>1</v>
      </c>
      <c r="R1312">
        <f t="shared" si="59"/>
        <v>38</v>
      </c>
      <c r="S1312">
        <v>1</v>
      </c>
      <c r="T1312">
        <v>1</v>
      </c>
      <c r="U1312">
        <v>1</v>
      </c>
      <c r="V1312">
        <v>1</v>
      </c>
      <c r="W1312">
        <v>1</v>
      </c>
      <c r="AA1312">
        <v>-8708.6234000000004</v>
      </c>
      <c r="AB1312">
        <v>-8708.6234000000004</v>
      </c>
      <c r="AC1312">
        <v>-8708.6234000000004</v>
      </c>
      <c r="AD1312">
        <v>-8708.6234000000004</v>
      </c>
      <c r="AE1312">
        <v>-8708.6234000000004</v>
      </c>
      <c r="AF1312">
        <v>-783780.576</v>
      </c>
    </row>
    <row r="1313" spans="2:32" x14ac:dyDescent="0.25">
      <c r="B1313">
        <f t="shared" si="57"/>
        <v>39</v>
      </c>
      <c r="C1313">
        <v>1</v>
      </c>
      <c r="D1313">
        <v>1</v>
      </c>
      <c r="E1313">
        <v>1</v>
      </c>
      <c r="F1313">
        <v>1</v>
      </c>
      <c r="G1313">
        <v>1</v>
      </c>
      <c r="J1313">
        <f t="shared" si="58"/>
        <v>39</v>
      </c>
      <c r="K1313">
        <v>1</v>
      </c>
      <c r="L1313">
        <v>1</v>
      </c>
      <c r="M1313">
        <v>1</v>
      </c>
      <c r="N1313">
        <v>1</v>
      </c>
      <c r="O1313">
        <v>1</v>
      </c>
      <c r="R1313">
        <f t="shared" si="59"/>
        <v>39</v>
      </c>
      <c r="S1313">
        <v>1</v>
      </c>
      <c r="T1313">
        <v>1</v>
      </c>
      <c r="U1313">
        <v>1</v>
      </c>
      <c r="V1313">
        <v>1</v>
      </c>
      <c r="W1313">
        <v>1</v>
      </c>
      <c r="AA1313">
        <v>-8608.1594000000005</v>
      </c>
      <c r="AB1313">
        <v>-8608.1594000000005</v>
      </c>
      <c r="AC1313">
        <v>-8608.1594000000005</v>
      </c>
      <c r="AD1313">
        <v>-8608.1594000000005</v>
      </c>
      <c r="AE1313">
        <v>-8608.1594000000005</v>
      </c>
      <c r="AF1313">
        <v>-769662.22069999995</v>
      </c>
    </row>
    <row r="1314" spans="2:32" x14ac:dyDescent="0.25">
      <c r="B1314">
        <f t="shared" si="57"/>
        <v>40</v>
      </c>
      <c r="C1314">
        <v>1</v>
      </c>
      <c r="D1314">
        <v>1</v>
      </c>
      <c r="E1314">
        <v>1</v>
      </c>
      <c r="F1314">
        <v>1</v>
      </c>
      <c r="G1314">
        <v>1</v>
      </c>
      <c r="J1314">
        <f t="shared" si="58"/>
        <v>40</v>
      </c>
      <c r="K1314">
        <v>1</v>
      </c>
      <c r="L1314">
        <v>1</v>
      </c>
      <c r="M1314">
        <v>1</v>
      </c>
      <c r="N1314">
        <v>1</v>
      </c>
      <c r="O1314">
        <v>1</v>
      </c>
      <c r="R1314">
        <f t="shared" si="59"/>
        <v>40</v>
      </c>
      <c r="S1314">
        <v>1</v>
      </c>
      <c r="T1314">
        <v>1</v>
      </c>
      <c r="U1314">
        <v>1</v>
      </c>
      <c r="V1314">
        <v>1</v>
      </c>
      <c r="W1314">
        <v>1</v>
      </c>
      <c r="AA1314">
        <v>-8505.3439999999991</v>
      </c>
      <c r="AB1314">
        <v>-8505.3439999999991</v>
      </c>
      <c r="AC1314">
        <v>-8505.3439999999991</v>
      </c>
      <c r="AD1314">
        <v>-8505.3439999999991</v>
      </c>
      <c r="AE1314">
        <v>-8505.3439999999991</v>
      </c>
      <c r="AF1314">
        <v>-798570.41119999997</v>
      </c>
    </row>
    <row r="1315" spans="2:32" x14ac:dyDescent="0.25">
      <c r="B1315">
        <f t="shared" si="57"/>
        <v>41</v>
      </c>
      <c r="C1315">
        <v>1</v>
      </c>
      <c r="D1315">
        <v>1</v>
      </c>
      <c r="E1315">
        <v>1</v>
      </c>
      <c r="F1315">
        <v>1</v>
      </c>
      <c r="G1315">
        <v>1</v>
      </c>
      <c r="J1315">
        <f t="shared" si="58"/>
        <v>41</v>
      </c>
      <c r="K1315">
        <v>1</v>
      </c>
      <c r="L1315">
        <v>1</v>
      </c>
      <c r="M1315">
        <v>1</v>
      </c>
      <c r="N1315">
        <v>1</v>
      </c>
      <c r="O1315">
        <v>1</v>
      </c>
      <c r="R1315">
        <f t="shared" si="59"/>
        <v>41</v>
      </c>
      <c r="S1315">
        <v>1</v>
      </c>
      <c r="T1315">
        <v>1</v>
      </c>
      <c r="U1315">
        <v>1</v>
      </c>
      <c r="V1315">
        <v>1</v>
      </c>
      <c r="W1315">
        <v>1</v>
      </c>
      <c r="AA1315">
        <v>-8400.1087000000007</v>
      </c>
      <c r="AB1315">
        <v>-8400.1087000000007</v>
      </c>
      <c r="AC1315">
        <v>-8400.1087000000007</v>
      </c>
      <c r="AD1315">
        <v>-8400.1087000000007</v>
      </c>
      <c r="AE1315">
        <v>-8400.1087000000007</v>
      </c>
      <c r="AF1315">
        <v>-803549.96459999995</v>
      </c>
    </row>
    <row r="1316" spans="2:32" x14ac:dyDescent="0.25">
      <c r="B1316">
        <f t="shared" si="57"/>
        <v>42</v>
      </c>
      <c r="C1316">
        <v>1</v>
      </c>
      <c r="D1316">
        <v>1</v>
      </c>
      <c r="E1316">
        <v>1</v>
      </c>
      <c r="F1316">
        <v>1</v>
      </c>
      <c r="G1316">
        <v>1</v>
      </c>
      <c r="J1316">
        <f t="shared" si="58"/>
        <v>42</v>
      </c>
      <c r="K1316">
        <v>1</v>
      </c>
      <c r="L1316">
        <v>1</v>
      </c>
      <c r="M1316">
        <v>1</v>
      </c>
      <c r="N1316">
        <v>1</v>
      </c>
      <c r="O1316">
        <v>1</v>
      </c>
      <c r="R1316">
        <f t="shared" si="59"/>
        <v>42</v>
      </c>
      <c r="S1316">
        <v>1</v>
      </c>
      <c r="T1316">
        <v>1</v>
      </c>
      <c r="U1316">
        <v>1</v>
      </c>
      <c r="V1316">
        <v>1</v>
      </c>
      <c r="W1316">
        <v>1</v>
      </c>
      <c r="AA1316">
        <v>-8292.4974999999995</v>
      </c>
      <c r="AB1316">
        <v>-8292.4974999999995</v>
      </c>
      <c r="AC1316">
        <v>-8292.4974999999995</v>
      </c>
      <c r="AD1316">
        <v>-8292.4974999999995</v>
      </c>
      <c r="AE1316">
        <v>-8292.4974999999995</v>
      </c>
      <c r="AF1316">
        <v>-833551.75890000002</v>
      </c>
    </row>
    <row r="1317" spans="2:32" x14ac:dyDescent="0.25">
      <c r="B1317">
        <f t="shared" si="57"/>
        <v>43</v>
      </c>
      <c r="C1317">
        <v>1</v>
      </c>
      <c r="D1317">
        <v>1</v>
      </c>
      <c r="E1317">
        <v>1</v>
      </c>
      <c r="F1317">
        <v>1</v>
      </c>
      <c r="G1317">
        <v>1</v>
      </c>
      <c r="J1317">
        <f t="shared" si="58"/>
        <v>43</v>
      </c>
      <c r="K1317">
        <v>1</v>
      </c>
      <c r="L1317">
        <v>1</v>
      </c>
      <c r="M1317">
        <v>1</v>
      </c>
      <c r="N1317">
        <v>1</v>
      </c>
      <c r="O1317">
        <v>1</v>
      </c>
      <c r="R1317">
        <f t="shared" si="59"/>
        <v>43</v>
      </c>
      <c r="S1317">
        <v>1</v>
      </c>
      <c r="T1317">
        <v>1</v>
      </c>
      <c r="U1317">
        <v>1</v>
      </c>
      <c r="V1317">
        <v>1</v>
      </c>
      <c r="W1317">
        <v>1</v>
      </c>
      <c r="AA1317">
        <v>-8182.3909999999996</v>
      </c>
      <c r="AB1317">
        <v>-8182.3909999999996</v>
      </c>
      <c r="AC1317">
        <v>-8182.3909999999996</v>
      </c>
      <c r="AD1317">
        <v>-8182.3909999999996</v>
      </c>
      <c r="AE1317">
        <v>-8182.3909999999996</v>
      </c>
      <c r="AF1317">
        <v>-844950.93949999998</v>
      </c>
    </row>
    <row r="1318" spans="2:32" x14ac:dyDescent="0.25">
      <c r="B1318">
        <f t="shared" si="57"/>
        <v>44</v>
      </c>
      <c r="C1318">
        <v>1</v>
      </c>
      <c r="D1318">
        <v>1</v>
      </c>
      <c r="E1318">
        <v>1</v>
      </c>
      <c r="F1318">
        <v>1</v>
      </c>
      <c r="G1318">
        <v>1</v>
      </c>
      <c r="J1318">
        <f t="shared" si="58"/>
        <v>44</v>
      </c>
      <c r="K1318">
        <v>1</v>
      </c>
      <c r="L1318">
        <v>1</v>
      </c>
      <c r="M1318">
        <v>1</v>
      </c>
      <c r="N1318">
        <v>1</v>
      </c>
      <c r="O1318">
        <v>1</v>
      </c>
      <c r="R1318">
        <f t="shared" si="59"/>
        <v>44</v>
      </c>
      <c r="S1318">
        <v>1</v>
      </c>
      <c r="T1318">
        <v>1</v>
      </c>
      <c r="U1318">
        <v>1</v>
      </c>
      <c r="V1318">
        <v>1</v>
      </c>
      <c r="W1318">
        <v>1</v>
      </c>
      <c r="AA1318">
        <v>-8069.8261000000002</v>
      </c>
      <c r="AB1318">
        <v>-8069.8261000000002</v>
      </c>
      <c r="AC1318">
        <v>-8069.8261000000002</v>
      </c>
      <c r="AD1318">
        <v>-8069.8261000000002</v>
      </c>
      <c r="AE1318">
        <v>-8069.8261000000002</v>
      </c>
      <c r="AF1318">
        <v>-851265.64670000004</v>
      </c>
    </row>
    <row r="1319" spans="2:32" x14ac:dyDescent="0.25">
      <c r="B1319">
        <f t="shared" si="57"/>
        <v>45</v>
      </c>
      <c r="C1319">
        <v>1</v>
      </c>
      <c r="D1319">
        <v>1</v>
      </c>
      <c r="E1319">
        <v>1</v>
      </c>
      <c r="F1319">
        <v>1</v>
      </c>
      <c r="G1319">
        <v>1</v>
      </c>
      <c r="J1319">
        <f t="shared" si="58"/>
        <v>45</v>
      </c>
      <c r="K1319">
        <v>1</v>
      </c>
      <c r="L1319">
        <v>1</v>
      </c>
      <c r="M1319">
        <v>1</v>
      </c>
      <c r="N1319">
        <v>1</v>
      </c>
      <c r="O1319">
        <v>1</v>
      </c>
      <c r="R1319">
        <f t="shared" si="59"/>
        <v>45</v>
      </c>
      <c r="S1319">
        <v>1</v>
      </c>
      <c r="T1319">
        <v>1</v>
      </c>
      <c r="U1319">
        <v>1</v>
      </c>
      <c r="V1319">
        <v>1</v>
      </c>
      <c r="W1319">
        <v>1</v>
      </c>
      <c r="AA1319">
        <v>-7954.7533999999996</v>
      </c>
      <c r="AB1319">
        <v>-7954.7533999999996</v>
      </c>
      <c r="AC1319">
        <v>-7954.7533999999996</v>
      </c>
      <c r="AD1319">
        <v>-7954.7533999999996</v>
      </c>
      <c r="AE1319">
        <v>-7954.7533999999996</v>
      </c>
      <c r="AF1319">
        <v>-870649.02139999997</v>
      </c>
    </row>
    <row r="1320" spans="2:32" x14ac:dyDescent="0.25">
      <c r="B1320">
        <f t="shared" si="57"/>
        <v>46</v>
      </c>
      <c r="C1320">
        <v>1</v>
      </c>
      <c r="D1320">
        <v>1</v>
      </c>
      <c r="E1320">
        <v>1</v>
      </c>
      <c r="F1320">
        <v>1</v>
      </c>
      <c r="G1320">
        <v>1</v>
      </c>
      <c r="J1320">
        <f t="shared" si="58"/>
        <v>46</v>
      </c>
      <c r="K1320">
        <v>1</v>
      </c>
      <c r="L1320">
        <v>1</v>
      </c>
      <c r="M1320">
        <v>1</v>
      </c>
      <c r="N1320">
        <v>1</v>
      </c>
      <c r="O1320">
        <v>1</v>
      </c>
      <c r="R1320">
        <f t="shared" si="59"/>
        <v>46</v>
      </c>
      <c r="S1320">
        <v>1</v>
      </c>
      <c r="T1320">
        <v>1</v>
      </c>
      <c r="U1320">
        <v>1</v>
      </c>
      <c r="V1320">
        <v>1</v>
      </c>
      <c r="W1320">
        <v>1</v>
      </c>
      <c r="AA1320">
        <v>-7837.1754000000001</v>
      </c>
      <c r="AB1320">
        <v>-7837.1754000000001</v>
      </c>
      <c r="AC1320">
        <v>-7837.1754000000001</v>
      </c>
      <c r="AD1320">
        <v>-7837.1754000000001</v>
      </c>
      <c r="AE1320">
        <v>-7837.1754000000001</v>
      </c>
      <c r="AF1320">
        <v>-892550.54509999999</v>
      </c>
    </row>
    <row r="1321" spans="2:32" x14ac:dyDescent="0.25">
      <c r="B1321">
        <f t="shared" si="57"/>
        <v>47</v>
      </c>
      <c r="C1321">
        <v>1</v>
      </c>
      <c r="D1321">
        <v>1</v>
      </c>
      <c r="E1321">
        <v>1</v>
      </c>
      <c r="F1321">
        <v>1</v>
      </c>
      <c r="G1321">
        <v>1</v>
      </c>
      <c r="J1321">
        <f t="shared" si="58"/>
        <v>47</v>
      </c>
      <c r="K1321">
        <v>1</v>
      </c>
      <c r="L1321">
        <v>1</v>
      </c>
      <c r="M1321">
        <v>1</v>
      </c>
      <c r="N1321">
        <v>1</v>
      </c>
      <c r="O1321">
        <v>1</v>
      </c>
      <c r="R1321">
        <f t="shared" si="59"/>
        <v>47</v>
      </c>
      <c r="S1321">
        <v>1</v>
      </c>
      <c r="T1321">
        <v>1</v>
      </c>
      <c r="U1321">
        <v>1</v>
      </c>
      <c r="V1321">
        <v>1</v>
      </c>
      <c r="W1321">
        <v>1</v>
      </c>
      <c r="AA1321">
        <v>-7717.0294999999996</v>
      </c>
      <c r="AB1321">
        <v>-7717.0294999999996</v>
      </c>
      <c r="AC1321">
        <v>-7717.0294999999996</v>
      </c>
      <c r="AD1321">
        <v>-7717.0294999999996</v>
      </c>
      <c r="AE1321">
        <v>-7717.0294999999996</v>
      </c>
      <c r="AF1321">
        <v>-910915.81969999999</v>
      </c>
    </row>
    <row r="1322" spans="2:32" x14ac:dyDescent="0.25">
      <c r="B1322">
        <f t="shared" si="57"/>
        <v>48</v>
      </c>
      <c r="C1322">
        <v>1</v>
      </c>
      <c r="D1322">
        <v>1</v>
      </c>
      <c r="E1322">
        <v>1</v>
      </c>
      <c r="F1322">
        <v>1</v>
      </c>
      <c r="G1322">
        <v>1</v>
      </c>
      <c r="J1322">
        <f t="shared" si="58"/>
        <v>48</v>
      </c>
      <c r="K1322">
        <v>1</v>
      </c>
      <c r="L1322">
        <v>1</v>
      </c>
      <c r="M1322">
        <v>1</v>
      </c>
      <c r="N1322">
        <v>1</v>
      </c>
      <c r="O1322">
        <v>1</v>
      </c>
      <c r="R1322">
        <f t="shared" si="59"/>
        <v>48</v>
      </c>
      <c r="S1322">
        <v>1</v>
      </c>
      <c r="T1322">
        <v>1</v>
      </c>
      <c r="U1322">
        <v>1</v>
      </c>
      <c r="V1322">
        <v>1</v>
      </c>
      <c r="W1322">
        <v>1</v>
      </c>
      <c r="AA1322">
        <v>-7594.4201000000003</v>
      </c>
      <c r="AB1322">
        <v>-7594.4201000000003</v>
      </c>
      <c r="AC1322">
        <v>-7594.4201000000003</v>
      </c>
      <c r="AD1322">
        <v>-7594.4201000000003</v>
      </c>
      <c r="AE1322">
        <v>-7594.4201000000003</v>
      </c>
      <c r="AF1322">
        <v>-917891.87360000005</v>
      </c>
    </row>
    <row r="1323" spans="2:32" x14ac:dyDescent="0.25">
      <c r="B1323">
        <f t="shared" si="57"/>
        <v>49</v>
      </c>
      <c r="C1323">
        <v>1</v>
      </c>
      <c r="D1323">
        <v>1</v>
      </c>
      <c r="E1323">
        <v>1</v>
      </c>
      <c r="F1323">
        <v>1</v>
      </c>
      <c r="G1323">
        <v>1</v>
      </c>
      <c r="J1323">
        <f t="shared" si="58"/>
        <v>49</v>
      </c>
      <c r="K1323">
        <v>1</v>
      </c>
      <c r="L1323">
        <v>1</v>
      </c>
      <c r="M1323">
        <v>1</v>
      </c>
      <c r="N1323">
        <v>1</v>
      </c>
      <c r="O1323">
        <v>1</v>
      </c>
      <c r="R1323">
        <f t="shared" si="59"/>
        <v>49</v>
      </c>
      <c r="S1323">
        <v>1</v>
      </c>
      <c r="T1323">
        <v>1</v>
      </c>
      <c r="U1323">
        <v>1</v>
      </c>
      <c r="V1323">
        <v>1</v>
      </c>
      <c r="W1323">
        <v>1</v>
      </c>
      <c r="AA1323">
        <v>-7469.3995999999997</v>
      </c>
      <c r="AB1323">
        <v>-7469.3995999999997</v>
      </c>
      <c r="AC1323">
        <v>-7469.3995999999997</v>
      </c>
      <c r="AD1323">
        <v>-7469.3995999999997</v>
      </c>
      <c r="AE1323">
        <v>-7469.3995999999997</v>
      </c>
      <c r="AF1323">
        <v>-944521.72470000002</v>
      </c>
    </row>
    <row r="1324" spans="2:32" x14ac:dyDescent="0.25">
      <c r="B1324">
        <f t="shared" si="57"/>
        <v>50</v>
      </c>
      <c r="C1324">
        <v>1</v>
      </c>
      <c r="D1324">
        <v>1</v>
      </c>
      <c r="E1324">
        <v>1</v>
      </c>
      <c r="F1324">
        <v>1</v>
      </c>
      <c r="G1324">
        <v>1</v>
      </c>
      <c r="J1324">
        <f t="shared" si="58"/>
        <v>50</v>
      </c>
      <c r="K1324">
        <v>1</v>
      </c>
      <c r="L1324">
        <v>1</v>
      </c>
      <c r="M1324">
        <v>1</v>
      </c>
      <c r="N1324">
        <v>1</v>
      </c>
      <c r="O1324">
        <v>1</v>
      </c>
      <c r="R1324">
        <f t="shared" si="59"/>
        <v>50</v>
      </c>
      <c r="S1324">
        <v>1</v>
      </c>
      <c r="T1324">
        <v>1</v>
      </c>
      <c r="U1324">
        <v>1</v>
      </c>
      <c r="V1324">
        <v>1</v>
      </c>
      <c r="W1324">
        <v>1</v>
      </c>
      <c r="AA1324">
        <v>-7341.9502000000002</v>
      </c>
      <c r="AB1324">
        <v>-7341.9502000000002</v>
      </c>
      <c r="AC1324">
        <v>-7341.9502000000002</v>
      </c>
      <c r="AD1324">
        <v>-7341.9502000000002</v>
      </c>
      <c r="AE1324">
        <v>-7341.9502000000002</v>
      </c>
      <c r="AF1324">
        <v>-963257.14989999996</v>
      </c>
    </row>
    <row r="1325" spans="2:32" x14ac:dyDescent="0.25">
      <c r="B1325">
        <f t="shared" si="57"/>
        <v>51</v>
      </c>
      <c r="C1325">
        <v>1</v>
      </c>
      <c r="D1325">
        <v>1</v>
      </c>
      <c r="E1325">
        <v>1</v>
      </c>
      <c r="F1325">
        <v>1</v>
      </c>
      <c r="G1325">
        <v>1</v>
      </c>
      <c r="J1325">
        <f t="shared" si="58"/>
        <v>51</v>
      </c>
      <c r="K1325">
        <v>1</v>
      </c>
      <c r="L1325">
        <v>1</v>
      </c>
      <c r="M1325">
        <v>1</v>
      </c>
      <c r="N1325">
        <v>1</v>
      </c>
      <c r="O1325">
        <v>1</v>
      </c>
      <c r="R1325">
        <f t="shared" si="59"/>
        <v>51</v>
      </c>
      <c r="S1325">
        <v>1</v>
      </c>
      <c r="T1325">
        <v>1</v>
      </c>
      <c r="U1325">
        <v>1</v>
      </c>
      <c r="V1325">
        <v>1</v>
      </c>
      <c r="W1325">
        <v>1</v>
      </c>
      <c r="AA1325">
        <v>-7212.0646999999999</v>
      </c>
      <c r="AB1325">
        <v>-7212.0646999999999</v>
      </c>
      <c r="AC1325">
        <v>-7212.0646999999999</v>
      </c>
      <c r="AD1325">
        <v>-7212.0646999999999</v>
      </c>
      <c r="AE1325">
        <v>-7212.0646999999999</v>
      </c>
      <c r="AF1325">
        <v>-981592.90729999996</v>
      </c>
    </row>
    <row r="1326" spans="2:32" x14ac:dyDescent="0.25">
      <c r="B1326">
        <f t="shared" si="57"/>
        <v>52</v>
      </c>
      <c r="C1326">
        <v>1</v>
      </c>
      <c r="D1326">
        <v>1</v>
      </c>
      <c r="E1326">
        <v>1</v>
      </c>
      <c r="F1326">
        <v>1</v>
      </c>
      <c r="G1326">
        <v>1</v>
      </c>
      <c r="J1326">
        <f t="shared" si="58"/>
        <v>52</v>
      </c>
      <c r="K1326">
        <v>1</v>
      </c>
      <c r="L1326">
        <v>1</v>
      </c>
      <c r="M1326">
        <v>1</v>
      </c>
      <c r="N1326">
        <v>1</v>
      </c>
      <c r="O1326">
        <v>1</v>
      </c>
      <c r="R1326">
        <f t="shared" si="59"/>
        <v>52</v>
      </c>
      <c r="S1326">
        <v>1</v>
      </c>
      <c r="T1326">
        <v>1</v>
      </c>
      <c r="U1326">
        <v>1</v>
      </c>
      <c r="V1326">
        <v>1</v>
      </c>
      <c r="W1326">
        <v>1</v>
      </c>
      <c r="AA1326">
        <v>-7079.7435999999998</v>
      </c>
      <c r="AB1326">
        <v>-7079.7435999999998</v>
      </c>
      <c r="AC1326">
        <v>-7079.7435999999998</v>
      </c>
      <c r="AD1326">
        <v>-7079.7435999999998</v>
      </c>
      <c r="AE1326">
        <v>-7079.7435999999998</v>
      </c>
      <c r="AF1326">
        <v>-998556.10360000003</v>
      </c>
    </row>
    <row r="1327" spans="2:32" x14ac:dyDescent="0.25">
      <c r="B1327">
        <f t="shared" si="57"/>
        <v>53</v>
      </c>
      <c r="C1327">
        <v>1</v>
      </c>
      <c r="D1327">
        <v>1</v>
      </c>
      <c r="E1327">
        <v>1</v>
      </c>
      <c r="F1327">
        <v>1</v>
      </c>
      <c r="G1327">
        <v>1</v>
      </c>
      <c r="J1327">
        <f t="shared" si="58"/>
        <v>53</v>
      </c>
      <c r="K1327">
        <v>1</v>
      </c>
      <c r="L1327">
        <v>1</v>
      </c>
      <c r="M1327">
        <v>1</v>
      </c>
      <c r="N1327">
        <v>1</v>
      </c>
      <c r="O1327">
        <v>1</v>
      </c>
      <c r="R1327">
        <f t="shared" si="59"/>
        <v>53</v>
      </c>
      <c r="S1327">
        <v>1</v>
      </c>
      <c r="T1327">
        <v>1</v>
      </c>
      <c r="U1327">
        <v>1</v>
      </c>
      <c r="V1327">
        <v>1</v>
      </c>
      <c r="W1327">
        <v>1</v>
      </c>
      <c r="AA1327">
        <v>-6945.0875999999998</v>
      </c>
      <c r="AB1327">
        <v>-6945.0875999999998</v>
      </c>
      <c r="AC1327">
        <v>-6945.0875999999998</v>
      </c>
      <c r="AD1327">
        <v>-6945.0875999999998</v>
      </c>
      <c r="AE1327">
        <v>-6945.0875999999998</v>
      </c>
      <c r="AF1327">
        <v>-1015461.3278</v>
      </c>
    </row>
    <row r="1328" spans="2:32" x14ac:dyDescent="0.25">
      <c r="B1328">
        <f t="shared" si="57"/>
        <v>54</v>
      </c>
      <c r="C1328">
        <v>1</v>
      </c>
      <c r="D1328">
        <v>1</v>
      </c>
      <c r="E1328">
        <v>1</v>
      </c>
      <c r="F1328">
        <v>1</v>
      </c>
      <c r="G1328">
        <v>1</v>
      </c>
      <c r="J1328">
        <f t="shared" si="58"/>
        <v>54</v>
      </c>
      <c r="K1328">
        <v>1</v>
      </c>
      <c r="L1328">
        <v>1</v>
      </c>
      <c r="M1328">
        <v>1</v>
      </c>
      <c r="N1328">
        <v>1</v>
      </c>
      <c r="O1328">
        <v>1</v>
      </c>
      <c r="R1328">
        <f t="shared" si="59"/>
        <v>54</v>
      </c>
      <c r="S1328">
        <v>1</v>
      </c>
      <c r="T1328">
        <v>1</v>
      </c>
      <c r="U1328">
        <v>1</v>
      </c>
      <c r="V1328">
        <v>1</v>
      </c>
      <c r="W1328">
        <v>1</v>
      </c>
      <c r="AA1328">
        <v>-6808.2438000000002</v>
      </c>
      <c r="AB1328">
        <v>-6808.2438000000002</v>
      </c>
      <c r="AC1328">
        <v>-6808.2438000000002</v>
      </c>
      <c r="AD1328">
        <v>-6808.2438000000002</v>
      </c>
      <c r="AE1328">
        <v>-6808.2438000000002</v>
      </c>
      <c r="AF1328">
        <v>-1033869.6813000001</v>
      </c>
    </row>
    <row r="1329" spans="2:32" x14ac:dyDescent="0.25">
      <c r="B1329">
        <f t="shared" si="57"/>
        <v>55</v>
      </c>
      <c r="C1329">
        <v>1</v>
      </c>
      <c r="D1329">
        <v>1</v>
      </c>
      <c r="E1329">
        <v>1</v>
      </c>
      <c r="F1329">
        <v>1</v>
      </c>
      <c r="G1329">
        <v>1</v>
      </c>
      <c r="J1329">
        <f t="shared" si="58"/>
        <v>55</v>
      </c>
      <c r="K1329">
        <v>1</v>
      </c>
      <c r="L1329">
        <v>1</v>
      </c>
      <c r="M1329">
        <v>1</v>
      </c>
      <c r="N1329">
        <v>1</v>
      </c>
      <c r="O1329">
        <v>1</v>
      </c>
      <c r="R1329">
        <f t="shared" si="59"/>
        <v>55</v>
      </c>
      <c r="S1329">
        <v>1</v>
      </c>
      <c r="T1329">
        <v>1</v>
      </c>
      <c r="U1329">
        <v>1</v>
      </c>
      <c r="V1329">
        <v>1</v>
      </c>
      <c r="W1329">
        <v>1</v>
      </c>
      <c r="AA1329">
        <v>-6669.2525999999998</v>
      </c>
      <c r="AB1329">
        <v>-6669.2525999999998</v>
      </c>
      <c r="AC1329">
        <v>-6669.2525999999998</v>
      </c>
      <c r="AD1329">
        <v>-6669.2525999999998</v>
      </c>
      <c r="AE1329">
        <v>-6669.2525999999998</v>
      </c>
      <c r="AF1329">
        <v>-1050810.2549999999</v>
      </c>
    </row>
    <row r="1330" spans="2:32" x14ac:dyDescent="0.25">
      <c r="B1330">
        <f t="shared" si="57"/>
        <v>56</v>
      </c>
      <c r="C1330">
        <v>1</v>
      </c>
      <c r="D1330">
        <v>1</v>
      </c>
      <c r="E1330">
        <v>1</v>
      </c>
      <c r="F1330">
        <v>1</v>
      </c>
      <c r="G1330">
        <v>1</v>
      </c>
      <c r="J1330">
        <f t="shared" si="58"/>
        <v>56</v>
      </c>
      <c r="K1330">
        <v>1</v>
      </c>
      <c r="L1330">
        <v>1</v>
      </c>
      <c r="M1330">
        <v>1</v>
      </c>
      <c r="N1330">
        <v>1</v>
      </c>
      <c r="O1330">
        <v>1</v>
      </c>
      <c r="R1330">
        <f t="shared" si="59"/>
        <v>56</v>
      </c>
      <c r="S1330">
        <v>1</v>
      </c>
      <c r="T1330">
        <v>1</v>
      </c>
      <c r="U1330">
        <v>1</v>
      </c>
      <c r="V1330">
        <v>1</v>
      </c>
      <c r="W1330">
        <v>1</v>
      </c>
      <c r="AA1330">
        <v>-6528.2992000000004</v>
      </c>
      <c r="AB1330">
        <v>-6528.2992000000004</v>
      </c>
      <c r="AC1330">
        <v>-6528.2992000000004</v>
      </c>
      <c r="AD1330">
        <v>-6528.2992000000004</v>
      </c>
      <c r="AE1330">
        <v>-6528.2992000000004</v>
      </c>
      <c r="AF1330">
        <v>-1073295.8774000001</v>
      </c>
    </row>
    <row r="1331" spans="2:32" x14ac:dyDescent="0.25">
      <c r="B1331">
        <f t="shared" si="57"/>
        <v>57</v>
      </c>
      <c r="C1331">
        <v>1</v>
      </c>
      <c r="D1331">
        <v>1</v>
      </c>
      <c r="E1331">
        <v>1</v>
      </c>
      <c r="F1331">
        <v>1</v>
      </c>
      <c r="G1331">
        <v>1</v>
      </c>
      <c r="J1331">
        <f t="shared" si="58"/>
        <v>57</v>
      </c>
      <c r="K1331">
        <v>1</v>
      </c>
      <c r="L1331">
        <v>1</v>
      </c>
      <c r="M1331">
        <v>1</v>
      </c>
      <c r="N1331">
        <v>1</v>
      </c>
      <c r="O1331">
        <v>1</v>
      </c>
      <c r="R1331">
        <f t="shared" si="59"/>
        <v>57</v>
      </c>
      <c r="S1331">
        <v>1</v>
      </c>
      <c r="T1331">
        <v>1</v>
      </c>
      <c r="U1331">
        <v>1</v>
      </c>
      <c r="V1331">
        <v>1</v>
      </c>
      <c r="W1331">
        <v>1</v>
      </c>
      <c r="AA1331">
        <v>-6385.5230000000001</v>
      </c>
      <c r="AB1331">
        <v>-6385.5230000000001</v>
      </c>
      <c r="AC1331">
        <v>-6385.5230000000001</v>
      </c>
      <c r="AD1331">
        <v>-6385.5230000000001</v>
      </c>
      <c r="AE1331">
        <v>-6385.5230000000001</v>
      </c>
      <c r="AF1331">
        <v>-1073295.8774000001</v>
      </c>
    </row>
    <row r="1332" spans="2:32" x14ac:dyDescent="0.25">
      <c r="B1332">
        <f t="shared" si="57"/>
        <v>58</v>
      </c>
      <c r="C1332">
        <v>1</v>
      </c>
      <c r="D1332">
        <v>1</v>
      </c>
      <c r="E1332">
        <v>1</v>
      </c>
      <c r="F1332">
        <v>1</v>
      </c>
      <c r="G1332">
        <v>1</v>
      </c>
      <c r="J1332">
        <f t="shared" si="58"/>
        <v>58</v>
      </c>
      <c r="K1332">
        <v>1</v>
      </c>
      <c r="L1332">
        <v>1</v>
      </c>
      <c r="M1332">
        <v>1</v>
      </c>
      <c r="N1332">
        <v>1</v>
      </c>
      <c r="O1332">
        <v>1</v>
      </c>
      <c r="R1332">
        <f t="shared" si="59"/>
        <v>58</v>
      </c>
      <c r="S1332">
        <v>1</v>
      </c>
      <c r="T1332">
        <v>1</v>
      </c>
      <c r="U1332">
        <v>1</v>
      </c>
      <c r="V1332">
        <v>1</v>
      </c>
      <c r="W1332">
        <v>1</v>
      </c>
      <c r="AA1332">
        <v>-6240.8730999999998</v>
      </c>
      <c r="AB1332">
        <v>-6240.8730999999998</v>
      </c>
      <c r="AC1332">
        <v>-6240.8730999999998</v>
      </c>
      <c r="AD1332">
        <v>-6240.8730999999998</v>
      </c>
      <c r="AE1332">
        <v>-6240.8730999999998</v>
      </c>
      <c r="AF1332">
        <v>-1114366.6444000001</v>
      </c>
    </row>
    <row r="1333" spans="2:32" x14ac:dyDescent="0.25">
      <c r="B1333">
        <f t="shared" si="57"/>
        <v>59</v>
      </c>
      <c r="C1333">
        <v>1</v>
      </c>
      <c r="D1333">
        <v>1</v>
      </c>
      <c r="E1333">
        <v>1</v>
      </c>
      <c r="F1333">
        <v>1</v>
      </c>
      <c r="G1333">
        <v>1</v>
      </c>
      <c r="J1333">
        <f t="shared" si="58"/>
        <v>59</v>
      </c>
      <c r="K1333">
        <v>1</v>
      </c>
      <c r="L1333">
        <v>1</v>
      </c>
      <c r="M1333">
        <v>1</v>
      </c>
      <c r="N1333">
        <v>1</v>
      </c>
      <c r="O1333">
        <v>1</v>
      </c>
      <c r="R1333">
        <f t="shared" si="59"/>
        <v>59</v>
      </c>
      <c r="S1333">
        <v>1</v>
      </c>
      <c r="T1333">
        <v>1</v>
      </c>
      <c r="U1333">
        <v>1</v>
      </c>
      <c r="V1333">
        <v>1</v>
      </c>
      <c r="W1333">
        <v>1</v>
      </c>
      <c r="AA1333">
        <v>-6094.3262999999997</v>
      </c>
      <c r="AB1333">
        <v>-6094.3262999999997</v>
      </c>
      <c r="AC1333">
        <v>-6094.3262999999997</v>
      </c>
      <c r="AD1333">
        <v>-6094.3262999999997</v>
      </c>
      <c r="AE1333">
        <v>-6094.3262999999997</v>
      </c>
      <c r="AF1333">
        <v>-1136284.0146999999</v>
      </c>
    </row>
    <row r="1334" spans="2:32" x14ac:dyDescent="0.25">
      <c r="B1334">
        <f t="shared" si="57"/>
        <v>60</v>
      </c>
      <c r="C1334">
        <v>1</v>
      </c>
      <c r="D1334">
        <v>1</v>
      </c>
      <c r="E1334">
        <v>1</v>
      </c>
      <c r="F1334">
        <v>1</v>
      </c>
      <c r="G1334">
        <v>1</v>
      </c>
      <c r="J1334">
        <f t="shared" si="58"/>
        <v>60</v>
      </c>
      <c r="K1334">
        <v>1</v>
      </c>
      <c r="L1334">
        <v>1</v>
      </c>
      <c r="M1334">
        <v>1</v>
      </c>
      <c r="N1334">
        <v>1</v>
      </c>
      <c r="O1334">
        <v>1</v>
      </c>
      <c r="R1334">
        <f t="shared" si="59"/>
        <v>60</v>
      </c>
      <c r="S1334">
        <v>1</v>
      </c>
      <c r="T1334">
        <v>1</v>
      </c>
      <c r="U1334">
        <v>1</v>
      </c>
      <c r="V1334">
        <v>1</v>
      </c>
      <c r="W1334">
        <v>1</v>
      </c>
      <c r="AA1334">
        <v>-5945.9960000000001</v>
      </c>
      <c r="AB1334">
        <v>-5945.9960000000001</v>
      </c>
      <c r="AC1334">
        <v>-5945.9960000000001</v>
      </c>
      <c r="AD1334">
        <v>-5945.9960000000001</v>
      </c>
      <c r="AE1334">
        <v>-5945.9960000000001</v>
      </c>
      <c r="AF1334">
        <v>-1157801.6717999999</v>
      </c>
    </row>
    <row r="1335" spans="2:32" x14ac:dyDescent="0.25">
      <c r="B1335">
        <f t="shared" si="57"/>
        <v>61</v>
      </c>
      <c r="C1335">
        <v>1</v>
      </c>
      <c r="D1335">
        <v>1</v>
      </c>
      <c r="E1335">
        <v>1</v>
      </c>
      <c r="F1335">
        <v>1</v>
      </c>
      <c r="G1335">
        <v>1</v>
      </c>
      <c r="J1335">
        <f t="shared" si="58"/>
        <v>61</v>
      </c>
      <c r="K1335">
        <v>1</v>
      </c>
      <c r="L1335">
        <v>1</v>
      </c>
      <c r="M1335">
        <v>1</v>
      </c>
      <c r="N1335">
        <v>1</v>
      </c>
      <c r="O1335">
        <v>1</v>
      </c>
      <c r="R1335">
        <f t="shared" si="59"/>
        <v>61</v>
      </c>
      <c r="S1335">
        <v>1</v>
      </c>
      <c r="T1335">
        <v>1</v>
      </c>
      <c r="U1335">
        <v>1</v>
      </c>
      <c r="V1335">
        <v>1</v>
      </c>
      <c r="W1335">
        <v>1</v>
      </c>
      <c r="AA1335">
        <v>-5796.3015999999998</v>
      </c>
      <c r="AB1335">
        <v>-5796.3015999999998</v>
      </c>
      <c r="AC1335">
        <v>-5796.3015999999998</v>
      </c>
      <c r="AD1335">
        <v>-5796.3015999999998</v>
      </c>
      <c r="AE1335">
        <v>-5796.3015999999998</v>
      </c>
      <c r="AF1335">
        <v>-1178581.4038</v>
      </c>
    </row>
    <row r="1336" spans="2:32" x14ac:dyDescent="0.25">
      <c r="B1336">
        <f t="shared" si="57"/>
        <v>62</v>
      </c>
      <c r="C1336">
        <v>1</v>
      </c>
      <c r="D1336">
        <v>1</v>
      </c>
      <c r="E1336">
        <v>1</v>
      </c>
      <c r="F1336">
        <v>1</v>
      </c>
      <c r="G1336">
        <v>1</v>
      </c>
      <c r="J1336">
        <f t="shared" si="58"/>
        <v>62</v>
      </c>
      <c r="K1336">
        <v>1</v>
      </c>
      <c r="L1336">
        <v>1</v>
      </c>
      <c r="M1336">
        <v>1</v>
      </c>
      <c r="N1336">
        <v>1</v>
      </c>
      <c r="O1336">
        <v>1</v>
      </c>
      <c r="R1336">
        <f t="shared" si="59"/>
        <v>62</v>
      </c>
      <c r="S1336">
        <v>1</v>
      </c>
      <c r="T1336">
        <v>1</v>
      </c>
      <c r="U1336">
        <v>1</v>
      </c>
      <c r="V1336">
        <v>1</v>
      </c>
      <c r="W1336">
        <v>1</v>
      </c>
      <c r="AA1336">
        <v>-5645.2415000000001</v>
      </c>
      <c r="AB1336">
        <v>-5645.2415000000001</v>
      </c>
      <c r="AC1336">
        <v>-5645.2415000000001</v>
      </c>
      <c r="AD1336">
        <v>-5645.2415000000001</v>
      </c>
      <c r="AE1336">
        <v>-5645.2415000000001</v>
      </c>
      <c r="AF1336">
        <v>-1199521.5327000001</v>
      </c>
    </row>
    <row r="1337" spans="2:32" x14ac:dyDescent="0.25">
      <c r="B1337">
        <f t="shared" si="57"/>
        <v>63</v>
      </c>
      <c r="C1337">
        <v>1</v>
      </c>
      <c r="D1337">
        <v>1</v>
      </c>
      <c r="E1337">
        <v>1</v>
      </c>
      <c r="F1337">
        <v>1</v>
      </c>
      <c r="G1337">
        <v>1</v>
      </c>
      <c r="J1337">
        <f t="shared" si="58"/>
        <v>63</v>
      </c>
      <c r="K1337">
        <v>1</v>
      </c>
      <c r="L1337">
        <v>1</v>
      </c>
      <c r="M1337">
        <v>1</v>
      </c>
      <c r="N1337">
        <v>1</v>
      </c>
      <c r="O1337">
        <v>1</v>
      </c>
      <c r="R1337">
        <f t="shared" si="59"/>
        <v>63</v>
      </c>
      <c r="S1337">
        <v>1</v>
      </c>
      <c r="T1337">
        <v>1</v>
      </c>
      <c r="U1337">
        <v>1</v>
      </c>
      <c r="V1337">
        <v>1</v>
      </c>
      <c r="W1337">
        <v>1</v>
      </c>
      <c r="AA1337">
        <v>-5492.4920000000002</v>
      </c>
      <c r="AB1337">
        <v>-5492.4920000000002</v>
      </c>
      <c r="AC1337">
        <v>-5492.4920000000002</v>
      </c>
      <c r="AD1337">
        <v>-5492.4920000000002</v>
      </c>
      <c r="AE1337">
        <v>-5492.4920000000002</v>
      </c>
      <c r="AF1337">
        <v>-1220461.6269</v>
      </c>
    </row>
    <row r="1338" spans="2:32" x14ac:dyDescent="0.25">
      <c r="B1338">
        <f t="shared" si="57"/>
        <v>64</v>
      </c>
      <c r="C1338">
        <v>1</v>
      </c>
      <c r="D1338">
        <v>1</v>
      </c>
      <c r="E1338">
        <v>1</v>
      </c>
      <c r="F1338">
        <v>1</v>
      </c>
      <c r="G1338">
        <v>1</v>
      </c>
      <c r="J1338">
        <f t="shared" si="58"/>
        <v>64</v>
      </c>
      <c r="K1338">
        <v>1</v>
      </c>
      <c r="L1338">
        <v>1</v>
      </c>
      <c r="M1338">
        <v>1</v>
      </c>
      <c r="N1338">
        <v>1</v>
      </c>
      <c r="O1338">
        <v>1</v>
      </c>
      <c r="R1338">
        <f t="shared" si="59"/>
        <v>64</v>
      </c>
      <c r="S1338">
        <v>1</v>
      </c>
      <c r="T1338">
        <v>1</v>
      </c>
      <c r="U1338">
        <v>1</v>
      </c>
      <c r="V1338">
        <v>1</v>
      </c>
      <c r="W1338">
        <v>1</v>
      </c>
      <c r="AA1338">
        <v>-5338.1817000000001</v>
      </c>
      <c r="AB1338">
        <v>-5338.1817000000001</v>
      </c>
      <c r="AC1338">
        <v>-5338.1817000000001</v>
      </c>
      <c r="AD1338">
        <v>-5338.1817000000001</v>
      </c>
      <c r="AE1338">
        <v>-5338.1817000000001</v>
      </c>
      <c r="AF1338">
        <v>-1240652.2526</v>
      </c>
    </row>
    <row r="1339" spans="2:32" x14ac:dyDescent="0.25">
      <c r="B1339">
        <f t="shared" si="57"/>
        <v>65</v>
      </c>
      <c r="C1339">
        <v>1</v>
      </c>
      <c r="D1339">
        <v>1</v>
      </c>
      <c r="E1339">
        <v>1</v>
      </c>
      <c r="F1339">
        <v>1</v>
      </c>
      <c r="G1339">
        <v>1</v>
      </c>
      <c r="J1339">
        <f t="shared" si="58"/>
        <v>65</v>
      </c>
      <c r="K1339">
        <v>1</v>
      </c>
      <c r="L1339">
        <v>1</v>
      </c>
      <c r="M1339">
        <v>1</v>
      </c>
      <c r="N1339">
        <v>1</v>
      </c>
      <c r="O1339">
        <v>1</v>
      </c>
      <c r="R1339">
        <f t="shared" si="59"/>
        <v>65</v>
      </c>
      <c r="S1339">
        <v>1</v>
      </c>
      <c r="T1339">
        <v>1</v>
      </c>
      <c r="U1339">
        <v>1</v>
      </c>
      <c r="V1339">
        <v>1</v>
      </c>
      <c r="W1339">
        <v>1</v>
      </c>
      <c r="AA1339">
        <v>-5182.2268999999997</v>
      </c>
      <c r="AB1339">
        <v>-5182.2268999999997</v>
      </c>
      <c r="AC1339">
        <v>-5182.2268999999997</v>
      </c>
      <c r="AD1339">
        <v>-5182.2268999999997</v>
      </c>
      <c r="AE1339">
        <v>-5182.2268999999997</v>
      </c>
      <c r="AF1339">
        <v>-1260049.8302</v>
      </c>
    </row>
    <row r="1342" spans="2:32" x14ac:dyDescent="0.25">
      <c r="B1342" t="s">
        <v>46</v>
      </c>
      <c r="C1342">
        <v>50000</v>
      </c>
      <c r="D1342">
        <v>100000</v>
      </c>
      <c r="E1342">
        <v>250000</v>
      </c>
      <c r="F1342">
        <v>500000</v>
      </c>
      <c r="G1342">
        <v>1000000</v>
      </c>
      <c r="H1342">
        <v>2000000</v>
      </c>
      <c r="J1342" t="s">
        <v>47</v>
      </c>
      <c r="K1342">
        <v>50000</v>
      </c>
      <c r="L1342">
        <v>100000</v>
      </c>
      <c r="M1342">
        <v>250000</v>
      </c>
      <c r="N1342">
        <v>500000</v>
      </c>
      <c r="O1342">
        <v>1000000</v>
      </c>
      <c r="P1342">
        <v>2000000</v>
      </c>
      <c r="R1342" t="s">
        <v>48</v>
      </c>
      <c r="S1342">
        <v>50000</v>
      </c>
      <c r="T1342">
        <v>100000</v>
      </c>
      <c r="U1342">
        <v>250000</v>
      </c>
      <c r="V1342">
        <v>500000</v>
      </c>
      <c r="W1342">
        <v>1000000</v>
      </c>
      <c r="X1342">
        <v>2000000</v>
      </c>
    </row>
    <row r="1343" spans="2:32" x14ac:dyDescent="0.25">
      <c r="B1343">
        <v>26</v>
      </c>
      <c r="C1343">
        <v>1</v>
      </c>
      <c r="D1343">
        <v>1</v>
      </c>
      <c r="E1343">
        <v>1</v>
      </c>
      <c r="F1343">
        <v>1</v>
      </c>
      <c r="G1343">
        <v>1</v>
      </c>
      <c r="H1343">
        <v>1</v>
      </c>
      <c r="J1343">
        <v>26</v>
      </c>
      <c r="K1343">
        <v>1</v>
      </c>
      <c r="L1343">
        <v>1</v>
      </c>
      <c r="M1343">
        <v>1</v>
      </c>
      <c r="N1343">
        <v>1</v>
      </c>
      <c r="O1343">
        <v>1</v>
      </c>
      <c r="P1343">
        <v>1</v>
      </c>
      <c r="R1343">
        <v>26</v>
      </c>
      <c r="S1343">
        <v>1</v>
      </c>
      <c r="T1343">
        <v>1</v>
      </c>
      <c r="U1343">
        <v>1</v>
      </c>
      <c r="V1343">
        <v>1</v>
      </c>
      <c r="W1343">
        <v>1</v>
      </c>
      <c r="X1343">
        <v>1</v>
      </c>
    </row>
    <row r="1344" spans="2:32" x14ac:dyDescent="0.25">
      <c r="B1344">
        <v>27</v>
      </c>
      <c r="C1344">
        <v>1</v>
      </c>
      <c r="D1344">
        <v>1</v>
      </c>
      <c r="E1344">
        <v>1</v>
      </c>
      <c r="F1344">
        <v>1</v>
      </c>
      <c r="G1344">
        <v>1</v>
      </c>
      <c r="H1344">
        <v>1</v>
      </c>
      <c r="J1344">
        <v>27</v>
      </c>
      <c r="K1344">
        <v>1</v>
      </c>
      <c r="L1344">
        <v>1</v>
      </c>
      <c r="M1344">
        <v>1</v>
      </c>
      <c r="N1344">
        <v>1</v>
      </c>
      <c r="O1344">
        <v>1</v>
      </c>
      <c r="P1344">
        <v>1</v>
      </c>
      <c r="R1344">
        <v>27</v>
      </c>
      <c r="S1344">
        <v>1</v>
      </c>
      <c r="T1344">
        <v>1</v>
      </c>
      <c r="U1344">
        <v>1</v>
      </c>
      <c r="V1344">
        <v>1</v>
      </c>
      <c r="W1344">
        <v>1</v>
      </c>
      <c r="X1344">
        <v>1</v>
      </c>
    </row>
    <row r="1345" spans="2:24" x14ac:dyDescent="0.25">
      <c r="B1345">
        <v>28</v>
      </c>
      <c r="C1345">
        <v>1</v>
      </c>
      <c r="D1345">
        <v>1</v>
      </c>
      <c r="E1345">
        <v>1</v>
      </c>
      <c r="F1345">
        <v>1</v>
      </c>
      <c r="G1345">
        <v>1</v>
      </c>
      <c r="H1345">
        <v>1</v>
      </c>
      <c r="J1345">
        <v>28</v>
      </c>
      <c r="K1345">
        <v>1</v>
      </c>
      <c r="L1345">
        <v>1</v>
      </c>
      <c r="M1345">
        <v>1</v>
      </c>
      <c r="N1345">
        <v>1</v>
      </c>
      <c r="O1345">
        <v>1</v>
      </c>
      <c r="P1345">
        <v>1</v>
      </c>
      <c r="R1345">
        <v>28</v>
      </c>
      <c r="S1345">
        <v>1</v>
      </c>
      <c r="T1345">
        <v>1</v>
      </c>
      <c r="U1345">
        <v>1</v>
      </c>
      <c r="V1345">
        <v>1</v>
      </c>
      <c r="W1345">
        <v>1</v>
      </c>
      <c r="X1345">
        <v>1</v>
      </c>
    </row>
    <row r="1346" spans="2:24" x14ac:dyDescent="0.25">
      <c r="B1346">
        <v>29</v>
      </c>
      <c r="C1346">
        <v>1</v>
      </c>
      <c r="D1346">
        <v>1</v>
      </c>
      <c r="E1346">
        <v>1</v>
      </c>
      <c r="F1346">
        <v>1</v>
      </c>
      <c r="G1346">
        <v>1</v>
      </c>
      <c r="H1346">
        <v>1</v>
      </c>
      <c r="J1346">
        <v>29</v>
      </c>
      <c r="K1346">
        <v>1</v>
      </c>
      <c r="L1346">
        <v>1</v>
      </c>
      <c r="M1346">
        <v>1</v>
      </c>
      <c r="N1346">
        <v>1</v>
      </c>
      <c r="O1346">
        <v>1</v>
      </c>
      <c r="P1346">
        <v>1</v>
      </c>
      <c r="R1346">
        <v>29</v>
      </c>
      <c r="S1346">
        <v>1</v>
      </c>
      <c r="T1346">
        <v>1</v>
      </c>
      <c r="U1346">
        <v>1</v>
      </c>
      <c r="V1346">
        <v>1</v>
      </c>
      <c r="W1346">
        <v>1</v>
      </c>
      <c r="X1346">
        <v>1</v>
      </c>
    </row>
    <row r="1347" spans="2:24" x14ac:dyDescent="0.25">
      <c r="B1347">
        <v>30</v>
      </c>
      <c r="C1347">
        <v>1</v>
      </c>
      <c r="D1347">
        <v>1</v>
      </c>
      <c r="E1347">
        <v>1</v>
      </c>
      <c r="F1347">
        <v>1</v>
      </c>
      <c r="G1347">
        <v>1</v>
      </c>
      <c r="H1347">
        <v>1</v>
      </c>
      <c r="J1347">
        <v>30</v>
      </c>
      <c r="K1347">
        <v>1</v>
      </c>
      <c r="L1347">
        <v>1</v>
      </c>
      <c r="M1347">
        <v>1</v>
      </c>
      <c r="N1347">
        <v>1</v>
      </c>
      <c r="O1347">
        <v>1</v>
      </c>
      <c r="P1347">
        <v>1</v>
      </c>
      <c r="R1347">
        <v>30</v>
      </c>
      <c r="S1347">
        <v>1</v>
      </c>
      <c r="T1347">
        <v>1</v>
      </c>
      <c r="U1347">
        <v>1</v>
      </c>
      <c r="V1347">
        <v>1</v>
      </c>
      <c r="W1347">
        <v>1</v>
      </c>
      <c r="X1347">
        <v>1</v>
      </c>
    </row>
    <row r="1348" spans="2:24" x14ac:dyDescent="0.25">
      <c r="B1348">
        <v>31</v>
      </c>
      <c r="C1348">
        <v>1</v>
      </c>
      <c r="D1348">
        <v>1</v>
      </c>
      <c r="E1348">
        <v>1</v>
      </c>
      <c r="F1348">
        <v>1</v>
      </c>
      <c r="G1348">
        <v>1</v>
      </c>
      <c r="H1348">
        <v>1</v>
      </c>
      <c r="J1348">
        <v>31</v>
      </c>
      <c r="K1348">
        <v>1</v>
      </c>
      <c r="L1348">
        <v>1</v>
      </c>
      <c r="M1348">
        <v>1</v>
      </c>
      <c r="N1348">
        <v>1</v>
      </c>
      <c r="O1348">
        <v>1</v>
      </c>
      <c r="P1348">
        <v>1</v>
      </c>
      <c r="R1348">
        <v>31</v>
      </c>
      <c r="S1348">
        <v>1</v>
      </c>
      <c r="T1348">
        <v>1</v>
      </c>
      <c r="U1348">
        <v>1</v>
      </c>
      <c r="V1348">
        <v>1</v>
      </c>
      <c r="W1348">
        <v>1</v>
      </c>
      <c r="X1348">
        <v>1</v>
      </c>
    </row>
    <row r="1349" spans="2:24" x14ac:dyDescent="0.25">
      <c r="B1349">
        <v>32</v>
      </c>
      <c r="C1349">
        <v>1</v>
      </c>
      <c r="D1349">
        <v>1</v>
      </c>
      <c r="E1349">
        <v>1</v>
      </c>
      <c r="F1349">
        <v>1</v>
      </c>
      <c r="G1349">
        <v>1</v>
      </c>
      <c r="H1349">
        <v>1</v>
      </c>
      <c r="J1349">
        <v>32</v>
      </c>
      <c r="K1349">
        <v>1</v>
      </c>
      <c r="L1349">
        <v>1</v>
      </c>
      <c r="M1349">
        <v>1</v>
      </c>
      <c r="N1349">
        <v>1</v>
      </c>
      <c r="O1349">
        <v>1</v>
      </c>
      <c r="P1349">
        <v>1</v>
      </c>
      <c r="R1349">
        <v>32</v>
      </c>
      <c r="S1349">
        <v>1</v>
      </c>
      <c r="T1349">
        <v>1</v>
      </c>
      <c r="U1349">
        <v>1</v>
      </c>
      <c r="V1349">
        <v>1</v>
      </c>
      <c r="W1349">
        <v>1</v>
      </c>
      <c r="X1349">
        <v>1</v>
      </c>
    </row>
    <row r="1350" spans="2:24" x14ac:dyDescent="0.25">
      <c r="B1350">
        <v>33</v>
      </c>
      <c r="C1350">
        <v>1</v>
      </c>
      <c r="D1350">
        <v>1</v>
      </c>
      <c r="E1350">
        <v>1</v>
      </c>
      <c r="F1350">
        <v>1</v>
      </c>
      <c r="G1350">
        <v>1</v>
      </c>
      <c r="H1350">
        <v>1</v>
      </c>
      <c r="J1350">
        <v>33</v>
      </c>
      <c r="K1350">
        <v>1</v>
      </c>
      <c r="L1350">
        <v>1</v>
      </c>
      <c r="M1350">
        <v>1</v>
      </c>
      <c r="N1350">
        <v>1</v>
      </c>
      <c r="O1350">
        <v>1</v>
      </c>
      <c r="P1350">
        <v>1</v>
      </c>
      <c r="R1350">
        <v>33</v>
      </c>
      <c r="S1350">
        <v>1</v>
      </c>
      <c r="T1350">
        <v>1</v>
      </c>
      <c r="U1350">
        <v>1</v>
      </c>
      <c r="V1350">
        <v>1</v>
      </c>
      <c r="W1350">
        <v>1</v>
      </c>
      <c r="X1350">
        <v>1</v>
      </c>
    </row>
    <row r="1351" spans="2:24" x14ac:dyDescent="0.25">
      <c r="B1351">
        <v>34</v>
      </c>
      <c r="C1351">
        <v>1</v>
      </c>
      <c r="D1351">
        <v>1</v>
      </c>
      <c r="E1351">
        <v>1</v>
      </c>
      <c r="F1351">
        <v>1</v>
      </c>
      <c r="G1351">
        <v>1</v>
      </c>
      <c r="H1351">
        <v>1</v>
      </c>
      <c r="J1351">
        <v>34</v>
      </c>
      <c r="K1351">
        <v>1</v>
      </c>
      <c r="L1351">
        <v>1</v>
      </c>
      <c r="M1351">
        <v>1</v>
      </c>
      <c r="N1351">
        <v>1</v>
      </c>
      <c r="O1351">
        <v>1</v>
      </c>
      <c r="P1351">
        <v>1</v>
      </c>
      <c r="R1351">
        <v>34</v>
      </c>
      <c r="S1351">
        <v>1</v>
      </c>
      <c r="T1351">
        <v>1</v>
      </c>
      <c r="U1351">
        <v>1</v>
      </c>
      <c r="V1351">
        <v>1</v>
      </c>
      <c r="W1351">
        <v>1</v>
      </c>
      <c r="X1351">
        <v>1</v>
      </c>
    </row>
    <row r="1352" spans="2:24" x14ac:dyDescent="0.25">
      <c r="B1352">
        <v>35</v>
      </c>
      <c r="C1352">
        <v>1</v>
      </c>
      <c r="D1352">
        <v>1</v>
      </c>
      <c r="E1352">
        <v>1</v>
      </c>
      <c r="F1352">
        <v>1</v>
      </c>
      <c r="G1352">
        <v>1</v>
      </c>
      <c r="H1352">
        <v>1</v>
      </c>
      <c r="J1352">
        <v>35</v>
      </c>
      <c r="K1352">
        <v>1</v>
      </c>
      <c r="L1352">
        <v>1</v>
      </c>
      <c r="M1352">
        <v>1</v>
      </c>
      <c r="N1352">
        <v>1</v>
      </c>
      <c r="O1352">
        <v>1</v>
      </c>
      <c r="P1352">
        <v>1</v>
      </c>
      <c r="R1352">
        <v>35</v>
      </c>
      <c r="S1352">
        <v>1</v>
      </c>
      <c r="T1352">
        <v>1</v>
      </c>
      <c r="U1352">
        <v>1</v>
      </c>
      <c r="V1352">
        <v>1</v>
      </c>
      <c r="W1352">
        <v>1</v>
      </c>
      <c r="X1352">
        <v>1</v>
      </c>
    </row>
    <row r="1353" spans="2:24" x14ac:dyDescent="0.25">
      <c r="B1353">
        <v>36</v>
      </c>
      <c r="C1353">
        <v>1</v>
      </c>
      <c r="D1353">
        <v>1</v>
      </c>
      <c r="E1353">
        <v>1</v>
      </c>
      <c r="F1353">
        <v>1</v>
      </c>
      <c r="G1353">
        <v>1</v>
      </c>
      <c r="H1353">
        <v>1</v>
      </c>
      <c r="J1353">
        <v>36</v>
      </c>
      <c r="K1353">
        <v>1</v>
      </c>
      <c r="L1353">
        <v>1</v>
      </c>
      <c r="M1353">
        <v>1</v>
      </c>
      <c r="N1353">
        <v>1</v>
      </c>
      <c r="O1353">
        <v>1</v>
      </c>
      <c r="P1353">
        <v>1</v>
      </c>
      <c r="R1353">
        <v>36</v>
      </c>
      <c r="S1353">
        <v>1</v>
      </c>
      <c r="T1353">
        <v>1</v>
      </c>
      <c r="U1353">
        <v>1</v>
      </c>
      <c r="V1353">
        <v>1</v>
      </c>
      <c r="W1353">
        <v>1</v>
      </c>
      <c r="X1353">
        <v>1</v>
      </c>
    </row>
    <row r="1354" spans="2:24" x14ac:dyDescent="0.25">
      <c r="B1354">
        <v>37</v>
      </c>
      <c r="C1354">
        <v>1</v>
      </c>
      <c r="D1354">
        <v>1</v>
      </c>
      <c r="E1354">
        <v>1</v>
      </c>
      <c r="F1354">
        <v>1</v>
      </c>
      <c r="G1354">
        <v>1</v>
      </c>
      <c r="H1354">
        <v>1</v>
      </c>
      <c r="J1354">
        <v>37</v>
      </c>
      <c r="K1354">
        <v>1</v>
      </c>
      <c r="L1354">
        <v>1</v>
      </c>
      <c r="M1354">
        <v>1</v>
      </c>
      <c r="N1354">
        <v>1</v>
      </c>
      <c r="O1354">
        <v>1</v>
      </c>
      <c r="P1354">
        <v>1</v>
      </c>
      <c r="R1354">
        <v>37</v>
      </c>
      <c r="S1354">
        <v>1</v>
      </c>
      <c r="T1354">
        <v>1</v>
      </c>
      <c r="U1354">
        <v>1</v>
      </c>
      <c r="V1354">
        <v>1</v>
      </c>
      <c r="W1354">
        <v>1</v>
      </c>
      <c r="X1354">
        <v>1</v>
      </c>
    </row>
    <row r="1355" spans="2:24" x14ac:dyDescent="0.25">
      <c r="B1355">
        <v>38</v>
      </c>
      <c r="C1355">
        <v>1</v>
      </c>
      <c r="D1355">
        <v>1</v>
      </c>
      <c r="E1355">
        <v>1</v>
      </c>
      <c r="F1355">
        <v>1</v>
      </c>
      <c r="G1355">
        <v>1</v>
      </c>
      <c r="H1355">
        <v>1</v>
      </c>
      <c r="J1355">
        <v>38</v>
      </c>
      <c r="K1355">
        <v>1</v>
      </c>
      <c r="L1355">
        <v>1</v>
      </c>
      <c r="M1355">
        <v>1</v>
      </c>
      <c r="N1355">
        <v>1</v>
      </c>
      <c r="O1355">
        <v>1</v>
      </c>
      <c r="P1355">
        <v>1</v>
      </c>
      <c r="R1355">
        <v>38</v>
      </c>
      <c r="S1355">
        <v>1</v>
      </c>
      <c r="T1355">
        <v>1</v>
      </c>
      <c r="U1355">
        <v>1</v>
      </c>
      <c r="V1355">
        <v>1</v>
      </c>
      <c r="W1355">
        <v>1</v>
      </c>
      <c r="X1355">
        <v>1</v>
      </c>
    </row>
    <row r="1356" spans="2:24" x14ac:dyDescent="0.25">
      <c r="B1356">
        <v>39</v>
      </c>
      <c r="C1356">
        <v>1</v>
      </c>
      <c r="D1356">
        <v>1</v>
      </c>
      <c r="E1356">
        <v>1</v>
      </c>
      <c r="F1356">
        <v>1</v>
      </c>
      <c r="G1356">
        <v>1</v>
      </c>
      <c r="H1356">
        <v>1</v>
      </c>
      <c r="J1356">
        <v>39</v>
      </c>
      <c r="K1356">
        <v>1</v>
      </c>
      <c r="L1356">
        <v>1</v>
      </c>
      <c r="M1356">
        <v>1</v>
      </c>
      <c r="N1356">
        <v>1</v>
      </c>
      <c r="O1356">
        <v>1</v>
      </c>
      <c r="P1356">
        <v>1</v>
      </c>
      <c r="R1356">
        <v>39</v>
      </c>
      <c r="S1356">
        <v>1</v>
      </c>
      <c r="T1356">
        <v>1</v>
      </c>
      <c r="U1356">
        <v>1</v>
      </c>
      <c r="V1356">
        <v>1</v>
      </c>
      <c r="W1356">
        <v>1</v>
      </c>
      <c r="X1356">
        <v>1</v>
      </c>
    </row>
    <row r="1357" spans="2:24" x14ac:dyDescent="0.25">
      <c r="B1357">
        <v>40</v>
      </c>
      <c r="C1357">
        <v>1</v>
      </c>
      <c r="D1357">
        <v>1</v>
      </c>
      <c r="E1357">
        <v>1</v>
      </c>
      <c r="F1357">
        <v>1</v>
      </c>
      <c r="G1357">
        <v>1</v>
      </c>
      <c r="H1357">
        <v>1</v>
      </c>
      <c r="J1357">
        <v>40</v>
      </c>
      <c r="K1357">
        <v>1</v>
      </c>
      <c r="L1357">
        <v>1</v>
      </c>
      <c r="M1357">
        <v>1</v>
      </c>
      <c r="N1357">
        <v>1</v>
      </c>
      <c r="O1357">
        <v>1</v>
      </c>
      <c r="P1357">
        <v>1</v>
      </c>
      <c r="R1357">
        <v>40</v>
      </c>
      <c r="S1357">
        <v>1</v>
      </c>
      <c r="T1357">
        <v>1</v>
      </c>
      <c r="U1357">
        <v>1</v>
      </c>
      <c r="V1357">
        <v>1</v>
      </c>
      <c r="W1357">
        <v>1</v>
      </c>
      <c r="X1357">
        <v>1</v>
      </c>
    </row>
    <row r="1358" spans="2:24" x14ac:dyDescent="0.25">
      <c r="B1358">
        <v>41</v>
      </c>
      <c r="C1358">
        <v>1</v>
      </c>
      <c r="D1358">
        <v>1</v>
      </c>
      <c r="E1358">
        <v>1</v>
      </c>
      <c r="F1358">
        <v>1</v>
      </c>
      <c r="G1358">
        <v>1</v>
      </c>
      <c r="H1358">
        <v>1</v>
      </c>
      <c r="J1358">
        <v>41</v>
      </c>
      <c r="K1358">
        <v>1</v>
      </c>
      <c r="L1358">
        <v>1</v>
      </c>
      <c r="M1358">
        <v>1</v>
      </c>
      <c r="N1358">
        <v>1</v>
      </c>
      <c r="O1358">
        <v>1</v>
      </c>
      <c r="P1358">
        <v>1</v>
      </c>
      <c r="R1358">
        <v>41</v>
      </c>
      <c r="S1358">
        <v>1</v>
      </c>
      <c r="T1358">
        <v>1</v>
      </c>
      <c r="U1358">
        <v>1</v>
      </c>
      <c r="V1358">
        <v>1</v>
      </c>
      <c r="W1358">
        <v>1</v>
      </c>
      <c r="X1358">
        <v>1</v>
      </c>
    </row>
    <row r="1359" spans="2:24" x14ac:dyDescent="0.25">
      <c r="B1359">
        <v>42</v>
      </c>
      <c r="C1359">
        <v>1</v>
      </c>
      <c r="D1359">
        <v>1</v>
      </c>
      <c r="E1359">
        <v>1</v>
      </c>
      <c r="F1359">
        <v>1</v>
      </c>
      <c r="G1359">
        <v>1</v>
      </c>
      <c r="H1359">
        <v>1</v>
      </c>
      <c r="J1359">
        <v>42</v>
      </c>
      <c r="K1359">
        <v>1</v>
      </c>
      <c r="L1359">
        <v>1</v>
      </c>
      <c r="M1359">
        <v>1</v>
      </c>
      <c r="N1359">
        <v>1</v>
      </c>
      <c r="O1359">
        <v>1</v>
      </c>
      <c r="P1359">
        <v>1</v>
      </c>
      <c r="R1359">
        <v>42</v>
      </c>
      <c r="S1359">
        <v>1</v>
      </c>
      <c r="T1359">
        <v>1</v>
      </c>
      <c r="U1359">
        <v>1</v>
      </c>
      <c r="V1359">
        <v>1</v>
      </c>
      <c r="W1359">
        <v>1</v>
      </c>
      <c r="X1359">
        <v>1</v>
      </c>
    </row>
    <row r="1360" spans="2:24" x14ac:dyDescent="0.25">
      <c r="B1360">
        <v>43</v>
      </c>
      <c r="C1360">
        <v>1</v>
      </c>
      <c r="D1360">
        <v>1</v>
      </c>
      <c r="E1360">
        <v>1</v>
      </c>
      <c r="F1360">
        <v>1</v>
      </c>
      <c r="G1360">
        <v>1</v>
      </c>
      <c r="H1360">
        <v>1</v>
      </c>
      <c r="J1360">
        <v>43</v>
      </c>
      <c r="K1360">
        <v>1</v>
      </c>
      <c r="L1360">
        <v>1</v>
      </c>
      <c r="M1360">
        <v>1</v>
      </c>
      <c r="N1360">
        <v>1</v>
      </c>
      <c r="O1360">
        <v>1</v>
      </c>
      <c r="P1360">
        <v>1</v>
      </c>
      <c r="R1360">
        <v>43</v>
      </c>
      <c r="S1360">
        <v>1</v>
      </c>
      <c r="T1360">
        <v>1</v>
      </c>
      <c r="U1360">
        <v>1</v>
      </c>
      <c r="V1360">
        <v>1</v>
      </c>
      <c r="W1360">
        <v>1</v>
      </c>
      <c r="X1360">
        <v>1</v>
      </c>
    </row>
    <row r="1361" spans="2:24" x14ac:dyDescent="0.25">
      <c r="B1361">
        <v>44</v>
      </c>
      <c r="C1361">
        <v>1</v>
      </c>
      <c r="D1361">
        <v>1</v>
      </c>
      <c r="E1361">
        <v>1</v>
      </c>
      <c r="F1361">
        <v>1</v>
      </c>
      <c r="G1361">
        <v>1</v>
      </c>
      <c r="H1361">
        <v>1</v>
      </c>
      <c r="J1361">
        <v>44</v>
      </c>
      <c r="K1361">
        <v>1</v>
      </c>
      <c r="L1361">
        <v>1</v>
      </c>
      <c r="M1361">
        <v>1</v>
      </c>
      <c r="N1361">
        <v>1</v>
      </c>
      <c r="O1361">
        <v>1</v>
      </c>
      <c r="P1361">
        <v>1</v>
      </c>
      <c r="R1361">
        <v>44</v>
      </c>
      <c r="S1361">
        <v>1</v>
      </c>
      <c r="T1361">
        <v>1</v>
      </c>
      <c r="U1361">
        <v>1</v>
      </c>
      <c r="V1361">
        <v>1</v>
      </c>
      <c r="W1361">
        <v>1</v>
      </c>
      <c r="X1361">
        <v>1</v>
      </c>
    </row>
    <row r="1362" spans="2:24" x14ac:dyDescent="0.25">
      <c r="B1362">
        <v>45</v>
      </c>
      <c r="C1362">
        <v>1</v>
      </c>
      <c r="D1362">
        <v>1</v>
      </c>
      <c r="E1362">
        <v>1</v>
      </c>
      <c r="F1362">
        <v>1</v>
      </c>
      <c r="G1362">
        <v>1</v>
      </c>
      <c r="H1362">
        <v>1</v>
      </c>
      <c r="J1362">
        <v>45</v>
      </c>
      <c r="K1362">
        <v>1</v>
      </c>
      <c r="L1362">
        <v>1</v>
      </c>
      <c r="M1362">
        <v>1</v>
      </c>
      <c r="N1362">
        <v>1</v>
      </c>
      <c r="O1362">
        <v>1</v>
      </c>
      <c r="P1362">
        <v>1</v>
      </c>
      <c r="R1362">
        <v>45</v>
      </c>
      <c r="S1362">
        <v>1</v>
      </c>
      <c r="T1362">
        <v>1</v>
      </c>
      <c r="U1362">
        <v>1</v>
      </c>
      <c r="V1362">
        <v>1</v>
      </c>
      <c r="W1362">
        <v>1</v>
      </c>
      <c r="X1362">
        <v>1</v>
      </c>
    </row>
    <row r="1363" spans="2:24" x14ac:dyDescent="0.25">
      <c r="B1363">
        <v>46</v>
      </c>
      <c r="C1363">
        <v>1</v>
      </c>
      <c r="D1363">
        <v>1</v>
      </c>
      <c r="E1363">
        <v>1</v>
      </c>
      <c r="F1363">
        <v>1</v>
      </c>
      <c r="G1363">
        <v>1</v>
      </c>
      <c r="H1363">
        <v>1</v>
      </c>
      <c r="J1363">
        <v>46</v>
      </c>
      <c r="K1363">
        <v>1</v>
      </c>
      <c r="L1363">
        <v>1</v>
      </c>
      <c r="M1363">
        <v>1</v>
      </c>
      <c r="N1363">
        <v>1</v>
      </c>
      <c r="O1363">
        <v>1</v>
      </c>
      <c r="P1363">
        <v>1</v>
      </c>
      <c r="R1363">
        <v>46</v>
      </c>
      <c r="S1363">
        <v>1</v>
      </c>
      <c r="T1363">
        <v>1</v>
      </c>
      <c r="U1363">
        <v>1</v>
      </c>
      <c r="V1363">
        <v>1</v>
      </c>
      <c r="W1363">
        <v>1</v>
      </c>
      <c r="X1363">
        <v>1</v>
      </c>
    </row>
    <row r="1364" spans="2:24" x14ac:dyDescent="0.25">
      <c r="B1364">
        <v>47</v>
      </c>
      <c r="C1364">
        <v>1</v>
      </c>
      <c r="D1364">
        <v>1</v>
      </c>
      <c r="E1364">
        <v>1</v>
      </c>
      <c r="F1364">
        <v>1</v>
      </c>
      <c r="G1364">
        <v>1</v>
      </c>
      <c r="H1364">
        <v>1</v>
      </c>
      <c r="J1364">
        <v>47</v>
      </c>
      <c r="K1364">
        <v>1</v>
      </c>
      <c r="L1364">
        <v>1</v>
      </c>
      <c r="M1364">
        <v>1</v>
      </c>
      <c r="N1364">
        <v>1</v>
      </c>
      <c r="O1364">
        <v>1</v>
      </c>
      <c r="P1364">
        <v>1</v>
      </c>
      <c r="R1364">
        <v>47</v>
      </c>
      <c r="S1364">
        <v>1</v>
      </c>
      <c r="T1364">
        <v>1</v>
      </c>
      <c r="U1364">
        <v>1</v>
      </c>
      <c r="V1364">
        <v>1</v>
      </c>
      <c r="W1364">
        <v>1</v>
      </c>
      <c r="X1364">
        <v>1</v>
      </c>
    </row>
    <row r="1365" spans="2:24" x14ac:dyDescent="0.25">
      <c r="B1365">
        <v>48</v>
      </c>
      <c r="C1365">
        <v>1</v>
      </c>
      <c r="D1365">
        <v>1</v>
      </c>
      <c r="E1365">
        <v>1</v>
      </c>
      <c r="F1365">
        <v>1</v>
      </c>
      <c r="G1365">
        <v>1</v>
      </c>
      <c r="H1365">
        <v>1</v>
      </c>
      <c r="J1365">
        <v>48</v>
      </c>
      <c r="K1365">
        <v>1</v>
      </c>
      <c r="L1365">
        <v>1</v>
      </c>
      <c r="M1365">
        <v>1</v>
      </c>
      <c r="N1365">
        <v>1</v>
      </c>
      <c r="O1365">
        <v>1</v>
      </c>
      <c r="P1365">
        <v>1</v>
      </c>
      <c r="R1365">
        <v>48</v>
      </c>
      <c r="S1365">
        <v>1</v>
      </c>
      <c r="T1365">
        <v>1</v>
      </c>
      <c r="U1365">
        <v>1</v>
      </c>
      <c r="V1365">
        <v>1</v>
      </c>
      <c r="W1365">
        <v>1</v>
      </c>
      <c r="X1365">
        <v>1</v>
      </c>
    </row>
    <row r="1366" spans="2:24" x14ac:dyDescent="0.25">
      <c r="B1366">
        <v>49</v>
      </c>
      <c r="C1366">
        <v>1</v>
      </c>
      <c r="D1366">
        <v>1</v>
      </c>
      <c r="E1366">
        <v>1</v>
      </c>
      <c r="F1366">
        <v>1</v>
      </c>
      <c r="G1366">
        <v>1</v>
      </c>
      <c r="H1366">
        <v>1</v>
      </c>
      <c r="J1366">
        <v>49</v>
      </c>
      <c r="K1366">
        <v>1</v>
      </c>
      <c r="L1366">
        <v>1</v>
      </c>
      <c r="M1366">
        <v>1</v>
      </c>
      <c r="N1366">
        <v>1</v>
      </c>
      <c r="O1366">
        <v>1</v>
      </c>
      <c r="P1366">
        <v>1</v>
      </c>
      <c r="R1366">
        <v>49</v>
      </c>
      <c r="S1366">
        <v>1</v>
      </c>
      <c r="T1366">
        <v>1</v>
      </c>
      <c r="U1366">
        <v>1</v>
      </c>
      <c r="V1366">
        <v>1</v>
      </c>
      <c r="W1366">
        <v>1</v>
      </c>
      <c r="X1366">
        <v>1</v>
      </c>
    </row>
    <row r="1367" spans="2:24" x14ac:dyDescent="0.25">
      <c r="B1367">
        <v>50</v>
      </c>
      <c r="C1367">
        <v>1</v>
      </c>
      <c r="D1367">
        <v>1</v>
      </c>
      <c r="E1367">
        <v>1</v>
      </c>
      <c r="F1367">
        <v>1</v>
      </c>
      <c r="G1367">
        <v>1</v>
      </c>
      <c r="H1367">
        <v>1</v>
      </c>
      <c r="J1367">
        <v>50</v>
      </c>
      <c r="K1367">
        <v>1</v>
      </c>
      <c r="L1367">
        <v>1</v>
      </c>
      <c r="M1367">
        <v>1</v>
      </c>
      <c r="N1367">
        <v>1</v>
      </c>
      <c r="O1367">
        <v>1</v>
      </c>
      <c r="P1367">
        <v>1</v>
      </c>
      <c r="R1367">
        <v>50</v>
      </c>
      <c r="S1367">
        <v>1</v>
      </c>
      <c r="T1367">
        <v>1</v>
      </c>
      <c r="U1367">
        <v>1</v>
      </c>
      <c r="V1367">
        <v>1</v>
      </c>
      <c r="W1367">
        <v>1</v>
      </c>
      <c r="X1367">
        <v>1</v>
      </c>
    </row>
    <row r="1368" spans="2:24" x14ac:dyDescent="0.25">
      <c r="B1368">
        <v>51</v>
      </c>
      <c r="C1368">
        <v>1</v>
      </c>
      <c r="D1368">
        <v>1</v>
      </c>
      <c r="E1368">
        <v>1</v>
      </c>
      <c r="F1368">
        <v>1</v>
      </c>
      <c r="G1368">
        <v>1</v>
      </c>
      <c r="H1368">
        <v>1</v>
      </c>
      <c r="J1368">
        <v>51</v>
      </c>
      <c r="K1368">
        <v>1</v>
      </c>
      <c r="L1368">
        <v>1</v>
      </c>
      <c r="M1368">
        <v>1</v>
      </c>
      <c r="N1368">
        <v>1</v>
      </c>
      <c r="O1368">
        <v>1</v>
      </c>
      <c r="P1368">
        <v>1</v>
      </c>
      <c r="R1368">
        <v>51</v>
      </c>
      <c r="S1368">
        <v>1</v>
      </c>
      <c r="T1368">
        <v>1</v>
      </c>
      <c r="U1368">
        <v>1</v>
      </c>
      <c r="V1368">
        <v>1</v>
      </c>
      <c r="W1368">
        <v>1</v>
      </c>
      <c r="X1368">
        <v>1</v>
      </c>
    </row>
    <row r="1369" spans="2:24" x14ac:dyDescent="0.25">
      <c r="B1369">
        <v>52</v>
      </c>
      <c r="C1369">
        <v>1</v>
      </c>
      <c r="D1369">
        <v>1</v>
      </c>
      <c r="E1369">
        <v>1</v>
      </c>
      <c r="F1369">
        <v>1</v>
      </c>
      <c r="G1369">
        <v>1</v>
      </c>
      <c r="H1369">
        <v>1</v>
      </c>
      <c r="J1369">
        <v>52</v>
      </c>
      <c r="K1369">
        <v>1</v>
      </c>
      <c r="L1369">
        <v>1</v>
      </c>
      <c r="M1369">
        <v>1</v>
      </c>
      <c r="N1369">
        <v>1</v>
      </c>
      <c r="O1369">
        <v>1</v>
      </c>
      <c r="P1369">
        <v>1</v>
      </c>
      <c r="R1369">
        <v>52</v>
      </c>
      <c r="S1369">
        <v>1</v>
      </c>
      <c r="T1369">
        <v>1</v>
      </c>
      <c r="U1369">
        <v>1</v>
      </c>
      <c r="V1369">
        <v>1</v>
      </c>
      <c r="W1369">
        <v>1</v>
      </c>
      <c r="X1369">
        <v>1</v>
      </c>
    </row>
    <row r="1370" spans="2:24" x14ac:dyDescent="0.25">
      <c r="B1370">
        <v>53</v>
      </c>
      <c r="C1370">
        <v>1</v>
      </c>
      <c r="D1370">
        <v>1</v>
      </c>
      <c r="E1370">
        <v>1</v>
      </c>
      <c r="F1370">
        <v>1</v>
      </c>
      <c r="G1370">
        <v>1</v>
      </c>
      <c r="H1370">
        <v>1</v>
      </c>
      <c r="J1370">
        <v>53</v>
      </c>
      <c r="K1370">
        <v>1</v>
      </c>
      <c r="L1370">
        <v>1</v>
      </c>
      <c r="M1370">
        <v>1</v>
      </c>
      <c r="N1370">
        <v>1</v>
      </c>
      <c r="O1370">
        <v>1</v>
      </c>
      <c r="P1370">
        <v>1</v>
      </c>
      <c r="R1370">
        <v>53</v>
      </c>
      <c r="S1370">
        <v>1</v>
      </c>
      <c r="T1370">
        <v>1</v>
      </c>
      <c r="U1370">
        <v>1</v>
      </c>
      <c r="V1370">
        <v>1</v>
      </c>
      <c r="W1370">
        <v>1</v>
      </c>
      <c r="X1370">
        <v>1</v>
      </c>
    </row>
    <row r="1371" spans="2:24" x14ac:dyDescent="0.25">
      <c r="B1371">
        <v>54</v>
      </c>
      <c r="C1371">
        <v>1</v>
      </c>
      <c r="D1371">
        <v>1</v>
      </c>
      <c r="E1371">
        <v>1</v>
      </c>
      <c r="F1371">
        <v>1</v>
      </c>
      <c r="G1371">
        <v>1</v>
      </c>
      <c r="H1371">
        <v>1</v>
      </c>
      <c r="J1371">
        <v>54</v>
      </c>
      <c r="K1371">
        <v>1</v>
      </c>
      <c r="L1371">
        <v>1</v>
      </c>
      <c r="M1371">
        <v>1</v>
      </c>
      <c r="N1371">
        <v>1</v>
      </c>
      <c r="O1371">
        <v>1</v>
      </c>
      <c r="P1371">
        <v>1</v>
      </c>
      <c r="R1371">
        <v>54</v>
      </c>
      <c r="S1371">
        <v>1</v>
      </c>
      <c r="T1371">
        <v>1</v>
      </c>
      <c r="U1371">
        <v>1</v>
      </c>
      <c r="V1371">
        <v>1</v>
      </c>
      <c r="W1371">
        <v>1</v>
      </c>
      <c r="X1371">
        <v>1</v>
      </c>
    </row>
    <row r="1372" spans="2:24" x14ac:dyDescent="0.25">
      <c r="B1372">
        <v>55</v>
      </c>
      <c r="C1372">
        <v>1</v>
      </c>
      <c r="D1372">
        <v>1</v>
      </c>
      <c r="E1372">
        <v>1</v>
      </c>
      <c r="F1372">
        <v>1</v>
      </c>
      <c r="G1372">
        <v>1</v>
      </c>
      <c r="H1372">
        <v>1</v>
      </c>
      <c r="J1372">
        <v>55</v>
      </c>
      <c r="K1372">
        <v>1</v>
      </c>
      <c r="L1372">
        <v>1</v>
      </c>
      <c r="M1372">
        <v>1</v>
      </c>
      <c r="N1372">
        <v>1</v>
      </c>
      <c r="O1372">
        <v>1</v>
      </c>
      <c r="P1372">
        <v>1</v>
      </c>
      <c r="R1372">
        <v>55</v>
      </c>
      <c r="S1372">
        <v>1</v>
      </c>
      <c r="T1372">
        <v>1</v>
      </c>
      <c r="U1372">
        <v>1</v>
      </c>
      <c r="V1372">
        <v>1</v>
      </c>
      <c r="W1372">
        <v>1</v>
      </c>
      <c r="X1372">
        <v>1</v>
      </c>
    </row>
    <row r="1375" spans="2:24" x14ac:dyDescent="0.25">
      <c r="B1375" t="s">
        <v>46</v>
      </c>
      <c r="C1375">
        <v>100000</v>
      </c>
      <c r="D1375">
        <v>250000</v>
      </c>
      <c r="E1375">
        <v>500000</v>
      </c>
      <c r="F1375">
        <v>1000000</v>
      </c>
      <c r="G1375">
        <v>2000000</v>
      </c>
      <c r="J1375" t="s">
        <v>32</v>
      </c>
      <c r="K1375">
        <v>100000</v>
      </c>
      <c r="L1375">
        <v>250000</v>
      </c>
      <c r="M1375">
        <v>500000</v>
      </c>
      <c r="N1375">
        <v>1000000</v>
      </c>
      <c r="O1375">
        <v>2000000</v>
      </c>
      <c r="R1375" t="s">
        <v>48</v>
      </c>
      <c r="S1375">
        <v>100000</v>
      </c>
      <c r="T1375">
        <v>250000</v>
      </c>
      <c r="U1375">
        <v>500000</v>
      </c>
      <c r="V1375">
        <v>1000000</v>
      </c>
      <c r="W1375">
        <v>2000000</v>
      </c>
    </row>
    <row r="1376" spans="2:24" x14ac:dyDescent="0.25">
      <c r="B1376">
        <v>35</v>
      </c>
      <c r="C1376">
        <v>1</v>
      </c>
      <c r="D1376">
        <v>1</v>
      </c>
      <c r="E1376">
        <v>1</v>
      </c>
      <c r="F1376">
        <v>1</v>
      </c>
      <c r="G1376">
        <v>1</v>
      </c>
      <c r="J1376">
        <v>35</v>
      </c>
      <c r="K1376">
        <v>1</v>
      </c>
      <c r="L1376">
        <v>1</v>
      </c>
      <c r="M1376">
        <v>1</v>
      </c>
      <c r="N1376">
        <v>1</v>
      </c>
      <c r="O1376">
        <v>1</v>
      </c>
      <c r="R1376">
        <v>35</v>
      </c>
      <c r="S1376">
        <v>1</v>
      </c>
      <c r="T1376">
        <v>1</v>
      </c>
      <c r="U1376">
        <v>1</v>
      </c>
      <c r="V1376">
        <v>1</v>
      </c>
      <c r="W1376">
        <v>1</v>
      </c>
    </row>
    <row r="1377" spans="2:23" x14ac:dyDescent="0.25">
      <c r="B1377">
        <f t="shared" ref="B1377:B1406" si="60">B1376+1</f>
        <v>36</v>
      </c>
      <c r="C1377">
        <v>1</v>
      </c>
      <c r="D1377">
        <v>1</v>
      </c>
      <c r="E1377">
        <v>1</v>
      </c>
      <c r="F1377">
        <v>1</v>
      </c>
      <c r="G1377">
        <v>1</v>
      </c>
      <c r="J1377">
        <f t="shared" ref="J1377:J1406" si="61">J1376+1</f>
        <v>36</v>
      </c>
      <c r="K1377">
        <v>1</v>
      </c>
      <c r="L1377">
        <v>1</v>
      </c>
      <c r="M1377">
        <v>1</v>
      </c>
      <c r="N1377">
        <v>1</v>
      </c>
      <c r="O1377">
        <v>1</v>
      </c>
      <c r="R1377">
        <f t="shared" ref="R1377:R1406" si="62">R1376+1</f>
        <v>36</v>
      </c>
      <c r="S1377">
        <v>1</v>
      </c>
      <c r="T1377">
        <v>1</v>
      </c>
      <c r="U1377">
        <v>1</v>
      </c>
      <c r="V1377">
        <v>1</v>
      </c>
      <c r="W1377">
        <v>1</v>
      </c>
    </row>
    <row r="1378" spans="2:23" x14ac:dyDescent="0.25">
      <c r="B1378">
        <f t="shared" si="60"/>
        <v>37</v>
      </c>
      <c r="C1378">
        <v>1</v>
      </c>
      <c r="D1378">
        <v>1</v>
      </c>
      <c r="E1378">
        <v>1</v>
      </c>
      <c r="F1378">
        <v>1</v>
      </c>
      <c r="G1378">
        <v>1</v>
      </c>
      <c r="J1378">
        <f t="shared" si="61"/>
        <v>37</v>
      </c>
      <c r="K1378">
        <v>1</v>
      </c>
      <c r="L1378">
        <v>1</v>
      </c>
      <c r="M1378">
        <v>1</v>
      </c>
      <c r="N1378">
        <v>1</v>
      </c>
      <c r="O1378">
        <v>1</v>
      </c>
      <c r="R1378">
        <f t="shared" si="62"/>
        <v>37</v>
      </c>
      <c r="S1378">
        <v>1</v>
      </c>
      <c r="T1378">
        <v>1</v>
      </c>
      <c r="U1378">
        <v>1</v>
      </c>
      <c r="V1378">
        <v>1</v>
      </c>
      <c r="W1378">
        <v>1</v>
      </c>
    </row>
    <row r="1379" spans="2:23" x14ac:dyDescent="0.25">
      <c r="B1379">
        <f t="shared" si="60"/>
        <v>38</v>
      </c>
      <c r="C1379">
        <v>1</v>
      </c>
      <c r="D1379">
        <v>1</v>
      </c>
      <c r="E1379">
        <v>1</v>
      </c>
      <c r="F1379">
        <v>1</v>
      </c>
      <c r="G1379">
        <v>1</v>
      </c>
      <c r="J1379">
        <f t="shared" si="61"/>
        <v>38</v>
      </c>
      <c r="K1379">
        <v>1</v>
      </c>
      <c r="L1379">
        <v>1</v>
      </c>
      <c r="M1379">
        <v>1</v>
      </c>
      <c r="N1379">
        <v>1</v>
      </c>
      <c r="O1379">
        <v>1</v>
      </c>
      <c r="R1379">
        <f t="shared" si="62"/>
        <v>38</v>
      </c>
      <c r="S1379">
        <v>1</v>
      </c>
      <c r="T1379">
        <v>1</v>
      </c>
      <c r="U1379">
        <v>1</v>
      </c>
      <c r="V1379">
        <v>1</v>
      </c>
      <c r="W1379">
        <v>1</v>
      </c>
    </row>
    <row r="1380" spans="2:23" x14ac:dyDescent="0.25">
      <c r="B1380">
        <f t="shared" si="60"/>
        <v>39</v>
      </c>
      <c r="C1380">
        <v>1</v>
      </c>
      <c r="D1380">
        <v>1</v>
      </c>
      <c r="E1380">
        <v>1</v>
      </c>
      <c r="F1380">
        <v>1</v>
      </c>
      <c r="G1380">
        <v>1</v>
      </c>
      <c r="J1380">
        <f t="shared" si="61"/>
        <v>39</v>
      </c>
      <c r="K1380">
        <v>1</v>
      </c>
      <c r="L1380">
        <v>1</v>
      </c>
      <c r="M1380">
        <v>1</v>
      </c>
      <c r="N1380">
        <v>1</v>
      </c>
      <c r="O1380">
        <v>1</v>
      </c>
      <c r="R1380">
        <f t="shared" si="62"/>
        <v>39</v>
      </c>
      <c r="S1380">
        <v>1</v>
      </c>
      <c r="T1380">
        <v>1</v>
      </c>
      <c r="U1380">
        <v>1</v>
      </c>
      <c r="V1380">
        <v>1</v>
      </c>
      <c r="W1380">
        <v>1</v>
      </c>
    </row>
    <row r="1381" spans="2:23" x14ac:dyDescent="0.25">
      <c r="B1381">
        <f t="shared" si="60"/>
        <v>40</v>
      </c>
      <c r="C1381">
        <v>1</v>
      </c>
      <c r="D1381">
        <v>1</v>
      </c>
      <c r="E1381">
        <v>1</v>
      </c>
      <c r="F1381">
        <v>1</v>
      </c>
      <c r="G1381">
        <v>1</v>
      </c>
      <c r="J1381">
        <f t="shared" si="61"/>
        <v>40</v>
      </c>
      <c r="K1381">
        <v>1</v>
      </c>
      <c r="L1381">
        <v>1</v>
      </c>
      <c r="M1381">
        <v>1</v>
      </c>
      <c r="N1381">
        <v>1</v>
      </c>
      <c r="O1381">
        <v>1</v>
      </c>
      <c r="R1381">
        <f t="shared" si="62"/>
        <v>40</v>
      </c>
      <c r="S1381">
        <v>1</v>
      </c>
      <c r="T1381">
        <v>1</v>
      </c>
      <c r="U1381">
        <v>1</v>
      </c>
      <c r="V1381">
        <v>1</v>
      </c>
      <c r="W1381">
        <v>1</v>
      </c>
    </row>
    <row r="1382" spans="2:23" x14ac:dyDescent="0.25">
      <c r="B1382">
        <f t="shared" si="60"/>
        <v>41</v>
      </c>
      <c r="C1382">
        <v>1</v>
      </c>
      <c r="D1382">
        <v>1</v>
      </c>
      <c r="E1382">
        <v>1</v>
      </c>
      <c r="F1382">
        <v>1</v>
      </c>
      <c r="G1382">
        <v>1</v>
      </c>
      <c r="J1382">
        <f t="shared" si="61"/>
        <v>41</v>
      </c>
      <c r="K1382">
        <v>1</v>
      </c>
      <c r="L1382">
        <v>1</v>
      </c>
      <c r="M1382">
        <v>1</v>
      </c>
      <c r="N1382">
        <v>1</v>
      </c>
      <c r="O1382">
        <v>1</v>
      </c>
      <c r="R1382">
        <f t="shared" si="62"/>
        <v>41</v>
      </c>
      <c r="S1382">
        <v>1</v>
      </c>
      <c r="T1382">
        <v>1</v>
      </c>
      <c r="U1382">
        <v>1</v>
      </c>
      <c r="V1382">
        <v>1</v>
      </c>
      <c r="W1382">
        <v>1</v>
      </c>
    </row>
    <row r="1383" spans="2:23" x14ac:dyDescent="0.25">
      <c r="B1383">
        <f t="shared" si="60"/>
        <v>42</v>
      </c>
      <c r="C1383">
        <v>1</v>
      </c>
      <c r="D1383">
        <v>1</v>
      </c>
      <c r="E1383">
        <v>1</v>
      </c>
      <c r="F1383">
        <v>1</v>
      </c>
      <c r="G1383">
        <v>1</v>
      </c>
      <c r="J1383">
        <f t="shared" si="61"/>
        <v>42</v>
      </c>
      <c r="K1383">
        <v>1</v>
      </c>
      <c r="L1383">
        <v>1</v>
      </c>
      <c r="M1383">
        <v>1</v>
      </c>
      <c r="N1383">
        <v>1</v>
      </c>
      <c r="O1383">
        <v>1</v>
      </c>
      <c r="R1383">
        <f t="shared" si="62"/>
        <v>42</v>
      </c>
      <c r="S1383">
        <v>1</v>
      </c>
      <c r="T1383">
        <v>1</v>
      </c>
      <c r="U1383">
        <v>1</v>
      </c>
      <c r="V1383">
        <v>1</v>
      </c>
      <c r="W1383">
        <v>1</v>
      </c>
    </row>
    <row r="1384" spans="2:23" x14ac:dyDescent="0.25">
      <c r="B1384">
        <f t="shared" si="60"/>
        <v>43</v>
      </c>
      <c r="C1384">
        <v>1</v>
      </c>
      <c r="D1384">
        <v>1</v>
      </c>
      <c r="E1384">
        <v>1</v>
      </c>
      <c r="F1384">
        <v>1</v>
      </c>
      <c r="G1384">
        <v>1</v>
      </c>
      <c r="J1384">
        <f t="shared" si="61"/>
        <v>43</v>
      </c>
      <c r="K1384">
        <v>1</v>
      </c>
      <c r="L1384">
        <v>1</v>
      </c>
      <c r="M1384">
        <v>1</v>
      </c>
      <c r="N1384">
        <v>1</v>
      </c>
      <c r="O1384">
        <v>1</v>
      </c>
      <c r="R1384">
        <f t="shared" si="62"/>
        <v>43</v>
      </c>
      <c r="S1384">
        <v>1</v>
      </c>
      <c r="T1384">
        <v>1</v>
      </c>
      <c r="U1384">
        <v>1</v>
      </c>
      <c r="V1384">
        <v>1</v>
      </c>
      <c r="W1384">
        <v>1</v>
      </c>
    </row>
    <row r="1385" spans="2:23" x14ac:dyDescent="0.25">
      <c r="B1385">
        <f t="shared" si="60"/>
        <v>44</v>
      </c>
      <c r="C1385">
        <v>1</v>
      </c>
      <c r="D1385">
        <v>1</v>
      </c>
      <c r="E1385">
        <v>1</v>
      </c>
      <c r="F1385">
        <v>1</v>
      </c>
      <c r="G1385">
        <v>1</v>
      </c>
      <c r="J1385">
        <f t="shared" si="61"/>
        <v>44</v>
      </c>
      <c r="K1385">
        <v>1</v>
      </c>
      <c r="L1385">
        <v>1</v>
      </c>
      <c r="M1385">
        <v>1</v>
      </c>
      <c r="N1385">
        <v>1</v>
      </c>
      <c r="O1385">
        <v>1</v>
      </c>
      <c r="R1385">
        <f t="shared" si="62"/>
        <v>44</v>
      </c>
      <c r="S1385">
        <v>1</v>
      </c>
      <c r="T1385">
        <v>1</v>
      </c>
      <c r="U1385">
        <v>1</v>
      </c>
      <c r="V1385">
        <v>1</v>
      </c>
      <c r="W1385">
        <v>1</v>
      </c>
    </row>
    <row r="1386" spans="2:23" x14ac:dyDescent="0.25">
      <c r="B1386">
        <f t="shared" si="60"/>
        <v>45</v>
      </c>
      <c r="C1386">
        <v>1</v>
      </c>
      <c r="D1386">
        <v>1</v>
      </c>
      <c r="E1386">
        <v>1</v>
      </c>
      <c r="F1386">
        <v>1</v>
      </c>
      <c r="G1386">
        <v>1</v>
      </c>
      <c r="J1386">
        <f t="shared" si="61"/>
        <v>45</v>
      </c>
      <c r="K1386">
        <v>1</v>
      </c>
      <c r="L1386">
        <v>1</v>
      </c>
      <c r="M1386">
        <v>1</v>
      </c>
      <c r="N1386">
        <v>1</v>
      </c>
      <c r="O1386">
        <v>1</v>
      </c>
      <c r="R1386">
        <f t="shared" si="62"/>
        <v>45</v>
      </c>
      <c r="S1386">
        <v>1</v>
      </c>
      <c r="T1386">
        <v>1</v>
      </c>
      <c r="U1386">
        <v>1</v>
      </c>
      <c r="V1386">
        <v>1</v>
      </c>
      <c r="W1386">
        <v>1</v>
      </c>
    </row>
    <row r="1387" spans="2:23" x14ac:dyDescent="0.25">
      <c r="B1387">
        <f t="shared" si="60"/>
        <v>46</v>
      </c>
      <c r="C1387">
        <v>1</v>
      </c>
      <c r="D1387">
        <v>1</v>
      </c>
      <c r="E1387">
        <v>1</v>
      </c>
      <c r="F1387">
        <v>1</v>
      </c>
      <c r="G1387">
        <v>1</v>
      </c>
      <c r="J1387">
        <f t="shared" si="61"/>
        <v>46</v>
      </c>
      <c r="K1387">
        <v>1</v>
      </c>
      <c r="L1387">
        <v>1</v>
      </c>
      <c r="M1387">
        <v>1</v>
      </c>
      <c r="N1387">
        <v>1</v>
      </c>
      <c r="O1387">
        <v>1</v>
      </c>
      <c r="R1387">
        <f t="shared" si="62"/>
        <v>46</v>
      </c>
      <c r="S1387">
        <v>1</v>
      </c>
      <c r="T1387">
        <v>1</v>
      </c>
      <c r="U1387">
        <v>1</v>
      </c>
      <c r="V1387">
        <v>1</v>
      </c>
      <c r="W1387">
        <v>1</v>
      </c>
    </row>
    <row r="1388" spans="2:23" x14ac:dyDescent="0.25">
      <c r="B1388">
        <f t="shared" si="60"/>
        <v>47</v>
      </c>
      <c r="C1388">
        <v>1</v>
      </c>
      <c r="D1388">
        <v>1</v>
      </c>
      <c r="E1388">
        <v>1</v>
      </c>
      <c r="F1388">
        <v>1</v>
      </c>
      <c r="G1388">
        <v>1</v>
      </c>
      <c r="J1388">
        <f t="shared" si="61"/>
        <v>47</v>
      </c>
      <c r="K1388">
        <v>1</v>
      </c>
      <c r="L1388">
        <v>1</v>
      </c>
      <c r="M1388">
        <v>1</v>
      </c>
      <c r="N1388">
        <v>1</v>
      </c>
      <c r="O1388">
        <v>1</v>
      </c>
      <c r="R1388">
        <f t="shared" si="62"/>
        <v>47</v>
      </c>
      <c r="S1388">
        <v>1</v>
      </c>
      <c r="T1388">
        <v>1</v>
      </c>
      <c r="U1388">
        <v>1</v>
      </c>
      <c r="V1388">
        <v>1</v>
      </c>
      <c r="W1388">
        <v>1</v>
      </c>
    </row>
    <row r="1389" spans="2:23" x14ac:dyDescent="0.25">
      <c r="B1389">
        <f t="shared" si="60"/>
        <v>48</v>
      </c>
      <c r="C1389">
        <v>1</v>
      </c>
      <c r="D1389">
        <v>1</v>
      </c>
      <c r="E1389">
        <v>1</v>
      </c>
      <c r="F1389">
        <v>1</v>
      </c>
      <c r="G1389">
        <v>1</v>
      </c>
      <c r="J1389">
        <f t="shared" si="61"/>
        <v>48</v>
      </c>
      <c r="K1389">
        <v>1</v>
      </c>
      <c r="L1389">
        <v>1</v>
      </c>
      <c r="M1389">
        <v>1</v>
      </c>
      <c r="N1389">
        <v>1</v>
      </c>
      <c r="O1389">
        <v>1</v>
      </c>
      <c r="R1389">
        <f t="shared" si="62"/>
        <v>48</v>
      </c>
      <c r="S1389">
        <v>1</v>
      </c>
      <c r="T1389">
        <v>1</v>
      </c>
      <c r="U1389">
        <v>1</v>
      </c>
      <c r="V1389">
        <v>1</v>
      </c>
      <c r="W1389">
        <v>1</v>
      </c>
    </row>
    <row r="1390" spans="2:23" x14ac:dyDescent="0.25">
      <c r="B1390">
        <f t="shared" si="60"/>
        <v>49</v>
      </c>
      <c r="C1390">
        <v>1</v>
      </c>
      <c r="D1390">
        <v>1</v>
      </c>
      <c r="E1390">
        <v>1</v>
      </c>
      <c r="F1390">
        <v>1</v>
      </c>
      <c r="G1390">
        <v>1</v>
      </c>
      <c r="J1390">
        <f t="shared" si="61"/>
        <v>49</v>
      </c>
      <c r="K1390">
        <v>1</v>
      </c>
      <c r="L1390">
        <v>1</v>
      </c>
      <c r="M1390">
        <v>1</v>
      </c>
      <c r="N1390">
        <v>1</v>
      </c>
      <c r="O1390">
        <v>1</v>
      </c>
      <c r="R1390">
        <f t="shared" si="62"/>
        <v>49</v>
      </c>
      <c r="S1390">
        <v>1</v>
      </c>
      <c r="T1390">
        <v>1</v>
      </c>
      <c r="U1390">
        <v>1</v>
      </c>
      <c r="V1390">
        <v>1</v>
      </c>
      <c r="W1390">
        <v>1</v>
      </c>
    </row>
    <row r="1391" spans="2:23" x14ac:dyDescent="0.25">
      <c r="B1391">
        <f t="shared" si="60"/>
        <v>50</v>
      </c>
      <c r="C1391">
        <v>1</v>
      </c>
      <c r="D1391">
        <v>1</v>
      </c>
      <c r="E1391">
        <v>1</v>
      </c>
      <c r="F1391">
        <v>1</v>
      </c>
      <c r="G1391">
        <v>1</v>
      </c>
      <c r="J1391">
        <f t="shared" si="61"/>
        <v>50</v>
      </c>
      <c r="K1391">
        <v>1</v>
      </c>
      <c r="L1391">
        <v>1</v>
      </c>
      <c r="M1391">
        <v>1</v>
      </c>
      <c r="N1391">
        <v>1</v>
      </c>
      <c r="O1391">
        <v>1</v>
      </c>
      <c r="R1391">
        <f t="shared" si="62"/>
        <v>50</v>
      </c>
      <c r="S1391">
        <v>1</v>
      </c>
      <c r="T1391">
        <v>1</v>
      </c>
      <c r="U1391">
        <v>1</v>
      </c>
      <c r="V1391">
        <v>1</v>
      </c>
      <c r="W1391">
        <v>1</v>
      </c>
    </row>
    <row r="1392" spans="2:23" x14ac:dyDescent="0.25">
      <c r="B1392">
        <f t="shared" si="60"/>
        <v>51</v>
      </c>
      <c r="C1392">
        <v>1</v>
      </c>
      <c r="D1392">
        <v>1</v>
      </c>
      <c r="E1392">
        <v>1</v>
      </c>
      <c r="F1392">
        <v>1</v>
      </c>
      <c r="G1392">
        <v>1</v>
      </c>
      <c r="J1392">
        <f t="shared" si="61"/>
        <v>51</v>
      </c>
      <c r="K1392">
        <v>1</v>
      </c>
      <c r="L1392">
        <v>1</v>
      </c>
      <c r="M1392">
        <v>1</v>
      </c>
      <c r="N1392">
        <v>1</v>
      </c>
      <c r="O1392">
        <v>1</v>
      </c>
      <c r="R1392">
        <f t="shared" si="62"/>
        <v>51</v>
      </c>
      <c r="S1392">
        <v>1</v>
      </c>
      <c r="T1392">
        <v>1</v>
      </c>
      <c r="U1392">
        <v>1</v>
      </c>
      <c r="V1392">
        <v>1</v>
      </c>
      <c r="W1392">
        <v>1</v>
      </c>
    </row>
    <row r="1393" spans="2:23" x14ac:dyDescent="0.25">
      <c r="B1393">
        <f t="shared" si="60"/>
        <v>52</v>
      </c>
      <c r="C1393">
        <v>1</v>
      </c>
      <c r="D1393">
        <v>1</v>
      </c>
      <c r="E1393">
        <v>1</v>
      </c>
      <c r="F1393">
        <v>1</v>
      </c>
      <c r="G1393">
        <v>1</v>
      </c>
      <c r="J1393">
        <f t="shared" si="61"/>
        <v>52</v>
      </c>
      <c r="K1393">
        <v>1</v>
      </c>
      <c r="L1393">
        <v>1</v>
      </c>
      <c r="M1393">
        <v>1</v>
      </c>
      <c r="N1393">
        <v>1</v>
      </c>
      <c r="O1393">
        <v>1</v>
      </c>
      <c r="R1393">
        <f t="shared" si="62"/>
        <v>52</v>
      </c>
      <c r="S1393">
        <v>1</v>
      </c>
      <c r="T1393">
        <v>1</v>
      </c>
      <c r="U1393">
        <v>1</v>
      </c>
      <c r="V1393">
        <v>1</v>
      </c>
      <c r="W1393">
        <v>1</v>
      </c>
    </row>
    <row r="1394" spans="2:23" x14ac:dyDescent="0.25">
      <c r="B1394">
        <f t="shared" si="60"/>
        <v>53</v>
      </c>
      <c r="C1394">
        <v>1</v>
      </c>
      <c r="D1394">
        <v>1</v>
      </c>
      <c r="E1394">
        <v>1</v>
      </c>
      <c r="F1394">
        <v>1</v>
      </c>
      <c r="G1394">
        <v>1</v>
      </c>
      <c r="J1394">
        <f t="shared" si="61"/>
        <v>53</v>
      </c>
      <c r="K1394">
        <v>1</v>
      </c>
      <c r="L1394">
        <v>1</v>
      </c>
      <c r="M1394">
        <v>1</v>
      </c>
      <c r="N1394">
        <v>1</v>
      </c>
      <c r="O1394">
        <v>1</v>
      </c>
      <c r="R1394">
        <f t="shared" si="62"/>
        <v>53</v>
      </c>
      <c r="S1394">
        <v>1</v>
      </c>
      <c r="T1394">
        <v>1</v>
      </c>
      <c r="U1394">
        <v>1</v>
      </c>
      <c r="V1394">
        <v>1</v>
      </c>
      <c r="W1394">
        <v>1</v>
      </c>
    </row>
    <row r="1395" spans="2:23" x14ac:dyDescent="0.25">
      <c r="B1395">
        <f t="shared" si="60"/>
        <v>54</v>
      </c>
      <c r="C1395">
        <v>1</v>
      </c>
      <c r="D1395">
        <v>1</v>
      </c>
      <c r="E1395">
        <v>1</v>
      </c>
      <c r="F1395">
        <v>1</v>
      </c>
      <c r="G1395">
        <v>1</v>
      </c>
      <c r="J1395">
        <f t="shared" si="61"/>
        <v>54</v>
      </c>
      <c r="K1395">
        <v>1</v>
      </c>
      <c r="L1395">
        <v>1</v>
      </c>
      <c r="M1395">
        <v>1</v>
      </c>
      <c r="N1395">
        <v>1</v>
      </c>
      <c r="O1395">
        <v>1</v>
      </c>
      <c r="R1395">
        <f t="shared" si="62"/>
        <v>54</v>
      </c>
      <c r="S1395">
        <v>1</v>
      </c>
      <c r="T1395">
        <v>1</v>
      </c>
      <c r="U1395">
        <v>1</v>
      </c>
      <c r="V1395">
        <v>1</v>
      </c>
      <c r="W1395">
        <v>1</v>
      </c>
    </row>
    <row r="1396" spans="2:23" x14ac:dyDescent="0.25">
      <c r="B1396">
        <f t="shared" si="60"/>
        <v>55</v>
      </c>
      <c r="C1396">
        <v>1</v>
      </c>
      <c r="D1396">
        <v>1</v>
      </c>
      <c r="E1396">
        <v>1</v>
      </c>
      <c r="F1396">
        <v>1</v>
      </c>
      <c r="G1396">
        <v>1</v>
      </c>
      <c r="J1396">
        <f t="shared" si="61"/>
        <v>55</v>
      </c>
      <c r="K1396">
        <v>1</v>
      </c>
      <c r="L1396">
        <v>1</v>
      </c>
      <c r="M1396">
        <v>1</v>
      </c>
      <c r="N1396">
        <v>1</v>
      </c>
      <c r="O1396">
        <v>1</v>
      </c>
      <c r="R1396">
        <f t="shared" si="62"/>
        <v>55</v>
      </c>
      <c r="S1396">
        <v>1</v>
      </c>
      <c r="T1396">
        <v>1</v>
      </c>
      <c r="U1396">
        <v>1</v>
      </c>
      <c r="V1396">
        <v>1</v>
      </c>
      <c r="W1396">
        <v>1</v>
      </c>
    </row>
    <row r="1397" spans="2:23" x14ac:dyDescent="0.25">
      <c r="B1397">
        <f t="shared" si="60"/>
        <v>56</v>
      </c>
      <c r="C1397">
        <v>1</v>
      </c>
      <c r="D1397">
        <v>1</v>
      </c>
      <c r="E1397">
        <v>1</v>
      </c>
      <c r="F1397">
        <v>1</v>
      </c>
      <c r="G1397">
        <v>1</v>
      </c>
      <c r="J1397">
        <f t="shared" si="61"/>
        <v>56</v>
      </c>
      <c r="K1397">
        <v>1</v>
      </c>
      <c r="L1397">
        <v>1</v>
      </c>
      <c r="M1397">
        <v>1</v>
      </c>
      <c r="N1397">
        <v>1</v>
      </c>
      <c r="O1397">
        <v>1</v>
      </c>
      <c r="R1397">
        <f t="shared" si="62"/>
        <v>56</v>
      </c>
      <c r="S1397">
        <v>1</v>
      </c>
      <c r="T1397">
        <v>1</v>
      </c>
      <c r="U1397">
        <v>1</v>
      </c>
      <c r="V1397">
        <v>1</v>
      </c>
      <c r="W1397">
        <v>1</v>
      </c>
    </row>
    <row r="1398" spans="2:23" x14ac:dyDescent="0.25">
      <c r="B1398">
        <f t="shared" si="60"/>
        <v>57</v>
      </c>
      <c r="C1398">
        <v>1</v>
      </c>
      <c r="D1398">
        <v>1</v>
      </c>
      <c r="E1398">
        <v>1</v>
      </c>
      <c r="F1398">
        <v>1</v>
      </c>
      <c r="G1398">
        <v>1</v>
      </c>
      <c r="J1398">
        <f t="shared" si="61"/>
        <v>57</v>
      </c>
      <c r="K1398">
        <v>1</v>
      </c>
      <c r="L1398">
        <v>1</v>
      </c>
      <c r="M1398">
        <v>1</v>
      </c>
      <c r="N1398">
        <v>1</v>
      </c>
      <c r="O1398">
        <v>1</v>
      </c>
      <c r="R1398">
        <f t="shared" si="62"/>
        <v>57</v>
      </c>
      <c r="S1398">
        <v>1</v>
      </c>
      <c r="T1398">
        <v>1</v>
      </c>
      <c r="U1398">
        <v>1</v>
      </c>
      <c r="V1398">
        <v>1</v>
      </c>
      <c r="W1398">
        <v>1</v>
      </c>
    </row>
    <row r="1399" spans="2:23" x14ac:dyDescent="0.25">
      <c r="B1399">
        <f t="shared" si="60"/>
        <v>58</v>
      </c>
      <c r="C1399">
        <v>1</v>
      </c>
      <c r="D1399">
        <v>1</v>
      </c>
      <c r="E1399">
        <v>1</v>
      </c>
      <c r="F1399">
        <v>1</v>
      </c>
      <c r="G1399">
        <v>1</v>
      </c>
      <c r="J1399">
        <f t="shared" si="61"/>
        <v>58</v>
      </c>
      <c r="K1399">
        <v>1</v>
      </c>
      <c r="L1399">
        <v>1</v>
      </c>
      <c r="M1399">
        <v>1</v>
      </c>
      <c r="N1399">
        <v>1</v>
      </c>
      <c r="O1399">
        <v>1</v>
      </c>
      <c r="R1399">
        <f t="shared" si="62"/>
        <v>58</v>
      </c>
      <c r="S1399">
        <v>1</v>
      </c>
      <c r="T1399">
        <v>1</v>
      </c>
      <c r="U1399">
        <v>1</v>
      </c>
      <c r="V1399">
        <v>1</v>
      </c>
      <c r="W1399">
        <v>1</v>
      </c>
    </row>
    <row r="1400" spans="2:23" x14ac:dyDescent="0.25">
      <c r="B1400">
        <f t="shared" si="60"/>
        <v>59</v>
      </c>
      <c r="C1400">
        <v>1</v>
      </c>
      <c r="D1400">
        <v>1</v>
      </c>
      <c r="E1400">
        <v>1</v>
      </c>
      <c r="F1400">
        <v>1</v>
      </c>
      <c r="G1400">
        <v>1</v>
      </c>
      <c r="J1400">
        <f t="shared" si="61"/>
        <v>59</v>
      </c>
      <c r="K1400">
        <v>1</v>
      </c>
      <c r="L1400">
        <v>1</v>
      </c>
      <c r="M1400">
        <v>1</v>
      </c>
      <c r="N1400">
        <v>1</v>
      </c>
      <c r="O1400">
        <v>1</v>
      </c>
      <c r="R1400">
        <f t="shared" si="62"/>
        <v>59</v>
      </c>
      <c r="S1400">
        <v>1</v>
      </c>
      <c r="T1400">
        <v>1</v>
      </c>
      <c r="U1400">
        <v>1</v>
      </c>
      <c r="V1400">
        <v>1</v>
      </c>
      <c r="W1400">
        <v>1</v>
      </c>
    </row>
    <row r="1401" spans="2:23" x14ac:dyDescent="0.25">
      <c r="B1401">
        <f t="shared" si="60"/>
        <v>60</v>
      </c>
      <c r="C1401">
        <v>1</v>
      </c>
      <c r="D1401">
        <v>1</v>
      </c>
      <c r="E1401">
        <v>1</v>
      </c>
      <c r="F1401">
        <v>1</v>
      </c>
      <c r="G1401">
        <v>1</v>
      </c>
      <c r="J1401">
        <f t="shared" si="61"/>
        <v>60</v>
      </c>
      <c r="K1401">
        <v>1</v>
      </c>
      <c r="L1401">
        <v>1</v>
      </c>
      <c r="M1401">
        <v>1</v>
      </c>
      <c r="N1401">
        <v>1</v>
      </c>
      <c r="O1401">
        <v>1</v>
      </c>
      <c r="R1401">
        <f t="shared" si="62"/>
        <v>60</v>
      </c>
      <c r="S1401">
        <v>1</v>
      </c>
      <c r="T1401">
        <v>1</v>
      </c>
      <c r="U1401">
        <v>1</v>
      </c>
      <c r="V1401">
        <v>1</v>
      </c>
      <c r="W1401">
        <v>1</v>
      </c>
    </row>
    <row r="1402" spans="2:23" x14ac:dyDescent="0.25">
      <c r="B1402">
        <f t="shared" si="60"/>
        <v>61</v>
      </c>
      <c r="C1402">
        <v>1</v>
      </c>
      <c r="D1402">
        <v>1</v>
      </c>
      <c r="E1402">
        <v>1</v>
      </c>
      <c r="F1402">
        <v>1</v>
      </c>
      <c r="G1402">
        <v>1</v>
      </c>
      <c r="J1402">
        <f t="shared" si="61"/>
        <v>61</v>
      </c>
      <c r="K1402">
        <v>1</v>
      </c>
      <c r="L1402">
        <v>1</v>
      </c>
      <c r="M1402">
        <v>1</v>
      </c>
      <c r="N1402">
        <v>1</v>
      </c>
      <c r="O1402">
        <v>1</v>
      </c>
      <c r="R1402">
        <f t="shared" si="62"/>
        <v>61</v>
      </c>
      <c r="S1402">
        <v>1</v>
      </c>
      <c r="T1402">
        <v>1</v>
      </c>
      <c r="U1402">
        <v>1</v>
      </c>
      <c r="V1402">
        <v>1</v>
      </c>
      <c r="W1402">
        <v>1</v>
      </c>
    </row>
    <row r="1403" spans="2:23" x14ac:dyDescent="0.25">
      <c r="B1403">
        <f t="shared" si="60"/>
        <v>62</v>
      </c>
      <c r="C1403">
        <v>1</v>
      </c>
      <c r="D1403">
        <v>1</v>
      </c>
      <c r="E1403">
        <v>1</v>
      </c>
      <c r="F1403">
        <v>1</v>
      </c>
      <c r="G1403">
        <v>1</v>
      </c>
      <c r="J1403">
        <f t="shared" si="61"/>
        <v>62</v>
      </c>
      <c r="K1403">
        <v>1</v>
      </c>
      <c r="L1403">
        <v>1</v>
      </c>
      <c r="M1403">
        <v>1</v>
      </c>
      <c r="N1403">
        <v>1</v>
      </c>
      <c r="O1403">
        <v>1</v>
      </c>
      <c r="R1403">
        <f t="shared" si="62"/>
        <v>62</v>
      </c>
      <c r="S1403">
        <v>1</v>
      </c>
      <c r="T1403">
        <v>1</v>
      </c>
      <c r="U1403">
        <v>1</v>
      </c>
      <c r="V1403">
        <v>1</v>
      </c>
      <c r="W1403">
        <v>1</v>
      </c>
    </row>
    <row r="1404" spans="2:23" x14ac:dyDescent="0.25">
      <c r="B1404">
        <f t="shared" si="60"/>
        <v>63</v>
      </c>
      <c r="C1404">
        <v>1</v>
      </c>
      <c r="D1404">
        <v>1</v>
      </c>
      <c r="E1404">
        <v>1</v>
      </c>
      <c r="F1404">
        <v>1</v>
      </c>
      <c r="G1404">
        <v>1</v>
      </c>
      <c r="J1404">
        <f t="shared" si="61"/>
        <v>63</v>
      </c>
      <c r="K1404">
        <v>1</v>
      </c>
      <c r="L1404">
        <v>1</v>
      </c>
      <c r="M1404">
        <v>1</v>
      </c>
      <c r="N1404">
        <v>1</v>
      </c>
      <c r="O1404">
        <v>1</v>
      </c>
      <c r="R1404">
        <f t="shared" si="62"/>
        <v>63</v>
      </c>
      <c r="S1404">
        <v>1</v>
      </c>
      <c r="T1404">
        <v>1</v>
      </c>
      <c r="U1404">
        <v>1</v>
      </c>
      <c r="V1404">
        <v>1</v>
      </c>
      <c r="W1404">
        <v>1</v>
      </c>
    </row>
    <row r="1405" spans="2:23" x14ac:dyDescent="0.25">
      <c r="B1405">
        <f t="shared" si="60"/>
        <v>64</v>
      </c>
      <c r="C1405">
        <v>1</v>
      </c>
      <c r="D1405">
        <v>1</v>
      </c>
      <c r="E1405">
        <v>1</v>
      </c>
      <c r="F1405">
        <v>1</v>
      </c>
      <c r="G1405">
        <v>1</v>
      </c>
      <c r="J1405">
        <f t="shared" si="61"/>
        <v>64</v>
      </c>
      <c r="K1405">
        <v>1</v>
      </c>
      <c r="L1405">
        <v>1</v>
      </c>
      <c r="M1405">
        <v>1</v>
      </c>
      <c r="N1405">
        <v>1</v>
      </c>
      <c r="O1405">
        <v>1</v>
      </c>
      <c r="R1405">
        <f t="shared" si="62"/>
        <v>64</v>
      </c>
      <c r="S1405">
        <v>1</v>
      </c>
      <c r="T1405">
        <v>1</v>
      </c>
      <c r="U1405">
        <v>1</v>
      </c>
      <c r="V1405">
        <v>1</v>
      </c>
      <c r="W1405">
        <v>1</v>
      </c>
    </row>
    <row r="1406" spans="2:23" x14ac:dyDescent="0.25">
      <c r="B1406">
        <f t="shared" si="60"/>
        <v>65</v>
      </c>
      <c r="C1406">
        <v>1</v>
      </c>
      <c r="D1406">
        <v>1</v>
      </c>
      <c r="E1406">
        <v>1</v>
      </c>
      <c r="F1406">
        <v>1</v>
      </c>
      <c r="G1406">
        <v>1</v>
      </c>
      <c r="J1406">
        <f t="shared" si="61"/>
        <v>65</v>
      </c>
      <c r="K1406">
        <v>1</v>
      </c>
      <c r="L1406">
        <v>1</v>
      </c>
      <c r="M1406">
        <v>1</v>
      </c>
      <c r="N1406">
        <v>1</v>
      </c>
      <c r="O1406">
        <v>1</v>
      </c>
      <c r="R1406">
        <f t="shared" si="62"/>
        <v>65</v>
      </c>
      <c r="S1406">
        <v>1</v>
      </c>
      <c r="T1406">
        <v>1</v>
      </c>
      <c r="U1406">
        <v>1</v>
      </c>
      <c r="V1406">
        <v>1</v>
      </c>
      <c r="W1406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18D35-F794-4CFF-8A99-76DA94083C34}">
  <sheetPr codeName="Sheet35">
    <tabColor theme="5" tint="0.79998168889431442"/>
  </sheetPr>
  <dimension ref="A1:AF1406"/>
  <sheetViews>
    <sheetView topLeftCell="D1" workbookViewId="0">
      <selection activeCell="AF237" sqref="AF237:AF267"/>
    </sheetView>
  </sheetViews>
  <sheetFormatPr defaultColWidth="8.85546875" defaultRowHeight="15" x14ac:dyDescent="0.25"/>
  <sheetData>
    <row r="1" spans="1:32" x14ac:dyDescent="0.25">
      <c r="A1" t="s">
        <v>62</v>
      </c>
      <c r="B1" t="s">
        <v>63</v>
      </c>
    </row>
    <row r="2" spans="1:32" x14ac:dyDescent="0.25">
      <c r="B2" t="s">
        <v>46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47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48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32" x14ac:dyDescent="0.25">
      <c r="B3">
        <v>26</v>
      </c>
      <c r="C3">
        <v>374.62012437997896</v>
      </c>
      <c r="D3">
        <v>547.00944290515201</v>
      </c>
      <c r="E3">
        <v>1064.1774706515612</v>
      </c>
      <c r="F3">
        <v>1926.1240146607688</v>
      </c>
      <c r="G3">
        <v>3650.0172430264724</v>
      </c>
      <c r="H3">
        <v>7097.8040272360304</v>
      </c>
      <c r="J3">
        <v>26</v>
      </c>
      <c r="K3">
        <v>419.03688141892553</v>
      </c>
      <c r="L3">
        <v>542.50025188114523</v>
      </c>
      <c r="M3">
        <v>912.89120621279653</v>
      </c>
      <c r="N3">
        <v>1530.2074906887465</v>
      </c>
      <c r="O3">
        <v>2764.8416988755853</v>
      </c>
      <c r="P3">
        <v>5234.1139401441324</v>
      </c>
      <c r="R3">
        <v>26</v>
      </c>
      <c r="S3" s="13">
        <v>4.3586992199972974E-2</v>
      </c>
      <c r="T3" s="13">
        <v>4.1031580782094679E-2</v>
      </c>
      <c r="U3" s="13">
        <v>3.8768558593547997E-2</v>
      </c>
      <c r="V3" s="13">
        <v>3.7822177252537337E-2</v>
      </c>
      <c r="W3" s="13">
        <v>3.7302145729552372E-2</v>
      </c>
      <c r="X3" s="13">
        <v>3.7029023469531408E-2</v>
      </c>
      <c r="AA3">
        <v>-7435.5060999999996</v>
      </c>
      <c r="AB3">
        <v>-7435.5060999999996</v>
      </c>
      <c r="AC3">
        <v>-7435.5060999999996</v>
      </c>
      <c r="AD3">
        <v>-7435.5060999999996</v>
      </c>
      <c r="AE3">
        <v>-7435.5060999999996</v>
      </c>
      <c r="AF3">
        <v>-7435.5060999999996</v>
      </c>
    </row>
    <row r="4" spans="1:32" x14ac:dyDescent="0.25">
      <c r="B4">
        <v>27</v>
      </c>
      <c r="C4">
        <v>473.09249534989408</v>
      </c>
      <c r="D4">
        <v>742.29427141668918</v>
      </c>
      <c r="E4">
        <v>1549.8997504538054</v>
      </c>
      <c r="F4">
        <v>2895.9084836006937</v>
      </c>
      <c r="G4">
        <v>5587.9261868980329</v>
      </c>
      <c r="H4">
        <v>10971.961711809512</v>
      </c>
      <c r="J4">
        <v>27</v>
      </c>
      <c r="K4">
        <v>489.561629067588</v>
      </c>
      <c r="L4">
        <v>682.36109554878294</v>
      </c>
      <c r="M4">
        <v>1260.7612399663467</v>
      </c>
      <c r="N4">
        <v>2224.7568696197013</v>
      </c>
      <c r="O4">
        <v>4152.7508707324087</v>
      </c>
      <c r="P4">
        <v>8008.7402417208214</v>
      </c>
      <c r="R4">
        <v>27</v>
      </c>
      <c r="S4" s="13">
        <v>4.2101819172167376E-2</v>
      </c>
      <c r="T4" s="13">
        <v>3.996585051071988E-2</v>
      </c>
      <c r="U4" s="13">
        <v>3.8269796615353124E-2</v>
      </c>
      <c r="V4" s="13">
        <v>3.7608698829257659E-2</v>
      </c>
      <c r="W4" s="13">
        <v>3.7256647822057065E-2</v>
      </c>
      <c r="X4" s="13">
        <v>3.7074826625351331E-2</v>
      </c>
      <c r="AA4">
        <v>-7434.2619000000004</v>
      </c>
      <c r="AB4">
        <v>-7434.2619000000004</v>
      </c>
      <c r="AC4">
        <v>-7434.2619000000004</v>
      </c>
      <c r="AD4">
        <v>-7434.2619000000004</v>
      </c>
      <c r="AE4">
        <v>-7434.2619000000004</v>
      </c>
      <c r="AF4">
        <v>-7434.2619000000004</v>
      </c>
    </row>
    <row r="5" spans="1:32" x14ac:dyDescent="0.25">
      <c r="B5">
        <v>28</v>
      </c>
      <c r="C5">
        <v>371.13008792062237</v>
      </c>
      <c r="D5">
        <v>540.08034846154101</v>
      </c>
      <c r="E5">
        <v>1046.9312500600633</v>
      </c>
      <c r="F5">
        <v>1891.6825759183259</v>
      </c>
      <c r="G5">
        <v>3581.1855955885394</v>
      </c>
      <c r="H5">
        <v>6960.1909824293416</v>
      </c>
      <c r="J5">
        <v>28</v>
      </c>
      <c r="K5">
        <v>416.53759560511776</v>
      </c>
      <c r="L5">
        <v>537.53775534238457</v>
      </c>
      <c r="M5">
        <v>900.5396362581414</v>
      </c>
      <c r="N5">
        <v>1505.5407054540119</v>
      </c>
      <c r="O5">
        <v>2715.5471427317534</v>
      </c>
      <c r="P5">
        <v>5135.5523939868144</v>
      </c>
      <c r="R5">
        <v>28</v>
      </c>
      <c r="S5" s="13">
        <v>4.3663000214631209E-2</v>
      </c>
      <c r="T5" s="13">
        <v>4.1091029181764105E-2</v>
      </c>
      <c r="U5" s="13">
        <v>3.8800461887196436E-2</v>
      </c>
      <c r="V5" s="13">
        <v>3.7838920607994542E-2</v>
      </c>
      <c r="W5" s="13">
        <v>3.7309641996818632E-2</v>
      </c>
      <c r="X5" s="13">
        <v>3.7031383822920372E-2</v>
      </c>
      <c r="AA5">
        <v>-7432.8334999999997</v>
      </c>
      <c r="AB5">
        <v>-7432.8334999999997</v>
      </c>
      <c r="AC5">
        <v>-7432.8334999999997</v>
      </c>
      <c r="AD5">
        <v>-7432.8334999999997</v>
      </c>
      <c r="AE5">
        <v>-7432.8334999999997</v>
      </c>
      <c r="AF5">
        <v>-7432.8334999999997</v>
      </c>
    </row>
    <row r="6" spans="1:32" x14ac:dyDescent="0.25">
      <c r="B6">
        <v>29</v>
      </c>
      <c r="C6">
        <v>478.96308849620181</v>
      </c>
      <c r="D6">
        <v>753.92535571865039</v>
      </c>
      <c r="E6">
        <v>1578.8125648044922</v>
      </c>
      <c r="F6">
        <v>2953.6240522674825</v>
      </c>
      <c r="G6">
        <v>5703.2473884664314</v>
      </c>
      <c r="H6">
        <v>11202.49410473416</v>
      </c>
      <c r="J6">
        <v>29</v>
      </c>
      <c r="K6">
        <v>493.76684290828916</v>
      </c>
      <c r="L6">
        <v>690.69115372749638</v>
      </c>
      <c r="M6">
        <v>1281.468796445497</v>
      </c>
      <c r="N6">
        <v>2266.0921003428666</v>
      </c>
      <c r="O6">
        <v>4235.3428848987533</v>
      </c>
      <c r="P6">
        <v>8173.8449611999094</v>
      </c>
      <c r="R6">
        <v>29</v>
      </c>
      <c r="S6" s="13">
        <v>4.2041777689150628E-2</v>
      </c>
      <c r="T6" s="13">
        <v>3.9927105699744114E-2</v>
      </c>
      <c r="U6" s="13">
        <v>3.8255452804771162E-2</v>
      </c>
      <c r="V6" s="13">
        <v>3.7605655700854612E-2</v>
      </c>
      <c r="W6" s="13">
        <v>3.726003647049092E-2</v>
      </c>
      <c r="X6" s="13">
        <v>3.7081648405453027E-2</v>
      </c>
      <c r="AA6">
        <v>-7431.2058999999999</v>
      </c>
      <c r="AB6">
        <v>-7431.2058999999999</v>
      </c>
      <c r="AC6">
        <v>-7431.2058999999999</v>
      </c>
      <c r="AD6">
        <v>-7431.2058999999999</v>
      </c>
      <c r="AE6">
        <v>-7431.2058999999999</v>
      </c>
      <c r="AF6">
        <v>-7431.2058999999999</v>
      </c>
    </row>
    <row r="7" spans="1:32" x14ac:dyDescent="0.25">
      <c r="B7">
        <v>30</v>
      </c>
      <c r="C7">
        <v>379.09832790694531</v>
      </c>
      <c r="D7">
        <v>555.87658059316834</v>
      </c>
      <c r="E7">
        <v>1086.211518480525</v>
      </c>
      <c r="F7">
        <v>1970.1028775967111</v>
      </c>
      <c r="G7">
        <v>3737.8857665206538</v>
      </c>
      <c r="H7">
        <v>7273.4519359992682</v>
      </c>
      <c r="J7">
        <v>30</v>
      </c>
      <c r="K7">
        <v>422.24440558531523</v>
      </c>
      <c r="L7">
        <v>548.8507218589466</v>
      </c>
      <c r="M7">
        <v>928.67176994301371</v>
      </c>
      <c r="N7">
        <v>1561.7044683084132</v>
      </c>
      <c r="O7">
        <v>2827.7718576385378</v>
      </c>
      <c r="P7">
        <v>5359.9112080719933</v>
      </c>
      <c r="R7">
        <v>30</v>
      </c>
      <c r="S7" s="13">
        <v>4.3500317685221335E-2</v>
      </c>
      <c r="T7" s="13">
        <v>4.0965819855644625E-2</v>
      </c>
      <c r="U7" s="13">
        <v>3.8736381883228255E-2</v>
      </c>
      <c r="V7" s="13">
        <v>3.7808233294280402E-2</v>
      </c>
      <c r="W7" s="13">
        <v>3.7299274601494403E-2</v>
      </c>
      <c r="X7" s="13">
        <v>3.7032268245456246E-2</v>
      </c>
      <c r="AA7">
        <v>-7429.3476000000001</v>
      </c>
      <c r="AB7">
        <v>-7429.3476000000001</v>
      </c>
      <c r="AC7">
        <v>-7429.3476000000001</v>
      </c>
      <c r="AD7">
        <v>-7429.3476000000001</v>
      </c>
      <c r="AE7">
        <v>-7429.3476000000001</v>
      </c>
      <c r="AF7">
        <v>-7429.3476000000001</v>
      </c>
    </row>
    <row r="8" spans="1:32" x14ac:dyDescent="0.25">
      <c r="B8">
        <v>31</v>
      </c>
      <c r="C8">
        <v>380.85660616197748</v>
      </c>
      <c r="D8">
        <v>559.36079528945675</v>
      </c>
      <c r="E8">
        <v>1094.8733856197109</v>
      </c>
      <c r="F8">
        <v>1987.3942433963482</v>
      </c>
      <c r="G8">
        <v>3772.4360662318259</v>
      </c>
      <c r="H8">
        <v>7342.519712659102</v>
      </c>
      <c r="J8">
        <v>31</v>
      </c>
      <c r="K8">
        <v>423.50368685649528</v>
      </c>
      <c r="L8">
        <v>551.34667392847314</v>
      </c>
      <c r="M8">
        <v>934.87590297911447</v>
      </c>
      <c r="N8">
        <v>1574.0898128749504</v>
      </c>
      <c r="O8">
        <v>2852.5188848074395</v>
      </c>
      <c r="P8">
        <v>5409.3770374997839</v>
      </c>
      <c r="R8">
        <v>31</v>
      </c>
      <c r="S8" s="13">
        <v>4.3466169699488244E-2</v>
      </c>
      <c r="T8" s="13">
        <v>4.0939895518810498E-2</v>
      </c>
      <c r="U8" s="13">
        <v>3.8723455419933606E-2</v>
      </c>
      <c r="V8" s="13">
        <v>3.7802324481308602E-2</v>
      </c>
      <c r="W8" s="13">
        <v>3.7297613631523063E-2</v>
      </c>
      <c r="X8" s="13">
        <v>3.7032943915336736E-2</v>
      </c>
      <c r="AA8">
        <v>-7427.2446</v>
      </c>
      <c r="AB8">
        <v>-7427.2446</v>
      </c>
      <c r="AC8">
        <v>-7427.2446</v>
      </c>
      <c r="AD8">
        <v>-7427.2446</v>
      </c>
      <c r="AE8">
        <v>-7427.2446</v>
      </c>
      <c r="AF8">
        <v>-7427.2446</v>
      </c>
    </row>
    <row r="9" spans="1:32" x14ac:dyDescent="0.25">
      <c r="B9">
        <v>32</v>
      </c>
      <c r="C9">
        <v>471.09847906986982</v>
      </c>
      <c r="D9">
        <v>738.31663509599036</v>
      </c>
      <c r="E9">
        <v>1539.9710616330519</v>
      </c>
      <c r="F9">
        <v>2876.0616166363761</v>
      </c>
      <c r="G9">
        <v>5548.2429429421836</v>
      </c>
      <c r="H9">
        <v>10892.605635833477</v>
      </c>
      <c r="J9">
        <v>32</v>
      </c>
      <c r="K9">
        <v>488.13418570626163</v>
      </c>
      <c r="L9">
        <v>679.51324417459364</v>
      </c>
      <c r="M9">
        <v>1253.649938984001</v>
      </c>
      <c r="N9">
        <v>2210.5426268049814</v>
      </c>
      <c r="O9">
        <v>4124.330504834179</v>
      </c>
      <c r="P9">
        <v>7951.9067268923536</v>
      </c>
      <c r="R9">
        <v>32</v>
      </c>
      <c r="S9" s="13">
        <v>4.2129413000898452E-2</v>
      </c>
      <c r="T9" s="13">
        <v>3.9985627270583191E-2</v>
      </c>
      <c r="U9" s="13">
        <v>3.8280412653821649E-2</v>
      </c>
      <c r="V9" s="13">
        <v>3.7615042718065705E-2</v>
      </c>
      <c r="W9" s="13">
        <v>3.7260552557296878E-2</v>
      </c>
      <c r="X9" s="13">
        <v>3.7077426151182369E-2</v>
      </c>
      <c r="AA9">
        <v>-7424.8944000000001</v>
      </c>
      <c r="AB9">
        <v>-7424.8944000000001</v>
      </c>
      <c r="AC9">
        <v>-7424.8944000000001</v>
      </c>
      <c r="AD9">
        <v>-7424.8944000000001</v>
      </c>
      <c r="AE9">
        <v>-7424.8944000000001</v>
      </c>
      <c r="AF9">
        <v>-7424.8944000000001</v>
      </c>
    </row>
    <row r="10" spans="1:32" x14ac:dyDescent="0.25">
      <c r="B10">
        <v>33</v>
      </c>
      <c r="C10">
        <v>478.81141969630124</v>
      </c>
      <c r="D10">
        <v>753.60831744199697</v>
      </c>
      <c r="E10">
        <v>1577.9990357528341</v>
      </c>
      <c r="F10">
        <v>2951.9834262530985</v>
      </c>
      <c r="G10">
        <v>5699.9523285215319</v>
      </c>
      <c r="H10">
        <v>11195.890134377463</v>
      </c>
      <c r="J10">
        <v>33</v>
      </c>
      <c r="K10">
        <v>493.65794177101907</v>
      </c>
      <c r="L10">
        <v>690.46481550026601</v>
      </c>
      <c r="M10">
        <v>1280.8857265446859</v>
      </c>
      <c r="N10">
        <v>2264.9189596565629</v>
      </c>
      <c r="O10">
        <v>4232.9868277572823</v>
      </c>
      <c r="P10">
        <v>8169.1225792073237</v>
      </c>
      <c r="R10">
        <v>33</v>
      </c>
      <c r="S10" s="13">
        <v>4.2047351737636962E-2</v>
      </c>
      <c r="T10" s="13">
        <v>3.9931854090064389E-2</v>
      </c>
      <c r="U10" s="13">
        <v>3.8259156353254387E-2</v>
      </c>
      <c r="V10" s="13">
        <v>3.7608880542153722E-2</v>
      </c>
      <c r="W10" s="13">
        <v>3.7262982004322653E-2</v>
      </c>
      <c r="X10" s="13">
        <v>3.7084443907793085E-2</v>
      </c>
      <c r="AA10">
        <v>-7422.2834000000003</v>
      </c>
      <c r="AB10">
        <v>-7422.2834000000003</v>
      </c>
      <c r="AC10">
        <v>-7422.2834000000003</v>
      </c>
      <c r="AD10">
        <v>-7422.2834000000003</v>
      </c>
      <c r="AE10">
        <v>-7422.2834000000003</v>
      </c>
      <c r="AF10">
        <v>-7422.2834000000003</v>
      </c>
    </row>
    <row r="11" spans="1:32" x14ac:dyDescent="0.25">
      <c r="B11">
        <v>34</v>
      </c>
      <c r="C11">
        <v>477.78413007435006</v>
      </c>
      <c r="D11">
        <v>751.56804176799551</v>
      </c>
      <c r="E11">
        <v>1572.9197790998098</v>
      </c>
      <c r="F11">
        <v>2941.8393436641691</v>
      </c>
      <c r="G11">
        <v>5679.6784746071053</v>
      </c>
      <c r="H11">
        <v>11155.356737771512</v>
      </c>
      <c r="J11">
        <v>34</v>
      </c>
      <c r="K11">
        <v>492.92218908406039</v>
      </c>
      <c r="L11">
        <v>689.00348781546018</v>
      </c>
      <c r="M11">
        <v>1277.247410032247</v>
      </c>
      <c r="N11">
        <v>2257.653974167144</v>
      </c>
      <c r="O11">
        <v>4218.4671234112757</v>
      </c>
      <c r="P11">
        <v>8140.0934366807051</v>
      </c>
      <c r="R11">
        <v>34</v>
      </c>
      <c r="S11" s="13">
        <v>4.2058935739911041E-2</v>
      </c>
      <c r="T11" s="13">
        <v>3.9939646182226118E-2</v>
      </c>
      <c r="U11" s="13">
        <v>3.8262604379167842E-2</v>
      </c>
      <c r="V11" s="13">
        <v>3.7610322302698229E-2</v>
      </c>
      <c r="W11" s="13">
        <v>3.7263280177614488E-2</v>
      </c>
      <c r="X11" s="13">
        <v>3.7084131629913974E-2</v>
      </c>
      <c r="AA11">
        <v>-7419.3683000000001</v>
      </c>
      <c r="AB11">
        <v>-7419.3683000000001</v>
      </c>
      <c r="AC11">
        <v>-7419.3683000000001</v>
      </c>
      <c r="AD11">
        <v>-7419.3683000000001</v>
      </c>
      <c r="AE11">
        <v>-7419.3683000000001</v>
      </c>
      <c r="AF11">
        <v>-7419.3683000000001</v>
      </c>
    </row>
    <row r="12" spans="1:32" x14ac:dyDescent="0.25">
      <c r="B12">
        <v>35</v>
      </c>
      <c r="C12">
        <v>482.67096852428347</v>
      </c>
      <c r="D12">
        <v>761.25586973124985</v>
      </c>
      <c r="E12">
        <v>1597.0106586934417</v>
      </c>
      <c r="F12">
        <v>2989.9353141942784</v>
      </c>
      <c r="G12">
        <v>5775.7846312935071</v>
      </c>
      <c r="H12">
        <v>11347.483269977192</v>
      </c>
      <c r="J12">
        <v>35</v>
      </c>
      <c r="K12">
        <v>496.4223811058414</v>
      </c>
      <c r="L12">
        <v>695.94182226397425</v>
      </c>
      <c r="M12">
        <v>1294.5011318886318</v>
      </c>
      <c r="N12">
        <v>2292.1000648143672</v>
      </c>
      <c r="O12">
        <v>4287.2980011253676</v>
      </c>
      <c r="P12">
        <v>8277.6939255757607</v>
      </c>
      <c r="R12">
        <v>35</v>
      </c>
      <c r="S12" s="13">
        <v>4.2008698975718683E-2</v>
      </c>
      <c r="T12" s="13">
        <v>3.9907013823053727E-2</v>
      </c>
      <c r="U12" s="13">
        <v>3.8249988141878744E-2</v>
      </c>
      <c r="V12" s="13">
        <v>3.7606945984014706E-2</v>
      </c>
      <c r="W12" s="13">
        <v>3.7265152753771069E-2</v>
      </c>
      <c r="X12" s="13">
        <v>3.7088804364150629E-2</v>
      </c>
      <c r="AA12">
        <v>-7416.1363000000001</v>
      </c>
      <c r="AB12">
        <v>-7416.1363000000001</v>
      </c>
      <c r="AC12">
        <v>-7416.1363000000001</v>
      </c>
      <c r="AD12">
        <v>-7416.1363000000001</v>
      </c>
      <c r="AE12">
        <v>-7416.1363000000001</v>
      </c>
      <c r="AF12">
        <v>-7416.1363000000001</v>
      </c>
    </row>
    <row r="13" spans="1:32" x14ac:dyDescent="0.25">
      <c r="B13">
        <v>36</v>
      </c>
      <c r="C13">
        <v>503.0389970784247</v>
      </c>
      <c r="D13">
        <v>801.6430088478495</v>
      </c>
      <c r="E13">
        <v>1697.455096762279</v>
      </c>
      <c r="F13">
        <v>3190.475232367648</v>
      </c>
      <c r="G13">
        <v>6176.5155093295207</v>
      </c>
      <c r="H13">
        <v>12148.596090941872</v>
      </c>
      <c r="J13">
        <v>36</v>
      </c>
      <c r="K13">
        <v>511.00967571898582</v>
      </c>
      <c r="L13">
        <v>724.86669501224696</v>
      </c>
      <c r="M13">
        <v>1366.438359560314</v>
      </c>
      <c r="N13">
        <v>2435.7243412232856</v>
      </c>
      <c r="O13">
        <v>4574.2963708728639</v>
      </c>
      <c r="P13">
        <v>8851.4407494844054</v>
      </c>
      <c r="R13">
        <v>36</v>
      </c>
      <c r="S13" s="13">
        <v>4.1811811271678101E-2</v>
      </c>
      <c r="T13" s="13">
        <v>3.9780796275963981E-2</v>
      </c>
      <c r="U13" s="13">
        <v>3.8202176350298434E-2</v>
      </c>
      <c r="V13" s="13">
        <v>3.7594895076130896E-2</v>
      </c>
      <c r="W13" s="13">
        <v>3.7273317391079308E-2</v>
      </c>
      <c r="X13" s="13">
        <v>3.7107726584373557E-2</v>
      </c>
      <c r="AA13">
        <v>-7412.5378000000001</v>
      </c>
      <c r="AB13">
        <v>-7412.5378000000001</v>
      </c>
      <c r="AC13">
        <v>-7412.5378000000001</v>
      </c>
      <c r="AD13">
        <v>-7412.5378000000001</v>
      </c>
      <c r="AE13">
        <v>-7412.5378000000001</v>
      </c>
      <c r="AF13">
        <v>-7412.5378000000001</v>
      </c>
    </row>
    <row r="14" spans="1:32" x14ac:dyDescent="0.25">
      <c r="B14">
        <v>37</v>
      </c>
      <c r="C14">
        <v>517.01938170469884</v>
      </c>
      <c r="D14">
        <v>829.36330116325303</v>
      </c>
      <c r="E14">
        <v>1766.3950974886482</v>
      </c>
      <c r="F14">
        <v>3328.1147583593411</v>
      </c>
      <c r="G14">
        <v>6451.5540777778842</v>
      </c>
      <c r="H14">
        <v>12698.432713835709</v>
      </c>
      <c r="J14">
        <v>37</v>
      </c>
      <c r="K14">
        <v>521.02220782555514</v>
      </c>
      <c r="L14">
        <v>744.71968408374596</v>
      </c>
      <c r="M14">
        <v>1415.8125499023081</v>
      </c>
      <c r="N14">
        <v>2534.3006633815312</v>
      </c>
      <c r="O14">
        <v>4771.276863589228</v>
      </c>
      <c r="P14">
        <v>9245.2292319974804</v>
      </c>
      <c r="R14">
        <v>37</v>
      </c>
      <c r="S14" s="13">
        <v>4.168930911585389E-2</v>
      </c>
      <c r="T14" s="13">
        <v>3.9704185391499225E-2</v>
      </c>
      <c r="U14" s="13">
        <v>3.8174925116026381E-2</v>
      </c>
      <c r="V14" s="13">
        <v>3.758980980270854E-2</v>
      </c>
      <c r="W14" s="13">
        <v>3.7280683496511813E-2</v>
      </c>
      <c r="X14" s="13">
        <v>3.712169673009913E-2</v>
      </c>
      <c r="AA14">
        <v>-7408.55</v>
      </c>
      <c r="AB14">
        <v>-7408.55</v>
      </c>
      <c r="AC14">
        <v>-7408.55</v>
      </c>
      <c r="AD14">
        <v>-7408.55</v>
      </c>
      <c r="AE14">
        <v>-7408.55</v>
      </c>
      <c r="AF14">
        <v>-7408.55</v>
      </c>
    </row>
    <row r="15" spans="1:32" x14ac:dyDescent="0.25">
      <c r="B15">
        <v>38</v>
      </c>
      <c r="C15">
        <v>525.1725445751307</v>
      </c>
      <c r="D15">
        <v>845.52847740990342</v>
      </c>
      <c r="E15">
        <v>1806.5962979710241</v>
      </c>
      <c r="F15">
        <v>3408.3758653185305</v>
      </c>
      <c r="G15">
        <v>6611.9351158223226</v>
      </c>
      <c r="H15">
        <v>13019.053617719246</v>
      </c>
      <c r="J15">
        <v>38</v>
      </c>
      <c r="K15">
        <v>526.86131523895756</v>
      </c>
      <c r="L15">
        <v>756.29711214143663</v>
      </c>
      <c r="M15">
        <v>1444.6047566583475</v>
      </c>
      <c r="N15">
        <v>2591.7826269817306</v>
      </c>
      <c r="O15">
        <v>4886.1397002498416</v>
      </c>
      <c r="P15">
        <v>9474.8538570197124</v>
      </c>
      <c r="R15">
        <v>38</v>
      </c>
      <c r="S15" s="13">
        <v>4.1622277504371752E-2</v>
      </c>
      <c r="T15" s="13">
        <v>3.9662969948590421E-2</v>
      </c>
      <c r="U15" s="13">
        <v>3.8160974093792044E-2</v>
      </c>
      <c r="V15" s="13">
        <v>3.7587985723101403E-2</v>
      </c>
      <c r="W15" s="13">
        <v>3.7285648489329359E-2</v>
      </c>
      <c r="X15" s="13">
        <v>3.7130255873500939E-2</v>
      </c>
      <c r="AA15">
        <v>-7404.1752999999999</v>
      </c>
      <c r="AB15">
        <v>-7404.1752999999999</v>
      </c>
      <c r="AC15">
        <v>-7404.1752999999999</v>
      </c>
      <c r="AD15">
        <v>-7404.1752999999999</v>
      </c>
      <c r="AE15">
        <v>-7404.1752999999999</v>
      </c>
      <c r="AF15">
        <v>-7404.1752999999999</v>
      </c>
    </row>
    <row r="16" spans="1:32" x14ac:dyDescent="0.25">
      <c r="B16">
        <v>39</v>
      </c>
      <c r="C16">
        <v>528.0073401120801</v>
      </c>
      <c r="D16">
        <v>851.14778686072634</v>
      </c>
      <c r="E16">
        <v>1820.5691558054173</v>
      </c>
      <c r="F16">
        <v>3436.2712096499699</v>
      </c>
      <c r="G16">
        <v>6667.675516346827</v>
      </c>
      <c r="H16">
        <v>13130.484130105324</v>
      </c>
      <c r="J16">
        <v>39</v>
      </c>
      <c r="K16">
        <v>528.89160225048408</v>
      </c>
      <c r="L16">
        <v>760.32172388436902</v>
      </c>
      <c r="M16">
        <v>1454.6124189296279</v>
      </c>
      <c r="N16">
        <v>2611.7609575875977</v>
      </c>
      <c r="O16">
        <v>4926.060324241218</v>
      </c>
      <c r="P16">
        <v>9554.6590617448674</v>
      </c>
      <c r="R16">
        <v>39</v>
      </c>
      <c r="S16" s="13">
        <v>4.1599912160349195E-2</v>
      </c>
      <c r="T16" s="13">
        <v>3.9649403385442206E-2</v>
      </c>
      <c r="U16" s="13">
        <v>3.8156618531533848E-2</v>
      </c>
      <c r="V16" s="13">
        <v>3.7587707337975118E-2</v>
      </c>
      <c r="W16" s="13">
        <v>3.7287649316717131E-2</v>
      </c>
      <c r="X16" s="13">
        <v>3.7133462200277689E-2</v>
      </c>
      <c r="AA16">
        <v>-7399.3923999999997</v>
      </c>
      <c r="AB16">
        <v>-7399.3923999999997</v>
      </c>
      <c r="AC16">
        <v>-7399.3923999999997</v>
      </c>
      <c r="AD16">
        <v>-7399.3923999999997</v>
      </c>
      <c r="AE16">
        <v>-7399.3923999999997</v>
      </c>
      <c r="AF16">
        <v>-7399.3923999999997</v>
      </c>
    </row>
    <row r="17" spans="2:32" x14ac:dyDescent="0.25">
      <c r="B17">
        <v>40</v>
      </c>
      <c r="C17">
        <v>568.47233935957195</v>
      </c>
      <c r="D17">
        <v>931.38469452760069</v>
      </c>
      <c r="E17">
        <v>2020.1217698848295</v>
      </c>
      <c r="F17">
        <v>3834.6836580211007</v>
      </c>
      <c r="G17">
        <v>7463.8070937616731</v>
      </c>
      <c r="H17">
        <v>14722.054257631477</v>
      </c>
      <c r="J17">
        <v>40</v>
      </c>
      <c r="K17">
        <v>557.87219585169169</v>
      </c>
      <c r="L17">
        <v>817.78643317020578</v>
      </c>
      <c r="M17">
        <v>1597.5292580268288</v>
      </c>
      <c r="N17">
        <v>2897.1017313516568</v>
      </c>
      <c r="O17">
        <v>5496.2427760548308</v>
      </c>
      <c r="P17">
        <v>10694.52821576313</v>
      </c>
      <c r="R17">
        <v>40</v>
      </c>
      <c r="S17" s="13">
        <v>4.1309930011228069E-2</v>
      </c>
      <c r="T17" s="13">
        <v>3.9477133554923327E-2</v>
      </c>
      <c r="U17" s="13">
        <v>3.8104038871299872E-2</v>
      </c>
      <c r="V17" s="13">
        <v>3.7587383014000331E-2</v>
      </c>
      <c r="W17" s="13">
        <v>3.7316336564168218E-2</v>
      </c>
      <c r="X17" s="13">
        <v>3.7177449692013198E-2</v>
      </c>
      <c r="AA17">
        <v>-7394.1365999999998</v>
      </c>
      <c r="AB17">
        <v>-7394.1365999999998</v>
      </c>
      <c r="AC17">
        <v>-7394.1365999999998</v>
      </c>
      <c r="AD17">
        <v>-7394.1365999999998</v>
      </c>
      <c r="AE17">
        <v>-7394.1365999999998</v>
      </c>
      <c r="AF17">
        <v>-7394.1365999999998</v>
      </c>
    </row>
    <row r="18" spans="2:32" x14ac:dyDescent="0.25">
      <c r="B18">
        <v>41</v>
      </c>
      <c r="C18">
        <v>590.882806684873</v>
      </c>
      <c r="D18">
        <v>975.82032831305958</v>
      </c>
      <c r="E18">
        <v>2130.6328778627649</v>
      </c>
      <c r="F18">
        <v>4055.3204532632922</v>
      </c>
      <c r="G18">
        <v>7904.6956570616449</v>
      </c>
      <c r="H18">
        <v>15603.446067807194</v>
      </c>
      <c r="J18">
        <v>41</v>
      </c>
      <c r="K18">
        <v>573.92262545249378</v>
      </c>
      <c r="L18">
        <v>849.61104907935623</v>
      </c>
      <c r="M18">
        <v>1676.6761446318378</v>
      </c>
      <c r="N18">
        <v>3055.1178884350375</v>
      </c>
      <c r="O18">
        <v>5812.0019819758163</v>
      </c>
      <c r="P18">
        <v>11325.770205059031</v>
      </c>
      <c r="R18">
        <v>41</v>
      </c>
      <c r="S18" s="13">
        <v>4.1173812803489085E-2</v>
      </c>
      <c r="T18" s="13">
        <v>3.9400042945426206E-2</v>
      </c>
      <c r="U18" s="13">
        <v>3.8084637685787515E-2</v>
      </c>
      <c r="V18" s="13">
        <v>3.759265612564211E-2</v>
      </c>
      <c r="W18" s="13">
        <v>3.7335207551996596E-2</v>
      </c>
      <c r="X18" s="13">
        <v>3.7203458820229907E-2</v>
      </c>
      <c r="AA18">
        <v>-7388.3469999999998</v>
      </c>
      <c r="AB18">
        <v>-7388.3469999999998</v>
      </c>
      <c r="AC18">
        <v>-7388.3469999999998</v>
      </c>
      <c r="AD18">
        <v>-7388.3469999999998</v>
      </c>
      <c r="AE18">
        <v>-7388.3469999999998</v>
      </c>
      <c r="AF18">
        <v>-7388.3469999999998</v>
      </c>
    </row>
    <row r="19" spans="2:32" x14ac:dyDescent="0.25">
      <c r="B19">
        <v>42</v>
      </c>
      <c r="C19">
        <v>626.54791621017171</v>
      </c>
      <c r="D19">
        <v>1046.5373799409381</v>
      </c>
      <c r="E19">
        <v>2306.5057728377928</v>
      </c>
      <c r="F19">
        <v>4406.4531072961627</v>
      </c>
      <c r="G19">
        <v>8606.3477763978535</v>
      </c>
      <c r="H19">
        <v>17006.137114056324</v>
      </c>
      <c r="J19">
        <v>42</v>
      </c>
      <c r="K19">
        <v>599.46540389518213</v>
      </c>
      <c r="L19">
        <v>900.2576289335102</v>
      </c>
      <c r="M19">
        <v>1802.634323469556</v>
      </c>
      <c r="N19">
        <v>3306.5956287321897</v>
      </c>
      <c r="O19">
        <v>6314.5182413647271</v>
      </c>
      <c r="P19">
        <v>12330.363460421271</v>
      </c>
      <c r="R19">
        <v>42</v>
      </c>
      <c r="S19" s="13">
        <v>4.0986286743296851E-2</v>
      </c>
      <c r="T19" s="13">
        <v>3.9298523519349038E-2</v>
      </c>
      <c r="U19" s="13">
        <v>3.80646842676724E-2</v>
      </c>
      <c r="V19" s="13">
        <v>3.7607060256601432E-2</v>
      </c>
      <c r="W19" s="13">
        <v>3.7368420564689586E-2</v>
      </c>
      <c r="X19" s="13">
        <v>3.7246517455885364E-2</v>
      </c>
      <c r="AA19">
        <v>-7381.9919</v>
      </c>
      <c r="AB19">
        <v>-7381.9919</v>
      </c>
      <c r="AC19">
        <v>-7381.9919</v>
      </c>
      <c r="AD19">
        <v>-7381.9919</v>
      </c>
      <c r="AE19">
        <v>-7381.9919</v>
      </c>
      <c r="AF19">
        <v>-7381.9919</v>
      </c>
    </row>
    <row r="20" spans="2:32" x14ac:dyDescent="0.25">
      <c r="B20">
        <v>43</v>
      </c>
      <c r="C20">
        <v>648.3832482232458</v>
      </c>
      <c r="D20">
        <v>1089.831555150384</v>
      </c>
      <c r="E20">
        <v>2414.1765589634751</v>
      </c>
      <c r="F20">
        <v>4621.4182199194765</v>
      </c>
      <c r="G20">
        <v>9035.9015537082414</v>
      </c>
      <c r="H20">
        <v>17864.868482181417</v>
      </c>
      <c r="J20">
        <v>43</v>
      </c>
      <c r="K20">
        <v>615.10388772770057</v>
      </c>
      <c r="L20">
        <v>931.26446296407994</v>
      </c>
      <c r="M20">
        <v>1879.7471326930972</v>
      </c>
      <c r="N20">
        <v>3460.5514450604169</v>
      </c>
      <c r="O20">
        <v>6622.160204826665</v>
      </c>
      <c r="P20">
        <v>12945.380690584687</v>
      </c>
      <c r="R20">
        <v>43</v>
      </c>
      <c r="S20" s="13">
        <v>4.0886812641873549E-2</v>
      </c>
      <c r="T20" s="13">
        <v>3.9247357355009171E-2</v>
      </c>
      <c r="U20" s="13">
        <v>3.8058130206328311E-2</v>
      </c>
      <c r="V20" s="13">
        <v>3.7619040788546165E-2</v>
      </c>
      <c r="W20" s="13">
        <v>3.7390492869298297E-2</v>
      </c>
      <c r="X20" s="13">
        <v>3.7273859237263007E-2</v>
      </c>
      <c r="AA20">
        <v>-7374.9579999999996</v>
      </c>
      <c r="AB20">
        <v>-7374.9579999999996</v>
      </c>
      <c r="AC20">
        <v>-7374.9579999999996</v>
      </c>
      <c r="AD20">
        <v>-7374.9579999999996</v>
      </c>
      <c r="AE20">
        <v>-7374.9579999999996</v>
      </c>
      <c r="AF20">
        <v>-7374.9579999999996</v>
      </c>
    </row>
    <row r="21" spans="2:32" x14ac:dyDescent="0.25">
      <c r="B21">
        <v>44</v>
      </c>
      <c r="C21">
        <v>688.43087803721301</v>
      </c>
      <c r="D21">
        <v>1169.236268803837</v>
      </c>
      <c r="E21">
        <v>2611.6524806490011</v>
      </c>
      <c r="F21">
        <v>5015.6795026442087</v>
      </c>
      <c r="G21">
        <v>9823.7335472792292</v>
      </c>
      <c r="H21">
        <v>19439.841636544683</v>
      </c>
      <c r="J21">
        <v>44</v>
      </c>
      <c r="K21">
        <v>643.78539975647618</v>
      </c>
      <c r="L21">
        <v>988.13327326545186</v>
      </c>
      <c r="M21">
        <v>2021.1773416514225</v>
      </c>
      <c r="N21">
        <v>3742.9174811468038</v>
      </c>
      <c r="O21">
        <v>7186.3977674377966</v>
      </c>
      <c r="P21">
        <v>14073.358339967934</v>
      </c>
      <c r="R21">
        <v>44</v>
      </c>
      <c r="S21" s="13">
        <v>4.0729478465754809E-2</v>
      </c>
      <c r="T21" s="13">
        <v>3.9171120619628352E-2</v>
      </c>
      <c r="U21" s="13">
        <v>3.8054973800837777E-2</v>
      </c>
      <c r="V21" s="13">
        <v>3.764586998925612E-2</v>
      </c>
      <c r="W21" s="13">
        <v>3.743356724789515E-2</v>
      </c>
      <c r="X21" s="13">
        <v>3.7325390329890684E-2</v>
      </c>
      <c r="AA21">
        <v>-7367.2034999999996</v>
      </c>
      <c r="AB21">
        <v>-7367.2034999999996</v>
      </c>
      <c r="AC21">
        <v>-7367.2034999999996</v>
      </c>
      <c r="AD21">
        <v>-7367.2034999999996</v>
      </c>
      <c r="AE21">
        <v>-7367.2034999999996</v>
      </c>
      <c r="AF21">
        <v>-7367.2034999999996</v>
      </c>
    </row>
    <row r="22" spans="2:32" x14ac:dyDescent="0.25">
      <c r="B22">
        <v>45</v>
      </c>
      <c r="C22">
        <v>719.6851090298743</v>
      </c>
      <c r="D22">
        <v>1231.2046301941198</v>
      </c>
      <c r="E22">
        <v>2765.7631818444775</v>
      </c>
      <c r="F22">
        <v>5323.360784988623</v>
      </c>
      <c r="G22">
        <v>10438.555928919022</v>
      </c>
      <c r="H22">
        <v>20668.946269974444</v>
      </c>
      <c r="J22">
        <v>45</v>
      </c>
      <c r="K22">
        <v>666.16925862890548</v>
      </c>
      <c r="L22">
        <v>1032.5144510083428</v>
      </c>
      <c r="M22">
        <v>2131.5498944355313</v>
      </c>
      <c r="N22">
        <v>3963.275826106059</v>
      </c>
      <c r="O22">
        <v>7626.7269853703474</v>
      </c>
      <c r="P22">
        <v>14953.629904514091</v>
      </c>
      <c r="R22">
        <v>45</v>
      </c>
      <c r="S22" s="13">
        <v>4.0626152767267332E-2</v>
      </c>
      <c r="T22" s="13">
        <v>3.9125083560822116E-2</v>
      </c>
      <c r="U22" s="13">
        <v>3.8059283079935335E-2</v>
      </c>
      <c r="V22" s="13">
        <v>3.767057139922092E-2</v>
      </c>
      <c r="W22" s="13">
        <v>3.7469259227255858E-2</v>
      </c>
      <c r="X22" s="13">
        <v>3.7366790086750257E-2</v>
      </c>
      <c r="AA22">
        <v>-7358.6491999999998</v>
      </c>
      <c r="AB22">
        <v>-7358.6491999999998</v>
      </c>
      <c r="AC22">
        <v>-7358.6491999999998</v>
      </c>
      <c r="AD22">
        <v>-7358.6491999999998</v>
      </c>
      <c r="AE22">
        <v>-7358.6491999999998</v>
      </c>
      <c r="AF22">
        <v>-7358.6491999999998</v>
      </c>
    </row>
    <row r="23" spans="2:32" x14ac:dyDescent="0.25">
      <c r="B23">
        <v>46</v>
      </c>
      <c r="C23">
        <v>758.63032244396834</v>
      </c>
      <c r="D23">
        <v>1308.4209552306577</v>
      </c>
      <c r="E23">
        <v>2957.7928509152521</v>
      </c>
      <c r="F23">
        <v>5706.7460092633401</v>
      </c>
      <c r="G23">
        <v>11204.652357646046</v>
      </c>
      <c r="H23">
        <v>22200.465035241319</v>
      </c>
      <c r="J23">
        <v>46</v>
      </c>
      <c r="K23">
        <v>694.0614487430621</v>
      </c>
      <c r="L23">
        <v>1087.8159842763835</v>
      </c>
      <c r="M23">
        <v>2269.0795607816399</v>
      </c>
      <c r="N23">
        <v>4237.8521756221016</v>
      </c>
      <c r="O23">
        <v>8175.3977617245691</v>
      </c>
      <c r="P23">
        <v>16050.488718296867</v>
      </c>
      <c r="R23">
        <v>46</v>
      </c>
      <c r="S23" s="13">
        <v>4.0517371757444298E-2</v>
      </c>
      <c r="T23" s="13">
        <v>3.9081289584472989E-2</v>
      </c>
      <c r="U23" s="13">
        <v>3.8071406152668796E-2</v>
      </c>
      <c r="V23" s="13">
        <v>3.7705095729409832E-2</v>
      </c>
      <c r="W23" s="13">
        <v>3.7515806591437162E-2</v>
      </c>
      <c r="X23" s="13">
        <v>3.7419566958891037E-2</v>
      </c>
      <c r="AA23">
        <v>-7349.2232000000004</v>
      </c>
      <c r="AB23">
        <v>-7349.2232000000004</v>
      </c>
      <c r="AC23">
        <v>-7349.2232000000004</v>
      </c>
      <c r="AD23">
        <v>-7349.2232000000004</v>
      </c>
      <c r="AE23">
        <v>-7349.2232000000004</v>
      </c>
      <c r="AF23">
        <v>-7349.2232000000004</v>
      </c>
    </row>
    <row r="24" spans="2:32" x14ac:dyDescent="0.25">
      <c r="B24">
        <v>47</v>
      </c>
      <c r="C24">
        <v>810.76346993411073</v>
      </c>
      <c r="D24">
        <v>1411.7827045583749</v>
      </c>
      <c r="E24">
        <v>3214.8404282349143</v>
      </c>
      <c r="F24">
        <v>6219.9366312819047</v>
      </c>
      <c r="G24">
        <v>12230.12903606229</v>
      </c>
      <c r="H24">
        <v>24250.513844241163</v>
      </c>
      <c r="J24">
        <v>47</v>
      </c>
      <c r="K24">
        <v>731.39867817331742</v>
      </c>
      <c r="L24">
        <v>1161.8425860904117</v>
      </c>
      <c r="M24">
        <v>2453.1745314809159</v>
      </c>
      <c r="N24">
        <v>4605.3944059879723</v>
      </c>
      <c r="O24">
        <v>8909.8341403005761</v>
      </c>
      <c r="P24">
        <v>17518.713593459921</v>
      </c>
      <c r="R24">
        <v>47</v>
      </c>
      <c r="S24" s="13">
        <v>4.0400731708772231E-2</v>
      </c>
      <c r="T24" s="13">
        <v>3.9042076099372158E-2</v>
      </c>
      <c r="U24" s="13">
        <v>3.8097250376102121E-2</v>
      </c>
      <c r="V24" s="13">
        <v>3.7756685971964243E-2</v>
      </c>
      <c r="W24" s="13">
        <v>3.7581146908988838E-2</v>
      </c>
      <c r="X24" s="13">
        <v>3.7492014671078433E-2</v>
      </c>
      <c r="AA24">
        <v>-7338.8310000000001</v>
      </c>
      <c r="AB24">
        <v>-7338.8310000000001</v>
      </c>
      <c r="AC24">
        <v>-7338.8310000000001</v>
      </c>
      <c r="AD24">
        <v>-7338.8310000000001</v>
      </c>
      <c r="AE24">
        <v>-7338.8310000000001</v>
      </c>
      <c r="AF24">
        <v>-7338.8310000000001</v>
      </c>
    </row>
    <row r="25" spans="2:32" x14ac:dyDescent="0.25">
      <c r="B25">
        <v>48</v>
      </c>
      <c r="C25">
        <v>854.94242893419039</v>
      </c>
      <c r="D25">
        <v>1499.3720373398912</v>
      </c>
      <c r="E25">
        <v>3432.6608618153978</v>
      </c>
      <c r="F25">
        <v>6654.8089022627673</v>
      </c>
      <c r="G25">
        <v>13099.104990379547</v>
      </c>
      <c r="H25">
        <v>25987.697166743972</v>
      </c>
      <c r="J25">
        <v>48</v>
      </c>
      <c r="K25">
        <v>763.0392283266292</v>
      </c>
      <c r="L25">
        <v>1224.5732387411681</v>
      </c>
      <c r="M25">
        <v>2609.1752617203383</v>
      </c>
      <c r="N25">
        <v>4916.8452961726143</v>
      </c>
      <c r="O25">
        <v>9532.1854455607536</v>
      </c>
      <c r="P25">
        <v>18762.865745795367</v>
      </c>
      <c r="R25">
        <v>48</v>
      </c>
      <c r="S25" s="13">
        <v>4.0323391456300817E-2</v>
      </c>
      <c r="T25" s="13">
        <v>3.9023046844290254E-2</v>
      </c>
      <c r="U25" s="13">
        <v>3.8126158426343704E-2</v>
      </c>
      <c r="V25" s="13">
        <v>3.7804352135384134E-2</v>
      </c>
      <c r="W25" s="13">
        <v>3.7638787100250148E-2</v>
      </c>
      <c r="X25" s="13">
        <v>3.7554798748531182E-2</v>
      </c>
      <c r="AA25">
        <v>-7327.4297999999999</v>
      </c>
      <c r="AB25">
        <v>-7327.4297999999999</v>
      </c>
      <c r="AC25">
        <v>-7327.4297999999999</v>
      </c>
      <c r="AD25">
        <v>-7327.4297999999999</v>
      </c>
      <c r="AE25">
        <v>-7327.4297999999999</v>
      </c>
      <c r="AF25">
        <v>-7327.4297999999999</v>
      </c>
    </row>
    <row r="26" spans="2:32" x14ac:dyDescent="0.25">
      <c r="B26">
        <v>49</v>
      </c>
      <c r="C26">
        <v>915.05268172444096</v>
      </c>
      <c r="D26">
        <v>1618.5435395363631</v>
      </c>
      <c r="E26">
        <v>3729.0161394970678</v>
      </c>
      <c r="F26">
        <v>7246.4704689782129</v>
      </c>
      <c r="G26">
        <v>14281.379127254821</v>
      </c>
      <c r="H26">
        <v>28351.196443028603</v>
      </c>
      <c r="J26">
        <v>49</v>
      </c>
      <c r="K26">
        <v>806.08957974151872</v>
      </c>
      <c r="L26">
        <v>1309.9226202279624</v>
      </c>
      <c r="M26">
        <v>2821.4220355778598</v>
      </c>
      <c r="N26">
        <v>5340.5876858719275</v>
      </c>
      <c r="O26">
        <v>10378.918978862814</v>
      </c>
      <c r="P26">
        <v>20455.581556208723</v>
      </c>
      <c r="R26">
        <v>49</v>
      </c>
      <c r="S26" s="13">
        <v>4.0244058938813998E-2</v>
      </c>
      <c r="T26" s="13">
        <v>3.9014037571384996E-2</v>
      </c>
      <c r="U26" s="13">
        <v>3.8173824604949003E-2</v>
      </c>
      <c r="V26" s="13">
        <v>3.7873968840471672E-2</v>
      </c>
      <c r="W26" s="13">
        <v>3.7720028193251931E-2</v>
      </c>
      <c r="X26" s="13">
        <v>3.7642022605067105E-2</v>
      </c>
      <c r="AA26">
        <v>-7314.951</v>
      </c>
      <c r="AB26">
        <v>-7314.951</v>
      </c>
      <c r="AC26">
        <v>-7314.951</v>
      </c>
      <c r="AD26">
        <v>-7314.951</v>
      </c>
      <c r="AE26">
        <v>-7314.951</v>
      </c>
      <c r="AF26">
        <v>-7314.951</v>
      </c>
    </row>
    <row r="27" spans="2:32" x14ac:dyDescent="0.25">
      <c r="B27">
        <v>50</v>
      </c>
      <c r="C27">
        <v>981.98494707223472</v>
      </c>
      <c r="D27">
        <v>1751.2354617054232</v>
      </c>
      <c r="E27">
        <v>4058.9870260986859</v>
      </c>
      <c r="F27">
        <v>7905.2396327276356</v>
      </c>
      <c r="G27">
        <v>15597.744844388058</v>
      </c>
      <c r="H27">
        <v>30982.755266351229</v>
      </c>
      <c r="J27">
        <v>50</v>
      </c>
      <c r="K27">
        <v>854.02581611857931</v>
      </c>
      <c r="L27">
        <v>1404.9552777350582</v>
      </c>
      <c r="M27">
        <v>3057.7438881935304</v>
      </c>
      <c r="N27">
        <v>5812.39156466024</v>
      </c>
      <c r="O27">
        <v>11321.686900007538</v>
      </c>
      <c r="P27">
        <v>22340.277555756038</v>
      </c>
      <c r="R27">
        <v>50</v>
      </c>
      <c r="S27" s="13">
        <v>4.0184366452681086E-2</v>
      </c>
      <c r="T27" s="13">
        <v>3.9022472855271273E-2</v>
      </c>
      <c r="U27" s="13">
        <v>3.823603952013066E-2</v>
      </c>
      <c r="V27" s="13">
        <v>3.7956791225588482E-2</v>
      </c>
      <c r="W27" s="13">
        <v>3.7813718201691771E-2</v>
      </c>
      <c r="X27" s="13">
        <v>3.7741294035368744E-2</v>
      </c>
      <c r="AA27">
        <v>-7301.2851000000001</v>
      </c>
      <c r="AB27">
        <v>-7301.2851000000001</v>
      </c>
      <c r="AC27">
        <v>-7301.2851000000001</v>
      </c>
      <c r="AD27">
        <v>-7301.2851000000001</v>
      </c>
      <c r="AE27">
        <v>-7301.2851000000001</v>
      </c>
      <c r="AF27">
        <v>-7301.2851000000001</v>
      </c>
    </row>
    <row r="28" spans="2:32" x14ac:dyDescent="0.25">
      <c r="B28">
        <v>51</v>
      </c>
      <c r="C28">
        <v>1057.6196845045984</v>
      </c>
      <c r="D28">
        <v>1901.1738420800771</v>
      </c>
      <c r="E28">
        <v>4431.8363147975424</v>
      </c>
      <c r="F28">
        <v>8649.6070991459637</v>
      </c>
      <c r="G28">
        <v>17085.148963473381</v>
      </c>
      <c r="H28">
        <v>33956.232347197183</v>
      </c>
      <c r="J28">
        <v>51</v>
      </c>
      <c r="K28">
        <v>908.19459726972491</v>
      </c>
      <c r="L28">
        <v>1512.3396503602016</v>
      </c>
      <c r="M28">
        <v>3324.7748095335774</v>
      </c>
      <c r="N28">
        <v>6345.5000364174339</v>
      </c>
      <c r="O28">
        <v>12386.953721163882</v>
      </c>
      <c r="P28">
        <v>24469.857320867828</v>
      </c>
      <c r="R28">
        <v>51</v>
      </c>
      <c r="S28" s="13">
        <v>4.0145991696287631E-2</v>
      </c>
      <c r="T28" s="13">
        <v>3.905057858519223E-2</v>
      </c>
      <c r="U28" s="13">
        <v>3.8315612984954672E-2</v>
      </c>
      <c r="V28" s="13">
        <v>3.8055889106265228E-2</v>
      </c>
      <c r="W28" s="13">
        <v>3.7923074322635753E-2</v>
      </c>
      <c r="X28" s="13">
        <v>3.7855906963622621E-2</v>
      </c>
      <c r="AA28">
        <v>-7286.3271000000004</v>
      </c>
      <c r="AB28">
        <v>-7286.3271000000004</v>
      </c>
      <c r="AC28">
        <v>-7286.3271000000004</v>
      </c>
      <c r="AD28">
        <v>-7286.3271000000004</v>
      </c>
      <c r="AE28">
        <v>-7286.3271000000004</v>
      </c>
      <c r="AF28">
        <v>-7286.3271000000004</v>
      </c>
    </row>
    <row r="29" spans="2:32" x14ac:dyDescent="0.25">
      <c r="B29">
        <v>52</v>
      </c>
      <c r="C29">
        <v>1150.4709419360636</v>
      </c>
      <c r="D29">
        <v>2085.2329334573656</v>
      </c>
      <c r="E29">
        <v>4889.5188637407109</v>
      </c>
      <c r="F29">
        <v>9563.3288296337996</v>
      </c>
      <c r="G29">
        <v>18910.948784813023</v>
      </c>
      <c r="H29">
        <v>37606.188709757145</v>
      </c>
      <c r="J29">
        <v>52</v>
      </c>
      <c r="K29">
        <v>974.69374370307742</v>
      </c>
      <c r="L29">
        <v>1644.1610779372713</v>
      </c>
      <c r="M29">
        <v>3652.5626009750267</v>
      </c>
      <c r="N29">
        <v>6999.8993619096</v>
      </c>
      <c r="O29">
        <v>13694.573137181636</v>
      </c>
      <c r="P29">
        <v>27083.920845723595</v>
      </c>
      <c r="R29">
        <v>52</v>
      </c>
      <c r="S29" s="13">
        <v>4.0132284219742242E-2</v>
      </c>
      <c r="T29" s="13">
        <v>3.9106289647481418E-2</v>
      </c>
      <c r="U29" s="13">
        <v>3.8424054641680083E-2</v>
      </c>
      <c r="V29" s="13">
        <v>3.818414033087647E-2</v>
      </c>
      <c r="W29" s="13">
        <v>3.8061690031437445E-2</v>
      </c>
      <c r="X29" s="13">
        <v>3.7999826140956872E-2</v>
      </c>
      <c r="AA29">
        <v>-7269.9448000000002</v>
      </c>
      <c r="AB29">
        <v>-7269.9448000000002</v>
      </c>
      <c r="AC29">
        <v>-7269.9448000000002</v>
      </c>
      <c r="AD29">
        <v>-7269.9448000000002</v>
      </c>
      <c r="AE29">
        <v>-7269.9448000000002</v>
      </c>
      <c r="AF29">
        <v>-7269.9448000000002</v>
      </c>
    </row>
    <row r="30" spans="2:32" x14ac:dyDescent="0.25">
      <c r="B30">
        <v>53</v>
      </c>
      <c r="C30">
        <v>1247.7861696635939</v>
      </c>
      <c r="D30">
        <v>2278.1298899404587</v>
      </c>
      <c r="E30">
        <v>5369.1609085364453</v>
      </c>
      <c r="F30">
        <v>10520.87924859309</v>
      </c>
      <c r="G30">
        <v>20824.316060628007</v>
      </c>
      <c r="H30">
        <v>41431.189876468561</v>
      </c>
      <c r="J30">
        <v>53</v>
      </c>
      <c r="K30">
        <v>1044.3893606990387</v>
      </c>
      <c r="L30">
        <v>1782.3117962673132</v>
      </c>
      <c r="M30">
        <v>3996.077576478674</v>
      </c>
      <c r="N30">
        <v>7685.6869496931904</v>
      </c>
      <c r="O30">
        <v>15064.90711193459</v>
      </c>
      <c r="P30">
        <v>29823.349494543276</v>
      </c>
      <c r="R30">
        <v>53</v>
      </c>
      <c r="S30" s="13">
        <v>4.0148990906487603E-2</v>
      </c>
      <c r="T30" s="13">
        <v>3.9184356339761806E-2</v>
      </c>
      <c r="U30" s="13">
        <v>3.8547910751823178E-2</v>
      </c>
      <c r="V30" s="13">
        <v>3.8325039742290734E-2</v>
      </c>
      <c r="W30" s="13">
        <v>3.821147728668195E-2</v>
      </c>
      <c r="X30" s="13">
        <v>3.8154152567244193E-2</v>
      </c>
      <c r="AA30">
        <v>-7252.0574999999999</v>
      </c>
      <c r="AB30">
        <v>-7252.0574999999999</v>
      </c>
      <c r="AC30">
        <v>-7252.0574999999999</v>
      </c>
      <c r="AD30">
        <v>-7252.0574999999999</v>
      </c>
      <c r="AE30">
        <v>-7252.0574999999999</v>
      </c>
      <c r="AF30">
        <v>-7252.0574999999999</v>
      </c>
    </row>
    <row r="31" spans="2:32" x14ac:dyDescent="0.25">
      <c r="B31">
        <v>54</v>
      </c>
      <c r="C31">
        <v>1343.0342666279389</v>
      </c>
      <c r="D31">
        <v>2466.91796835901</v>
      </c>
      <c r="E31">
        <v>5838.5690758632254</v>
      </c>
      <c r="F31">
        <v>11457.987588382473</v>
      </c>
      <c r="G31">
        <v>22696.824612901561</v>
      </c>
      <c r="H31">
        <v>45174.498661492958</v>
      </c>
      <c r="J31">
        <v>54</v>
      </c>
      <c r="K31">
        <v>1112.6056599954682</v>
      </c>
      <c r="L31">
        <v>1917.5199294460508</v>
      </c>
      <c r="M31">
        <v>4332.2627623760418</v>
      </c>
      <c r="N31">
        <v>8356.8341507226578</v>
      </c>
      <c r="O31">
        <v>16405.97692189191</v>
      </c>
      <c r="P31">
        <v>32504.262459478516</v>
      </c>
      <c r="R31">
        <v>54</v>
      </c>
      <c r="S31" s="13">
        <v>4.0189781554621495E-2</v>
      </c>
      <c r="T31" s="13">
        <v>3.9276266857103614E-2</v>
      </c>
      <c r="U31" s="13">
        <v>3.867741466191954E-2</v>
      </c>
      <c r="V31" s="13">
        <v>3.8468431434162786E-2</v>
      </c>
      <c r="W31" s="13">
        <v>3.8362088640387704E-2</v>
      </c>
      <c r="X31" s="13">
        <v>3.8308444663628594E-2</v>
      </c>
      <c r="AA31">
        <v>-7232.5680000000002</v>
      </c>
      <c r="AB31">
        <v>-7232.5680000000002</v>
      </c>
      <c r="AC31">
        <v>-7232.5680000000002</v>
      </c>
      <c r="AD31">
        <v>-7232.5680000000002</v>
      </c>
      <c r="AE31">
        <v>-7232.5680000000002</v>
      </c>
      <c r="AF31">
        <v>-7232.5680000000002</v>
      </c>
    </row>
    <row r="32" spans="2:32" x14ac:dyDescent="0.25">
      <c r="B32">
        <v>55</v>
      </c>
      <c r="C32">
        <v>1472.6515493625059</v>
      </c>
      <c r="D32">
        <v>2723.8080235054408</v>
      </c>
      <c r="E32">
        <v>6477.2775682323545</v>
      </c>
      <c r="F32">
        <v>12733.060192968946</v>
      </c>
      <c r="G32">
        <v>25244.624633119041</v>
      </c>
      <c r="H32">
        <v>50267.754233069456</v>
      </c>
      <c r="J32">
        <v>55</v>
      </c>
      <c r="K32">
        <v>1205.4363597368301</v>
      </c>
      <c r="L32">
        <v>2101.50211525544</v>
      </c>
      <c r="M32">
        <v>4789.7006665657173</v>
      </c>
      <c r="N32">
        <v>9270.0321126856579</v>
      </c>
      <c r="O32">
        <v>18230.686502901575</v>
      </c>
      <c r="P32">
        <v>36152.002843334398</v>
      </c>
      <c r="R32">
        <v>55</v>
      </c>
      <c r="S32" s="13">
        <v>4.0276330409028338E-2</v>
      </c>
      <c r="T32" s="13">
        <v>3.9421263825835551E-2</v>
      </c>
      <c r="U32" s="13">
        <v>3.8864795163392918E-2</v>
      </c>
      <c r="V32" s="13">
        <v>3.8671357090738434E-2</v>
      </c>
      <c r="W32" s="13">
        <v>3.8573070001112653E-2</v>
      </c>
      <c r="X32" s="13">
        <v>3.8523529617708663E-2</v>
      </c>
      <c r="AA32">
        <v>-7211.3207000000002</v>
      </c>
      <c r="AB32">
        <v>-7211.3207000000002</v>
      </c>
      <c r="AC32">
        <v>-7211.3207000000002</v>
      </c>
      <c r="AD32">
        <v>-7211.3207000000002</v>
      </c>
      <c r="AE32">
        <v>-7211.3207000000002</v>
      </c>
      <c r="AF32">
        <v>-7211.3207000000002</v>
      </c>
    </row>
    <row r="35" spans="2:31" x14ac:dyDescent="0.25">
      <c r="B35" t="s">
        <v>46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32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48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2:31" x14ac:dyDescent="0.25">
      <c r="B36">
        <v>35</v>
      </c>
      <c r="C36">
        <v>12054.439261689035</v>
      </c>
      <c r="D36">
        <v>36395.674914662028</v>
      </c>
      <c r="E36">
        <v>76964.401002950341</v>
      </c>
      <c r="F36">
        <v>158101.85121479773</v>
      </c>
      <c r="G36">
        <v>320376.75157821272</v>
      </c>
      <c r="J36">
        <v>35</v>
      </c>
      <c r="K36">
        <v>602.7219630831969</v>
      </c>
      <c r="L36">
        <v>1819.7837457291753</v>
      </c>
      <c r="M36">
        <v>3848.2200501390616</v>
      </c>
      <c r="N36">
        <v>7905.0891397185042</v>
      </c>
      <c r="O36">
        <v>16018.827210903517</v>
      </c>
      <c r="R36">
        <v>35</v>
      </c>
      <c r="S36">
        <v>3.1956703750270155E-2</v>
      </c>
      <c r="T36">
        <v>3.2544312563979272E-2</v>
      </c>
      <c r="U36">
        <v>3.2760539177500325E-2</v>
      </c>
      <c r="V36">
        <v>3.2872907095302217E-2</v>
      </c>
      <c r="W36">
        <v>3.2930202727809776E-2</v>
      </c>
      <c r="AA36">
        <v>-11308.6893</v>
      </c>
      <c r="AB36">
        <v>-11308.6893</v>
      </c>
      <c r="AC36">
        <v>-11308.6893</v>
      </c>
      <c r="AD36">
        <v>-11308.6893</v>
      </c>
      <c r="AE36">
        <v>-11308.6893</v>
      </c>
    </row>
    <row r="37" spans="2:31" x14ac:dyDescent="0.25">
      <c r="B37">
        <f t="shared" ref="B37:B66" si="0">B36+1</f>
        <v>36</v>
      </c>
      <c r="C37">
        <v>12813.197918439899</v>
      </c>
      <c r="D37">
        <v>38261.337696445757</v>
      </c>
      <c r="E37">
        <v>80674.904123946064</v>
      </c>
      <c r="F37">
        <v>165502.03740812914</v>
      </c>
      <c r="G37">
        <v>335156.30387047061</v>
      </c>
      <c r="J37">
        <f t="shared" ref="J37:J66" si="1">J36+1</f>
        <v>36</v>
      </c>
      <c r="K37">
        <v>640.66008514745772</v>
      </c>
      <c r="L37">
        <v>1913.06718640693</v>
      </c>
      <c r="M37">
        <v>4033.745921186608</v>
      </c>
      <c r="N37">
        <v>8275.1041540813749</v>
      </c>
      <c r="O37">
        <v>16757.820431297529</v>
      </c>
      <c r="R37">
        <f t="shared" ref="R37:R66" si="2">R36+1</f>
        <v>36</v>
      </c>
      <c r="S37">
        <v>3.2096369718349838E-2</v>
      </c>
      <c r="T37">
        <v>3.269173534473957E-2</v>
      </c>
      <c r="U37">
        <v>3.2910342331503806E-2</v>
      </c>
      <c r="V37">
        <v>3.3023848607978135E-2</v>
      </c>
      <c r="W37">
        <v>3.3081698331758558E-2</v>
      </c>
      <c r="AA37">
        <v>-11214.2592</v>
      </c>
      <c r="AB37">
        <v>-11214.2592</v>
      </c>
      <c r="AC37">
        <v>-11214.2592</v>
      </c>
      <c r="AD37">
        <v>-11214.2592</v>
      </c>
      <c r="AE37">
        <v>-11214.2592</v>
      </c>
    </row>
    <row r="38" spans="2:31" x14ac:dyDescent="0.25">
      <c r="B38">
        <f t="shared" si="0"/>
        <v>37</v>
      </c>
      <c r="C38">
        <v>13607.46654203953</v>
      </c>
      <c r="D38">
        <v>40214.526086318809</v>
      </c>
      <c r="E38">
        <v>84559.625541344314</v>
      </c>
      <c r="F38">
        <v>173249.82479876617</v>
      </c>
      <c r="G38">
        <v>350630.22321255843</v>
      </c>
      <c r="J38">
        <f t="shared" si="1"/>
        <v>37</v>
      </c>
      <c r="K38">
        <v>680.37350409854844</v>
      </c>
      <c r="L38">
        <v>2010.726563250093</v>
      </c>
      <c r="M38">
        <v>4227.9820406666549</v>
      </c>
      <c r="N38">
        <v>8662.4936088239774</v>
      </c>
      <c r="O38">
        <v>17531.516566720325</v>
      </c>
      <c r="R38">
        <f t="shared" si="2"/>
        <v>37</v>
      </c>
      <c r="S38">
        <v>3.2245608899085232E-2</v>
      </c>
      <c r="T38">
        <v>3.2849233710871895E-2</v>
      </c>
      <c r="U38">
        <v>3.3070398802367063E-2</v>
      </c>
      <c r="V38">
        <v>3.3185133178069481E-2</v>
      </c>
      <c r="W38">
        <v>3.3243582556995666E-2</v>
      </c>
      <c r="AA38">
        <v>-11117.406199999999</v>
      </c>
      <c r="AB38">
        <v>-11117.406199999999</v>
      </c>
      <c r="AC38">
        <v>-11117.406199999999</v>
      </c>
      <c r="AD38">
        <v>-11117.406199999999</v>
      </c>
      <c r="AE38">
        <v>-11117.406199999999</v>
      </c>
    </row>
    <row r="39" spans="2:31" x14ac:dyDescent="0.25">
      <c r="B39">
        <f t="shared" si="0"/>
        <v>38</v>
      </c>
      <c r="C39">
        <v>14439.03019931257</v>
      </c>
      <c r="D39">
        <v>42259.534644246763</v>
      </c>
      <c r="E39">
        <v>88627.042351525917</v>
      </c>
      <c r="F39">
        <v>181362.0580322305</v>
      </c>
      <c r="G39">
        <v>366832.0892972101</v>
      </c>
      <c r="J39">
        <f t="shared" si="1"/>
        <v>38</v>
      </c>
      <c r="K39">
        <v>721.95167577590473</v>
      </c>
      <c r="L39">
        <v>2112.976949541684</v>
      </c>
      <c r="M39">
        <v>4431.3529298575595</v>
      </c>
      <c r="N39">
        <v>9068.1053568611969</v>
      </c>
      <c r="O39">
        <v>18341.610041894251</v>
      </c>
      <c r="R39">
        <f t="shared" si="2"/>
        <v>38</v>
      </c>
      <c r="S39">
        <v>3.240535429107716E-2</v>
      </c>
      <c r="T39">
        <v>3.301775138396601E-2</v>
      </c>
      <c r="U39">
        <v>3.3241652574807157E-2</v>
      </c>
      <c r="V39">
        <v>3.335770576966568E-2</v>
      </c>
      <c r="W39">
        <v>3.3416800648135458E-2</v>
      </c>
      <c r="AA39">
        <v>-11018.229799999999</v>
      </c>
      <c r="AB39">
        <v>-11018.229799999999</v>
      </c>
      <c r="AC39">
        <v>-11018.229799999999</v>
      </c>
      <c r="AD39">
        <v>-11018.229799999999</v>
      </c>
      <c r="AE39">
        <v>-11018.229799999999</v>
      </c>
    </row>
    <row r="40" spans="2:31" x14ac:dyDescent="0.25">
      <c r="B40">
        <f t="shared" si="0"/>
        <v>39</v>
      </c>
      <c r="C40">
        <v>15309.608140086999</v>
      </c>
      <c r="D40">
        <v>44400.705412443196</v>
      </c>
      <c r="E40">
        <v>92885.867919351105</v>
      </c>
      <c r="F40">
        <v>189856.19311629396</v>
      </c>
      <c r="G40">
        <v>383796.84341819648</v>
      </c>
      <c r="J40">
        <f t="shared" si="1"/>
        <v>39</v>
      </c>
      <c r="K40">
        <v>765.48056232868112</v>
      </c>
      <c r="L40">
        <v>2220.0354462372634</v>
      </c>
      <c r="M40">
        <v>4644.2942577579524</v>
      </c>
      <c r="N40">
        <v>9492.8121991967782</v>
      </c>
      <c r="O40">
        <v>19189.847922146437</v>
      </c>
      <c r="R40">
        <f t="shared" si="2"/>
        <v>39</v>
      </c>
      <c r="S40">
        <v>3.2576544611118585E-2</v>
      </c>
      <c r="T40">
        <v>3.3198286040068581E-2</v>
      </c>
      <c r="U40">
        <v>3.3425124196524214E-2</v>
      </c>
      <c r="V40">
        <v>3.3542599058183686E-2</v>
      </c>
      <c r="W40">
        <v>3.3602391527516318E-2</v>
      </c>
      <c r="AA40">
        <v>-10916.737999999999</v>
      </c>
      <c r="AB40">
        <v>-10916.737999999999</v>
      </c>
      <c r="AC40">
        <v>-10916.737999999999</v>
      </c>
      <c r="AD40">
        <v>-10916.737999999999</v>
      </c>
      <c r="AE40">
        <v>-10916.737999999999</v>
      </c>
    </row>
    <row r="41" spans="2:31" x14ac:dyDescent="0.25">
      <c r="B41">
        <f t="shared" si="0"/>
        <v>40</v>
      </c>
      <c r="C41">
        <v>16221.147134560102</v>
      </c>
      <c r="D41">
        <v>46642.723103005708</v>
      </c>
      <c r="E41">
        <v>97345.348122255571</v>
      </c>
      <c r="F41">
        <v>198750.59981300408</v>
      </c>
      <c r="G41">
        <v>401561.10310668475</v>
      </c>
      <c r="J41">
        <f t="shared" si="1"/>
        <v>40</v>
      </c>
      <c r="K41">
        <v>811.05750242972863</v>
      </c>
      <c r="L41">
        <v>2332.1375896564714</v>
      </c>
      <c r="M41">
        <v>4867.2683178081061</v>
      </c>
      <c r="N41">
        <v>9937.5326237067347</v>
      </c>
      <c r="O41">
        <v>20078.061084048706</v>
      </c>
      <c r="R41">
        <f t="shared" si="2"/>
        <v>40</v>
      </c>
      <c r="S41">
        <v>3.2760332194097241E-2</v>
      </c>
      <c r="T41">
        <v>3.3392003419637106E-2</v>
      </c>
      <c r="U41">
        <v>3.3621977561337779E-2</v>
      </c>
      <c r="V41">
        <v>3.3740976156236391E-2</v>
      </c>
      <c r="W41">
        <v>3.3801517691741223E-2</v>
      </c>
      <c r="AA41">
        <v>-10812.8714</v>
      </c>
      <c r="AB41">
        <v>-10812.8714</v>
      </c>
      <c r="AC41">
        <v>-10812.8714</v>
      </c>
      <c r="AD41">
        <v>-10812.8714</v>
      </c>
      <c r="AE41">
        <v>-10812.8714</v>
      </c>
    </row>
    <row r="42" spans="2:31" x14ac:dyDescent="0.25">
      <c r="B42">
        <f t="shared" si="0"/>
        <v>41</v>
      </c>
      <c r="C42">
        <v>17175.517436613689</v>
      </c>
      <c r="D42">
        <v>48990.30764060311</v>
      </c>
      <c r="E42">
        <v>102014.95710074861</v>
      </c>
      <c r="F42">
        <v>208064.25712022561</v>
      </c>
      <c r="G42">
        <v>420162.85707536741</v>
      </c>
      <c r="J42">
        <f t="shared" si="1"/>
        <v>41</v>
      </c>
      <c r="K42">
        <v>858.77600844245171</v>
      </c>
      <c r="L42">
        <v>2449.5163762997981</v>
      </c>
      <c r="M42">
        <v>5100.7488179167558</v>
      </c>
      <c r="N42">
        <v>10403.215581122437</v>
      </c>
      <c r="O42">
        <v>21008.148964186781</v>
      </c>
      <c r="R42">
        <f t="shared" si="2"/>
        <v>41</v>
      </c>
      <c r="S42">
        <v>3.2957887118789664E-2</v>
      </c>
      <c r="T42">
        <v>3.3600137391248674E-2</v>
      </c>
      <c r="U42">
        <v>3.3833477168897508E-2</v>
      </c>
      <c r="V42">
        <v>3.3954115351989111E-2</v>
      </c>
      <c r="W42">
        <v>3.4015464513638127E-2</v>
      </c>
      <c r="AA42">
        <v>-10706.559600000001</v>
      </c>
      <c r="AB42">
        <v>-10706.559600000001</v>
      </c>
      <c r="AC42">
        <v>-10706.559600000001</v>
      </c>
      <c r="AD42">
        <v>-10706.559600000001</v>
      </c>
      <c r="AE42">
        <v>-10706.559600000001</v>
      </c>
    </row>
    <row r="43" spans="2:31" x14ac:dyDescent="0.25">
      <c r="B43">
        <f t="shared" si="0"/>
        <v>42</v>
      </c>
      <c r="C43">
        <v>18174.828038128733</v>
      </c>
      <c r="D43">
        <v>51448.533339365124</v>
      </c>
      <c r="E43">
        <v>106904.70869144601</v>
      </c>
      <c r="F43">
        <v>217817.05993102471</v>
      </c>
      <c r="G43">
        <v>439641.76233013265</v>
      </c>
      <c r="J43">
        <f t="shared" si="1"/>
        <v>42</v>
      </c>
      <c r="K43">
        <v>908.74153011787712</v>
      </c>
      <c r="L43">
        <v>2572.4272202838329</v>
      </c>
      <c r="M43">
        <v>5345.2364495838992</v>
      </c>
      <c r="N43">
        <v>10890.855816052062</v>
      </c>
      <c r="O43">
        <v>21982.09441325441</v>
      </c>
      <c r="R43">
        <f t="shared" si="2"/>
        <v>42</v>
      </c>
      <c r="S43">
        <v>3.3170641083123842E-2</v>
      </c>
      <c r="T43">
        <v>3.3824133458013161E-2</v>
      </c>
      <c r="U43">
        <v>3.4061065621677544E-2</v>
      </c>
      <c r="V43">
        <v>3.4183458140997436E-2</v>
      </c>
      <c r="W43">
        <v>3.4245672688592466E-2</v>
      </c>
      <c r="AA43">
        <v>-10597.8485</v>
      </c>
      <c r="AB43">
        <v>-10597.8485</v>
      </c>
      <c r="AC43">
        <v>-10597.8485</v>
      </c>
      <c r="AD43">
        <v>-10597.8485</v>
      </c>
      <c r="AE43">
        <v>-10597.8485</v>
      </c>
    </row>
    <row r="44" spans="2:31" x14ac:dyDescent="0.25">
      <c r="B44">
        <f t="shared" si="0"/>
        <v>43</v>
      </c>
      <c r="C44">
        <v>19221.095720739821</v>
      </c>
      <c r="D44">
        <v>54022.491611111189</v>
      </c>
      <c r="E44">
        <v>112024.8171671802</v>
      </c>
      <c r="F44">
        <v>228029.46938122972</v>
      </c>
      <c r="G44">
        <v>460038.77373295469</v>
      </c>
      <c r="J44">
        <f t="shared" si="1"/>
        <v>43</v>
      </c>
      <c r="K44">
        <v>961.05490622400248</v>
      </c>
      <c r="L44">
        <v>2701.1256239716604</v>
      </c>
      <c r="M44">
        <v>5601.2419275149296</v>
      </c>
      <c r="N44">
        <v>11401.476386437251</v>
      </c>
      <c r="O44">
        <v>23001.945175929461</v>
      </c>
      <c r="R44">
        <f t="shared" si="2"/>
        <v>43</v>
      </c>
      <c r="S44">
        <v>3.340005939860502E-2</v>
      </c>
      <c r="T44">
        <v>3.4065536879108071E-2</v>
      </c>
      <c r="U44">
        <v>3.4306316394870251E-2</v>
      </c>
      <c r="V44">
        <v>3.4430593578203217E-2</v>
      </c>
      <c r="W44">
        <v>3.4493739258038225E-2</v>
      </c>
      <c r="AA44">
        <v>-10486.615400000001</v>
      </c>
      <c r="AB44">
        <v>-10486.615400000001</v>
      </c>
      <c r="AC44">
        <v>-10486.615400000001</v>
      </c>
      <c r="AD44">
        <v>-10486.615400000001</v>
      </c>
      <c r="AE44">
        <v>-10486.615400000001</v>
      </c>
    </row>
    <row r="45" spans="2:31" x14ac:dyDescent="0.25">
      <c r="B45">
        <f t="shared" si="0"/>
        <v>44</v>
      </c>
      <c r="C45">
        <v>20316.583875057309</v>
      </c>
      <c r="D45">
        <v>56717.623166871948</v>
      </c>
      <c r="E45">
        <v>117386.02219077203</v>
      </c>
      <c r="F45">
        <v>238722.82047442801</v>
      </c>
      <c r="G45">
        <v>481396.41696882952</v>
      </c>
      <c r="J45">
        <f t="shared" si="1"/>
        <v>44</v>
      </c>
      <c r="K45">
        <v>1015.8293064417958</v>
      </c>
      <c r="L45">
        <v>2835.8815270127234</v>
      </c>
      <c r="M45">
        <v>5869.3022346677608</v>
      </c>
      <c r="N45">
        <v>11936.14404271188</v>
      </c>
      <c r="O45">
        <v>24069.827537393081</v>
      </c>
      <c r="R45">
        <f t="shared" si="2"/>
        <v>44</v>
      </c>
      <c r="S45">
        <v>3.3647929206794824E-2</v>
      </c>
      <c r="T45">
        <v>3.4326141221314055E-2</v>
      </c>
      <c r="U45">
        <v>3.4571024861674848E-2</v>
      </c>
      <c r="V45">
        <v>3.4697315284864416E-2</v>
      </c>
      <c r="W45">
        <v>3.4761456693263915E-2</v>
      </c>
      <c r="AA45">
        <v>-10372.9005</v>
      </c>
      <c r="AB45">
        <v>-10372.9005</v>
      </c>
      <c r="AC45">
        <v>-10372.9005</v>
      </c>
      <c r="AD45">
        <v>-10372.9005</v>
      </c>
      <c r="AE45">
        <v>-10372.9005</v>
      </c>
    </row>
    <row r="46" spans="2:31" x14ac:dyDescent="0.25">
      <c r="B46">
        <f t="shared" si="0"/>
        <v>45</v>
      </c>
      <c r="C46">
        <v>21463.440941146975</v>
      </c>
      <c r="D46">
        <v>59539.35327734999</v>
      </c>
      <c r="E46">
        <v>122999.20660171098</v>
      </c>
      <c r="F46">
        <v>249918.9140482907</v>
      </c>
      <c r="G46">
        <v>503758.32887192344</v>
      </c>
      <c r="J46">
        <f t="shared" si="1"/>
        <v>45</v>
      </c>
      <c r="K46">
        <v>1073.1721524736786</v>
      </c>
      <c r="L46">
        <v>2976.9685152915627</v>
      </c>
      <c r="M46">
        <v>6149.961514325696</v>
      </c>
      <c r="N46">
        <v>12495.948828344815</v>
      </c>
      <c r="O46">
        <v>25187.923341708491</v>
      </c>
      <c r="R46">
        <f t="shared" si="2"/>
        <v>45</v>
      </c>
      <c r="S46">
        <v>3.3916092690429611E-2</v>
      </c>
      <c r="T46">
        <v>3.4607881489657322E-2</v>
      </c>
      <c r="U46">
        <v>3.4857155693025721E-2</v>
      </c>
      <c r="V46">
        <v>3.4985605350075E-2</v>
      </c>
      <c r="W46">
        <v>3.5050815992815565E-2</v>
      </c>
      <c r="AA46">
        <v>-10256.650600000001</v>
      </c>
      <c r="AB46">
        <v>-10256.650600000001</v>
      </c>
      <c r="AC46">
        <v>-10256.650600000001</v>
      </c>
      <c r="AD46">
        <v>-10256.650600000001</v>
      </c>
      <c r="AE46">
        <v>-10256.650600000001</v>
      </c>
    </row>
    <row r="47" spans="2:31" x14ac:dyDescent="0.25">
      <c r="B47">
        <f t="shared" si="0"/>
        <v>46</v>
      </c>
      <c r="C47">
        <v>22664.064318324232</v>
      </c>
      <c r="D47">
        <v>62493.43999829996</v>
      </c>
      <c r="E47">
        <v>128875.73141825716</v>
      </c>
      <c r="F47">
        <v>261640.31564520005</v>
      </c>
      <c r="G47">
        <v>527169.48403279646</v>
      </c>
      <c r="J47">
        <f t="shared" si="1"/>
        <v>46</v>
      </c>
      <c r="K47">
        <v>1133.2033144318993</v>
      </c>
      <c r="L47">
        <v>3124.6733482424752</v>
      </c>
      <c r="M47">
        <v>6443.7878174345533</v>
      </c>
      <c r="N47">
        <v>13082.01902111934</v>
      </c>
      <c r="O47">
        <v>26358.481320224353</v>
      </c>
      <c r="R47">
        <f t="shared" si="2"/>
        <v>46</v>
      </c>
      <c r="S47">
        <v>3.4206789164166862E-2</v>
      </c>
      <c r="T47">
        <v>3.4913000665205862E-2</v>
      </c>
      <c r="U47">
        <v>3.5166950085652404E-2</v>
      </c>
      <c r="V47">
        <v>3.5297702023042055E-2</v>
      </c>
      <c r="W47">
        <v>3.5364053623117453E-2</v>
      </c>
      <c r="AA47">
        <v>-10137.871499999999</v>
      </c>
      <c r="AB47">
        <v>-10137.871499999999</v>
      </c>
      <c r="AC47">
        <v>-10137.871499999999</v>
      </c>
      <c r="AD47">
        <v>-10137.871499999999</v>
      </c>
      <c r="AE47">
        <v>-10137.871499999999</v>
      </c>
    </row>
    <row r="48" spans="2:31" x14ac:dyDescent="0.25">
      <c r="B48">
        <f t="shared" si="0"/>
        <v>47</v>
      </c>
      <c r="C48">
        <v>23920.703689517122</v>
      </c>
      <c r="D48">
        <v>65585.564682908225</v>
      </c>
      <c r="E48">
        <v>135027.00031358789</v>
      </c>
      <c r="F48">
        <v>273909.87142492569</v>
      </c>
      <c r="G48">
        <v>551675.61358450679</v>
      </c>
      <c r="J48">
        <f t="shared" si="1"/>
        <v>47</v>
      </c>
      <c r="K48">
        <v>1196.0352761696413</v>
      </c>
      <c r="L48">
        <v>3279.2784070509515</v>
      </c>
      <c r="M48">
        <v>6751.3513292736025</v>
      </c>
      <c r="N48">
        <v>13695.496931180765</v>
      </c>
      <c r="O48">
        <v>27583.788032990415</v>
      </c>
      <c r="R48">
        <f t="shared" si="2"/>
        <v>47</v>
      </c>
      <c r="S48">
        <v>3.4522340724725042E-2</v>
      </c>
      <c r="T48">
        <v>3.5243917477584041E-2</v>
      </c>
      <c r="U48">
        <v>3.5502866308156689E-2</v>
      </c>
      <c r="V48">
        <v>3.5636082706546501E-2</v>
      </c>
      <c r="W48">
        <v>3.5703656754498159E-2</v>
      </c>
      <c r="AA48">
        <v>-10016.4967</v>
      </c>
      <c r="AB48">
        <v>-10016.4967</v>
      </c>
      <c r="AC48">
        <v>-10016.4967</v>
      </c>
      <c r="AD48">
        <v>-10016.4967</v>
      </c>
      <c r="AE48">
        <v>-10016.4967</v>
      </c>
    </row>
    <row r="49" spans="2:31" x14ac:dyDescent="0.25">
      <c r="B49">
        <f t="shared" si="0"/>
        <v>48</v>
      </c>
      <c r="C49">
        <v>25235.852001402011</v>
      </c>
      <c r="D49">
        <v>68821.706728979509</v>
      </c>
      <c r="E49">
        <v>141464.79935219942</v>
      </c>
      <c r="F49">
        <v>286750.98445706564</v>
      </c>
      <c r="G49">
        <v>577323.35460677603</v>
      </c>
      <c r="J49">
        <f t="shared" si="1"/>
        <v>48</v>
      </c>
      <c r="K49">
        <v>1261.793438303881</v>
      </c>
      <c r="L49">
        <v>3441.0855602008087</v>
      </c>
      <c r="M49">
        <v>7073.2413533758081</v>
      </c>
      <c r="N49">
        <v>14337.552713234734</v>
      </c>
      <c r="O49">
        <v>28866.175336927874</v>
      </c>
      <c r="R49">
        <f t="shared" si="2"/>
        <v>48</v>
      </c>
      <c r="S49">
        <v>3.4865562943799944E-2</v>
      </c>
      <c r="T49">
        <v>3.5603445759246233E-2</v>
      </c>
      <c r="U49">
        <v>3.5867705990116017E-2</v>
      </c>
      <c r="V49">
        <v>3.6003543957517925E-2</v>
      </c>
      <c r="W49">
        <v>3.6072419052828097E-2</v>
      </c>
      <c r="AA49">
        <v>-9892.6355000000003</v>
      </c>
      <c r="AB49">
        <v>-9892.6355000000003</v>
      </c>
      <c r="AC49">
        <v>-9892.6355000000003</v>
      </c>
      <c r="AD49">
        <v>-9892.6355000000003</v>
      </c>
      <c r="AE49">
        <v>-9892.6355000000003</v>
      </c>
    </row>
    <row r="50" spans="2:31" x14ac:dyDescent="0.25">
      <c r="B50">
        <f t="shared" si="0"/>
        <v>49</v>
      </c>
      <c r="C50">
        <v>26611.806198778871</v>
      </c>
      <c r="D50">
        <v>72207.676427807382</v>
      </c>
      <c r="E50">
        <v>148200.79479338686</v>
      </c>
      <c r="F50">
        <v>300187.03139126551</v>
      </c>
      <c r="G50">
        <v>604159.50453005696</v>
      </c>
      <c r="J50">
        <f t="shared" si="1"/>
        <v>49</v>
      </c>
      <c r="K50">
        <v>1330.5910883788893</v>
      </c>
      <c r="L50">
        <v>3610.3841002776753</v>
      </c>
      <c r="M50">
        <v>7410.0412046762649</v>
      </c>
      <c r="N50">
        <v>15009.3552025471</v>
      </c>
      <c r="O50">
        <v>30207.983108135872</v>
      </c>
      <c r="R50">
        <f t="shared" si="2"/>
        <v>49</v>
      </c>
      <c r="S50">
        <v>3.5239378757284667E-2</v>
      </c>
      <c r="T50">
        <v>3.5994620183043891E-2</v>
      </c>
      <c r="U50">
        <v>3.6264545143606997E-2</v>
      </c>
      <c r="V50">
        <v>3.6403182202158657E-2</v>
      </c>
      <c r="W50">
        <v>3.6473447346364596E-2</v>
      </c>
      <c r="AA50">
        <v>-9766.3366999999998</v>
      </c>
      <c r="AB50">
        <v>-9766.3366999999998</v>
      </c>
      <c r="AC50">
        <v>-9766.3366999999998</v>
      </c>
      <c r="AD50">
        <v>-9766.3366999999998</v>
      </c>
      <c r="AE50">
        <v>-9766.3366999999998</v>
      </c>
    </row>
    <row r="51" spans="2:31" x14ac:dyDescent="0.25">
      <c r="B51">
        <f t="shared" si="0"/>
        <v>50</v>
      </c>
      <c r="C51">
        <v>28051.088767295329</v>
      </c>
      <c r="D51">
        <v>75749.50628069017</v>
      </c>
      <c r="E51">
        <v>155246.87002234292</v>
      </c>
      <c r="F51">
        <v>314241.5973802107</v>
      </c>
      <c r="G51">
        <v>632231.0520419348</v>
      </c>
      <c r="J51">
        <f t="shared" si="1"/>
        <v>50</v>
      </c>
      <c r="K51">
        <v>1402.5551564978377</v>
      </c>
      <c r="L51">
        <v>3787.4756521225936</v>
      </c>
      <c r="M51">
        <v>7762.345053061872</v>
      </c>
      <c r="N51">
        <v>15712.083658632415</v>
      </c>
      <c r="O51">
        <v>31611.560785244801</v>
      </c>
      <c r="R51">
        <f t="shared" si="2"/>
        <v>50</v>
      </c>
      <c r="S51">
        <v>3.564732439949414E-2</v>
      </c>
      <c r="T51">
        <v>3.6420953377512388E-2</v>
      </c>
      <c r="U51">
        <v>3.6696882084271465E-2</v>
      </c>
      <c r="V51">
        <v>3.6838487018289401E-2</v>
      </c>
      <c r="W51">
        <v>3.6910226429794246E-2</v>
      </c>
      <c r="AA51">
        <v>-9637.5864000000001</v>
      </c>
      <c r="AB51">
        <v>-9637.5864000000001</v>
      </c>
      <c r="AC51">
        <v>-9637.5864000000001</v>
      </c>
      <c r="AD51">
        <v>-9637.5864000000001</v>
      </c>
      <c r="AE51">
        <v>-9637.5864000000001</v>
      </c>
    </row>
    <row r="52" spans="2:31" x14ac:dyDescent="0.25">
      <c r="B52">
        <f t="shared" si="0"/>
        <v>51</v>
      </c>
      <c r="C52">
        <v>29555.961092585858</v>
      </c>
      <c r="D52">
        <v>79452.927681726374</v>
      </c>
      <c r="E52">
        <v>162614.53977528767</v>
      </c>
      <c r="F52">
        <v>328937.76384473103</v>
      </c>
      <c r="G52">
        <v>661584.21193259885</v>
      </c>
      <c r="J52">
        <f t="shared" si="1"/>
        <v>51</v>
      </c>
      <c r="K52">
        <v>1477.7987092612602</v>
      </c>
      <c r="L52">
        <v>3972.6467874966038</v>
      </c>
      <c r="M52">
        <v>8130.7286376809352</v>
      </c>
      <c r="N52">
        <v>16446.892155994312</v>
      </c>
      <c r="O52">
        <v>33079.219113691943</v>
      </c>
      <c r="R52">
        <f t="shared" si="2"/>
        <v>51</v>
      </c>
      <c r="S52">
        <v>3.6093086488475645E-2</v>
      </c>
      <c r="T52">
        <v>3.6886242445869355E-2</v>
      </c>
      <c r="U52">
        <v>3.7168553964320505E-2</v>
      </c>
      <c r="V52">
        <v>3.7313316273245745E-2</v>
      </c>
      <c r="W52">
        <v>3.7386624709739857E-2</v>
      </c>
      <c r="AA52">
        <v>-9506.3734000000004</v>
      </c>
      <c r="AB52">
        <v>-9506.3734000000004</v>
      </c>
      <c r="AC52">
        <v>-9506.3734000000004</v>
      </c>
      <c r="AD52">
        <v>-9506.3734000000004</v>
      </c>
      <c r="AE52">
        <v>-9506.3734000000004</v>
      </c>
    </row>
    <row r="53" spans="2:31" x14ac:dyDescent="0.25">
      <c r="B53">
        <f t="shared" si="0"/>
        <v>52</v>
      </c>
      <c r="C53">
        <v>31128.872063381383</v>
      </c>
      <c r="D53">
        <v>83323.77253928165</v>
      </c>
      <c r="E53">
        <v>170315.27432823126</v>
      </c>
      <c r="F53">
        <v>344298.2777958595</v>
      </c>
      <c r="G53">
        <v>692264.28468299052</v>
      </c>
      <c r="J53">
        <f t="shared" si="1"/>
        <v>52</v>
      </c>
      <c r="K53">
        <v>1556.4441922294136</v>
      </c>
      <c r="L53">
        <v>4166.1891017305898</v>
      </c>
      <c r="M53">
        <v>8515.7654732225346</v>
      </c>
      <c r="N53">
        <v>17214.918047626852</v>
      </c>
      <c r="O53">
        <v>34613.223122863565</v>
      </c>
      <c r="R53">
        <f t="shared" si="2"/>
        <v>52</v>
      </c>
      <c r="S53">
        <v>3.6581088744476409E-2</v>
      </c>
      <c r="T53">
        <v>3.7394860204917446E-2</v>
      </c>
      <c r="U53">
        <v>3.7683907565177366E-2</v>
      </c>
      <c r="V53">
        <v>3.783200184558333E-2</v>
      </c>
      <c r="W53">
        <v>3.7906966122352559E-2</v>
      </c>
      <c r="AA53">
        <v>-9372.7019</v>
      </c>
      <c r="AB53">
        <v>-9372.7019</v>
      </c>
      <c r="AC53">
        <v>-9372.7019</v>
      </c>
      <c r="AD53">
        <v>-9372.7019</v>
      </c>
      <c r="AE53">
        <v>-9372.7019</v>
      </c>
    </row>
    <row r="54" spans="2:31" x14ac:dyDescent="0.25">
      <c r="B54">
        <f t="shared" si="0"/>
        <v>53</v>
      </c>
      <c r="C54">
        <v>32771.918060677621</v>
      </c>
      <c r="D54">
        <v>87367.377000388457</v>
      </c>
      <c r="E54">
        <v>178359.80943256154</v>
      </c>
      <c r="F54">
        <v>360344.67419400881</v>
      </c>
      <c r="G54">
        <v>724314.40367170295</v>
      </c>
      <c r="J54">
        <f t="shared" si="1"/>
        <v>53</v>
      </c>
      <c r="K54">
        <v>1638.5964216815264</v>
      </c>
      <c r="L54">
        <v>4368.3694043240976</v>
      </c>
      <c r="M54">
        <v>8917.9923498468124</v>
      </c>
      <c r="N54">
        <v>18017.238085497287</v>
      </c>
      <c r="O54">
        <v>36215.729488538578</v>
      </c>
      <c r="R54">
        <f t="shared" si="2"/>
        <v>53</v>
      </c>
      <c r="S54">
        <v>3.7115940127937508E-2</v>
      </c>
      <c r="T54">
        <v>3.7951518725629407E-2</v>
      </c>
      <c r="U54">
        <v>3.8247692064657501E-2</v>
      </c>
      <c r="V54">
        <v>3.8399312065462654E-2</v>
      </c>
      <c r="W54">
        <v>3.847602873269218E-2</v>
      </c>
      <c r="AA54">
        <v>-9236.6705000000002</v>
      </c>
      <c r="AB54">
        <v>-9236.6705000000002</v>
      </c>
      <c r="AC54">
        <v>-9236.6705000000002</v>
      </c>
      <c r="AD54">
        <v>-9236.6705000000002</v>
      </c>
      <c r="AE54">
        <v>-9236.6705000000002</v>
      </c>
    </row>
    <row r="55" spans="2:31" x14ac:dyDescent="0.25">
      <c r="B55">
        <f t="shared" si="0"/>
        <v>54</v>
      </c>
      <c r="C55">
        <v>34487.322346872468</v>
      </c>
      <c r="D55">
        <v>91588.993374191239</v>
      </c>
      <c r="E55">
        <v>186758.4458099927</v>
      </c>
      <c r="F55">
        <v>377097.3505858042</v>
      </c>
      <c r="G55">
        <v>757775.16009508993</v>
      </c>
      <c r="J55">
        <f t="shared" si="1"/>
        <v>54</v>
      </c>
      <c r="K55">
        <v>1724.3665617725637</v>
      </c>
      <c r="L55">
        <v>4579.4503106796474</v>
      </c>
      <c r="M55">
        <v>9337.9243045937619</v>
      </c>
      <c r="N55">
        <v>18854.872149574105</v>
      </c>
      <c r="O55">
        <v>37888.767776397755</v>
      </c>
      <c r="R55">
        <f t="shared" si="2"/>
        <v>54</v>
      </c>
      <c r="S55">
        <v>3.7703132528599692E-2</v>
      </c>
      <c r="T55">
        <v>3.8561606610726828E-2</v>
      </c>
      <c r="U55">
        <v>3.8865250560721654E-2</v>
      </c>
      <c r="V55">
        <v>3.9020565009166175E-2</v>
      </c>
      <c r="W55">
        <v>3.9099117518650806E-2</v>
      </c>
      <c r="AA55">
        <v>-9098.4312000000009</v>
      </c>
      <c r="AB55">
        <v>-9098.4312000000009</v>
      </c>
      <c r="AC55">
        <v>-9098.4312000000009</v>
      </c>
      <c r="AD55">
        <v>-9098.4312000000009</v>
      </c>
      <c r="AE55">
        <v>-9098.4312000000009</v>
      </c>
    </row>
    <row r="56" spans="2:31" x14ac:dyDescent="0.25">
      <c r="B56">
        <f t="shared" si="0"/>
        <v>55</v>
      </c>
      <c r="C56">
        <v>36276.830112693839</v>
      </c>
      <c r="D56">
        <v>95993.105128747324</v>
      </c>
      <c r="E56">
        <v>195520.23071817428</v>
      </c>
      <c r="F56">
        <v>394574.48180834501</v>
      </c>
      <c r="G56">
        <v>792682.98394927487</v>
      </c>
      <c r="J56">
        <f t="shared" si="1"/>
        <v>55</v>
      </c>
      <c r="K56">
        <v>1813.8418692337582</v>
      </c>
      <c r="L56">
        <v>4799.6559962394531</v>
      </c>
      <c r="M56">
        <v>9776.0137028464233</v>
      </c>
      <c r="N56">
        <v>19728.728985517053</v>
      </c>
      <c r="O56">
        <v>39634.159492844017</v>
      </c>
      <c r="R56">
        <f t="shared" si="2"/>
        <v>55</v>
      </c>
      <c r="S56">
        <v>3.8348349617895572E-2</v>
      </c>
      <c r="T56">
        <v>3.923088496675442E-2</v>
      </c>
      <c r="U56">
        <v>3.9542371992443703E-2</v>
      </c>
      <c r="V56">
        <v>3.970156399913094E-2</v>
      </c>
      <c r="W56">
        <v>3.9782043120414334E-2</v>
      </c>
      <c r="AA56">
        <v>-8958.0210999999999</v>
      </c>
      <c r="AB56">
        <v>-8958.0210999999999</v>
      </c>
      <c r="AC56">
        <v>-8958.0210999999999</v>
      </c>
      <c r="AD56">
        <v>-8958.0210999999999</v>
      </c>
      <c r="AE56">
        <v>-8958.0210999999999</v>
      </c>
    </row>
    <row r="57" spans="2:31" x14ac:dyDescent="0.25">
      <c r="B57">
        <f t="shared" si="0"/>
        <v>56</v>
      </c>
      <c r="C57">
        <v>38142.221689345926</v>
      </c>
      <c r="D57">
        <v>100583.84603459884</v>
      </c>
      <c r="E57">
        <v>204653.22032782953</v>
      </c>
      <c r="F57">
        <v>412791.96883248742</v>
      </c>
      <c r="G57">
        <v>829069.46580524126</v>
      </c>
      <c r="J57">
        <f t="shared" si="1"/>
        <v>56</v>
      </c>
      <c r="K57">
        <v>1907.111361635405</v>
      </c>
      <c r="L57">
        <v>5029.193149245315</v>
      </c>
      <c r="M57">
        <v>10232.663353721146</v>
      </c>
      <c r="N57">
        <v>20639.603643851355</v>
      </c>
      <c r="O57">
        <v>41453.484171005664</v>
      </c>
      <c r="R57">
        <f t="shared" si="2"/>
        <v>56</v>
      </c>
      <c r="S57">
        <v>3.9058296189946828E-2</v>
      </c>
      <c r="T57">
        <v>3.9965868586891329E-2</v>
      </c>
      <c r="U57">
        <v>4.0285494285791756E-2</v>
      </c>
      <c r="V57">
        <v>4.0448705795611106E-2</v>
      </c>
      <c r="W57">
        <v>4.0531181012170903E-2</v>
      </c>
      <c r="AA57">
        <v>-8815.6316999999999</v>
      </c>
      <c r="AB57">
        <v>-8815.6316999999999</v>
      </c>
      <c r="AC57">
        <v>-8815.6316999999999</v>
      </c>
      <c r="AD57">
        <v>-8815.6316999999999</v>
      </c>
      <c r="AE57">
        <v>-8815.6316999999999</v>
      </c>
    </row>
    <row r="58" spans="2:31" x14ac:dyDescent="0.25">
      <c r="B58">
        <f t="shared" si="0"/>
        <v>57</v>
      </c>
      <c r="C58">
        <v>40084.631768733649</v>
      </c>
      <c r="D58">
        <v>105364.21003007369</v>
      </c>
      <c r="E58">
        <v>214163.50731545308</v>
      </c>
      <c r="F58">
        <v>431762.10181131761</v>
      </c>
      <c r="G58">
        <v>866959.28314274654</v>
      </c>
      <c r="J58">
        <f t="shared" si="1"/>
        <v>57</v>
      </c>
      <c r="K58">
        <v>2004.2317708578339</v>
      </c>
      <c r="L58">
        <v>5268.2114681746461</v>
      </c>
      <c r="M58">
        <v>10708.177892774285</v>
      </c>
      <c r="N58">
        <v>21588.110634667217</v>
      </c>
      <c r="O58">
        <v>43347.965143067995</v>
      </c>
      <c r="R58">
        <f t="shared" si="2"/>
        <v>57</v>
      </c>
      <c r="S58">
        <v>3.9839809208157551E-2</v>
      </c>
      <c r="T58">
        <v>4.0773416541240781E-2</v>
      </c>
      <c r="U58">
        <v>4.1101485038777419E-2</v>
      </c>
      <c r="V58">
        <v>4.1268862576258947E-2</v>
      </c>
      <c r="W58">
        <v>4.1353402858613553E-2</v>
      </c>
      <c r="AA58">
        <v>-8671.3991999999998</v>
      </c>
      <c r="AB58">
        <v>-8671.3991999999998</v>
      </c>
      <c r="AC58">
        <v>-8671.3991999999998</v>
      </c>
      <c r="AD58">
        <v>-8671.3991999999998</v>
      </c>
      <c r="AE58">
        <v>-8671.3991999999998</v>
      </c>
    </row>
    <row r="59" spans="2:31" x14ac:dyDescent="0.25">
      <c r="B59">
        <f t="shared" si="0"/>
        <v>58</v>
      </c>
      <c r="C59">
        <v>42105.100764456693</v>
      </c>
      <c r="D59">
        <v>110336.47682713358</v>
      </c>
      <c r="E59">
        <v>224055.43689197523</v>
      </c>
      <c r="F59">
        <v>451493.35298044921</v>
      </c>
      <c r="G59">
        <v>906369.18882214755</v>
      </c>
      <c r="J59">
        <f t="shared" si="1"/>
        <v>58</v>
      </c>
      <c r="K59">
        <v>2105.2551187259523</v>
      </c>
      <c r="L59">
        <v>5516.8249376709573</v>
      </c>
      <c r="M59">
        <v>11202.774579938792</v>
      </c>
      <c r="N59">
        <v>22574.668155174586</v>
      </c>
      <c r="O59">
        <v>45318.46048309654</v>
      </c>
      <c r="R59">
        <f t="shared" si="2"/>
        <v>58</v>
      </c>
      <c r="S59">
        <v>4.0700832316916458E-2</v>
      </c>
      <c r="T59">
        <v>4.1661144898690328E-2</v>
      </c>
      <c r="U59">
        <v>4.1997834839215376E-2</v>
      </c>
      <c r="V59">
        <v>4.2169455890811225E-2</v>
      </c>
      <c r="W59">
        <v>4.2256104950378237E-2</v>
      </c>
      <c r="AA59">
        <v>-8525.2759999999998</v>
      </c>
      <c r="AB59">
        <v>-8525.2759999999998</v>
      </c>
      <c r="AC59">
        <v>-8525.2759999999998</v>
      </c>
      <c r="AD59">
        <v>-8525.2759999999998</v>
      </c>
      <c r="AE59">
        <v>-8525.2759999999998</v>
      </c>
    </row>
    <row r="60" spans="2:31" x14ac:dyDescent="0.25">
      <c r="B60">
        <f t="shared" si="0"/>
        <v>59</v>
      </c>
      <c r="C60">
        <v>44203.80677062153</v>
      </c>
      <c r="D60">
        <v>115501.30077716442</v>
      </c>
      <c r="E60">
        <v>234330.45560078474</v>
      </c>
      <c r="F60">
        <v>471988.76692344836</v>
      </c>
      <c r="G60">
        <v>947305.38956608868</v>
      </c>
      <c r="J60">
        <f t="shared" si="1"/>
        <v>59</v>
      </c>
      <c r="K60">
        <v>2210.1906716782614</v>
      </c>
      <c r="L60">
        <v>5775.0662757543032</v>
      </c>
      <c r="M60">
        <v>11716.523034112703</v>
      </c>
      <c r="N60">
        <v>23599.438883983879</v>
      </c>
      <c r="O60">
        <v>47365.270579983946</v>
      </c>
      <c r="R60">
        <f t="shared" si="2"/>
        <v>59</v>
      </c>
      <c r="S60">
        <v>4.1649240927247977E-2</v>
      </c>
      <c r="T60">
        <v>4.2636850665646264E-2</v>
      </c>
      <c r="U60">
        <v>4.2982312556752333E-2</v>
      </c>
      <c r="V60">
        <v>4.3158251263284653E-2</v>
      </c>
      <c r="W60">
        <v>4.3247038300850749E-2</v>
      </c>
      <c r="AA60">
        <v>-8377.2351999999992</v>
      </c>
      <c r="AB60">
        <v>-8377.2351999999992</v>
      </c>
      <c r="AC60">
        <v>-8377.2351999999992</v>
      </c>
      <c r="AD60">
        <v>-8377.2351999999992</v>
      </c>
      <c r="AE60">
        <v>-8377.2351999999992</v>
      </c>
    </row>
    <row r="61" spans="2:31" x14ac:dyDescent="0.25">
      <c r="B61">
        <f t="shared" si="0"/>
        <v>60</v>
      </c>
      <c r="C61">
        <v>46380.661953957955</v>
      </c>
      <c r="D61">
        <v>120858.14740596537</v>
      </c>
      <c r="E61">
        <v>244987.28997413546</v>
      </c>
      <c r="F61">
        <v>493245.57510514162</v>
      </c>
      <c r="G61">
        <v>989762.14536477218</v>
      </c>
      <c r="J61">
        <f t="shared" si="1"/>
        <v>60</v>
      </c>
      <c r="K61">
        <v>2319.033243848753</v>
      </c>
      <c r="L61">
        <v>6042.9074904513545</v>
      </c>
      <c r="M61">
        <v>12249.364771426597</v>
      </c>
      <c r="N61">
        <v>24662.279326057294</v>
      </c>
      <c r="O61">
        <v>49488.108432049863</v>
      </c>
      <c r="R61">
        <f t="shared" si="2"/>
        <v>60</v>
      </c>
      <c r="S61">
        <v>4.2693959000008608E-2</v>
      </c>
      <c r="T61">
        <v>4.3708925036335611E-2</v>
      </c>
      <c r="U61">
        <v>4.4063121433276287E-2</v>
      </c>
      <c r="V61">
        <v>4.4243341128610725E-2</v>
      </c>
      <c r="W61">
        <v>4.433424611445691E-2</v>
      </c>
      <c r="AA61">
        <v>-8227.3953999999994</v>
      </c>
      <c r="AB61">
        <v>-8227.3953999999994</v>
      </c>
      <c r="AC61">
        <v>-8227.3953999999994</v>
      </c>
      <c r="AD61">
        <v>-8227.3953999999994</v>
      </c>
      <c r="AE61">
        <v>-8227.3953999999994</v>
      </c>
    </row>
    <row r="62" spans="2:31" x14ac:dyDescent="0.25">
      <c r="B62">
        <f t="shared" si="0"/>
        <v>61</v>
      </c>
      <c r="C62">
        <v>48634.447299173378</v>
      </c>
      <c r="D62">
        <v>126404.25338835979</v>
      </c>
      <c r="E62">
        <v>256020.59716202281</v>
      </c>
      <c r="F62">
        <v>515253.28470471583</v>
      </c>
      <c r="G62">
        <v>1033718.6597880343</v>
      </c>
      <c r="J62">
        <f t="shared" si="1"/>
        <v>61</v>
      </c>
      <c r="K62">
        <v>2431.7226295978471</v>
      </c>
      <c r="L62">
        <v>6320.2128018171352</v>
      </c>
      <c r="M62">
        <v>12801.030149793718</v>
      </c>
      <c r="N62">
        <v>25762.664839484729</v>
      </c>
      <c r="O62">
        <v>51685.934216071386</v>
      </c>
      <c r="R62">
        <f t="shared" si="2"/>
        <v>61</v>
      </c>
      <c r="S62">
        <v>4.3843375198384882E-2</v>
      </c>
      <c r="T62">
        <v>4.4885529992382711E-2</v>
      </c>
      <c r="U62">
        <v>4.5248339795610271E-2</v>
      </c>
      <c r="V62">
        <v>4.5432769279419416E-2</v>
      </c>
      <c r="W62">
        <v>4.552575360835931E-2</v>
      </c>
      <c r="AA62">
        <v>-8076.1778999999997</v>
      </c>
      <c r="AB62">
        <v>-8076.1778999999997</v>
      </c>
      <c r="AC62">
        <v>-8076.1778999999997</v>
      </c>
      <c r="AD62">
        <v>-8076.1778999999997</v>
      </c>
      <c r="AE62">
        <v>-8076.1778999999997</v>
      </c>
    </row>
    <row r="63" spans="2:31" x14ac:dyDescent="0.25">
      <c r="B63">
        <f t="shared" si="0"/>
        <v>62</v>
      </c>
      <c r="C63">
        <v>50963.469207285307</v>
      </c>
      <c r="D63">
        <v>132135.08868328223</v>
      </c>
      <c r="E63">
        <v>267421.12158302392</v>
      </c>
      <c r="F63">
        <v>537993.18737854261</v>
      </c>
      <c r="G63">
        <v>1079137.3189678041</v>
      </c>
      <c r="J63">
        <f t="shared" si="1"/>
        <v>62</v>
      </c>
      <c r="K63">
        <v>2548.1738433318096</v>
      </c>
      <c r="L63">
        <v>6606.7545786042174</v>
      </c>
      <c r="M63">
        <v>13371.056389424368</v>
      </c>
      <c r="N63">
        <v>26899.660005787038</v>
      </c>
      <c r="O63">
        <v>53956.867236149264</v>
      </c>
      <c r="R63">
        <f t="shared" si="2"/>
        <v>62</v>
      </c>
      <c r="S63">
        <v>4.5106602767346349E-2</v>
      </c>
      <c r="T63">
        <v>4.6174957794492988E-2</v>
      </c>
      <c r="U63">
        <v>4.6545968974863294E-2</v>
      </c>
      <c r="V63">
        <v>4.6734386414116758E-2</v>
      </c>
      <c r="W63">
        <v>4.6829335187624332E-2</v>
      </c>
      <c r="AA63">
        <v>-7923.5816000000004</v>
      </c>
      <c r="AB63">
        <v>-7923.5816000000004</v>
      </c>
      <c r="AC63">
        <v>-7923.5816000000004</v>
      </c>
      <c r="AD63">
        <v>-7923.5816000000004</v>
      </c>
      <c r="AE63">
        <v>-7923.5816000000004</v>
      </c>
    </row>
    <row r="64" spans="2:31" x14ac:dyDescent="0.25">
      <c r="B64">
        <f t="shared" si="0"/>
        <v>63</v>
      </c>
      <c r="C64">
        <v>53364.584965053313</v>
      </c>
      <c r="D64">
        <v>138043.18234025585</v>
      </c>
      <c r="E64">
        <v>279174.17855702416</v>
      </c>
      <c r="F64">
        <v>561436.1709872405</v>
      </c>
      <c r="G64">
        <v>1125960.1558461906</v>
      </c>
      <c r="J64">
        <f t="shared" si="1"/>
        <v>63</v>
      </c>
      <c r="K64">
        <v>2668.2297483252914</v>
      </c>
      <c r="L64">
        <v>6902.1592728508986</v>
      </c>
      <c r="M64">
        <v>13958.709255478985</v>
      </c>
      <c r="N64">
        <v>28071.809216384077</v>
      </c>
      <c r="O64">
        <v>56298.009136251174</v>
      </c>
      <c r="R64">
        <f t="shared" si="2"/>
        <v>63</v>
      </c>
      <c r="S64">
        <v>4.6491285374633318E-2</v>
      </c>
      <c r="T64">
        <v>4.7584427416129449E-2</v>
      </c>
      <c r="U64">
        <v>4.7963089654625701E-2</v>
      </c>
      <c r="V64">
        <v>4.8155204925664163E-2</v>
      </c>
      <c r="W64">
        <v>4.825196933844822E-2</v>
      </c>
      <c r="AA64">
        <v>-7769.2775000000001</v>
      </c>
      <c r="AB64">
        <v>-7769.2775000000001</v>
      </c>
      <c r="AC64">
        <v>-7769.2775000000001</v>
      </c>
      <c r="AD64">
        <v>-7769.2775000000001</v>
      </c>
      <c r="AE64">
        <v>-7769.2775000000001</v>
      </c>
    </row>
    <row r="65" spans="2:32" x14ac:dyDescent="0.25">
      <c r="B65">
        <f t="shared" si="0"/>
        <v>64</v>
      </c>
      <c r="C65">
        <v>55833.948047217069</v>
      </c>
      <c r="D65">
        <v>144118.65977354682</v>
      </c>
      <c r="E65">
        <v>291259.84597463539</v>
      </c>
      <c r="F65">
        <v>585542.21837409388</v>
      </c>
      <c r="G65">
        <v>1174106.9631717862</v>
      </c>
      <c r="J65">
        <f t="shared" si="1"/>
        <v>64</v>
      </c>
      <c r="K65">
        <v>2791.6974552573811</v>
      </c>
      <c r="L65">
        <v>7205.933154640923</v>
      </c>
      <c r="M65">
        <v>14562.992641409684</v>
      </c>
      <c r="N65">
        <v>29277.111611439381</v>
      </c>
      <c r="O65">
        <v>58705.349549920764</v>
      </c>
      <c r="R65">
        <f t="shared" si="2"/>
        <v>64</v>
      </c>
      <c r="S65">
        <v>4.8005028343844014E-2</v>
      </c>
      <c r="T65">
        <v>4.9120379652230151E-2</v>
      </c>
      <c r="U65">
        <v>4.950573462025698E-2</v>
      </c>
      <c r="V65">
        <v>4.970105011243775E-2</v>
      </c>
      <c r="W65">
        <v>4.9799376745222501E-2</v>
      </c>
      <c r="AA65">
        <v>-7613.3999000000003</v>
      </c>
      <c r="AB65">
        <v>-7613.3999000000003</v>
      </c>
      <c r="AC65">
        <v>-7613.3999000000003</v>
      </c>
      <c r="AD65">
        <v>-7613.3999000000003</v>
      </c>
      <c r="AE65">
        <v>-7613.3999000000003</v>
      </c>
    </row>
    <row r="66" spans="2:32" x14ac:dyDescent="0.25">
      <c r="B66">
        <f t="shared" si="0"/>
        <v>65</v>
      </c>
      <c r="C66">
        <v>58365.920907962623</v>
      </c>
      <c r="D66">
        <v>150347.94789236222</v>
      </c>
      <c r="E66">
        <v>303651.32619220525</v>
      </c>
      <c r="F66">
        <v>610258.08278973075</v>
      </c>
      <c r="G66">
        <v>1223471.5959838112</v>
      </c>
      <c r="J66">
        <f t="shared" si="1"/>
        <v>65</v>
      </c>
      <c r="K66">
        <v>2918.2961060627567</v>
      </c>
      <c r="L66">
        <v>7517.397568803397</v>
      </c>
      <c r="M66">
        <v>15182.566663863545</v>
      </c>
      <c r="N66">
        <v>30512.904851241503</v>
      </c>
      <c r="O66">
        <v>61173.581224766327</v>
      </c>
      <c r="R66">
        <f t="shared" si="2"/>
        <v>65</v>
      </c>
      <c r="S66">
        <v>4.9652406068230848E-2</v>
      </c>
      <c r="T66">
        <v>5.0786769308535318E-2</v>
      </c>
      <c r="U66">
        <v>5.1177664238997167E-2</v>
      </c>
      <c r="V66">
        <v>5.1375587293551739E-2</v>
      </c>
      <c r="W66">
        <v>5.1475175778675997E-2</v>
      </c>
      <c r="AA66">
        <v>-7455.8590000000004</v>
      </c>
      <c r="AB66">
        <v>-7455.8590000000004</v>
      </c>
      <c r="AC66">
        <v>-7455.8590000000004</v>
      </c>
      <c r="AD66">
        <v>-7455.8590000000004</v>
      </c>
      <c r="AE66">
        <v>-7455.8590000000004</v>
      </c>
    </row>
    <row r="69" spans="2:32" x14ac:dyDescent="0.25">
      <c r="B69" t="s">
        <v>46</v>
      </c>
      <c r="C69" s="30">
        <v>50000</v>
      </c>
      <c r="D69" s="30">
        <v>100000</v>
      </c>
      <c r="E69" s="30">
        <v>250000</v>
      </c>
      <c r="F69" s="30">
        <v>500000</v>
      </c>
      <c r="G69" s="30">
        <v>1000000</v>
      </c>
      <c r="H69" s="30">
        <v>2000000</v>
      </c>
      <c r="I69" s="30"/>
      <c r="J69" s="30" t="s">
        <v>47</v>
      </c>
      <c r="K69" s="30">
        <v>50000</v>
      </c>
      <c r="L69" s="30">
        <v>100000</v>
      </c>
      <c r="M69" s="30">
        <v>250000</v>
      </c>
      <c r="N69" s="30">
        <v>500000</v>
      </c>
      <c r="O69" s="30">
        <v>1000000</v>
      </c>
      <c r="P69" s="30">
        <v>2000000</v>
      </c>
      <c r="Q69" s="30"/>
      <c r="R69" s="30" t="s">
        <v>48</v>
      </c>
      <c r="S69" s="30">
        <v>50000</v>
      </c>
      <c r="T69" s="30">
        <v>100000</v>
      </c>
      <c r="U69" s="30">
        <v>250000</v>
      </c>
      <c r="V69" s="30">
        <v>500000</v>
      </c>
      <c r="W69" s="30">
        <v>1000000</v>
      </c>
      <c r="X69" s="30">
        <v>2000000</v>
      </c>
    </row>
    <row r="70" spans="2:32" x14ac:dyDescent="0.25">
      <c r="B70">
        <v>26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J70">
        <v>26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R70">
        <v>26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AA70">
        <v>-7435.5060999999996</v>
      </c>
      <c r="AB70">
        <v>-7435.5060999999996</v>
      </c>
      <c r="AC70">
        <v>-7435.5060999999996</v>
      </c>
      <c r="AD70">
        <v>-7435.5060999999996</v>
      </c>
      <c r="AE70">
        <v>-7435.5060999999996</v>
      </c>
      <c r="AF70">
        <v>-7435.5060999999996</v>
      </c>
    </row>
    <row r="71" spans="2:32" x14ac:dyDescent="0.25">
      <c r="B71">
        <v>27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J71">
        <v>27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R71">
        <v>27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AA71">
        <v>-7434.2619000000004</v>
      </c>
      <c r="AB71">
        <v>-7434.2619000000004</v>
      </c>
      <c r="AC71">
        <v>-7434.2619000000004</v>
      </c>
      <c r="AD71">
        <v>-7434.2619000000004</v>
      </c>
      <c r="AE71">
        <v>-7434.2619000000004</v>
      </c>
      <c r="AF71">
        <v>-7434.2619000000004</v>
      </c>
    </row>
    <row r="72" spans="2:32" x14ac:dyDescent="0.25">
      <c r="B72">
        <v>28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J72">
        <v>28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R72">
        <v>28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AA72">
        <v>-7432.8334999999997</v>
      </c>
      <c r="AB72">
        <v>-7432.8334999999997</v>
      </c>
      <c r="AC72">
        <v>-7432.8334999999997</v>
      </c>
      <c r="AD72">
        <v>-7432.8334999999997</v>
      </c>
      <c r="AE72">
        <v>-7432.8334999999997</v>
      </c>
      <c r="AF72">
        <v>-7432.8334999999997</v>
      </c>
    </row>
    <row r="73" spans="2:32" x14ac:dyDescent="0.25">
      <c r="B73">
        <v>29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J73">
        <v>29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R73">
        <v>29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AA73">
        <v>-7431.2058999999999</v>
      </c>
      <c r="AB73">
        <v>-7431.2058999999999</v>
      </c>
      <c r="AC73">
        <v>-7431.2058999999999</v>
      </c>
      <c r="AD73">
        <v>-7431.2058999999999</v>
      </c>
      <c r="AE73">
        <v>-7431.2058999999999</v>
      </c>
      <c r="AF73">
        <v>-7431.2058999999999</v>
      </c>
    </row>
    <row r="74" spans="2:32" x14ac:dyDescent="0.25">
      <c r="B74">
        <v>30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J74">
        <v>30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R74">
        <v>30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AA74">
        <v>-7429.3476000000001</v>
      </c>
      <c r="AB74">
        <v>-7429.3476000000001</v>
      </c>
      <c r="AC74">
        <v>-7429.3476000000001</v>
      </c>
      <c r="AD74">
        <v>-7429.3476000000001</v>
      </c>
      <c r="AE74">
        <v>-7429.3476000000001</v>
      </c>
      <c r="AF74">
        <v>-7429.3476000000001</v>
      </c>
    </row>
    <row r="75" spans="2:32" x14ac:dyDescent="0.25">
      <c r="B75">
        <v>31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J75">
        <v>31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R75">
        <v>31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AA75">
        <v>-7427.2446</v>
      </c>
      <c r="AB75">
        <v>-7427.2446</v>
      </c>
      <c r="AC75">
        <v>-7427.2446</v>
      </c>
      <c r="AD75">
        <v>-7427.2446</v>
      </c>
      <c r="AE75">
        <v>-7427.2446</v>
      </c>
      <c r="AF75">
        <v>-7427.2446</v>
      </c>
    </row>
    <row r="76" spans="2:32" x14ac:dyDescent="0.25">
      <c r="B76">
        <v>32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J76">
        <v>32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R76">
        <v>32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AA76">
        <v>-7424.8944000000001</v>
      </c>
      <c r="AB76">
        <v>-7424.8944000000001</v>
      </c>
      <c r="AC76">
        <v>-7424.8944000000001</v>
      </c>
      <c r="AD76">
        <v>-7424.8944000000001</v>
      </c>
      <c r="AE76">
        <v>-7424.8944000000001</v>
      </c>
      <c r="AF76">
        <v>-7424.8944000000001</v>
      </c>
    </row>
    <row r="77" spans="2:32" x14ac:dyDescent="0.25">
      <c r="B77">
        <v>33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J77">
        <v>33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R77">
        <v>33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AA77">
        <v>-7422.2834000000003</v>
      </c>
      <c r="AB77">
        <v>-7422.2834000000003</v>
      </c>
      <c r="AC77">
        <v>-7422.2834000000003</v>
      </c>
      <c r="AD77">
        <v>-7422.2834000000003</v>
      </c>
      <c r="AE77">
        <v>-7422.2834000000003</v>
      </c>
      <c r="AF77">
        <v>-7422.2834000000003</v>
      </c>
    </row>
    <row r="78" spans="2:32" x14ac:dyDescent="0.25">
      <c r="B78">
        <v>34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J78">
        <v>34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R78">
        <v>34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AA78">
        <v>-7419.3683000000001</v>
      </c>
      <c r="AB78">
        <v>-7419.3683000000001</v>
      </c>
      <c r="AC78">
        <v>-7419.3683000000001</v>
      </c>
      <c r="AD78">
        <v>-7419.3683000000001</v>
      </c>
      <c r="AE78">
        <v>-7419.3683000000001</v>
      </c>
      <c r="AF78">
        <v>-7419.3683000000001</v>
      </c>
    </row>
    <row r="79" spans="2:32" x14ac:dyDescent="0.25">
      <c r="B79">
        <v>35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J79">
        <v>35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R79">
        <v>35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AA79">
        <v>-7416.1363000000001</v>
      </c>
      <c r="AB79">
        <v>-7416.1363000000001</v>
      </c>
      <c r="AC79">
        <v>-7416.1363000000001</v>
      </c>
      <c r="AD79">
        <v>-7416.1363000000001</v>
      </c>
      <c r="AE79">
        <v>-7416.1363000000001</v>
      </c>
      <c r="AF79">
        <v>-7416.1363000000001</v>
      </c>
    </row>
    <row r="80" spans="2:32" x14ac:dyDescent="0.25">
      <c r="B80">
        <v>36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J80">
        <v>36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R80">
        <v>36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AA80">
        <v>-7412.5378000000001</v>
      </c>
      <c r="AB80">
        <v>-7412.5378000000001</v>
      </c>
      <c r="AC80">
        <v>-7412.5378000000001</v>
      </c>
      <c r="AD80">
        <v>-7412.5378000000001</v>
      </c>
      <c r="AE80">
        <v>-7412.5378000000001</v>
      </c>
      <c r="AF80">
        <v>-7412.5378000000001</v>
      </c>
    </row>
    <row r="81" spans="2:32" x14ac:dyDescent="0.25">
      <c r="B81">
        <v>37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J81">
        <v>37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R81">
        <v>37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AA81">
        <v>-7408.55</v>
      </c>
      <c r="AB81">
        <v>-7408.55</v>
      </c>
      <c r="AC81">
        <v>-7408.55</v>
      </c>
      <c r="AD81">
        <v>-7408.55</v>
      </c>
      <c r="AE81">
        <v>-7408.55</v>
      </c>
      <c r="AF81">
        <v>-7408.55</v>
      </c>
    </row>
    <row r="82" spans="2:32" x14ac:dyDescent="0.25">
      <c r="B82">
        <v>38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J82">
        <v>38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R82">
        <v>38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AA82">
        <v>-7404.1752999999999</v>
      </c>
      <c r="AB82">
        <v>-7404.1752999999999</v>
      </c>
      <c r="AC82">
        <v>-7404.1752999999999</v>
      </c>
      <c r="AD82">
        <v>-7404.1752999999999</v>
      </c>
      <c r="AE82">
        <v>-7404.1752999999999</v>
      </c>
      <c r="AF82">
        <v>-7404.1752999999999</v>
      </c>
    </row>
    <row r="83" spans="2:32" x14ac:dyDescent="0.25">
      <c r="B83">
        <v>39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J83">
        <v>39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R83">
        <v>39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AA83">
        <v>-7399.3923999999997</v>
      </c>
      <c r="AB83">
        <v>-7399.3923999999997</v>
      </c>
      <c r="AC83">
        <v>-7399.3923999999997</v>
      </c>
      <c r="AD83">
        <v>-7399.3923999999997</v>
      </c>
      <c r="AE83">
        <v>-7399.3923999999997</v>
      </c>
      <c r="AF83">
        <v>-7399.3923999999997</v>
      </c>
    </row>
    <row r="84" spans="2:32" x14ac:dyDescent="0.25">
      <c r="B84">
        <v>40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J84">
        <v>40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R84">
        <v>40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AA84">
        <v>-7394.1365999999998</v>
      </c>
      <c r="AB84">
        <v>-7394.1365999999998</v>
      </c>
      <c r="AC84">
        <v>-7394.1365999999998</v>
      </c>
      <c r="AD84">
        <v>-7394.1365999999998</v>
      </c>
      <c r="AE84">
        <v>-7394.1365999999998</v>
      </c>
      <c r="AF84">
        <v>-7394.1365999999998</v>
      </c>
    </row>
    <row r="85" spans="2:32" x14ac:dyDescent="0.25">
      <c r="B85">
        <v>41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J85">
        <v>41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R85">
        <v>41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AA85">
        <v>-7388.3469999999998</v>
      </c>
      <c r="AB85">
        <v>-7388.3469999999998</v>
      </c>
      <c r="AC85">
        <v>-7388.3469999999998</v>
      </c>
      <c r="AD85">
        <v>-7388.3469999999998</v>
      </c>
      <c r="AE85">
        <v>-7388.3469999999998</v>
      </c>
      <c r="AF85">
        <v>-7388.3469999999998</v>
      </c>
    </row>
    <row r="86" spans="2:32" x14ac:dyDescent="0.25">
      <c r="B86">
        <v>42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J86">
        <v>42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R86">
        <v>42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AA86">
        <v>-7381.9919</v>
      </c>
      <c r="AB86">
        <v>-7381.9919</v>
      </c>
      <c r="AC86">
        <v>-7381.9919</v>
      </c>
      <c r="AD86">
        <v>-7381.9919</v>
      </c>
      <c r="AE86">
        <v>-7381.9919</v>
      </c>
      <c r="AF86">
        <v>-7381.9919</v>
      </c>
    </row>
    <row r="87" spans="2:32" x14ac:dyDescent="0.25">
      <c r="B87">
        <v>43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J87">
        <v>43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R87">
        <v>43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AA87">
        <v>-7374.9579999999996</v>
      </c>
      <c r="AB87">
        <v>-7374.9579999999996</v>
      </c>
      <c r="AC87">
        <v>-7374.9579999999996</v>
      </c>
      <c r="AD87">
        <v>-7374.9579999999996</v>
      </c>
      <c r="AE87">
        <v>-7374.9579999999996</v>
      </c>
      <c r="AF87">
        <v>-7374.9579999999996</v>
      </c>
    </row>
    <row r="88" spans="2:32" x14ac:dyDescent="0.25">
      <c r="B88">
        <v>44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J88">
        <v>44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R88">
        <v>44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AA88">
        <v>-7367.2034999999996</v>
      </c>
      <c r="AB88">
        <v>-7367.2034999999996</v>
      </c>
      <c r="AC88">
        <v>-7367.2034999999996</v>
      </c>
      <c r="AD88">
        <v>-7367.2034999999996</v>
      </c>
      <c r="AE88">
        <v>-7367.2034999999996</v>
      </c>
      <c r="AF88">
        <v>-7367.2034999999996</v>
      </c>
    </row>
    <row r="89" spans="2:32" x14ac:dyDescent="0.25">
      <c r="B89">
        <v>45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J89">
        <v>45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R89">
        <v>45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AA89">
        <v>-7358.6491999999998</v>
      </c>
      <c r="AB89">
        <v>-7358.6491999999998</v>
      </c>
      <c r="AC89">
        <v>-7358.6491999999998</v>
      </c>
      <c r="AD89">
        <v>-7358.6491999999998</v>
      </c>
      <c r="AE89">
        <v>-7358.6491999999998</v>
      </c>
      <c r="AF89">
        <v>-7358.6491999999998</v>
      </c>
    </row>
    <row r="90" spans="2:32" x14ac:dyDescent="0.25">
      <c r="B90">
        <v>46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J90">
        <v>46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R90">
        <v>46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AA90">
        <v>-7349.2232000000004</v>
      </c>
      <c r="AB90">
        <v>-7349.2232000000004</v>
      </c>
      <c r="AC90">
        <v>-7349.2232000000004</v>
      </c>
      <c r="AD90">
        <v>-7349.2232000000004</v>
      </c>
      <c r="AE90">
        <v>-7349.2232000000004</v>
      </c>
      <c r="AF90">
        <v>-7349.2232000000004</v>
      </c>
    </row>
    <row r="91" spans="2:32" x14ac:dyDescent="0.25">
      <c r="B91">
        <v>47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J91">
        <v>47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R91">
        <v>47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AA91">
        <v>-7338.8310000000001</v>
      </c>
      <c r="AB91">
        <v>-7338.8310000000001</v>
      </c>
      <c r="AC91">
        <v>-7338.8310000000001</v>
      </c>
      <c r="AD91">
        <v>-7338.8310000000001</v>
      </c>
      <c r="AE91">
        <v>-7338.8310000000001</v>
      </c>
      <c r="AF91">
        <v>-7338.8310000000001</v>
      </c>
    </row>
    <row r="92" spans="2:32" x14ac:dyDescent="0.25">
      <c r="B92">
        <v>48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J92">
        <v>48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R92">
        <v>48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AA92">
        <v>-7327.4297999999999</v>
      </c>
      <c r="AB92">
        <v>-7327.4297999999999</v>
      </c>
      <c r="AC92">
        <v>-7327.4297999999999</v>
      </c>
      <c r="AD92">
        <v>-7327.4297999999999</v>
      </c>
      <c r="AE92">
        <v>-7327.4297999999999</v>
      </c>
      <c r="AF92">
        <v>-7327.4297999999999</v>
      </c>
    </row>
    <row r="93" spans="2:32" x14ac:dyDescent="0.25">
      <c r="B93">
        <v>49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J93">
        <v>49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R93">
        <v>49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AA93">
        <v>-7314.951</v>
      </c>
      <c r="AB93">
        <v>-7314.951</v>
      </c>
      <c r="AC93">
        <v>-7314.951</v>
      </c>
      <c r="AD93">
        <v>-7314.951</v>
      </c>
      <c r="AE93">
        <v>-7314.951</v>
      </c>
      <c r="AF93">
        <v>-7314.951</v>
      </c>
    </row>
    <row r="94" spans="2:32" x14ac:dyDescent="0.25">
      <c r="B94">
        <v>50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J94">
        <v>50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R94">
        <v>50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AA94">
        <v>-7301.2851000000001</v>
      </c>
      <c r="AB94">
        <v>-7301.2851000000001</v>
      </c>
      <c r="AC94">
        <v>-7301.2851000000001</v>
      </c>
      <c r="AD94">
        <v>-7301.2851000000001</v>
      </c>
      <c r="AE94">
        <v>-7301.2851000000001</v>
      </c>
      <c r="AF94">
        <v>-7301.2851000000001</v>
      </c>
    </row>
    <row r="95" spans="2:32" x14ac:dyDescent="0.25">
      <c r="B95">
        <v>51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J95">
        <v>51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R95">
        <v>51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AA95">
        <v>-7286.3271000000004</v>
      </c>
      <c r="AB95">
        <v>-7286.3271000000004</v>
      </c>
      <c r="AC95">
        <v>-7286.3271000000004</v>
      </c>
      <c r="AD95">
        <v>-7286.3271000000004</v>
      </c>
      <c r="AE95">
        <v>-7286.3271000000004</v>
      </c>
      <c r="AF95">
        <v>-7286.3271000000004</v>
      </c>
    </row>
    <row r="96" spans="2:32" x14ac:dyDescent="0.25">
      <c r="B96">
        <v>52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J96">
        <v>52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R96">
        <v>52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AA96">
        <v>-7269.9448000000002</v>
      </c>
      <c r="AB96">
        <v>-7269.9448000000002</v>
      </c>
      <c r="AC96">
        <v>-7269.9448000000002</v>
      </c>
      <c r="AD96">
        <v>-7269.9448000000002</v>
      </c>
      <c r="AE96">
        <v>-7269.9448000000002</v>
      </c>
      <c r="AF96">
        <v>-7269.9448000000002</v>
      </c>
    </row>
    <row r="97" spans="2:32" x14ac:dyDescent="0.25">
      <c r="B97">
        <v>53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J97">
        <v>53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R97">
        <v>53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AA97">
        <v>-7252.0574999999999</v>
      </c>
      <c r="AB97">
        <v>-7252.0574999999999</v>
      </c>
      <c r="AC97">
        <v>-7252.0574999999999</v>
      </c>
      <c r="AD97">
        <v>-7252.0574999999999</v>
      </c>
      <c r="AE97">
        <v>-7252.0574999999999</v>
      </c>
      <c r="AF97">
        <v>-7252.0574999999999</v>
      </c>
    </row>
    <row r="98" spans="2:32" x14ac:dyDescent="0.25">
      <c r="B98">
        <v>54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J98">
        <v>54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R98">
        <v>54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AA98">
        <v>-7232.5680000000002</v>
      </c>
      <c r="AB98">
        <v>-7232.5680000000002</v>
      </c>
      <c r="AC98">
        <v>-7232.5680000000002</v>
      </c>
      <c r="AD98">
        <v>-7232.5680000000002</v>
      </c>
      <c r="AE98">
        <v>-7232.5680000000002</v>
      </c>
      <c r="AF98">
        <v>-7232.5680000000002</v>
      </c>
    </row>
    <row r="99" spans="2:32" x14ac:dyDescent="0.25">
      <c r="B99">
        <v>55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J99">
        <v>55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R99">
        <v>55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AA99">
        <v>-7211.3207000000002</v>
      </c>
      <c r="AB99">
        <v>-7211.3207000000002</v>
      </c>
      <c r="AC99">
        <v>-7211.3207000000002</v>
      </c>
      <c r="AD99">
        <v>-7211.3207000000002</v>
      </c>
      <c r="AE99">
        <v>-7211.3207000000002</v>
      </c>
      <c r="AF99">
        <v>-7211.3207000000002</v>
      </c>
    </row>
    <row r="102" spans="2:32" x14ac:dyDescent="0.25">
      <c r="B102" t="s">
        <v>46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32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48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2:32" x14ac:dyDescent="0.25">
      <c r="B103">
        <v>35</v>
      </c>
      <c r="C103">
        <v>1</v>
      </c>
      <c r="D103">
        <v>1</v>
      </c>
      <c r="E103">
        <v>1</v>
      </c>
      <c r="F103">
        <v>1</v>
      </c>
      <c r="G103">
        <v>1</v>
      </c>
      <c r="J103">
        <v>35</v>
      </c>
      <c r="K103">
        <v>1</v>
      </c>
      <c r="L103">
        <v>1</v>
      </c>
      <c r="M103">
        <v>1</v>
      </c>
      <c r="N103">
        <v>1</v>
      </c>
      <c r="O103">
        <v>1</v>
      </c>
      <c r="R103">
        <v>35</v>
      </c>
      <c r="S103">
        <v>1</v>
      </c>
      <c r="T103">
        <v>1</v>
      </c>
      <c r="U103">
        <v>1</v>
      </c>
      <c r="V103">
        <v>1</v>
      </c>
      <c r="W103">
        <v>1</v>
      </c>
      <c r="AA103">
        <v>-11308.6893</v>
      </c>
      <c r="AB103">
        <v>-11308.6893</v>
      </c>
      <c r="AC103">
        <v>-11308.6893</v>
      </c>
      <c r="AD103">
        <v>-11308.6893</v>
      </c>
      <c r="AE103">
        <v>-11308.6893</v>
      </c>
    </row>
    <row r="104" spans="2:32" x14ac:dyDescent="0.25">
      <c r="B104">
        <f t="shared" ref="B104:B133" si="3">B103+1</f>
        <v>36</v>
      </c>
      <c r="C104">
        <v>1</v>
      </c>
      <c r="D104">
        <v>1</v>
      </c>
      <c r="E104">
        <v>1</v>
      </c>
      <c r="F104">
        <v>1</v>
      </c>
      <c r="G104">
        <v>1</v>
      </c>
      <c r="J104">
        <f t="shared" ref="J104:J133" si="4">J103+1</f>
        <v>36</v>
      </c>
      <c r="K104">
        <v>1</v>
      </c>
      <c r="L104">
        <v>1</v>
      </c>
      <c r="M104">
        <v>1</v>
      </c>
      <c r="N104">
        <v>1</v>
      </c>
      <c r="O104">
        <v>1</v>
      </c>
      <c r="R104">
        <f t="shared" ref="R104:R133" si="5">R103+1</f>
        <v>36</v>
      </c>
      <c r="S104">
        <v>1</v>
      </c>
      <c r="T104">
        <v>1</v>
      </c>
      <c r="U104">
        <v>1</v>
      </c>
      <c r="V104">
        <v>1</v>
      </c>
      <c r="W104">
        <v>1</v>
      </c>
      <c r="AA104">
        <v>-11214.2592</v>
      </c>
      <c r="AB104">
        <v>-11214.2592</v>
      </c>
      <c r="AC104">
        <v>-11214.2592</v>
      </c>
      <c r="AD104">
        <v>-11214.2592</v>
      </c>
      <c r="AE104">
        <v>-11214.2592</v>
      </c>
    </row>
    <row r="105" spans="2:32" x14ac:dyDescent="0.25">
      <c r="B105">
        <f t="shared" si="3"/>
        <v>37</v>
      </c>
      <c r="C105">
        <v>1</v>
      </c>
      <c r="D105">
        <v>1</v>
      </c>
      <c r="E105">
        <v>1</v>
      </c>
      <c r="F105">
        <v>1</v>
      </c>
      <c r="G105">
        <v>1</v>
      </c>
      <c r="J105">
        <f t="shared" si="4"/>
        <v>37</v>
      </c>
      <c r="K105">
        <v>1</v>
      </c>
      <c r="L105">
        <v>1</v>
      </c>
      <c r="M105">
        <v>1</v>
      </c>
      <c r="N105">
        <v>1</v>
      </c>
      <c r="O105">
        <v>1</v>
      </c>
      <c r="R105">
        <f t="shared" si="5"/>
        <v>37</v>
      </c>
      <c r="S105">
        <v>1</v>
      </c>
      <c r="T105">
        <v>1</v>
      </c>
      <c r="U105">
        <v>1</v>
      </c>
      <c r="V105">
        <v>1</v>
      </c>
      <c r="W105">
        <v>1</v>
      </c>
      <c r="AA105">
        <v>-11117.406199999999</v>
      </c>
      <c r="AB105">
        <v>-11117.406199999999</v>
      </c>
      <c r="AC105">
        <v>-11117.406199999999</v>
      </c>
      <c r="AD105">
        <v>-11117.406199999999</v>
      </c>
      <c r="AE105">
        <v>-11117.406199999999</v>
      </c>
    </row>
    <row r="106" spans="2:32" x14ac:dyDescent="0.25">
      <c r="B106">
        <f t="shared" si="3"/>
        <v>38</v>
      </c>
      <c r="C106">
        <v>1</v>
      </c>
      <c r="D106">
        <v>1</v>
      </c>
      <c r="E106">
        <v>1</v>
      </c>
      <c r="F106">
        <v>1</v>
      </c>
      <c r="G106">
        <v>1</v>
      </c>
      <c r="J106">
        <f t="shared" si="4"/>
        <v>38</v>
      </c>
      <c r="K106">
        <v>1</v>
      </c>
      <c r="L106">
        <v>1</v>
      </c>
      <c r="M106">
        <v>1</v>
      </c>
      <c r="N106">
        <v>1</v>
      </c>
      <c r="O106">
        <v>1</v>
      </c>
      <c r="R106">
        <f t="shared" si="5"/>
        <v>38</v>
      </c>
      <c r="S106">
        <v>1</v>
      </c>
      <c r="T106">
        <v>1</v>
      </c>
      <c r="U106">
        <v>1</v>
      </c>
      <c r="V106">
        <v>1</v>
      </c>
      <c r="W106">
        <v>1</v>
      </c>
      <c r="AA106">
        <v>-11018.229799999999</v>
      </c>
      <c r="AB106">
        <v>-11018.229799999999</v>
      </c>
      <c r="AC106">
        <v>-11018.229799999999</v>
      </c>
      <c r="AD106">
        <v>-11018.229799999999</v>
      </c>
      <c r="AE106">
        <v>-11018.229799999999</v>
      </c>
    </row>
    <row r="107" spans="2:32" x14ac:dyDescent="0.25">
      <c r="B107">
        <f t="shared" si="3"/>
        <v>39</v>
      </c>
      <c r="C107">
        <v>1</v>
      </c>
      <c r="D107">
        <v>1</v>
      </c>
      <c r="E107">
        <v>1</v>
      </c>
      <c r="F107">
        <v>1</v>
      </c>
      <c r="G107">
        <v>1</v>
      </c>
      <c r="J107">
        <f t="shared" si="4"/>
        <v>39</v>
      </c>
      <c r="K107">
        <v>1</v>
      </c>
      <c r="L107">
        <v>1</v>
      </c>
      <c r="M107">
        <v>1</v>
      </c>
      <c r="N107">
        <v>1</v>
      </c>
      <c r="O107">
        <v>1</v>
      </c>
      <c r="R107">
        <f t="shared" si="5"/>
        <v>39</v>
      </c>
      <c r="S107">
        <v>1</v>
      </c>
      <c r="T107">
        <v>1</v>
      </c>
      <c r="U107">
        <v>1</v>
      </c>
      <c r="V107">
        <v>1</v>
      </c>
      <c r="W107">
        <v>1</v>
      </c>
      <c r="AA107">
        <v>-10916.737999999999</v>
      </c>
      <c r="AB107">
        <v>-10916.737999999999</v>
      </c>
      <c r="AC107">
        <v>-10916.737999999999</v>
      </c>
      <c r="AD107">
        <v>-10916.737999999999</v>
      </c>
      <c r="AE107">
        <v>-10916.737999999999</v>
      </c>
    </row>
    <row r="108" spans="2:32" x14ac:dyDescent="0.25">
      <c r="B108">
        <f t="shared" si="3"/>
        <v>40</v>
      </c>
      <c r="C108">
        <v>1</v>
      </c>
      <c r="D108">
        <v>1</v>
      </c>
      <c r="E108">
        <v>1</v>
      </c>
      <c r="F108">
        <v>1</v>
      </c>
      <c r="G108">
        <v>1</v>
      </c>
      <c r="J108">
        <f t="shared" si="4"/>
        <v>40</v>
      </c>
      <c r="K108">
        <v>1</v>
      </c>
      <c r="L108">
        <v>1</v>
      </c>
      <c r="M108">
        <v>1</v>
      </c>
      <c r="N108">
        <v>1</v>
      </c>
      <c r="O108">
        <v>1</v>
      </c>
      <c r="R108">
        <f t="shared" si="5"/>
        <v>40</v>
      </c>
      <c r="S108">
        <v>1</v>
      </c>
      <c r="T108">
        <v>1</v>
      </c>
      <c r="U108">
        <v>1</v>
      </c>
      <c r="V108">
        <v>1</v>
      </c>
      <c r="W108">
        <v>1</v>
      </c>
      <c r="AA108">
        <v>-10812.8714</v>
      </c>
      <c r="AB108">
        <v>-10812.8714</v>
      </c>
      <c r="AC108">
        <v>-10812.8714</v>
      </c>
      <c r="AD108">
        <v>-10812.8714</v>
      </c>
      <c r="AE108">
        <v>-10812.8714</v>
      </c>
    </row>
    <row r="109" spans="2:32" x14ac:dyDescent="0.25">
      <c r="B109">
        <f t="shared" si="3"/>
        <v>41</v>
      </c>
      <c r="C109">
        <v>1</v>
      </c>
      <c r="D109">
        <v>1</v>
      </c>
      <c r="E109">
        <v>1</v>
      </c>
      <c r="F109">
        <v>1</v>
      </c>
      <c r="G109">
        <v>1</v>
      </c>
      <c r="J109">
        <f t="shared" si="4"/>
        <v>41</v>
      </c>
      <c r="K109">
        <v>1</v>
      </c>
      <c r="L109">
        <v>1</v>
      </c>
      <c r="M109">
        <v>1</v>
      </c>
      <c r="N109">
        <v>1</v>
      </c>
      <c r="O109">
        <v>1</v>
      </c>
      <c r="R109">
        <f t="shared" si="5"/>
        <v>41</v>
      </c>
      <c r="S109">
        <v>1</v>
      </c>
      <c r="T109">
        <v>1</v>
      </c>
      <c r="U109">
        <v>1</v>
      </c>
      <c r="V109">
        <v>1</v>
      </c>
      <c r="W109">
        <v>1</v>
      </c>
      <c r="AA109">
        <v>-10706.559600000001</v>
      </c>
      <c r="AB109">
        <v>-10706.559600000001</v>
      </c>
      <c r="AC109">
        <v>-10706.559600000001</v>
      </c>
      <c r="AD109">
        <v>-10706.559600000001</v>
      </c>
      <c r="AE109">
        <v>-10706.559600000001</v>
      </c>
    </row>
    <row r="110" spans="2:32" x14ac:dyDescent="0.25">
      <c r="B110">
        <f t="shared" si="3"/>
        <v>42</v>
      </c>
      <c r="C110">
        <v>1</v>
      </c>
      <c r="D110">
        <v>1</v>
      </c>
      <c r="E110">
        <v>1</v>
      </c>
      <c r="F110">
        <v>1</v>
      </c>
      <c r="G110">
        <v>1</v>
      </c>
      <c r="J110">
        <f t="shared" si="4"/>
        <v>42</v>
      </c>
      <c r="K110">
        <v>1</v>
      </c>
      <c r="L110">
        <v>1</v>
      </c>
      <c r="M110">
        <v>1</v>
      </c>
      <c r="N110">
        <v>1</v>
      </c>
      <c r="O110">
        <v>1</v>
      </c>
      <c r="R110">
        <f t="shared" si="5"/>
        <v>42</v>
      </c>
      <c r="S110">
        <v>1</v>
      </c>
      <c r="T110">
        <v>1</v>
      </c>
      <c r="U110">
        <v>1</v>
      </c>
      <c r="V110">
        <v>1</v>
      </c>
      <c r="W110">
        <v>1</v>
      </c>
      <c r="AA110">
        <v>-10597.8485</v>
      </c>
      <c r="AB110">
        <v>-10597.8485</v>
      </c>
      <c r="AC110">
        <v>-10597.8485</v>
      </c>
      <c r="AD110">
        <v>-10597.8485</v>
      </c>
      <c r="AE110">
        <v>-10597.8485</v>
      </c>
    </row>
    <row r="111" spans="2:32" x14ac:dyDescent="0.25">
      <c r="B111">
        <f t="shared" si="3"/>
        <v>43</v>
      </c>
      <c r="C111">
        <v>1</v>
      </c>
      <c r="D111">
        <v>1</v>
      </c>
      <c r="E111">
        <v>1</v>
      </c>
      <c r="F111">
        <v>1</v>
      </c>
      <c r="G111">
        <v>1</v>
      </c>
      <c r="J111">
        <f t="shared" si="4"/>
        <v>43</v>
      </c>
      <c r="K111">
        <v>1</v>
      </c>
      <c r="L111">
        <v>1</v>
      </c>
      <c r="M111">
        <v>1</v>
      </c>
      <c r="N111">
        <v>1</v>
      </c>
      <c r="O111">
        <v>1</v>
      </c>
      <c r="R111">
        <f t="shared" si="5"/>
        <v>43</v>
      </c>
      <c r="S111">
        <v>1</v>
      </c>
      <c r="T111">
        <v>1</v>
      </c>
      <c r="U111">
        <v>1</v>
      </c>
      <c r="V111">
        <v>1</v>
      </c>
      <c r="W111">
        <v>1</v>
      </c>
      <c r="AA111">
        <v>-10486.615400000001</v>
      </c>
      <c r="AB111">
        <v>-10486.615400000001</v>
      </c>
      <c r="AC111">
        <v>-10486.615400000001</v>
      </c>
      <c r="AD111">
        <v>-10486.615400000001</v>
      </c>
      <c r="AE111">
        <v>-10486.615400000001</v>
      </c>
    </row>
    <row r="112" spans="2:32" x14ac:dyDescent="0.25">
      <c r="B112">
        <f t="shared" si="3"/>
        <v>44</v>
      </c>
      <c r="C112">
        <v>1</v>
      </c>
      <c r="D112">
        <v>1</v>
      </c>
      <c r="E112">
        <v>1</v>
      </c>
      <c r="F112">
        <v>1</v>
      </c>
      <c r="G112">
        <v>1</v>
      </c>
      <c r="J112">
        <f t="shared" si="4"/>
        <v>44</v>
      </c>
      <c r="K112">
        <v>1</v>
      </c>
      <c r="L112">
        <v>1</v>
      </c>
      <c r="M112">
        <v>1</v>
      </c>
      <c r="N112">
        <v>1</v>
      </c>
      <c r="O112">
        <v>1</v>
      </c>
      <c r="R112">
        <f t="shared" si="5"/>
        <v>44</v>
      </c>
      <c r="S112">
        <v>1</v>
      </c>
      <c r="T112">
        <v>1</v>
      </c>
      <c r="U112">
        <v>1</v>
      </c>
      <c r="V112">
        <v>1</v>
      </c>
      <c r="W112">
        <v>1</v>
      </c>
      <c r="AA112">
        <v>-10372.9005</v>
      </c>
      <c r="AB112">
        <v>-10372.9005</v>
      </c>
      <c r="AC112">
        <v>-10372.9005</v>
      </c>
      <c r="AD112">
        <v>-10372.9005</v>
      </c>
      <c r="AE112">
        <v>-10372.9005</v>
      </c>
    </row>
    <row r="113" spans="2:31" x14ac:dyDescent="0.25">
      <c r="B113">
        <f t="shared" si="3"/>
        <v>45</v>
      </c>
      <c r="C113">
        <v>1</v>
      </c>
      <c r="D113">
        <v>1</v>
      </c>
      <c r="E113">
        <v>1</v>
      </c>
      <c r="F113">
        <v>1</v>
      </c>
      <c r="G113">
        <v>1</v>
      </c>
      <c r="J113">
        <f t="shared" si="4"/>
        <v>45</v>
      </c>
      <c r="K113">
        <v>1</v>
      </c>
      <c r="L113">
        <v>1</v>
      </c>
      <c r="M113">
        <v>1</v>
      </c>
      <c r="N113">
        <v>1</v>
      </c>
      <c r="O113">
        <v>1</v>
      </c>
      <c r="R113">
        <f t="shared" si="5"/>
        <v>45</v>
      </c>
      <c r="S113">
        <v>1</v>
      </c>
      <c r="T113">
        <v>1</v>
      </c>
      <c r="U113">
        <v>1</v>
      </c>
      <c r="V113">
        <v>1</v>
      </c>
      <c r="W113">
        <v>1</v>
      </c>
      <c r="AA113">
        <v>-10256.650600000001</v>
      </c>
      <c r="AB113">
        <v>-10256.650600000001</v>
      </c>
      <c r="AC113">
        <v>-10256.650600000001</v>
      </c>
      <c r="AD113">
        <v>-10256.650600000001</v>
      </c>
      <c r="AE113">
        <v>-10256.650600000001</v>
      </c>
    </row>
    <row r="114" spans="2:31" x14ac:dyDescent="0.25">
      <c r="B114">
        <f t="shared" si="3"/>
        <v>46</v>
      </c>
      <c r="C114">
        <v>1</v>
      </c>
      <c r="D114">
        <v>1</v>
      </c>
      <c r="E114">
        <v>1</v>
      </c>
      <c r="F114">
        <v>1</v>
      </c>
      <c r="G114">
        <v>1</v>
      </c>
      <c r="J114">
        <f t="shared" si="4"/>
        <v>46</v>
      </c>
      <c r="K114">
        <v>1</v>
      </c>
      <c r="L114">
        <v>1</v>
      </c>
      <c r="M114">
        <v>1</v>
      </c>
      <c r="N114">
        <v>1</v>
      </c>
      <c r="O114">
        <v>1</v>
      </c>
      <c r="R114">
        <f t="shared" si="5"/>
        <v>46</v>
      </c>
      <c r="S114">
        <v>1</v>
      </c>
      <c r="T114">
        <v>1</v>
      </c>
      <c r="U114">
        <v>1</v>
      </c>
      <c r="V114">
        <v>1</v>
      </c>
      <c r="W114">
        <v>1</v>
      </c>
      <c r="AA114">
        <v>-10137.871499999999</v>
      </c>
      <c r="AB114">
        <v>-10137.871499999999</v>
      </c>
      <c r="AC114">
        <v>-10137.871499999999</v>
      </c>
      <c r="AD114">
        <v>-10137.871499999999</v>
      </c>
      <c r="AE114">
        <v>-10137.871499999999</v>
      </c>
    </row>
    <row r="115" spans="2:31" x14ac:dyDescent="0.25">
      <c r="B115">
        <f t="shared" si="3"/>
        <v>47</v>
      </c>
      <c r="C115">
        <v>1</v>
      </c>
      <c r="D115">
        <v>1</v>
      </c>
      <c r="E115">
        <v>1</v>
      </c>
      <c r="F115">
        <v>1</v>
      </c>
      <c r="G115">
        <v>1</v>
      </c>
      <c r="J115">
        <f t="shared" si="4"/>
        <v>47</v>
      </c>
      <c r="K115">
        <v>1</v>
      </c>
      <c r="L115">
        <v>1</v>
      </c>
      <c r="M115">
        <v>1</v>
      </c>
      <c r="N115">
        <v>1</v>
      </c>
      <c r="O115">
        <v>1</v>
      </c>
      <c r="R115">
        <f t="shared" si="5"/>
        <v>47</v>
      </c>
      <c r="S115">
        <v>1</v>
      </c>
      <c r="T115">
        <v>1</v>
      </c>
      <c r="U115">
        <v>1</v>
      </c>
      <c r="V115">
        <v>1</v>
      </c>
      <c r="W115">
        <v>1</v>
      </c>
      <c r="AA115">
        <v>-10016.4967</v>
      </c>
      <c r="AB115">
        <v>-10016.4967</v>
      </c>
      <c r="AC115">
        <v>-10016.4967</v>
      </c>
      <c r="AD115">
        <v>-10016.4967</v>
      </c>
      <c r="AE115">
        <v>-10016.4967</v>
      </c>
    </row>
    <row r="116" spans="2:31" x14ac:dyDescent="0.25">
      <c r="B116">
        <f t="shared" si="3"/>
        <v>48</v>
      </c>
      <c r="C116">
        <v>1</v>
      </c>
      <c r="D116">
        <v>1</v>
      </c>
      <c r="E116">
        <v>1</v>
      </c>
      <c r="F116">
        <v>1</v>
      </c>
      <c r="G116">
        <v>1</v>
      </c>
      <c r="J116">
        <f t="shared" si="4"/>
        <v>48</v>
      </c>
      <c r="K116">
        <v>1</v>
      </c>
      <c r="L116">
        <v>1</v>
      </c>
      <c r="M116">
        <v>1</v>
      </c>
      <c r="N116">
        <v>1</v>
      </c>
      <c r="O116">
        <v>1</v>
      </c>
      <c r="R116">
        <f t="shared" si="5"/>
        <v>48</v>
      </c>
      <c r="S116">
        <v>1</v>
      </c>
      <c r="T116">
        <v>1</v>
      </c>
      <c r="U116">
        <v>1</v>
      </c>
      <c r="V116">
        <v>1</v>
      </c>
      <c r="W116">
        <v>1</v>
      </c>
      <c r="AA116">
        <v>-9892.6355000000003</v>
      </c>
      <c r="AB116">
        <v>-9892.6355000000003</v>
      </c>
      <c r="AC116">
        <v>-9892.6355000000003</v>
      </c>
      <c r="AD116">
        <v>-9892.6355000000003</v>
      </c>
      <c r="AE116">
        <v>-9892.6355000000003</v>
      </c>
    </row>
    <row r="117" spans="2:31" x14ac:dyDescent="0.25">
      <c r="B117">
        <f t="shared" si="3"/>
        <v>49</v>
      </c>
      <c r="C117">
        <v>1</v>
      </c>
      <c r="D117">
        <v>1</v>
      </c>
      <c r="E117">
        <v>1</v>
      </c>
      <c r="F117">
        <v>1</v>
      </c>
      <c r="G117">
        <v>1</v>
      </c>
      <c r="J117">
        <f t="shared" si="4"/>
        <v>49</v>
      </c>
      <c r="K117">
        <v>1</v>
      </c>
      <c r="L117">
        <v>1</v>
      </c>
      <c r="M117">
        <v>1</v>
      </c>
      <c r="N117">
        <v>1</v>
      </c>
      <c r="O117">
        <v>1</v>
      </c>
      <c r="R117">
        <f t="shared" si="5"/>
        <v>49</v>
      </c>
      <c r="S117">
        <v>1</v>
      </c>
      <c r="T117">
        <v>1</v>
      </c>
      <c r="U117">
        <v>1</v>
      </c>
      <c r="V117">
        <v>1</v>
      </c>
      <c r="W117">
        <v>1</v>
      </c>
      <c r="AA117">
        <v>-9766.3366999999998</v>
      </c>
      <c r="AB117">
        <v>-9766.3366999999998</v>
      </c>
      <c r="AC117">
        <v>-9766.3366999999998</v>
      </c>
      <c r="AD117">
        <v>-9766.3366999999998</v>
      </c>
      <c r="AE117">
        <v>-9766.3366999999998</v>
      </c>
    </row>
    <row r="118" spans="2:31" x14ac:dyDescent="0.25">
      <c r="B118">
        <f t="shared" si="3"/>
        <v>50</v>
      </c>
      <c r="C118">
        <v>1</v>
      </c>
      <c r="D118">
        <v>1</v>
      </c>
      <c r="E118">
        <v>1</v>
      </c>
      <c r="F118">
        <v>1</v>
      </c>
      <c r="G118">
        <v>1</v>
      </c>
      <c r="J118">
        <f t="shared" si="4"/>
        <v>50</v>
      </c>
      <c r="K118">
        <v>1</v>
      </c>
      <c r="L118">
        <v>1</v>
      </c>
      <c r="M118">
        <v>1</v>
      </c>
      <c r="N118">
        <v>1</v>
      </c>
      <c r="O118">
        <v>1</v>
      </c>
      <c r="R118">
        <f t="shared" si="5"/>
        <v>50</v>
      </c>
      <c r="S118">
        <v>1</v>
      </c>
      <c r="T118">
        <v>1</v>
      </c>
      <c r="U118">
        <v>1</v>
      </c>
      <c r="V118">
        <v>1</v>
      </c>
      <c r="W118">
        <v>1</v>
      </c>
      <c r="AA118">
        <v>-9637.5864000000001</v>
      </c>
      <c r="AB118">
        <v>-9637.5864000000001</v>
      </c>
      <c r="AC118">
        <v>-9637.5864000000001</v>
      </c>
      <c r="AD118">
        <v>-9637.5864000000001</v>
      </c>
      <c r="AE118">
        <v>-9637.5864000000001</v>
      </c>
    </row>
    <row r="119" spans="2:31" x14ac:dyDescent="0.25">
      <c r="B119">
        <f t="shared" si="3"/>
        <v>51</v>
      </c>
      <c r="C119">
        <v>1</v>
      </c>
      <c r="D119">
        <v>1</v>
      </c>
      <c r="E119">
        <v>1</v>
      </c>
      <c r="F119">
        <v>1</v>
      </c>
      <c r="G119">
        <v>1</v>
      </c>
      <c r="J119">
        <f t="shared" si="4"/>
        <v>51</v>
      </c>
      <c r="K119">
        <v>1</v>
      </c>
      <c r="L119">
        <v>1</v>
      </c>
      <c r="M119">
        <v>1</v>
      </c>
      <c r="N119">
        <v>1</v>
      </c>
      <c r="O119">
        <v>1</v>
      </c>
      <c r="R119">
        <f t="shared" si="5"/>
        <v>51</v>
      </c>
      <c r="S119">
        <v>1</v>
      </c>
      <c r="T119">
        <v>1</v>
      </c>
      <c r="U119">
        <v>1</v>
      </c>
      <c r="V119">
        <v>1</v>
      </c>
      <c r="W119">
        <v>1</v>
      </c>
      <c r="AA119">
        <v>-9506.3734000000004</v>
      </c>
      <c r="AB119">
        <v>-9506.3734000000004</v>
      </c>
      <c r="AC119">
        <v>-9506.3734000000004</v>
      </c>
      <c r="AD119">
        <v>-9506.3734000000004</v>
      </c>
      <c r="AE119">
        <v>-9506.3734000000004</v>
      </c>
    </row>
    <row r="120" spans="2:31" x14ac:dyDescent="0.25">
      <c r="B120">
        <f t="shared" si="3"/>
        <v>52</v>
      </c>
      <c r="C120">
        <v>1</v>
      </c>
      <c r="D120">
        <v>1</v>
      </c>
      <c r="E120">
        <v>1</v>
      </c>
      <c r="F120">
        <v>1</v>
      </c>
      <c r="G120">
        <v>1</v>
      </c>
      <c r="J120">
        <f t="shared" si="4"/>
        <v>52</v>
      </c>
      <c r="K120">
        <v>1</v>
      </c>
      <c r="L120">
        <v>1</v>
      </c>
      <c r="M120">
        <v>1</v>
      </c>
      <c r="N120">
        <v>1</v>
      </c>
      <c r="O120">
        <v>1</v>
      </c>
      <c r="R120">
        <f t="shared" si="5"/>
        <v>52</v>
      </c>
      <c r="S120">
        <v>1</v>
      </c>
      <c r="T120">
        <v>1</v>
      </c>
      <c r="U120">
        <v>1</v>
      </c>
      <c r="V120">
        <v>1</v>
      </c>
      <c r="W120">
        <v>1</v>
      </c>
      <c r="AA120">
        <v>-9372.7019</v>
      </c>
      <c r="AB120">
        <v>-9372.7019</v>
      </c>
      <c r="AC120">
        <v>-9372.7019</v>
      </c>
      <c r="AD120">
        <v>-9372.7019</v>
      </c>
      <c r="AE120">
        <v>-9372.7019</v>
      </c>
    </row>
    <row r="121" spans="2:31" x14ac:dyDescent="0.25">
      <c r="B121">
        <f t="shared" si="3"/>
        <v>53</v>
      </c>
      <c r="C121">
        <v>1</v>
      </c>
      <c r="D121">
        <v>1</v>
      </c>
      <c r="E121">
        <v>1</v>
      </c>
      <c r="F121">
        <v>1</v>
      </c>
      <c r="G121">
        <v>1</v>
      </c>
      <c r="J121">
        <f t="shared" si="4"/>
        <v>53</v>
      </c>
      <c r="K121">
        <v>1</v>
      </c>
      <c r="L121">
        <v>1</v>
      </c>
      <c r="M121">
        <v>1</v>
      </c>
      <c r="N121">
        <v>1</v>
      </c>
      <c r="O121">
        <v>1</v>
      </c>
      <c r="R121">
        <f t="shared" si="5"/>
        <v>53</v>
      </c>
      <c r="S121">
        <v>1</v>
      </c>
      <c r="T121">
        <v>1</v>
      </c>
      <c r="U121">
        <v>1</v>
      </c>
      <c r="V121">
        <v>1</v>
      </c>
      <c r="W121">
        <v>1</v>
      </c>
      <c r="AA121">
        <v>-9236.6705000000002</v>
      </c>
      <c r="AB121">
        <v>-9236.6705000000002</v>
      </c>
      <c r="AC121">
        <v>-9236.6705000000002</v>
      </c>
      <c r="AD121">
        <v>-9236.6705000000002</v>
      </c>
      <c r="AE121">
        <v>-9236.6705000000002</v>
      </c>
    </row>
    <row r="122" spans="2:31" x14ac:dyDescent="0.25">
      <c r="B122">
        <f t="shared" si="3"/>
        <v>54</v>
      </c>
      <c r="C122">
        <v>1</v>
      </c>
      <c r="D122">
        <v>1</v>
      </c>
      <c r="E122">
        <v>1</v>
      </c>
      <c r="F122">
        <v>1</v>
      </c>
      <c r="G122">
        <v>1</v>
      </c>
      <c r="J122">
        <f t="shared" si="4"/>
        <v>54</v>
      </c>
      <c r="K122">
        <v>1</v>
      </c>
      <c r="L122">
        <v>1</v>
      </c>
      <c r="M122">
        <v>1</v>
      </c>
      <c r="N122">
        <v>1</v>
      </c>
      <c r="O122">
        <v>1</v>
      </c>
      <c r="R122">
        <f t="shared" si="5"/>
        <v>54</v>
      </c>
      <c r="S122">
        <v>1</v>
      </c>
      <c r="T122">
        <v>1</v>
      </c>
      <c r="U122">
        <v>1</v>
      </c>
      <c r="V122">
        <v>1</v>
      </c>
      <c r="W122">
        <v>1</v>
      </c>
      <c r="AA122">
        <v>-9098.4312000000009</v>
      </c>
      <c r="AB122">
        <v>-9098.4312000000009</v>
      </c>
      <c r="AC122">
        <v>-9098.4312000000009</v>
      </c>
      <c r="AD122">
        <v>-9098.4312000000009</v>
      </c>
      <c r="AE122">
        <v>-9098.4312000000009</v>
      </c>
    </row>
    <row r="123" spans="2:31" x14ac:dyDescent="0.25">
      <c r="B123">
        <f t="shared" si="3"/>
        <v>55</v>
      </c>
      <c r="C123">
        <v>1</v>
      </c>
      <c r="D123">
        <v>1</v>
      </c>
      <c r="E123">
        <v>1</v>
      </c>
      <c r="F123">
        <v>1</v>
      </c>
      <c r="G123">
        <v>1</v>
      </c>
      <c r="J123">
        <f t="shared" si="4"/>
        <v>55</v>
      </c>
      <c r="K123">
        <v>1</v>
      </c>
      <c r="L123">
        <v>1</v>
      </c>
      <c r="M123">
        <v>1</v>
      </c>
      <c r="N123">
        <v>1</v>
      </c>
      <c r="O123">
        <v>1</v>
      </c>
      <c r="R123">
        <f t="shared" si="5"/>
        <v>55</v>
      </c>
      <c r="S123">
        <v>1</v>
      </c>
      <c r="T123">
        <v>1</v>
      </c>
      <c r="U123">
        <v>1</v>
      </c>
      <c r="V123">
        <v>1</v>
      </c>
      <c r="W123">
        <v>1</v>
      </c>
      <c r="AA123">
        <v>-8958.0210999999999</v>
      </c>
      <c r="AB123">
        <v>-8958.0210999999999</v>
      </c>
      <c r="AC123">
        <v>-8958.0210999999999</v>
      </c>
      <c r="AD123">
        <v>-8958.0210999999999</v>
      </c>
      <c r="AE123">
        <v>-8958.0210999999999</v>
      </c>
    </row>
    <row r="124" spans="2:31" x14ac:dyDescent="0.25">
      <c r="B124">
        <f t="shared" si="3"/>
        <v>56</v>
      </c>
      <c r="C124">
        <v>1</v>
      </c>
      <c r="D124">
        <v>1</v>
      </c>
      <c r="E124">
        <v>1</v>
      </c>
      <c r="F124">
        <v>1</v>
      </c>
      <c r="G124">
        <v>1</v>
      </c>
      <c r="J124">
        <f t="shared" si="4"/>
        <v>56</v>
      </c>
      <c r="K124">
        <v>1</v>
      </c>
      <c r="L124">
        <v>1</v>
      </c>
      <c r="M124">
        <v>1</v>
      </c>
      <c r="N124">
        <v>1</v>
      </c>
      <c r="O124">
        <v>1</v>
      </c>
      <c r="R124">
        <f t="shared" si="5"/>
        <v>56</v>
      </c>
      <c r="S124">
        <v>1</v>
      </c>
      <c r="T124">
        <v>1</v>
      </c>
      <c r="U124">
        <v>1</v>
      </c>
      <c r="V124">
        <v>1</v>
      </c>
      <c r="W124">
        <v>1</v>
      </c>
      <c r="AA124">
        <v>-8815.6316999999999</v>
      </c>
      <c r="AB124">
        <v>-8815.6316999999999</v>
      </c>
      <c r="AC124">
        <v>-8815.6316999999999</v>
      </c>
      <c r="AD124">
        <v>-8815.6316999999999</v>
      </c>
      <c r="AE124">
        <v>-8815.6316999999999</v>
      </c>
    </row>
    <row r="125" spans="2:31" x14ac:dyDescent="0.25">
      <c r="B125">
        <f t="shared" si="3"/>
        <v>57</v>
      </c>
      <c r="C125">
        <v>1</v>
      </c>
      <c r="D125">
        <v>1</v>
      </c>
      <c r="E125">
        <v>1</v>
      </c>
      <c r="F125">
        <v>1</v>
      </c>
      <c r="G125">
        <v>1</v>
      </c>
      <c r="J125">
        <f t="shared" si="4"/>
        <v>57</v>
      </c>
      <c r="K125">
        <v>1</v>
      </c>
      <c r="L125">
        <v>1</v>
      </c>
      <c r="M125">
        <v>1</v>
      </c>
      <c r="N125">
        <v>1</v>
      </c>
      <c r="O125">
        <v>1</v>
      </c>
      <c r="R125">
        <f t="shared" si="5"/>
        <v>57</v>
      </c>
      <c r="S125">
        <v>1</v>
      </c>
      <c r="T125">
        <v>1</v>
      </c>
      <c r="U125">
        <v>1</v>
      </c>
      <c r="V125">
        <v>1</v>
      </c>
      <c r="W125">
        <v>1</v>
      </c>
      <c r="AA125">
        <v>-8671.3991999999998</v>
      </c>
      <c r="AB125">
        <v>-8671.3991999999998</v>
      </c>
      <c r="AC125">
        <v>-8671.3991999999998</v>
      </c>
      <c r="AD125">
        <v>-8671.3991999999998</v>
      </c>
      <c r="AE125">
        <v>-8671.3991999999998</v>
      </c>
    </row>
    <row r="126" spans="2:31" x14ac:dyDescent="0.25">
      <c r="B126">
        <f t="shared" si="3"/>
        <v>58</v>
      </c>
      <c r="C126">
        <v>1</v>
      </c>
      <c r="D126">
        <v>1</v>
      </c>
      <c r="E126">
        <v>1</v>
      </c>
      <c r="F126">
        <v>1</v>
      </c>
      <c r="G126">
        <v>1</v>
      </c>
      <c r="J126">
        <f t="shared" si="4"/>
        <v>58</v>
      </c>
      <c r="K126">
        <v>1</v>
      </c>
      <c r="L126">
        <v>1</v>
      </c>
      <c r="M126">
        <v>1</v>
      </c>
      <c r="N126">
        <v>1</v>
      </c>
      <c r="O126">
        <v>1</v>
      </c>
      <c r="R126">
        <f t="shared" si="5"/>
        <v>58</v>
      </c>
      <c r="S126">
        <v>1</v>
      </c>
      <c r="T126">
        <v>1</v>
      </c>
      <c r="U126">
        <v>1</v>
      </c>
      <c r="V126">
        <v>1</v>
      </c>
      <c r="W126">
        <v>1</v>
      </c>
      <c r="AA126">
        <v>-8525.2759999999998</v>
      </c>
      <c r="AB126">
        <v>-8525.2759999999998</v>
      </c>
      <c r="AC126">
        <v>-8525.2759999999998</v>
      </c>
      <c r="AD126">
        <v>-8525.2759999999998</v>
      </c>
      <c r="AE126">
        <v>-8525.2759999999998</v>
      </c>
    </row>
    <row r="127" spans="2:31" x14ac:dyDescent="0.25">
      <c r="B127">
        <f t="shared" si="3"/>
        <v>59</v>
      </c>
      <c r="C127">
        <v>1</v>
      </c>
      <c r="D127">
        <v>1</v>
      </c>
      <c r="E127">
        <v>1</v>
      </c>
      <c r="F127">
        <v>1</v>
      </c>
      <c r="G127">
        <v>1</v>
      </c>
      <c r="J127">
        <f t="shared" si="4"/>
        <v>59</v>
      </c>
      <c r="K127">
        <v>1</v>
      </c>
      <c r="L127">
        <v>1</v>
      </c>
      <c r="M127">
        <v>1</v>
      </c>
      <c r="N127">
        <v>1</v>
      </c>
      <c r="O127">
        <v>1</v>
      </c>
      <c r="R127">
        <f t="shared" si="5"/>
        <v>59</v>
      </c>
      <c r="S127">
        <v>1</v>
      </c>
      <c r="T127">
        <v>1</v>
      </c>
      <c r="U127">
        <v>1</v>
      </c>
      <c r="V127">
        <v>1</v>
      </c>
      <c r="W127">
        <v>1</v>
      </c>
      <c r="AA127">
        <v>-8377.2351999999992</v>
      </c>
      <c r="AB127">
        <v>-8377.2351999999992</v>
      </c>
      <c r="AC127">
        <v>-8377.2351999999992</v>
      </c>
      <c r="AD127">
        <v>-8377.2351999999992</v>
      </c>
      <c r="AE127">
        <v>-8377.2351999999992</v>
      </c>
    </row>
    <row r="128" spans="2:31" x14ac:dyDescent="0.25">
      <c r="B128">
        <f t="shared" si="3"/>
        <v>60</v>
      </c>
      <c r="C128">
        <v>1</v>
      </c>
      <c r="D128">
        <v>1</v>
      </c>
      <c r="E128">
        <v>1</v>
      </c>
      <c r="F128">
        <v>1</v>
      </c>
      <c r="G128">
        <v>1</v>
      </c>
      <c r="J128">
        <f t="shared" si="4"/>
        <v>60</v>
      </c>
      <c r="K128">
        <v>1</v>
      </c>
      <c r="L128">
        <v>1</v>
      </c>
      <c r="M128">
        <v>1</v>
      </c>
      <c r="N128">
        <v>1</v>
      </c>
      <c r="O128">
        <v>1</v>
      </c>
      <c r="R128">
        <f t="shared" si="5"/>
        <v>60</v>
      </c>
      <c r="S128">
        <v>1</v>
      </c>
      <c r="T128">
        <v>1</v>
      </c>
      <c r="U128">
        <v>1</v>
      </c>
      <c r="V128">
        <v>1</v>
      </c>
      <c r="W128">
        <v>1</v>
      </c>
      <c r="AA128">
        <v>-8227.3953999999994</v>
      </c>
      <c r="AB128">
        <v>-8227.3953999999994</v>
      </c>
      <c r="AC128">
        <v>-8227.3953999999994</v>
      </c>
      <c r="AD128">
        <v>-8227.3953999999994</v>
      </c>
      <c r="AE128">
        <v>-8227.3953999999994</v>
      </c>
    </row>
    <row r="129" spans="2:32" x14ac:dyDescent="0.25">
      <c r="B129">
        <f t="shared" si="3"/>
        <v>61</v>
      </c>
      <c r="C129">
        <v>1</v>
      </c>
      <c r="D129">
        <v>1</v>
      </c>
      <c r="E129">
        <v>1</v>
      </c>
      <c r="F129">
        <v>1</v>
      </c>
      <c r="G129">
        <v>1</v>
      </c>
      <c r="J129">
        <f t="shared" si="4"/>
        <v>61</v>
      </c>
      <c r="K129">
        <v>1</v>
      </c>
      <c r="L129">
        <v>1</v>
      </c>
      <c r="M129">
        <v>1</v>
      </c>
      <c r="N129">
        <v>1</v>
      </c>
      <c r="O129">
        <v>1</v>
      </c>
      <c r="R129">
        <f t="shared" si="5"/>
        <v>61</v>
      </c>
      <c r="S129">
        <v>1</v>
      </c>
      <c r="T129">
        <v>1</v>
      </c>
      <c r="U129">
        <v>1</v>
      </c>
      <c r="V129">
        <v>1</v>
      </c>
      <c r="W129">
        <v>1</v>
      </c>
      <c r="AA129">
        <v>-8076.1778999999997</v>
      </c>
      <c r="AB129">
        <v>-8076.1778999999997</v>
      </c>
      <c r="AC129">
        <v>-8076.1778999999997</v>
      </c>
      <c r="AD129">
        <v>-8076.1778999999997</v>
      </c>
      <c r="AE129">
        <v>-8076.1778999999997</v>
      </c>
    </row>
    <row r="130" spans="2:32" x14ac:dyDescent="0.25">
      <c r="B130">
        <f t="shared" si="3"/>
        <v>62</v>
      </c>
      <c r="C130">
        <v>1</v>
      </c>
      <c r="D130">
        <v>1</v>
      </c>
      <c r="E130">
        <v>1</v>
      </c>
      <c r="F130">
        <v>1</v>
      </c>
      <c r="G130">
        <v>1</v>
      </c>
      <c r="J130">
        <f t="shared" si="4"/>
        <v>62</v>
      </c>
      <c r="K130">
        <v>1</v>
      </c>
      <c r="L130">
        <v>1</v>
      </c>
      <c r="M130">
        <v>1</v>
      </c>
      <c r="N130">
        <v>1</v>
      </c>
      <c r="O130">
        <v>1</v>
      </c>
      <c r="R130">
        <f t="shared" si="5"/>
        <v>62</v>
      </c>
      <c r="S130">
        <v>1</v>
      </c>
      <c r="T130">
        <v>1</v>
      </c>
      <c r="U130">
        <v>1</v>
      </c>
      <c r="V130">
        <v>1</v>
      </c>
      <c r="W130">
        <v>1</v>
      </c>
      <c r="AA130">
        <v>-7923.5816000000004</v>
      </c>
      <c r="AB130">
        <v>-7923.5816000000004</v>
      </c>
      <c r="AC130">
        <v>-7923.5816000000004</v>
      </c>
      <c r="AD130">
        <v>-7923.5816000000004</v>
      </c>
      <c r="AE130">
        <v>-7923.5816000000004</v>
      </c>
    </row>
    <row r="131" spans="2:32" x14ac:dyDescent="0.25">
      <c r="B131">
        <f t="shared" si="3"/>
        <v>63</v>
      </c>
      <c r="C131">
        <v>1</v>
      </c>
      <c r="D131">
        <v>1</v>
      </c>
      <c r="E131">
        <v>1</v>
      </c>
      <c r="F131">
        <v>1</v>
      </c>
      <c r="G131">
        <v>1</v>
      </c>
      <c r="J131">
        <f t="shared" si="4"/>
        <v>63</v>
      </c>
      <c r="K131">
        <v>1</v>
      </c>
      <c r="L131">
        <v>1</v>
      </c>
      <c r="M131">
        <v>1</v>
      </c>
      <c r="N131">
        <v>1</v>
      </c>
      <c r="O131">
        <v>1</v>
      </c>
      <c r="R131">
        <f t="shared" si="5"/>
        <v>63</v>
      </c>
      <c r="S131">
        <v>1</v>
      </c>
      <c r="T131">
        <v>1</v>
      </c>
      <c r="U131">
        <v>1</v>
      </c>
      <c r="V131">
        <v>1</v>
      </c>
      <c r="W131">
        <v>1</v>
      </c>
      <c r="AA131">
        <v>-7769.2775000000001</v>
      </c>
      <c r="AB131">
        <v>-7769.2775000000001</v>
      </c>
      <c r="AC131">
        <v>-7769.2775000000001</v>
      </c>
      <c r="AD131">
        <v>-7769.2775000000001</v>
      </c>
      <c r="AE131">
        <v>-7769.2775000000001</v>
      </c>
    </row>
    <row r="132" spans="2:32" x14ac:dyDescent="0.25">
      <c r="B132">
        <f t="shared" si="3"/>
        <v>64</v>
      </c>
      <c r="C132">
        <v>1</v>
      </c>
      <c r="D132">
        <v>1</v>
      </c>
      <c r="E132">
        <v>1</v>
      </c>
      <c r="F132">
        <v>1</v>
      </c>
      <c r="G132">
        <v>1</v>
      </c>
      <c r="J132">
        <f t="shared" si="4"/>
        <v>64</v>
      </c>
      <c r="K132">
        <v>1</v>
      </c>
      <c r="L132">
        <v>1</v>
      </c>
      <c r="M132">
        <v>1</v>
      </c>
      <c r="N132">
        <v>1</v>
      </c>
      <c r="O132">
        <v>1</v>
      </c>
      <c r="R132">
        <f t="shared" si="5"/>
        <v>64</v>
      </c>
      <c r="S132">
        <v>1</v>
      </c>
      <c r="T132">
        <v>1</v>
      </c>
      <c r="U132">
        <v>1</v>
      </c>
      <c r="V132">
        <v>1</v>
      </c>
      <c r="W132">
        <v>1</v>
      </c>
      <c r="AA132">
        <v>-7613.3999000000003</v>
      </c>
      <c r="AB132">
        <v>-7613.3999000000003</v>
      </c>
      <c r="AC132">
        <v>-7613.3999000000003</v>
      </c>
      <c r="AD132">
        <v>-7613.3999000000003</v>
      </c>
      <c r="AE132">
        <v>-7613.3999000000003</v>
      </c>
    </row>
    <row r="133" spans="2:32" x14ac:dyDescent="0.25">
      <c r="B133">
        <f t="shared" si="3"/>
        <v>65</v>
      </c>
      <c r="C133">
        <v>1</v>
      </c>
      <c r="D133">
        <v>1</v>
      </c>
      <c r="E133">
        <v>1</v>
      </c>
      <c r="F133">
        <v>1</v>
      </c>
      <c r="G133">
        <v>1</v>
      </c>
      <c r="J133">
        <f t="shared" si="4"/>
        <v>65</v>
      </c>
      <c r="K133">
        <v>1</v>
      </c>
      <c r="L133">
        <v>1</v>
      </c>
      <c r="M133">
        <v>1</v>
      </c>
      <c r="N133">
        <v>1</v>
      </c>
      <c r="O133">
        <v>1</v>
      </c>
      <c r="R133">
        <f t="shared" si="5"/>
        <v>65</v>
      </c>
      <c r="S133">
        <v>1</v>
      </c>
      <c r="T133">
        <v>1</v>
      </c>
      <c r="U133">
        <v>1</v>
      </c>
      <c r="V133">
        <v>1</v>
      </c>
      <c r="W133">
        <v>1</v>
      </c>
      <c r="AA133">
        <v>-7455.8590000000004</v>
      </c>
      <c r="AB133">
        <v>-7455.8590000000004</v>
      </c>
      <c r="AC133">
        <v>-7455.8590000000004</v>
      </c>
      <c r="AD133">
        <v>-7455.8590000000004</v>
      </c>
      <c r="AE133">
        <v>-7455.8590000000004</v>
      </c>
    </row>
    <row r="136" spans="2:32" x14ac:dyDescent="0.25">
      <c r="B136" t="s">
        <v>46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47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48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2:32" x14ac:dyDescent="0.25">
      <c r="B137">
        <v>26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J137">
        <v>26</v>
      </c>
      <c r="K137">
        <v>1</v>
      </c>
      <c r="L137">
        <v>1</v>
      </c>
      <c r="M137">
        <v>1</v>
      </c>
      <c r="N137">
        <v>1</v>
      </c>
      <c r="O137">
        <v>1</v>
      </c>
      <c r="P137">
        <v>1</v>
      </c>
      <c r="R137">
        <v>26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AA137">
        <v>-7435.5060999999996</v>
      </c>
      <c r="AB137">
        <v>-7435.5060999999996</v>
      </c>
      <c r="AC137">
        <v>-7435.5060999999996</v>
      </c>
      <c r="AD137">
        <v>-7435.5060999999996</v>
      </c>
      <c r="AE137">
        <v>-7435.5060999999996</v>
      </c>
      <c r="AF137">
        <v>-7435.5060999999996</v>
      </c>
    </row>
    <row r="138" spans="2:32" x14ac:dyDescent="0.25">
      <c r="B138">
        <v>27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J138">
        <v>27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R138">
        <v>27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AA138">
        <v>-7434.2619000000004</v>
      </c>
      <c r="AB138">
        <v>-7434.2619000000004</v>
      </c>
      <c r="AC138">
        <v>-7434.2619000000004</v>
      </c>
      <c r="AD138">
        <v>-7434.2619000000004</v>
      </c>
      <c r="AE138">
        <v>-7434.2619000000004</v>
      </c>
      <c r="AF138">
        <v>-7434.2619000000004</v>
      </c>
    </row>
    <row r="139" spans="2:32" x14ac:dyDescent="0.25">
      <c r="B139">
        <v>28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J139">
        <v>28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R139">
        <v>28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AA139">
        <v>-7432.8334999999997</v>
      </c>
      <c r="AB139">
        <v>-7432.8334999999997</v>
      </c>
      <c r="AC139">
        <v>-7432.8334999999997</v>
      </c>
      <c r="AD139">
        <v>-7432.8334999999997</v>
      </c>
      <c r="AE139">
        <v>-7432.8334999999997</v>
      </c>
      <c r="AF139">
        <v>-7432.8334999999997</v>
      </c>
    </row>
    <row r="140" spans="2:32" x14ac:dyDescent="0.25">
      <c r="B140">
        <v>29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J140">
        <v>29</v>
      </c>
      <c r="K140">
        <v>1</v>
      </c>
      <c r="L140">
        <v>1</v>
      </c>
      <c r="M140">
        <v>1</v>
      </c>
      <c r="N140">
        <v>1</v>
      </c>
      <c r="O140">
        <v>1</v>
      </c>
      <c r="P140">
        <v>1</v>
      </c>
      <c r="R140">
        <v>29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AA140">
        <v>-7431.2058999999999</v>
      </c>
      <c r="AB140">
        <v>-7431.2058999999999</v>
      </c>
      <c r="AC140">
        <v>-7431.2058999999999</v>
      </c>
      <c r="AD140">
        <v>-7431.2058999999999</v>
      </c>
      <c r="AE140">
        <v>-7431.2058999999999</v>
      </c>
      <c r="AF140">
        <v>-7431.2058999999999</v>
      </c>
    </row>
    <row r="141" spans="2:32" x14ac:dyDescent="0.25">
      <c r="B141">
        <v>30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J141">
        <v>30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R141">
        <v>30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AA141">
        <v>-7429.3476000000001</v>
      </c>
      <c r="AB141">
        <v>-7429.3476000000001</v>
      </c>
      <c r="AC141">
        <v>-7429.3476000000001</v>
      </c>
      <c r="AD141">
        <v>-7429.3476000000001</v>
      </c>
      <c r="AE141">
        <v>-7429.3476000000001</v>
      </c>
      <c r="AF141">
        <v>-7429.3476000000001</v>
      </c>
    </row>
    <row r="142" spans="2:32" x14ac:dyDescent="0.25">
      <c r="B142">
        <v>31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J142">
        <v>31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R142">
        <v>31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AA142">
        <v>-7427.2446</v>
      </c>
      <c r="AB142">
        <v>-7427.2446</v>
      </c>
      <c r="AC142">
        <v>-7427.2446</v>
      </c>
      <c r="AD142">
        <v>-7427.2446</v>
      </c>
      <c r="AE142">
        <v>-7427.2446</v>
      </c>
      <c r="AF142">
        <v>-7427.2446</v>
      </c>
    </row>
    <row r="143" spans="2:32" x14ac:dyDescent="0.25">
      <c r="B143">
        <v>32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J143">
        <v>32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R143">
        <v>32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AA143">
        <v>-7424.8944000000001</v>
      </c>
      <c r="AB143">
        <v>-7424.8944000000001</v>
      </c>
      <c r="AC143">
        <v>-7424.8944000000001</v>
      </c>
      <c r="AD143">
        <v>-7424.8944000000001</v>
      </c>
      <c r="AE143">
        <v>-7424.8944000000001</v>
      </c>
      <c r="AF143">
        <v>-7424.8944000000001</v>
      </c>
    </row>
    <row r="144" spans="2:32" x14ac:dyDescent="0.25">
      <c r="B144">
        <v>33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J144">
        <v>33</v>
      </c>
      <c r="K144">
        <v>1</v>
      </c>
      <c r="L144">
        <v>1</v>
      </c>
      <c r="M144">
        <v>1</v>
      </c>
      <c r="N144">
        <v>1</v>
      </c>
      <c r="O144">
        <v>1</v>
      </c>
      <c r="P144">
        <v>1</v>
      </c>
      <c r="R144">
        <v>33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AA144">
        <v>-7422.2834000000003</v>
      </c>
      <c r="AB144">
        <v>-7422.2834000000003</v>
      </c>
      <c r="AC144">
        <v>-7422.2834000000003</v>
      </c>
      <c r="AD144">
        <v>-7422.2834000000003</v>
      </c>
      <c r="AE144">
        <v>-7422.2834000000003</v>
      </c>
      <c r="AF144">
        <v>-7422.2834000000003</v>
      </c>
    </row>
    <row r="145" spans="2:32" x14ac:dyDescent="0.25">
      <c r="B145">
        <v>34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J145">
        <v>34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R145">
        <v>34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AA145">
        <v>-7419.3683000000001</v>
      </c>
      <c r="AB145">
        <v>-7419.3683000000001</v>
      </c>
      <c r="AC145">
        <v>-7419.3683000000001</v>
      </c>
      <c r="AD145">
        <v>-7419.3683000000001</v>
      </c>
      <c r="AE145">
        <v>-7419.3683000000001</v>
      </c>
      <c r="AF145">
        <v>-7419.3683000000001</v>
      </c>
    </row>
    <row r="146" spans="2:32" x14ac:dyDescent="0.25">
      <c r="B146">
        <v>35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J146">
        <v>35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R146">
        <v>35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AA146">
        <v>-7416.1363000000001</v>
      </c>
      <c r="AB146">
        <v>-7416.1363000000001</v>
      </c>
      <c r="AC146">
        <v>-7416.1363000000001</v>
      </c>
      <c r="AD146">
        <v>-7416.1363000000001</v>
      </c>
      <c r="AE146">
        <v>-7416.1363000000001</v>
      </c>
      <c r="AF146">
        <v>-7416.1363000000001</v>
      </c>
    </row>
    <row r="147" spans="2:32" x14ac:dyDescent="0.25">
      <c r="B147">
        <v>36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J147">
        <v>36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R147">
        <v>36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AA147">
        <v>-7412.5378000000001</v>
      </c>
      <c r="AB147">
        <v>-7412.5378000000001</v>
      </c>
      <c r="AC147">
        <v>-7412.5378000000001</v>
      </c>
      <c r="AD147">
        <v>-7412.5378000000001</v>
      </c>
      <c r="AE147">
        <v>-7412.5378000000001</v>
      </c>
      <c r="AF147">
        <v>-7412.5378000000001</v>
      </c>
    </row>
    <row r="148" spans="2:32" x14ac:dyDescent="0.25">
      <c r="B148">
        <v>37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  <c r="J148">
        <v>37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R148">
        <v>37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AA148">
        <v>-7408.55</v>
      </c>
      <c r="AB148">
        <v>-7408.55</v>
      </c>
      <c r="AC148">
        <v>-7408.55</v>
      </c>
      <c r="AD148">
        <v>-7408.55</v>
      </c>
      <c r="AE148">
        <v>-7408.55</v>
      </c>
      <c r="AF148">
        <v>-7408.55</v>
      </c>
    </row>
    <row r="149" spans="2:32" x14ac:dyDescent="0.25">
      <c r="B149">
        <v>38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J149">
        <v>38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R149">
        <v>38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AA149">
        <v>-7404.1752999999999</v>
      </c>
      <c r="AB149">
        <v>-7404.1752999999999</v>
      </c>
      <c r="AC149">
        <v>-7404.1752999999999</v>
      </c>
      <c r="AD149">
        <v>-7404.1752999999999</v>
      </c>
      <c r="AE149">
        <v>-7404.1752999999999</v>
      </c>
      <c r="AF149">
        <v>-7404.1752999999999</v>
      </c>
    </row>
    <row r="150" spans="2:32" x14ac:dyDescent="0.25">
      <c r="B150">
        <v>39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J150">
        <v>39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R150">
        <v>39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AA150">
        <v>-7399.3923999999997</v>
      </c>
      <c r="AB150">
        <v>-7399.3923999999997</v>
      </c>
      <c r="AC150">
        <v>-7399.3923999999997</v>
      </c>
      <c r="AD150">
        <v>-7399.3923999999997</v>
      </c>
      <c r="AE150">
        <v>-7399.3923999999997</v>
      </c>
      <c r="AF150">
        <v>-7399.3923999999997</v>
      </c>
    </row>
    <row r="151" spans="2:32" x14ac:dyDescent="0.25">
      <c r="B151">
        <v>40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J151">
        <v>40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R151">
        <v>40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AA151">
        <v>-7394.1365999999998</v>
      </c>
      <c r="AB151">
        <v>-7394.1365999999998</v>
      </c>
      <c r="AC151">
        <v>-7394.1365999999998</v>
      </c>
      <c r="AD151">
        <v>-7394.1365999999998</v>
      </c>
      <c r="AE151">
        <v>-7394.1365999999998</v>
      </c>
      <c r="AF151">
        <v>-7394.1365999999998</v>
      </c>
    </row>
    <row r="152" spans="2:32" x14ac:dyDescent="0.25">
      <c r="B152">
        <v>41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J152">
        <v>41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R152">
        <v>41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AA152">
        <v>-7388.3469999999998</v>
      </c>
      <c r="AB152">
        <v>-7388.3469999999998</v>
      </c>
      <c r="AC152">
        <v>-7388.3469999999998</v>
      </c>
      <c r="AD152">
        <v>-7388.3469999999998</v>
      </c>
      <c r="AE152">
        <v>-7388.3469999999998</v>
      </c>
      <c r="AF152">
        <v>-7388.3469999999998</v>
      </c>
    </row>
    <row r="153" spans="2:32" x14ac:dyDescent="0.25">
      <c r="B153">
        <v>42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J153">
        <v>42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R153">
        <v>42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AA153">
        <v>-7381.9919</v>
      </c>
      <c r="AB153">
        <v>-7381.9919</v>
      </c>
      <c r="AC153">
        <v>-7381.9919</v>
      </c>
      <c r="AD153">
        <v>-7381.9919</v>
      </c>
      <c r="AE153">
        <v>-7381.9919</v>
      </c>
      <c r="AF153">
        <v>-7381.9919</v>
      </c>
    </row>
    <row r="154" spans="2:32" x14ac:dyDescent="0.25">
      <c r="B154">
        <v>43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J154">
        <v>43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R154">
        <v>43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AA154">
        <v>-7374.9579999999996</v>
      </c>
      <c r="AB154">
        <v>-7374.9579999999996</v>
      </c>
      <c r="AC154">
        <v>-7374.9579999999996</v>
      </c>
      <c r="AD154">
        <v>-7374.9579999999996</v>
      </c>
      <c r="AE154">
        <v>-7374.9579999999996</v>
      </c>
      <c r="AF154">
        <v>-7374.9579999999996</v>
      </c>
    </row>
    <row r="155" spans="2:32" x14ac:dyDescent="0.25">
      <c r="B155">
        <v>44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J155">
        <v>44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R155">
        <v>44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AA155">
        <v>-7367.2034999999996</v>
      </c>
      <c r="AB155">
        <v>-7367.2034999999996</v>
      </c>
      <c r="AC155">
        <v>-7367.2034999999996</v>
      </c>
      <c r="AD155">
        <v>-7367.2034999999996</v>
      </c>
      <c r="AE155">
        <v>-7367.2034999999996</v>
      </c>
      <c r="AF155">
        <v>-7367.2034999999996</v>
      </c>
    </row>
    <row r="156" spans="2:32" x14ac:dyDescent="0.25">
      <c r="B156">
        <v>45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J156">
        <v>45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1</v>
      </c>
      <c r="R156">
        <v>45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AA156">
        <v>-7358.6491999999998</v>
      </c>
      <c r="AB156">
        <v>-7358.6491999999998</v>
      </c>
      <c r="AC156">
        <v>-7358.6491999999998</v>
      </c>
      <c r="AD156">
        <v>-7358.6491999999998</v>
      </c>
      <c r="AE156">
        <v>-7358.6491999999998</v>
      </c>
      <c r="AF156">
        <v>-7358.6491999999998</v>
      </c>
    </row>
    <row r="157" spans="2:32" x14ac:dyDescent="0.25">
      <c r="B157">
        <v>46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J157">
        <v>46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R157">
        <v>46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AA157">
        <v>-7349.2232000000004</v>
      </c>
      <c r="AB157">
        <v>-7349.2232000000004</v>
      </c>
      <c r="AC157">
        <v>-7349.2232000000004</v>
      </c>
      <c r="AD157">
        <v>-7349.2232000000004</v>
      </c>
      <c r="AE157">
        <v>-7349.2232000000004</v>
      </c>
      <c r="AF157">
        <v>-7349.2232000000004</v>
      </c>
    </row>
    <row r="158" spans="2:32" x14ac:dyDescent="0.25">
      <c r="B158">
        <v>47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J158">
        <v>47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R158">
        <v>47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AA158">
        <v>-7338.8310000000001</v>
      </c>
      <c r="AB158">
        <v>-7338.8310000000001</v>
      </c>
      <c r="AC158">
        <v>-7338.8310000000001</v>
      </c>
      <c r="AD158">
        <v>-7338.8310000000001</v>
      </c>
      <c r="AE158">
        <v>-7338.8310000000001</v>
      </c>
      <c r="AF158">
        <v>-7338.8310000000001</v>
      </c>
    </row>
    <row r="159" spans="2:32" x14ac:dyDescent="0.25">
      <c r="B159">
        <v>48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J159">
        <v>48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R159">
        <v>48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AA159">
        <v>-7327.4297999999999</v>
      </c>
      <c r="AB159">
        <v>-7327.4297999999999</v>
      </c>
      <c r="AC159">
        <v>-7327.4297999999999</v>
      </c>
      <c r="AD159">
        <v>-7327.4297999999999</v>
      </c>
      <c r="AE159">
        <v>-7327.4297999999999</v>
      </c>
      <c r="AF159">
        <v>-7327.4297999999999</v>
      </c>
    </row>
    <row r="160" spans="2:32" x14ac:dyDescent="0.25">
      <c r="B160">
        <v>49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J160">
        <v>49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R160">
        <v>49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AA160">
        <v>-7314.951</v>
      </c>
      <c r="AB160">
        <v>-7314.951</v>
      </c>
      <c r="AC160">
        <v>-7314.951</v>
      </c>
      <c r="AD160">
        <v>-7314.951</v>
      </c>
      <c r="AE160">
        <v>-7314.951</v>
      </c>
      <c r="AF160">
        <v>-7314.951</v>
      </c>
    </row>
    <row r="161" spans="2:32" x14ac:dyDescent="0.25">
      <c r="B161">
        <v>50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J161">
        <v>50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R161">
        <v>50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AA161">
        <v>-7301.2851000000001</v>
      </c>
      <c r="AB161">
        <v>-7301.2851000000001</v>
      </c>
      <c r="AC161">
        <v>-7301.2851000000001</v>
      </c>
      <c r="AD161">
        <v>-7301.2851000000001</v>
      </c>
      <c r="AE161">
        <v>-7301.2851000000001</v>
      </c>
      <c r="AF161">
        <v>-7301.2851000000001</v>
      </c>
    </row>
    <row r="162" spans="2:32" x14ac:dyDescent="0.25">
      <c r="B162">
        <v>51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J162">
        <v>51</v>
      </c>
      <c r="K162">
        <v>1</v>
      </c>
      <c r="L162">
        <v>1</v>
      </c>
      <c r="M162">
        <v>1</v>
      </c>
      <c r="N162">
        <v>1</v>
      </c>
      <c r="O162">
        <v>1</v>
      </c>
      <c r="P162">
        <v>1</v>
      </c>
      <c r="R162">
        <v>51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AA162">
        <v>-7286.3271000000004</v>
      </c>
      <c r="AB162">
        <v>-7286.3271000000004</v>
      </c>
      <c r="AC162">
        <v>-7286.3271000000004</v>
      </c>
      <c r="AD162">
        <v>-7286.3271000000004</v>
      </c>
      <c r="AE162">
        <v>-7286.3271000000004</v>
      </c>
      <c r="AF162">
        <v>-7286.3271000000004</v>
      </c>
    </row>
    <row r="163" spans="2:32" x14ac:dyDescent="0.25">
      <c r="B163">
        <v>52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J163">
        <v>52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R163">
        <v>52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AA163">
        <v>-7269.9448000000002</v>
      </c>
      <c r="AB163">
        <v>-7269.9448000000002</v>
      </c>
      <c r="AC163">
        <v>-7269.9448000000002</v>
      </c>
      <c r="AD163">
        <v>-7269.9448000000002</v>
      </c>
      <c r="AE163">
        <v>-7269.9448000000002</v>
      </c>
      <c r="AF163">
        <v>-7269.9448000000002</v>
      </c>
    </row>
    <row r="164" spans="2:32" x14ac:dyDescent="0.25">
      <c r="B164">
        <v>53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J164">
        <v>53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R164">
        <v>53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AA164">
        <v>-7252.0574999999999</v>
      </c>
      <c r="AB164">
        <v>-7252.0574999999999</v>
      </c>
      <c r="AC164">
        <v>-7252.0574999999999</v>
      </c>
      <c r="AD164">
        <v>-7252.0574999999999</v>
      </c>
      <c r="AE164">
        <v>-7252.0574999999999</v>
      </c>
      <c r="AF164">
        <v>-7252.0574999999999</v>
      </c>
    </row>
    <row r="165" spans="2:32" x14ac:dyDescent="0.25">
      <c r="B165">
        <v>54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J165">
        <v>54</v>
      </c>
      <c r="K165">
        <v>1</v>
      </c>
      <c r="L165">
        <v>1</v>
      </c>
      <c r="M165">
        <v>1</v>
      </c>
      <c r="N165">
        <v>1</v>
      </c>
      <c r="O165">
        <v>1</v>
      </c>
      <c r="P165">
        <v>1</v>
      </c>
      <c r="R165">
        <v>54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AA165">
        <v>-7232.5680000000002</v>
      </c>
      <c r="AB165">
        <v>-7232.5680000000002</v>
      </c>
      <c r="AC165">
        <v>-7232.5680000000002</v>
      </c>
      <c r="AD165">
        <v>-7232.5680000000002</v>
      </c>
      <c r="AE165">
        <v>-7232.5680000000002</v>
      </c>
      <c r="AF165">
        <v>-7232.5680000000002</v>
      </c>
    </row>
    <row r="166" spans="2:32" x14ac:dyDescent="0.25">
      <c r="B166">
        <v>55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J166">
        <v>55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R166">
        <v>55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AA166">
        <v>-7211.3207000000002</v>
      </c>
      <c r="AB166">
        <v>-7211.3207000000002</v>
      </c>
      <c r="AC166">
        <v>-7211.3207000000002</v>
      </c>
      <c r="AD166">
        <v>-7211.3207000000002</v>
      </c>
      <c r="AE166">
        <v>-7211.3207000000002</v>
      </c>
      <c r="AF166">
        <v>-7211.3207000000002</v>
      </c>
    </row>
    <row r="169" spans="2:32" x14ac:dyDescent="0.25">
      <c r="B169" t="s">
        <v>46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32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48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2:32" x14ac:dyDescent="0.25">
      <c r="B170">
        <v>35</v>
      </c>
      <c r="C170">
        <v>1</v>
      </c>
      <c r="D170">
        <v>1</v>
      </c>
      <c r="E170">
        <v>1</v>
      </c>
      <c r="F170">
        <v>1</v>
      </c>
      <c r="G170">
        <v>1</v>
      </c>
      <c r="J170">
        <v>35</v>
      </c>
      <c r="K170">
        <v>1</v>
      </c>
      <c r="L170">
        <v>1</v>
      </c>
      <c r="M170">
        <v>1</v>
      </c>
      <c r="N170">
        <v>1</v>
      </c>
      <c r="O170">
        <v>1</v>
      </c>
      <c r="R170">
        <v>35</v>
      </c>
      <c r="S170">
        <v>1</v>
      </c>
      <c r="T170">
        <v>1</v>
      </c>
      <c r="U170">
        <v>1</v>
      </c>
      <c r="V170">
        <v>1</v>
      </c>
      <c r="W170">
        <v>1</v>
      </c>
      <c r="AA170">
        <v>-11308.6893</v>
      </c>
      <c r="AB170">
        <v>-11308.6893</v>
      </c>
      <c r="AC170">
        <v>-11308.6893</v>
      </c>
      <c r="AD170">
        <v>-11308.6893</v>
      </c>
      <c r="AE170">
        <v>-11308.6893</v>
      </c>
    </row>
    <row r="171" spans="2:32" x14ac:dyDescent="0.25">
      <c r="B171">
        <f t="shared" ref="B171:B200" si="6">B170+1</f>
        <v>36</v>
      </c>
      <c r="C171">
        <v>1</v>
      </c>
      <c r="D171">
        <v>1</v>
      </c>
      <c r="E171">
        <v>1</v>
      </c>
      <c r="F171">
        <v>1</v>
      </c>
      <c r="G171">
        <v>1</v>
      </c>
      <c r="J171">
        <f t="shared" ref="J171:J200" si="7">J170+1</f>
        <v>36</v>
      </c>
      <c r="K171">
        <v>1</v>
      </c>
      <c r="L171">
        <v>1</v>
      </c>
      <c r="M171">
        <v>1</v>
      </c>
      <c r="N171">
        <v>1</v>
      </c>
      <c r="O171">
        <v>1</v>
      </c>
      <c r="R171">
        <f t="shared" ref="R171:R200" si="8">R170+1</f>
        <v>36</v>
      </c>
      <c r="S171">
        <v>1</v>
      </c>
      <c r="T171">
        <v>1</v>
      </c>
      <c r="U171">
        <v>1</v>
      </c>
      <c r="V171">
        <v>1</v>
      </c>
      <c r="W171">
        <v>1</v>
      </c>
      <c r="AA171">
        <v>-11214.2592</v>
      </c>
      <c r="AB171">
        <v>-11214.2592</v>
      </c>
      <c r="AC171">
        <v>-11214.2592</v>
      </c>
      <c r="AD171">
        <v>-11214.2592</v>
      </c>
      <c r="AE171">
        <v>-11214.2592</v>
      </c>
    </row>
    <row r="172" spans="2:32" x14ac:dyDescent="0.25">
      <c r="B172">
        <f t="shared" si="6"/>
        <v>37</v>
      </c>
      <c r="C172">
        <v>1</v>
      </c>
      <c r="D172">
        <v>1</v>
      </c>
      <c r="E172">
        <v>1</v>
      </c>
      <c r="F172">
        <v>1</v>
      </c>
      <c r="G172">
        <v>1</v>
      </c>
      <c r="J172">
        <f t="shared" si="7"/>
        <v>37</v>
      </c>
      <c r="K172">
        <v>1</v>
      </c>
      <c r="L172">
        <v>1</v>
      </c>
      <c r="M172">
        <v>1</v>
      </c>
      <c r="N172">
        <v>1</v>
      </c>
      <c r="O172">
        <v>1</v>
      </c>
      <c r="R172">
        <f t="shared" si="8"/>
        <v>37</v>
      </c>
      <c r="S172">
        <v>1</v>
      </c>
      <c r="T172">
        <v>1</v>
      </c>
      <c r="U172">
        <v>1</v>
      </c>
      <c r="V172">
        <v>1</v>
      </c>
      <c r="W172">
        <v>1</v>
      </c>
      <c r="AA172">
        <v>-11117.406199999999</v>
      </c>
      <c r="AB172">
        <v>-11117.406199999999</v>
      </c>
      <c r="AC172">
        <v>-11117.406199999999</v>
      </c>
      <c r="AD172">
        <v>-11117.406199999999</v>
      </c>
      <c r="AE172">
        <v>-11117.406199999999</v>
      </c>
    </row>
    <row r="173" spans="2:32" x14ac:dyDescent="0.25">
      <c r="B173">
        <f t="shared" si="6"/>
        <v>38</v>
      </c>
      <c r="C173">
        <v>1</v>
      </c>
      <c r="D173">
        <v>1</v>
      </c>
      <c r="E173">
        <v>1</v>
      </c>
      <c r="F173">
        <v>1</v>
      </c>
      <c r="G173">
        <v>1</v>
      </c>
      <c r="J173">
        <f t="shared" si="7"/>
        <v>38</v>
      </c>
      <c r="K173">
        <v>1</v>
      </c>
      <c r="L173">
        <v>1</v>
      </c>
      <c r="M173">
        <v>1</v>
      </c>
      <c r="N173">
        <v>1</v>
      </c>
      <c r="O173">
        <v>1</v>
      </c>
      <c r="R173">
        <f t="shared" si="8"/>
        <v>38</v>
      </c>
      <c r="S173">
        <v>1</v>
      </c>
      <c r="T173">
        <v>1</v>
      </c>
      <c r="U173">
        <v>1</v>
      </c>
      <c r="V173">
        <v>1</v>
      </c>
      <c r="W173">
        <v>1</v>
      </c>
      <c r="AA173">
        <v>-11018.229799999999</v>
      </c>
      <c r="AB173">
        <v>-11018.229799999999</v>
      </c>
      <c r="AC173">
        <v>-11018.229799999999</v>
      </c>
      <c r="AD173">
        <v>-11018.229799999999</v>
      </c>
      <c r="AE173">
        <v>-11018.229799999999</v>
      </c>
    </row>
    <row r="174" spans="2:32" x14ac:dyDescent="0.25">
      <c r="B174">
        <f t="shared" si="6"/>
        <v>39</v>
      </c>
      <c r="C174">
        <v>1</v>
      </c>
      <c r="D174">
        <v>1</v>
      </c>
      <c r="E174">
        <v>1</v>
      </c>
      <c r="F174">
        <v>1</v>
      </c>
      <c r="G174">
        <v>1</v>
      </c>
      <c r="J174">
        <f t="shared" si="7"/>
        <v>39</v>
      </c>
      <c r="K174">
        <v>1</v>
      </c>
      <c r="L174">
        <v>1</v>
      </c>
      <c r="M174">
        <v>1</v>
      </c>
      <c r="N174">
        <v>1</v>
      </c>
      <c r="O174">
        <v>1</v>
      </c>
      <c r="R174">
        <f t="shared" si="8"/>
        <v>39</v>
      </c>
      <c r="S174">
        <v>1</v>
      </c>
      <c r="T174">
        <v>1</v>
      </c>
      <c r="U174">
        <v>1</v>
      </c>
      <c r="V174">
        <v>1</v>
      </c>
      <c r="W174">
        <v>1</v>
      </c>
      <c r="AA174">
        <v>-10916.737999999999</v>
      </c>
      <c r="AB174">
        <v>-10916.737999999999</v>
      </c>
      <c r="AC174">
        <v>-10916.737999999999</v>
      </c>
      <c r="AD174">
        <v>-10916.737999999999</v>
      </c>
      <c r="AE174">
        <v>-10916.737999999999</v>
      </c>
    </row>
    <row r="175" spans="2:32" x14ac:dyDescent="0.25">
      <c r="B175">
        <f t="shared" si="6"/>
        <v>40</v>
      </c>
      <c r="C175">
        <v>1</v>
      </c>
      <c r="D175">
        <v>1</v>
      </c>
      <c r="E175">
        <v>1</v>
      </c>
      <c r="F175">
        <v>1</v>
      </c>
      <c r="G175">
        <v>1</v>
      </c>
      <c r="J175">
        <f t="shared" si="7"/>
        <v>40</v>
      </c>
      <c r="K175">
        <v>1</v>
      </c>
      <c r="L175">
        <v>1</v>
      </c>
      <c r="M175">
        <v>1</v>
      </c>
      <c r="N175">
        <v>1</v>
      </c>
      <c r="O175">
        <v>1</v>
      </c>
      <c r="R175">
        <f t="shared" si="8"/>
        <v>40</v>
      </c>
      <c r="S175">
        <v>1</v>
      </c>
      <c r="T175">
        <v>1</v>
      </c>
      <c r="U175">
        <v>1</v>
      </c>
      <c r="V175">
        <v>1</v>
      </c>
      <c r="W175">
        <v>1</v>
      </c>
      <c r="AA175">
        <v>-10812.8714</v>
      </c>
      <c r="AB175">
        <v>-10812.8714</v>
      </c>
      <c r="AC175">
        <v>-10812.8714</v>
      </c>
      <c r="AD175">
        <v>-10812.8714</v>
      </c>
      <c r="AE175">
        <v>-10812.8714</v>
      </c>
    </row>
    <row r="176" spans="2:32" x14ac:dyDescent="0.25">
      <c r="B176">
        <f t="shared" si="6"/>
        <v>41</v>
      </c>
      <c r="C176">
        <v>1</v>
      </c>
      <c r="D176">
        <v>1</v>
      </c>
      <c r="E176">
        <v>1</v>
      </c>
      <c r="F176">
        <v>1</v>
      </c>
      <c r="G176">
        <v>1</v>
      </c>
      <c r="J176">
        <f t="shared" si="7"/>
        <v>41</v>
      </c>
      <c r="K176">
        <v>1</v>
      </c>
      <c r="L176">
        <v>1</v>
      </c>
      <c r="M176">
        <v>1</v>
      </c>
      <c r="N176">
        <v>1</v>
      </c>
      <c r="O176">
        <v>1</v>
      </c>
      <c r="R176">
        <f t="shared" si="8"/>
        <v>41</v>
      </c>
      <c r="S176">
        <v>1</v>
      </c>
      <c r="T176">
        <v>1</v>
      </c>
      <c r="U176">
        <v>1</v>
      </c>
      <c r="V176">
        <v>1</v>
      </c>
      <c r="W176">
        <v>1</v>
      </c>
      <c r="AA176">
        <v>-10706.559600000001</v>
      </c>
      <c r="AB176">
        <v>-10706.559600000001</v>
      </c>
      <c r="AC176">
        <v>-10706.559600000001</v>
      </c>
      <c r="AD176">
        <v>-10706.559600000001</v>
      </c>
      <c r="AE176">
        <v>-10706.559600000001</v>
      </c>
    </row>
    <row r="177" spans="2:31" x14ac:dyDescent="0.25">
      <c r="B177">
        <f t="shared" si="6"/>
        <v>42</v>
      </c>
      <c r="C177">
        <v>1</v>
      </c>
      <c r="D177">
        <v>1</v>
      </c>
      <c r="E177">
        <v>1</v>
      </c>
      <c r="F177">
        <v>1</v>
      </c>
      <c r="G177">
        <v>1</v>
      </c>
      <c r="J177">
        <f t="shared" si="7"/>
        <v>42</v>
      </c>
      <c r="K177">
        <v>1</v>
      </c>
      <c r="L177">
        <v>1</v>
      </c>
      <c r="M177">
        <v>1</v>
      </c>
      <c r="N177">
        <v>1</v>
      </c>
      <c r="O177">
        <v>1</v>
      </c>
      <c r="R177">
        <f t="shared" si="8"/>
        <v>42</v>
      </c>
      <c r="S177">
        <v>1</v>
      </c>
      <c r="T177">
        <v>1</v>
      </c>
      <c r="U177">
        <v>1</v>
      </c>
      <c r="V177">
        <v>1</v>
      </c>
      <c r="W177">
        <v>1</v>
      </c>
      <c r="AA177">
        <v>-10597.8485</v>
      </c>
      <c r="AB177">
        <v>-10597.8485</v>
      </c>
      <c r="AC177">
        <v>-10597.8485</v>
      </c>
      <c r="AD177">
        <v>-10597.8485</v>
      </c>
      <c r="AE177">
        <v>-10597.8485</v>
      </c>
    </row>
    <row r="178" spans="2:31" x14ac:dyDescent="0.25">
      <c r="B178">
        <f t="shared" si="6"/>
        <v>43</v>
      </c>
      <c r="C178">
        <v>1</v>
      </c>
      <c r="D178">
        <v>1</v>
      </c>
      <c r="E178">
        <v>1</v>
      </c>
      <c r="F178">
        <v>1</v>
      </c>
      <c r="G178">
        <v>1</v>
      </c>
      <c r="J178">
        <f t="shared" si="7"/>
        <v>43</v>
      </c>
      <c r="K178">
        <v>1</v>
      </c>
      <c r="L178">
        <v>1</v>
      </c>
      <c r="M178">
        <v>1</v>
      </c>
      <c r="N178">
        <v>1</v>
      </c>
      <c r="O178">
        <v>1</v>
      </c>
      <c r="R178">
        <f t="shared" si="8"/>
        <v>43</v>
      </c>
      <c r="S178">
        <v>1</v>
      </c>
      <c r="T178">
        <v>1</v>
      </c>
      <c r="U178">
        <v>1</v>
      </c>
      <c r="V178">
        <v>1</v>
      </c>
      <c r="W178">
        <v>1</v>
      </c>
      <c r="AA178">
        <v>-10486.615400000001</v>
      </c>
      <c r="AB178">
        <v>-10486.615400000001</v>
      </c>
      <c r="AC178">
        <v>-10486.615400000001</v>
      </c>
      <c r="AD178">
        <v>-10486.615400000001</v>
      </c>
      <c r="AE178">
        <v>-10486.615400000001</v>
      </c>
    </row>
    <row r="179" spans="2:31" x14ac:dyDescent="0.25">
      <c r="B179">
        <f t="shared" si="6"/>
        <v>44</v>
      </c>
      <c r="C179">
        <v>1</v>
      </c>
      <c r="D179">
        <v>1</v>
      </c>
      <c r="E179">
        <v>1</v>
      </c>
      <c r="F179">
        <v>1</v>
      </c>
      <c r="G179">
        <v>1</v>
      </c>
      <c r="J179">
        <f t="shared" si="7"/>
        <v>44</v>
      </c>
      <c r="K179">
        <v>1</v>
      </c>
      <c r="L179">
        <v>1</v>
      </c>
      <c r="M179">
        <v>1</v>
      </c>
      <c r="N179">
        <v>1</v>
      </c>
      <c r="O179">
        <v>1</v>
      </c>
      <c r="R179">
        <f t="shared" si="8"/>
        <v>44</v>
      </c>
      <c r="S179">
        <v>1</v>
      </c>
      <c r="T179">
        <v>1</v>
      </c>
      <c r="U179">
        <v>1</v>
      </c>
      <c r="V179">
        <v>1</v>
      </c>
      <c r="W179">
        <v>1</v>
      </c>
      <c r="AA179">
        <v>-10372.9005</v>
      </c>
      <c r="AB179">
        <v>-10372.9005</v>
      </c>
      <c r="AC179">
        <v>-10372.9005</v>
      </c>
      <c r="AD179">
        <v>-10372.9005</v>
      </c>
      <c r="AE179">
        <v>-10372.9005</v>
      </c>
    </row>
    <row r="180" spans="2:31" x14ac:dyDescent="0.25">
      <c r="B180">
        <f t="shared" si="6"/>
        <v>45</v>
      </c>
      <c r="C180">
        <v>1</v>
      </c>
      <c r="D180">
        <v>1</v>
      </c>
      <c r="E180">
        <v>1</v>
      </c>
      <c r="F180">
        <v>1</v>
      </c>
      <c r="G180">
        <v>1</v>
      </c>
      <c r="J180">
        <f t="shared" si="7"/>
        <v>45</v>
      </c>
      <c r="K180">
        <v>1</v>
      </c>
      <c r="L180">
        <v>1</v>
      </c>
      <c r="M180">
        <v>1</v>
      </c>
      <c r="N180">
        <v>1</v>
      </c>
      <c r="O180">
        <v>1</v>
      </c>
      <c r="R180">
        <f t="shared" si="8"/>
        <v>45</v>
      </c>
      <c r="S180">
        <v>1</v>
      </c>
      <c r="T180">
        <v>1</v>
      </c>
      <c r="U180">
        <v>1</v>
      </c>
      <c r="V180">
        <v>1</v>
      </c>
      <c r="W180">
        <v>1</v>
      </c>
      <c r="AA180">
        <v>-10256.650600000001</v>
      </c>
      <c r="AB180">
        <v>-10256.650600000001</v>
      </c>
      <c r="AC180">
        <v>-10256.650600000001</v>
      </c>
      <c r="AD180">
        <v>-10256.650600000001</v>
      </c>
      <c r="AE180">
        <v>-10256.650600000001</v>
      </c>
    </row>
    <row r="181" spans="2:31" x14ac:dyDescent="0.25">
      <c r="B181">
        <f t="shared" si="6"/>
        <v>46</v>
      </c>
      <c r="C181">
        <v>1</v>
      </c>
      <c r="D181">
        <v>1</v>
      </c>
      <c r="E181">
        <v>1</v>
      </c>
      <c r="F181">
        <v>1</v>
      </c>
      <c r="G181">
        <v>1</v>
      </c>
      <c r="J181">
        <f t="shared" si="7"/>
        <v>46</v>
      </c>
      <c r="K181">
        <v>1</v>
      </c>
      <c r="L181">
        <v>1</v>
      </c>
      <c r="M181">
        <v>1</v>
      </c>
      <c r="N181">
        <v>1</v>
      </c>
      <c r="O181">
        <v>1</v>
      </c>
      <c r="R181">
        <f t="shared" si="8"/>
        <v>46</v>
      </c>
      <c r="S181">
        <v>1</v>
      </c>
      <c r="T181">
        <v>1</v>
      </c>
      <c r="U181">
        <v>1</v>
      </c>
      <c r="V181">
        <v>1</v>
      </c>
      <c r="W181">
        <v>1</v>
      </c>
      <c r="AA181">
        <v>-10137.871499999999</v>
      </c>
      <c r="AB181">
        <v>-10137.871499999999</v>
      </c>
      <c r="AC181">
        <v>-10137.871499999999</v>
      </c>
      <c r="AD181">
        <v>-10137.871499999999</v>
      </c>
      <c r="AE181">
        <v>-10137.871499999999</v>
      </c>
    </row>
    <row r="182" spans="2:31" x14ac:dyDescent="0.25">
      <c r="B182">
        <f t="shared" si="6"/>
        <v>47</v>
      </c>
      <c r="C182">
        <v>1</v>
      </c>
      <c r="D182">
        <v>1</v>
      </c>
      <c r="E182">
        <v>1</v>
      </c>
      <c r="F182">
        <v>1</v>
      </c>
      <c r="G182">
        <v>1</v>
      </c>
      <c r="J182">
        <f t="shared" si="7"/>
        <v>47</v>
      </c>
      <c r="K182">
        <v>1</v>
      </c>
      <c r="L182">
        <v>1</v>
      </c>
      <c r="M182">
        <v>1</v>
      </c>
      <c r="N182">
        <v>1</v>
      </c>
      <c r="O182">
        <v>1</v>
      </c>
      <c r="R182">
        <f t="shared" si="8"/>
        <v>47</v>
      </c>
      <c r="S182">
        <v>1</v>
      </c>
      <c r="T182">
        <v>1</v>
      </c>
      <c r="U182">
        <v>1</v>
      </c>
      <c r="V182">
        <v>1</v>
      </c>
      <c r="W182">
        <v>1</v>
      </c>
      <c r="AA182">
        <v>-10016.4967</v>
      </c>
      <c r="AB182">
        <v>-10016.4967</v>
      </c>
      <c r="AC182">
        <v>-10016.4967</v>
      </c>
      <c r="AD182">
        <v>-10016.4967</v>
      </c>
      <c r="AE182">
        <v>-10016.4967</v>
      </c>
    </row>
    <row r="183" spans="2:31" x14ac:dyDescent="0.25">
      <c r="B183">
        <f t="shared" si="6"/>
        <v>48</v>
      </c>
      <c r="C183">
        <v>1</v>
      </c>
      <c r="D183">
        <v>1</v>
      </c>
      <c r="E183">
        <v>1</v>
      </c>
      <c r="F183">
        <v>1</v>
      </c>
      <c r="G183">
        <v>1</v>
      </c>
      <c r="J183">
        <f t="shared" si="7"/>
        <v>48</v>
      </c>
      <c r="K183">
        <v>1</v>
      </c>
      <c r="L183">
        <v>1</v>
      </c>
      <c r="M183">
        <v>1</v>
      </c>
      <c r="N183">
        <v>1</v>
      </c>
      <c r="O183">
        <v>1</v>
      </c>
      <c r="R183">
        <f t="shared" si="8"/>
        <v>48</v>
      </c>
      <c r="S183">
        <v>1</v>
      </c>
      <c r="T183">
        <v>1</v>
      </c>
      <c r="U183">
        <v>1</v>
      </c>
      <c r="V183">
        <v>1</v>
      </c>
      <c r="W183">
        <v>1</v>
      </c>
      <c r="AA183">
        <v>-9892.6355000000003</v>
      </c>
      <c r="AB183">
        <v>-9892.6355000000003</v>
      </c>
      <c r="AC183">
        <v>-9892.6355000000003</v>
      </c>
      <c r="AD183">
        <v>-9892.6355000000003</v>
      </c>
      <c r="AE183">
        <v>-9892.6355000000003</v>
      </c>
    </row>
    <row r="184" spans="2:31" x14ac:dyDescent="0.25">
      <c r="B184">
        <f t="shared" si="6"/>
        <v>49</v>
      </c>
      <c r="C184">
        <v>1</v>
      </c>
      <c r="D184">
        <v>1</v>
      </c>
      <c r="E184">
        <v>1</v>
      </c>
      <c r="F184">
        <v>1</v>
      </c>
      <c r="G184">
        <v>1</v>
      </c>
      <c r="J184">
        <f t="shared" si="7"/>
        <v>49</v>
      </c>
      <c r="K184">
        <v>1</v>
      </c>
      <c r="L184">
        <v>1</v>
      </c>
      <c r="M184">
        <v>1</v>
      </c>
      <c r="N184">
        <v>1</v>
      </c>
      <c r="O184">
        <v>1</v>
      </c>
      <c r="R184">
        <f t="shared" si="8"/>
        <v>49</v>
      </c>
      <c r="S184">
        <v>1</v>
      </c>
      <c r="T184">
        <v>1</v>
      </c>
      <c r="U184">
        <v>1</v>
      </c>
      <c r="V184">
        <v>1</v>
      </c>
      <c r="W184">
        <v>1</v>
      </c>
      <c r="AA184">
        <v>-9766.3366999999998</v>
      </c>
      <c r="AB184">
        <v>-9766.3366999999998</v>
      </c>
      <c r="AC184">
        <v>-9766.3366999999998</v>
      </c>
      <c r="AD184">
        <v>-9766.3366999999998</v>
      </c>
      <c r="AE184">
        <v>-9766.3366999999998</v>
      </c>
    </row>
    <row r="185" spans="2:31" x14ac:dyDescent="0.25">
      <c r="B185">
        <f t="shared" si="6"/>
        <v>50</v>
      </c>
      <c r="C185">
        <v>1</v>
      </c>
      <c r="D185">
        <v>1</v>
      </c>
      <c r="E185">
        <v>1</v>
      </c>
      <c r="F185">
        <v>1</v>
      </c>
      <c r="G185">
        <v>1</v>
      </c>
      <c r="J185">
        <f t="shared" si="7"/>
        <v>50</v>
      </c>
      <c r="K185">
        <v>1</v>
      </c>
      <c r="L185">
        <v>1</v>
      </c>
      <c r="M185">
        <v>1</v>
      </c>
      <c r="N185">
        <v>1</v>
      </c>
      <c r="O185">
        <v>1</v>
      </c>
      <c r="R185">
        <f t="shared" si="8"/>
        <v>50</v>
      </c>
      <c r="S185">
        <v>1</v>
      </c>
      <c r="T185">
        <v>1</v>
      </c>
      <c r="U185">
        <v>1</v>
      </c>
      <c r="V185">
        <v>1</v>
      </c>
      <c r="W185">
        <v>1</v>
      </c>
      <c r="AA185">
        <v>-9637.5864000000001</v>
      </c>
      <c r="AB185">
        <v>-9637.5864000000001</v>
      </c>
      <c r="AC185">
        <v>-9637.5864000000001</v>
      </c>
      <c r="AD185">
        <v>-9637.5864000000001</v>
      </c>
      <c r="AE185">
        <v>-9637.5864000000001</v>
      </c>
    </row>
    <row r="186" spans="2:31" x14ac:dyDescent="0.25">
      <c r="B186">
        <f t="shared" si="6"/>
        <v>51</v>
      </c>
      <c r="C186">
        <v>1</v>
      </c>
      <c r="D186">
        <v>1</v>
      </c>
      <c r="E186">
        <v>1</v>
      </c>
      <c r="F186">
        <v>1</v>
      </c>
      <c r="G186">
        <v>1</v>
      </c>
      <c r="J186">
        <f t="shared" si="7"/>
        <v>51</v>
      </c>
      <c r="K186">
        <v>1</v>
      </c>
      <c r="L186">
        <v>1</v>
      </c>
      <c r="M186">
        <v>1</v>
      </c>
      <c r="N186">
        <v>1</v>
      </c>
      <c r="O186">
        <v>1</v>
      </c>
      <c r="R186">
        <f t="shared" si="8"/>
        <v>51</v>
      </c>
      <c r="S186">
        <v>1</v>
      </c>
      <c r="T186">
        <v>1</v>
      </c>
      <c r="U186">
        <v>1</v>
      </c>
      <c r="V186">
        <v>1</v>
      </c>
      <c r="W186">
        <v>1</v>
      </c>
      <c r="AA186">
        <v>-9506.3734000000004</v>
      </c>
      <c r="AB186">
        <v>-9506.3734000000004</v>
      </c>
      <c r="AC186">
        <v>-9506.3734000000004</v>
      </c>
      <c r="AD186">
        <v>-9506.3734000000004</v>
      </c>
      <c r="AE186">
        <v>-9506.3734000000004</v>
      </c>
    </row>
    <row r="187" spans="2:31" x14ac:dyDescent="0.25">
      <c r="B187">
        <f t="shared" si="6"/>
        <v>52</v>
      </c>
      <c r="C187">
        <v>1</v>
      </c>
      <c r="D187">
        <v>1</v>
      </c>
      <c r="E187">
        <v>1</v>
      </c>
      <c r="F187">
        <v>1</v>
      </c>
      <c r="G187">
        <v>1</v>
      </c>
      <c r="J187">
        <f t="shared" si="7"/>
        <v>52</v>
      </c>
      <c r="K187">
        <v>1</v>
      </c>
      <c r="L187">
        <v>1</v>
      </c>
      <c r="M187">
        <v>1</v>
      </c>
      <c r="N187">
        <v>1</v>
      </c>
      <c r="O187">
        <v>1</v>
      </c>
      <c r="R187">
        <f t="shared" si="8"/>
        <v>52</v>
      </c>
      <c r="S187">
        <v>1</v>
      </c>
      <c r="T187">
        <v>1</v>
      </c>
      <c r="U187">
        <v>1</v>
      </c>
      <c r="V187">
        <v>1</v>
      </c>
      <c r="W187">
        <v>1</v>
      </c>
      <c r="AA187">
        <v>-9372.7019</v>
      </c>
      <c r="AB187">
        <v>-9372.7019</v>
      </c>
      <c r="AC187">
        <v>-9372.7019</v>
      </c>
      <c r="AD187">
        <v>-9372.7019</v>
      </c>
      <c r="AE187">
        <v>-9372.7019</v>
      </c>
    </row>
    <row r="188" spans="2:31" x14ac:dyDescent="0.25">
      <c r="B188">
        <f t="shared" si="6"/>
        <v>53</v>
      </c>
      <c r="C188">
        <v>1</v>
      </c>
      <c r="D188">
        <v>1</v>
      </c>
      <c r="E188">
        <v>1</v>
      </c>
      <c r="F188">
        <v>1</v>
      </c>
      <c r="G188">
        <v>1</v>
      </c>
      <c r="J188">
        <f t="shared" si="7"/>
        <v>53</v>
      </c>
      <c r="K188">
        <v>1</v>
      </c>
      <c r="L188">
        <v>1</v>
      </c>
      <c r="M188">
        <v>1</v>
      </c>
      <c r="N188">
        <v>1</v>
      </c>
      <c r="O188">
        <v>1</v>
      </c>
      <c r="R188">
        <f t="shared" si="8"/>
        <v>53</v>
      </c>
      <c r="S188">
        <v>1</v>
      </c>
      <c r="T188">
        <v>1</v>
      </c>
      <c r="U188">
        <v>1</v>
      </c>
      <c r="V188">
        <v>1</v>
      </c>
      <c r="W188">
        <v>1</v>
      </c>
      <c r="AA188">
        <v>-9236.6705000000002</v>
      </c>
      <c r="AB188">
        <v>-9236.6705000000002</v>
      </c>
      <c r="AC188">
        <v>-9236.6705000000002</v>
      </c>
      <c r="AD188">
        <v>-9236.6705000000002</v>
      </c>
      <c r="AE188">
        <v>-9236.6705000000002</v>
      </c>
    </row>
    <row r="189" spans="2:31" x14ac:dyDescent="0.25">
      <c r="B189">
        <f t="shared" si="6"/>
        <v>54</v>
      </c>
      <c r="C189">
        <v>1</v>
      </c>
      <c r="D189">
        <v>1</v>
      </c>
      <c r="E189">
        <v>1</v>
      </c>
      <c r="F189">
        <v>1</v>
      </c>
      <c r="G189">
        <v>1</v>
      </c>
      <c r="J189">
        <f t="shared" si="7"/>
        <v>54</v>
      </c>
      <c r="K189">
        <v>1</v>
      </c>
      <c r="L189">
        <v>1</v>
      </c>
      <c r="M189">
        <v>1</v>
      </c>
      <c r="N189">
        <v>1</v>
      </c>
      <c r="O189">
        <v>1</v>
      </c>
      <c r="R189">
        <f t="shared" si="8"/>
        <v>54</v>
      </c>
      <c r="S189">
        <v>1</v>
      </c>
      <c r="T189">
        <v>1</v>
      </c>
      <c r="U189">
        <v>1</v>
      </c>
      <c r="V189">
        <v>1</v>
      </c>
      <c r="W189">
        <v>1</v>
      </c>
      <c r="AA189">
        <v>-9098.4312000000009</v>
      </c>
      <c r="AB189">
        <v>-9098.4312000000009</v>
      </c>
      <c r="AC189">
        <v>-9098.4312000000009</v>
      </c>
      <c r="AD189">
        <v>-9098.4312000000009</v>
      </c>
      <c r="AE189">
        <v>-9098.4312000000009</v>
      </c>
    </row>
    <row r="190" spans="2:31" x14ac:dyDescent="0.25">
      <c r="B190">
        <f t="shared" si="6"/>
        <v>55</v>
      </c>
      <c r="C190">
        <v>1</v>
      </c>
      <c r="D190">
        <v>1</v>
      </c>
      <c r="E190">
        <v>1</v>
      </c>
      <c r="F190">
        <v>1</v>
      </c>
      <c r="G190">
        <v>1</v>
      </c>
      <c r="J190">
        <f t="shared" si="7"/>
        <v>55</v>
      </c>
      <c r="K190">
        <v>1</v>
      </c>
      <c r="L190">
        <v>1</v>
      </c>
      <c r="M190">
        <v>1</v>
      </c>
      <c r="N190">
        <v>1</v>
      </c>
      <c r="O190">
        <v>1</v>
      </c>
      <c r="R190">
        <f t="shared" si="8"/>
        <v>55</v>
      </c>
      <c r="S190">
        <v>1</v>
      </c>
      <c r="T190">
        <v>1</v>
      </c>
      <c r="U190">
        <v>1</v>
      </c>
      <c r="V190">
        <v>1</v>
      </c>
      <c r="W190">
        <v>1</v>
      </c>
      <c r="AA190">
        <v>-8958.0210999999999</v>
      </c>
      <c r="AB190">
        <v>-8958.0210999999999</v>
      </c>
      <c r="AC190">
        <v>-8958.0210999999999</v>
      </c>
      <c r="AD190">
        <v>-8958.0210999999999</v>
      </c>
      <c r="AE190">
        <v>-8958.0210999999999</v>
      </c>
    </row>
    <row r="191" spans="2:31" x14ac:dyDescent="0.25">
      <c r="B191">
        <f t="shared" si="6"/>
        <v>56</v>
      </c>
      <c r="C191">
        <v>1</v>
      </c>
      <c r="D191">
        <v>1</v>
      </c>
      <c r="E191">
        <v>1</v>
      </c>
      <c r="F191">
        <v>1</v>
      </c>
      <c r="G191">
        <v>1</v>
      </c>
      <c r="J191">
        <f t="shared" si="7"/>
        <v>56</v>
      </c>
      <c r="K191">
        <v>1</v>
      </c>
      <c r="L191">
        <v>1</v>
      </c>
      <c r="M191">
        <v>1</v>
      </c>
      <c r="N191">
        <v>1</v>
      </c>
      <c r="O191">
        <v>1</v>
      </c>
      <c r="R191">
        <f t="shared" si="8"/>
        <v>56</v>
      </c>
      <c r="S191">
        <v>1</v>
      </c>
      <c r="T191">
        <v>1</v>
      </c>
      <c r="U191">
        <v>1</v>
      </c>
      <c r="V191">
        <v>1</v>
      </c>
      <c r="W191">
        <v>1</v>
      </c>
      <c r="AA191">
        <v>-8815.6316999999999</v>
      </c>
      <c r="AB191">
        <v>-8815.6316999999999</v>
      </c>
      <c r="AC191">
        <v>-8815.6316999999999</v>
      </c>
      <c r="AD191">
        <v>-8815.6316999999999</v>
      </c>
      <c r="AE191">
        <v>-8815.6316999999999</v>
      </c>
    </row>
    <row r="192" spans="2:31" x14ac:dyDescent="0.25">
      <c r="B192">
        <f t="shared" si="6"/>
        <v>57</v>
      </c>
      <c r="C192">
        <v>1</v>
      </c>
      <c r="D192">
        <v>1</v>
      </c>
      <c r="E192">
        <v>1</v>
      </c>
      <c r="F192">
        <v>1</v>
      </c>
      <c r="G192">
        <v>1</v>
      </c>
      <c r="J192">
        <f t="shared" si="7"/>
        <v>57</v>
      </c>
      <c r="K192">
        <v>1</v>
      </c>
      <c r="L192">
        <v>1</v>
      </c>
      <c r="M192">
        <v>1</v>
      </c>
      <c r="N192">
        <v>1</v>
      </c>
      <c r="O192">
        <v>1</v>
      </c>
      <c r="R192">
        <f t="shared" si="8"/>
        <v>57</v>
      </c>
      <c r="S192">
        <v>1</v>
      </c>
      <c r="T192">
        <v>1</v>
      </c>
      <c r="U192">
        <v>1</v>
      </c>
      <c r="V192">
        <v>1</v>
      </c>
      <c r="W192">
        <v>1</v>
      </c>
      <c r="AA192">
        <v>-8671.3991999999998</v>
      </c>
      <c r="AB192">
        <v>-8671.3991999999998</v>
      </c>
      <c r="AC192">
        <v>-8671.3991999999998</v>
      </c>
      <c r="AD192">
        <v>-8671.3991999999998</v>
      </c>
      <c r="AE192">
        <v>-8671.3991999999998</v>
      </c>
    </row>
    <row r="193" spans="2:32" x14ac:dyDescent="0.25">
      <c r="B193">
        <f t="shared" si="6"/>
        <v>58</v>
      </c>
      <c r="C193">
        <v>1</v>
      </c>
      <c r="D193">
        <v>1</v>
      </c>
      <c r="E193">
        <v>1</v>
      </c>
      <c r="F193">
        <v>1</v>
      </c>
      <c r="G193">
        <v>1</v>
      </c>
      <c r="J193">
        <f t="shared" si="7"/>
        <v>58</v>
      </c>
      <c r="K193">
        <v>1</v>
      </c>
      <c r="L193">
        <v>1</v>
      </c>
      <c r="M193">
        <v>1</v>
      </c>
      <c r="N193">
        <v>1</v>
      </c>
      <c r="O193">
        <v>1</v>
      </c>
      <c r="R193">
        <f t="shared" si="8"/>
        <v>58</v>
      </c>
      <c r="S193">
        <v>1</v>
      </c>
      <c r="T193">
        <v>1</v>
      </c>
      <c r="U193">
        <v>1</v>
      </c>
      <c r="V193">
        <v>1</v>
      </c>
      <c r="W193">
        <v>1</v>
      </c>
      <c r="AA193">
        <v>-8525.2759999999998</v>
      </c>
      <c r="AB193">
        <v>-8525.2759999999998</v>
      </c>
      <c r="AC193">
        <v>-8525.2759999999998</v>
      </c>
      <c r="AD193">
        <v>-8525.2759999999998</v>
      </c>
      <c r="AE193">
        <v>-8525.2759999999998</v>
      </c>
    </row>
    <row r="194" spans="2:32" x14ac:dyDescent="0.25">
      <c r="B194">
        <f t="shared" si="6"/>
        <v>59</v>
      </c>
      <c r="C194">
        <v>1</v>
      </c>
      <c r="D194">
        <v>1</v>
      </c>
      <c r="E194">
        <v>1</v>
      </c>
      <c r="F194">
        <v>1</v>
      </c>
      <c r="G194">
        <v>1</v>
      </c>
      <c r="J194">
        <f t="shared" si="7"/>
        <v>59</v>
      </c>
      <c r="K194">
        <v>1</v>
      </c>
      <c r="L194">
        <v>1</v>
      </c>
      <c r="M194">
        <v>1</v>
      </c>
      <c r="N194">
        <v>1</v>
      </c>
      <c r="O194">
        <v>1</v>
      </c>
      <c r="R194">
        <f t="shared" si="8"/>
        <v>59</v>
      </c>
      <c r="S194">
        <v>1</v>
      </c>
      <c r="T194">
        <v>1</v>
      </c>
      <c r="U194">
        <v>1</v>
      </c>
      <c r="V194">
        <v>1</v>
      </c>
      <c r="W194">
        <v>1</v>
      </c>
      <c r="AA194">
        <v>-8377.2351999999992</v>
      </c>
      <c r="AB194">
        <v>-8377.2351999999992</v>
      </c>
      <c r="AC194">
        <v>-8377.2351999999992</v>
      </c>
      <c r="AD194">
        <v>-8377.2351999999992</v>
      </c>
      <c r="AE194">
        <v>-8377.2351999999992</v>
      </c>
    </row>
    <row r="195" spans="2:32" x14ac:dyDescent="0.25">
      <c r="B195">
        <f t="shared" si="6"/>
        <v>60</v>
      </c>
      <c r="C195">
        <v>1</v>
      </c>
      <c r="D195">
        <v>1</v>
      </c>
      <c r="E195">
        <v>1</v>
      </c>
      <c r="F195">
        <v>1</v>
      </c>
      <c r="G195">
        <v>1</v>
      </c>
      <c r="J195">
        <f t="shared" si="7"/>
        <v>60</v>
      </c>
      <c r="K195">
        <v>1</v>
      </c>
      <c r="L195">
        <v>1</v>
      </c>
      <c r="M195">
        <v>1</v>
      </c>
      <c r="N195">
        <v>1</v>
      </c>
      <c r="O195">
        <v>1</v>
      </c>
      <c r="R195">
        <f t="shared" si="8"/>
        <v>60</v>
      </c>
      <c r="S195">
        <v>1</v>
      </c>
      <c r="T195">
        <v>1</v>
      </c>
      <c r="U195">
        <v>1</v>
      </c>
      <c r="V195">
        <v>1</v>
      </c>
      <c r="W195">
        <v>1</v>
      </c>
      <c r="AA195">
        <v>-8227.3953999999994</v>
      </c>
      <c r="AB195">
        <v>-8227.3953999999994</v>
      </c>
      <c r="AC195">
        <v>-8227.3953999999994</v>
      </c>
      <c r="AD195">
        <v>-8227.3953999999994</v>
      </c>
      <c r="AE195">
        <v>-8227.3953999999994</v>
      </c>
    </row>
    <row r="196" spans="2:32" x14ac:dyDescent="0.25">
      <c r="B196">
        <f t="shared" si="6"/>
        <v>61</v>
      </c>
      <c r="C196">
        <v>1</v>
      </c>
      <c r="D196">
        <v>1</v>
      </c>
      <c r="E196">
        <v>1</v>
      </c>
      <c r="F196">
        <v>1</v>
      </c>
      <c r="G196">
        <v>1</v>
      </c>
      <c r="J196">
        <f t="shared" si="7"/>
        <v>61</v>
      </c>
      <c r="K196">
        <v>1</v>
      </c>
      <c r="L196">
        <v>1</v>
      </c>
      <c r="M196">
        <v>1</v>
      </c>
      <c r="N196">
        <v>1</v>
      </c>
      <c r="O196">
        <v>1</v>
      </c>
      <c r="R196">
        <f t="shared" si="8"/>
        <v>61</v>
      </c>
      <c r="S196">
        <v>1</v>
      </c>
      <c r="T196">
        <v>1</v>
      </c>
      <c r="U196">
        <v>1</v>
      </c>
      <c r="V196">
        <v>1</v>
      </c>
      <c r="W196">
        <v>1</v>
      </c>
      <c r="AA196">
        <v>-8076.1778999999997</v>
      </c>
      <c r="AB196">
        <v>-8076.1778999999997</v>
      </c>
      <c r="AC196">
        <v>-8076.1778999999997</v>
      </c>
      <c r="AD196">
        <v>-8076.1778999999997</v>
      </c>
      <c r="AE196">
        <v>-8076.1778999999997</v>
      </c>
    </row>
    <row r="197" spans="2:32" x14ac:dyDescent="0.25">
      <c r="B197">
        <f t="shared" si="6"/>
        <v>62</v>
      </c>
      <c r="C197">
        <v>1</v>
      </c>
      <c r="D197">
        <v>1</v>
      </c>
      <c r="E197">
        <v>1</v>
      </c>
      <c r="F197">
        <v>1</v>
      </c>
      <c r="G197">
        <v>1</v>
      </c>
      <c r="J197">
        <f t="shared" si="7"/>
        <v>62</v>
      </c>
      <c r="K197">
        <v>1</v>
      </c>
      <c r="L197">
        <v>1</v>
      </c>
      <c r="M197">
        <v>1</v>
      </c>
      <c r="N197">
        <v>1</v>
      </c>
      <c r="O197">
        <v>1</v>
      </c>
      <c r="R197">
        <f t="shared" si="8"/>
        <v>62</v>
      </c>
      <c r="S197">
        <v>1</v>
      </c>
      <c r="T197">
        <v>1</v>
      </c>
      <c r="U197">
        <v>1</v>
      </c>
      <c r="V197">
        <v>1</v>
      </c>
      <c r="W197">
        <v>1</v>
      </c>
      <c r="AA197">
        <v>-7923.5816000000004</v>
      </c>
      <c r="AB197">
        <v>-7923.5816000000004</v>
      </c>
      <c r="AC197">
        <v>-7923.5816000000004</v>
      </c>
      <c r="AD197">
        <v>-7923.5816000000004</v>
      </c>
      <c r="AE197">
        <v>-7923.5816000000004</v>
      </c>
    </row>
    <row r="198" spans="2:32" x14ac:dyDescent="0.25">
      <c r="B198">
        <f t="shared" si="6"/>
        <v>63</v>
      </c>
      <c r="C198">
        <v>1</v>
      </c>
      <c r="D198">
        <v>1</v>
      </c>
      <c r="E198">
        <v>1</v>
      </c>
      <c r="F198">
        <v>1</v>
      </c>
      <c r="G198">
        <v>1</v>
      </c>
      <c r="J198">
        <f t="shared" si="7"/>
        <v>63</v>
      </c>
      <c r="K198">
        <v>1</v>
      </c>
      <c r="L198">
        <v>1</v>
      </c>
      <c r="M198">
        <v>1</v>
      </c>
      <c r="N198">
        <v>1</v>
      </c>
      <c r="O198">
        <v>1</v>
      </c>
      <c r="R198">
        <f t="shared" si="8"/>
        <v>63</v>
      </c>
      <c r="S198">
        <v>1</v>
      </c>
      <c r="T198">
        <v>1</v>
      </c>
      <c r="U198">
        <v>1</v>
      </c>
      <c r="V198">
        <v>1</v>
      </c>
      <c r="W198">
        <v>1</v>
      </c>
      <c r="AA198">
        <v>-7769.2775000000001</v>
      </c>
      <c r="AB198">
        <v>-7769.2775000000001</v>
      </c>
      <c r="AC198">
        <v>-7769.2775000000001</v>
      </c>
      <c r="AD198">
        <v>-7769.2775000000001</v>
      </c>
      <c r="AE198">
        <v>-7769.2775000000001</v>
      </c>
    </row>
    <row r="199" spans="2:32" x14ac:dyDescent="0.25">
      <c r="B199">
        <f t="shared" si="6"/>
        <v>64</v>
      </c>
      <c r="C199">
        <v>1</v>
      </c>
      <c r="D199">
        <v>1</v>
      </c>
      <c r="E199">
        <v>1</v>
      </c>
      <c r="F199">
        <v>1</v>
      </c>
      <c r="G199">
        <v>1</v>
      </c>
      <c r="J199">
        <f t="shared" si="7"/>
        <v>64</v>
      </c>
      <c r="K199">
        <v>1</v>
      </c>
      <c r="L199">
        <v>1</v>
      </c>
      <c r="M199">
        <v>1</v>
      </c>
      <c r="N199">
        <v>1</v>
      </c>
      <c r="O199">
        <v>1</v>
      </c>
      <c r="R199">
        <f t="shared" si="8"/>
        <v>64</v>
      </c>
      <c r="S199">
        <v>1</v>
      </c>
      <c r="T199">
        <v>1</v>
      </c>
      <c r="U199">
        <v>1</v>
      </c>
      <c r="V199">
        <v>1</v>
      </c>
      <c r="W199">
        <v>1</v>
      </c>
      <c r="AA199">
        <v>-7613.3999000000003</v>
      </c>
      <c r="AB199">
        <v>-7613.3999000000003</v>
      </c>
      <c r="AC199">
        <v>-7613.3999000000003</v>
      </c>
      <c r="AD199">
        <v>-7613.3999000000003</v>
      </c>
      <c r="AE199">
        <v>-7613.3999000000003</v>
      </c>
    </row>
    <row r="200" spans="2:32" x14ac:dyDescent="0.25">
      <c r="B200">
        <f t="shared" si="6"/>
        <v>65</v>
      </c>
      <c r="C200">
        <v>1</v>
      </c>
      <c r="D200">
        <v>1</v>
      </c>
      <c r="E200">
        <v>1</v>
      </c>
      <c r="F200">
        <v>1</v>
      </c>
      <c r="G200">
        <v>1</v>
      </c>
      <c r="J200">
        <f t="shared" si="7"/>
        <v>65</v>
      </c>
      <c r="K200">
        <v>1</v>
      </c>
      <c r="L200">
        <v>1</v>
      </c>
      <c r="M200">
        <v>1</v>
      </c>
      <c r="N200">
        <v>1</v>
      </c>
      <c r="O200">
        <v>1</v>
      </c>
      <c r="R200">
        <f t="shared" si="8"/>
        <v>65</v>
      </c>
      <c r="S200">
        <v>1</v>
      </c>
      <c r="T200">
        <v>1</v>
      </c>
      <c r="U200">
        <v>1</v>
      </c>
      <c r="V200">
        <v>1</v>
      </c>
      <c r="W200">
        <v>1</v>
      </c>
      <c r="AA200">
        <v>-7455.8590000000004</v>
      </c>
      <c r="AB200">
        <v>-7455.8590000000004</v>
      </c>
      <c r="AC200">
        <v>-7455.8590000000004</v>
      </c>
      <c r="AD200">
        <v>-7455.8590000000004</v>
      </c>
      <c r="AE200">
        <v>-7455.8590000000004</v>
      </c>
    </row>
    <row r="203" spans="2:32" x14ac:dyDescent="0.25">
      <c r="B203" t="s">
        <v>46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47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48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2:32" x14ac:dyDescent="0.25">
      <c r="B204">
        <v>26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J204">
        <v>26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R204">
        <v>26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AA204">
        <v>-7435.5060999999996</v>
      </c>
      <c r="AB204">
        <v>-7435.5060999999996</v>
      </c>
      <c r="AC204">
        <v>-7435.5060999999996</v>
      </c>
      <c r="AD204">
        <v>-7435.5060999999996</v>
      </c>
      <c r="AE204">
        <v>-7435.5060999999996</v>
      </c>
      <c r="AF204">
        <v>-7435.5060999999996</v>
      </c>
    </row>
    <row r="205" spans="2:32" x14ac:dyDescent="0.25">
      <c r="B205">
        <v>27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J205">
        <v>27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R205">
        <v>27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AA205">
        <v>-7434.2619000000004</v>
      </c>
      <c r="AB205">
        <v>-7434.2619000000004</v>
      </c>
      <c r="AC205">
        <v>-7434.2619000000004</v>
      </c>
      <c r="AD205">
        <v>-7434.2619000000004</v>
      </c>
      <c r="AE205">
        <v>-7434.2619000000004</v>
      </c>
      <c r="AF205">
        <v>-7434.2619000000004</v>
      </c>
    </row>
    <row r="206" spans="2:32" x14ac:dyDescent="0.25">
      <c r="B206">
        <v>28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J206">
        <v>28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R206">
        <v>28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AA206">
        <v>-7432.8334999999997</v>
      </c>
      <c r="AB206">
        <v>-7432.8334999999997</v>
      </c>
      <c r="AC206">
        <v>-7432.8334999999997</v>
      </c>
      <c r="AD206">
        <v>-7432.8334999999997</v>
      </c>
      <c r="AE206">
        <v>-7432.8334999999997</v>
      </c>
      <c r="AF206">
        <v>-7432.8334999999997</v>
      </c>
    </row>
    <row r="207" spans="2:32" x14ac:dyDescent="0.25">
      <c r="B207">
        <v>29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J207">
        <v>29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R207">
        <v>29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AA207">
        <v>-7431.2058999999999</v>
      </c>
      <c r="AB207">
        <v>-7431.2058999999999</v>
      </c>
      <c r="AC207">
        <v>-7431.2058999999999</v>
      </c>
      <c r="AD207">
        <v>-7431.2058999999999</v>
      </c>
      <c r="AE207">
        <v>-7431.2058999999999</v>
      </c>
      <c r="AF207">
        <v>-7431.2058999999999</v>
      </c>
    </row>
    <row r="208" spans="2:32" x14ac:dyDescent="0.25">
      <c r="B208">
        <v>30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J208">
        <v>30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R208">
        <v>30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AA208">
        <v>-7429.3476000000001</v>
      </c>
      <c r="AB208">
        <v>-7429.3476000000001</v>
      </c>
      <c r="AC208">
        <v>-7429.3476000000001</v>
      </c>
      <c r="AD208">
        <v>-7429.3476000000001</v>
      </c>
      <c r="AE208">
        <v>-7429.3476000000001</v>
      </c>
      <c r="AF208">
        <v>-7429.3476000000001</v>
      </c>
    </row>
    <row r="209" spans="2:32" x14ac:dyDescent="0.25">
      <c r="B209">
        <v>31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J209">
        <v>31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R209">
        <v>31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AA209">
        <v>-7427.2446</v>
      </c>
      <c r="AB209">
        <v>-7427.2446</v>
      </c>
      <c r="AC209">
        <v>-7427.2446</v>
      </c>
      <c r="AD209">
        <v>-7427.2446</v>
      </c>
      <c r="AE209">
        <v>-7427.2446</v>
      </c>
      <c r="AF209">
        <v>-7427.2446</v>
      </c>
    </row>
    <row r="210" spans="2:32" x14ac:dyDescent="0.25">
      <c r="B210">
        <v>32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J210">
        <v>32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R210">
        <v>32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AA210">
        <v>-7424.8944000000001</v>
      </c>
      <c r="AB210">
        <v>-7424.8944000000001</v>
      </c>
      <c r="AC210">
        <v>-7424.8944000000001</v>
      </c>
      <c r="AD210">
        <v>-7424.8944000000001</v>
      </c>
      <c r="AE210">
        <v>-7424.8944000000001</v>
      </c>
      <c r="AF210">
        <v>-7424.8944000000001</v>
      </c>
    </row>
    <row r="211" spans="2:32" x14ac:dyDescent="0.25">
      <c r="B211">
        <v>33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J211">
        <v>33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R211">
        <v>33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AA211">
        <v>-7422.2834000000003</v>
      </c>
      <c r="AB211">
        <v>-7422.2834000000003</v>
      </c>
      <c r="AC211">
        <v>-7422.2834000000003</v>
      </c>
      <c r="AD211">
        <v>-7422.2834000000003</v>
      </c>
      <c r="AE211">
        <v>-7422.2834000000003</v>
      </c>
      <c r="AF211">
        <v>-7422.2834000000003</v>
      </c>
    </row>
    <row r="212" spans="2:32" x14ac:dyDescent="0.25">
      <c r="B212">
        <v>34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J212">
        <v>34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R212">
        <v>34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AA212">
        <v>-7419.3683000000001</v>
      </c>
      <c r="AB212">
        <v>-7419.3683000000001</v>
      </c>
      <c r="AC212">
        <v>-7419.3683000000001</v>
      </c>
      <c r="AD212">
        <v>-7419.3683000000001</v>
      </c>
      <c r="AE212">
        <v>-7419.3683000000001</v>
      </c>
      <c r="AF212">
        <v>-7419.3683000000001</v>
      </c>
    </row>
    <row r="213" spans="2:32" x14ac:dyDescent="0.25">
      <c r="B213">
        <v>35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J213">
        <v>35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R213">
        <v>35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AA213">
        <v>-7416.1363000000001</v>
      </c>
      <c r="AB213">
        <v>-7416.1363000000001</v>
      </c>
      <c r="AC213">
        <v>-7416.1363000000001</v>
      </c>
      <c r="AD213">
        <v>-7416.1363000000001</v>
      </c>
      <c r="AE213">
        <v>-7416.1363000000001</v>
      </c>
      <c r="AF213">
        <v>-7416.1363000000001</v>
      </c>
    </row>
    <row r="214" spans="2:32" x14ac:dyDescent="0.25">
      <c r="B214">
        <v>36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J214">
        <v>36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R214">
        <v>36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AA214">
        <v>-7412.5378000000001</v>
      </c>
      <c r="AB214">
        <v>-7412.5378000000001</v>
      </c>
      <c r="AC214">
        <v>-7412.5378000000001</v>
      </c>
      <c r="AD214">
        <v>-7412.5378000000001</v>
      </c>
      <c r="AE214">
        <v>-7412.5378000000001</v>
      </c>
      <c r="AF214">
        <v>-7412.5378000000001</v>
      </c>
    </row>
    <row r="215" spans="2:32" x14ac:dyDescent="0.25">
      <c r="B215">
        <v>37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J215">
        <v>37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R215">
        <v>37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AA215">
        <v>-7408.55</v>
      </c>
      <c r="AB215">
        <v>-7408.55</v>
      </c>
      <c r="AC215">
        <v>-7408.55</v>
      </c>
      <c r="AD215">
        <v>-7408.55</v>
      </c>
      <c r="AE215">
        <v>-7408.55</v>
      </c>
      <c r="AF215">
        <v>-7408.55</v>
      </c>
    </row>
    <row r="216" spans="2:32" x14ac:dyDescent="0.25">
      <c r="B216">
        <v>38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J216">
        <v>38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R216">
        <v>38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AA216">
        <v>-7404.1752999999999</v>
      </c>
      <c r="AB216">
        <v>-7404.1752999999999</v>
      </c>
      <c r="AC216">
        <v>-7404.1752999999999</v>
      </c>
      <c r="AD216">
        <v>-7404.1752999999999</v>
      </c>
      <c r="AE216">
        <v>-7404.1752999999999</v>
      </c>
      <c r="AF216">
        <v>-7404.1752999999999</v>
      </c>
    </row>
    <row r="217" spans="2:32" x14ac:dyDescent="0.25">
      <c r="B217">
        <v>39</v>
      </c>
      <c r="C217">
        <v>1</v>
      </c>
      <c r="D217">
        <v>1</v>
      </c>
      <c r="E217">
        <v>1</v>
      </c>
      <c r="F217">
        <v>1</v>
      </c>
      <c r="G217">
        <v>1</v>
      </c>
      <c r="H217">
        <v>1</v>
      </c>
      <c r="J217">
        <v>39</v>
      </c>
      <c r="K217">
        <v>1</v>
      </c>
      <c r="L217">
        <v>1</v>
      </c>
      <c r="M217">
        <v>1</v>
      </c>
      <c r="N217">
        <v>1</v>
      </c>
      <c r="O217">
        <v>1</v>
      </c>
      <c r="P217">
        <v>1</v>
      </c>
      <c r="R217">
        <v>39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AA217">
        <v>-7399.3923999999997</v>
      </c>
      <c r="AB217">
        <v>-7399.3923999999997</v>
      </c>
      <c r="AC217">
        <v>-7399.3923999999997</v>
      </c>
      <c r="AD217">
        <v>-7399.3923999999997</v>
      </c>
      <c r="AE217">
        <v>-7399.3923999999997</v>
      </c>
      <c r="AF217">
        <v>-7399.3923999999997</v>
      </c>
    </row>
    <row r="218" spans="2:32" x14ac:dyDescent="0.25">
      <c r="B218">
        <v>40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1</v>
      </c>
      <c r="J218">
        <v>40</v>
      </c>
      <c r="K218">
        <v>1</v>
      </c>
      <c r="L218">
        <v>1</v>
      </c>
      <c r="M218">
        <v>1</v>
      </c>
      <c r="N218">
        <v>1</v>
      </c>
      <c r="O218">
        <v>1</v>
      </c>
      <c r="P218">
        <v>1</v>
      </c>
      <c r="R218">
        <v>40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AA218">
        <v>-7394.1365999999998</v>
      </c>
      <c r="AB218">
        <v>-7394.1365999999998</v>
      </c>
      <c r="AC218">
        <v>-7394.1365999999998</v>
      </c>
      <c r="AD218">
        <v>-7394.1365999999998</v>
      </c>
      <c r="AE218">
        <v>-7394.1365999999998</v>
      </c>
      <c r="AF218">
        <v>-7394.1365999999998</v>
      </c>
    </row>
    <row r="219" spans="2:32" x14ac:dyDescent="0.25">
      <c r="B219">
        <v>41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1</v>
      </c>
      <c r="J219">
        <v>41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R219">
        <v>41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AA219">
        <v>-7388.3469999999998</v>
      </c>
      <c r="AB219">
        <v>-7388.3469999999998</v>
      </c>
      <c r="AC219">
        <v>-7388.3469999999998</v>
      </c>
      <c r="AD219">
        <v>-7388.3469999999998</v>
      </c>
      <c r="AE219">
        <v>-7388.3469999999998</v>
      </c>
      <c r="AF219">
        <v>-7388.3469999999998</v>
      </c>
    </row>
    <row r="220" spans="2:32" x14ac:dyDescent="0.25">
      <c r="B220">
        <v>42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J220">
        <v>42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R220">
        <v>42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AA220">
        <v>-7381.9919</v>
      </c>
      <c r="AB220">
        <v>-7381.9919</v>
      </c>
      <c r="AC220">
        <v>-7381.9919</v>
      </c>
      <c r="AD220">
        <v>-7381.9919</v>
      </c>
      <c r="AE220">
        <v>-7381.9919</v>
      </c>
      <c r="AF220">
        <v>-7381.9919</v>
      </c>
    </row>
    <row r="221" spans="2:32" x14ac:dyDescent="0.25">
      <c r="B221">
        <v>43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J221">
        <v>43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R221">
        <v>43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AA221">
        <v>-7374.9579999999996</v>
      </c>
      <c r="AB221">
        <v>-7374.9579999999996</v>
      </c>
      <c r="AC221">
        <v>-7374.9579999999996</v>
      </c>
      <c r="AD221">
        <v>-7374.9579999999996</v>
      </c>
      <c r="AE221">
        <v>-7374.9579999999996</v>
      </c>
      <c r="AF221">
        <v>-7374.9579999999996</v>
      </c>
    </row>
    <row r="222" spans="2:32" x14ac:dyDescent="0.25">
      <c r="B222">
        <v>44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J222">
        <v>44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R222">
        <v>44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AA222">
        <v>-7367.2034999999996</v>
      </c>
      <c r="AB222">
        <v>-7367.2034999999996</v>
      </c>
      <c r="AC222">
        <v>-7367.2034999999996</v>
      </c>
      <c r="AD222">
        <v>-7367.2034999999996</v>
      </c>
      <c r="AE222">
        <v>-7367.2034999999996</v>
      </c>
      <c r="AF222">
        <v>-7367.2034999999996</v>
      </c>
    </row>
    <row r="223" spans="2:32" x14ac:dyDescent="0.25">
      <c r="B223">
        <v>45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J223">
        <v>45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R223">
        <v>45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AA223">
        <v>-7358.6491999999998</v>
      </c>
      <c r="AB223">
        <v>-7358.6491999999998</v>
      </c>
      <c r="AC223">
        <v>-7358.6491999999998</v>
      </c>
      <c r="AD223">
        <v>-7358.6491999999998</v>
      </c>
      <c r="AE223">
        <v>-7358.6491999999998</v>
      </c>
      <c r="AF223">
        <v>-7358.6491999999998</v>
      </c>
    </row>
    <row r="224" spans="2:32" x14ac:dyDescent="0.25">
      <c r="B224">
        <v>46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1</v>
      </c>
      <c r="J224">
        <v>46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R224">
        <v>46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AA224">
        <v>-7349.2232000000004</v>
      </c>
      <c r="AB224">
        <v>-7349.2232000000004</v>
      </c>
      <c r="AC224">
        <v>-7349.2232000000004</v>
      </c>
      <c r="AD224">
        <v>-7349.2232000000004</v>
      </c>
      <c r="AE224">
        <v>-7349.2232000000004</v>
      </c>
      <c r="AF224">
        <v>-7349.2232000000004</v>
      </c>
    </row>
    <row r="225" spans="2:32" x14ac:dyDescent="0.25">
      <c r="B225">
        <v>47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1</v>
      </c>
      <c r="J225">
        <v>47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R225">
        <v>47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AA225">
        <v>-7338.8310000000001</v>
      </c>
      <c r="AB225">
        <v>-7338.8310000000001</v>
      </c>
      <c r="AC225">
        <v>-7338.8310000000001</v>
      </c>
      <c r="AD225">
        <v>-7338.8310000000001</v>
      </c>
      <c r="AE225">
        <v>-7338.8310000000001</v>
      </c>
      <c r="AF225">
        <v>-7338.8310000000001</v>
      </c>
    </row>
    <row r="226" spans="2:32" x14ac:dyDescent="0.25">
      <c r="B226">
        <v>48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J226">
        <v>48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R226">
        <v>48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AA226">
        <v>-7327.4297999999999</v>
      </c>
      <c r="AB226">
        <v>-7327.4297999999999</v>
      </c>
      <c r="AC226">
        <v>-7327.4297999999999</v>
      </c>
      <c r="AD226">
        <v>-7327.4297999999999</v>
      </c>
      <c r="AE226">
        <v>-7327.4297999999999</v>
      </c>
      <c r="AF226">
        <v>-7327.4297999999999</v>
      </c>
    </row>
    <row r="227" spans="2:32" x14ac:dyDescent="0.25">
      <c r="B227">
        <v>49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J227">
        <v>49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R227">
        <v>49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AA227">
        <v>-7314.951</v>
      </c>
      <c r="AB227">
        <v>-7314.951</v>
      </c>
      <c r="AC227">
        <v>-7314.951</v>
      </c>
      <c r="AD227">
        <v>-7314.951</v>
      </c>
      <c r="AE227">
        <v>-7314.951</v>
      </c>
      <c r="AF227">
        <v>-7314.951</v>
      </c>
    </row>
    <row r="228" spans="2:32" x14ac:dyDescent="0.25">
      <c r="B228">
        <v>50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1</v>
      </c>
      <c r="J228">
        <v>50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R228">
        <v>50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AA228">
        <v>-7301.2851000000001</v>
      </c>
      <c r="AB228">
        <v>-7301.2851000000001</v>
      </c>
      <c r="AC228">
        <v>-7301.2851000000001</v>
      </c>
      <c r="AD228">
        <v>-7301.2851000000001</v>
      </c>
      <c r="AE228">
        <v>-7301.2851000000001</v>
      </c>
      <c r="AF228">
        <v>-7301.2851000000001</v>
      </c>
    </row>
    <row r="229" spans="2:32" x14ac:dyDescent="0.25">
      <c r="B229">
        <v>51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J229">
        <v>51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R229">
        <v>51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AA229">
        <v>-7286.3271000000004</v>
      </c>
      <c r="AB229">
        <v>-7286.3271000000004</v>
      </c>
      <c r="AC229">
        <v>-7286.3271000000004</v>
      </c>
      <c r="AD229">
        <v>-7286.3271000000004</v>
      </c>
      <c r="AE229">
        <v>-7286.3271000000004</v>
      </c>
      <c r="AF229">
        <v>-7286.3271000000004</v>
      </c>
    </row>
    <row r="230" spans="2:32" x14ac:dyDescent="0.25">
      <c r="B230">
        <v>52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1</v>
      </c>
      <c r="J230">
        <v>52</v>
      </c>
      <c r="K230">
        <v>1</v>
      </c>
      <c r="L230">
        <v>1</v>
      </c>
      <c r="M230">
        <v>1</v>
      </c>
      <c r="N230">
        <v>1</v>
      </c>
      <c r="O230">
        <v>1</v>
      </c>
      <c r="P230">
        <v>1</v>
      </c>
      <c r="R230">
        <v>52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AA230">
        <v>-7269.9448000000002</v>
      </c>
      <c r="AB230">
        <v>-7269.9448000000002</v>
      </c>
      <c r="AC230">
        <v>-7269.9448000000002</v>
      </c>
      <c r="AD230">
        <v>-7269.9448000000002</v>
      </c>
      <c r="AE230">
        <v>-7269.9448000000002</v>
      </c>
      <c r="AF230">
        <v>-7269.9448000000002</v>
      </c>
    </row>
    <row r="231" spans="2:32" x14ac:dyDescent="0.25">
      <c r="B231">
        <v>53</v>
      </c>
      <c r="C231">
        <v>1</v>
      </c>
      <c r="D231">
        <v>1</v>
      </c>
      <c r="E231">
        <v>1</v>
      </c>
      <c r="F231">
        <v>1</v>
      </c>
      <c r="G231">
        <v>1</v>
      </c>
      <c r="H231">
        <v>1</v>
      </c>
      <c r="J231">
        <v>53</v>
      </c>
      <c r="K231">
        <v>1</v>
      </c>
      <c r="L231">
        <v>1</v>
      </c>
      <c r="M231">
        <v>1</v>
      </c>
      <c r="N231">
        <v>1</v>
      </c>
      <c r="O231">
        <v>1</v>
      </c>
      <c r="P231">
        <v>1</v>
      </c>
      <c r="R231">
        <v>53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AA231">
        <v>-7252.0574999999999</v>
      </c>
      <c r="AB231">
        <v>-7252.0574999999999</v>
      </c>
      <c r="AC231">
        <v>-7252.0574999999999</v>
      </c>
      <c r="AD231">
        <v>-7252.0574999999999</v>
      </c>
      <c r="AE231">
        <v>-7252.0574999999999</v>
      </c>
      <c r="AF231">
        <v>-7252.0574999999999</v>
      </c>
    </row>
    <row r="232" spans="2:32" x14ac:dyDescent="0.25">
      <c r="B232">
        <v>54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J232">
        <v>54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R232">
        <v>54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AA232">
        <v>-7232.5680000000002</v>
      </c>
      <c r="AB232">
        <v>-7232.5680000000002</v>
      </c>
      <c r="AC232">
        <v>-7232.5680000000002</v>
      </c>
      <c r="AD232">
        <v>-7232.5680000000002</v>
      </c>
      <c r="AE232">
        <v>-7232.5680000000002</v>
      </c>
      <c r="AF232">
        <v>-7232.5680000000002</v>
      </c>
    </row>
    <row r="233" spans="2:32" x14ac:dyDescent="0.25">
      <c r="B233">
        <v>55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J233">
        <v>55</v>
      </c>
      <c r="K233">
        <v>1</v>
      </c>
      <c r="L233">
        <v>1</v>
      </c>
      <c r="M233">
        <v>1</v>
      </c>
      <c r="N233">
        <v>1</v>
      </c>
      <c r="O233">
        <v>1</v>
      </c>
      <c r="P233">
        <v>1</v>
      </c>
      <c r="R233">
        <v>55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AA233">
        <v>-7211.3207000000002</v>
      </c>
      <c r="AB233">
        <v>-7211.3207000000002</v>
      </c>
      <c r="AC233">
        <v>-7211.3207000000002</v>
      </c>
      <c r="AD233">
        <v>-7211.3207000000002</v>
      </c>
      <c r="AE233">
        <v>-7211.3207000000002</v>
      </c>
      <c r="AF233">
        <v>-7211.3207000000002</v>
      </c>
    </row>
    <row r="236" spans="2:32" x14ac:dyDescent="0.25">
      <c r="B236" t="s">
        <v>46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32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48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2:32" x14ac:dyDescent="0.25">
      <c r="B237">
        <v>35</v>
      </c>
      <c r="C237">
        <v>1</v>
      </c>
      <c r="D237">
        <v>1</v>
      </c>
      <c r="E237">
        <v>1</v>
      </c>
      <c r="F237">
        <v>1</v>
      </c>
      <c r="G237">
        <v>1</v>
      </c>
      <c r="J237">
        <v>35</v>
      </c>
      <c r="K237">
        <v>1</v>
      </c>
      <c r="L237">
        <v>1</v>
      </c>
      <c r="M237">
        <v>1</v>
      </c>
      <c r="N237">
        <v>1</v>
      </c>
      <c r="O237">
        <v>1</v>
      </c>
      <c r="R237">
        <v>35</v>
      </c>
      <c r="S237">
        <v>1</v>
      </c>
      <c r="T237">
        <v>1</v>
      </c>
      <c r="U237">
        <v>1</v>
      </c>
      <c r="V237">
        <v>1</v>
      </c>
      <c r="W237">
        <v>1</v>
      </c>
      <c r="AA237">
        <v>-11308.6893</v>
      </c>
      <c r="AB237">
        <v>-11308.6893</v>
      </c>
      <c r="AC237">
        <v>-11308.6893</v>
      </c>
      <c r="AD237">
        <v>-11308.6893</v>
      </c>
      <c r="AE237">
        <v>-11308.6893</v>
      </c>
    </row>
    <row r="238" spans="2:32" x14ac:dyDescent="0.25">
      <c r="B238">
        <f t="shared" ref="B238:B267" si="9">B237+1</f>
        <v>36</v>
      </c>
      <c r="C238">
        <v>1</v>
      </c>
      <c r="D238">
        <v>1</v>
      </c>
      <c r="E238">
        <v>1</v>
      </c>
      <c r="F238">
        <v>1</v>
      </c>
      <c r="G238">
        <v>1</v>
      </c>
      <c r="J238">
        <f t="shared" ref="J238:J267" si="10">J237+1</f>
        <v>36</v>
      </c>
      <c r="K238">
        <v>1</v>
      </c>
      <c r="L238">
        <v>1</v>
      </c>
      <c r="M238">
        <v>1</v>
      </c>
      <c r="N238">
        <v>1</v>
      </c>
      <c r="O238">
        <v>1</v>
      </c>
      <c r="R238">
        <f t="shared" ref="R238:R267" si="11">R237+1</f>
        <v>36</v>
      </c>
      <c r="S238">
        <v>1</v>
      </c>
      <c r="T238">
        <v>1</v>
      </c>
      <c r="U238">
        <v>1</v>
      </c>
      <c r="V238">
        <v>1</v>
      </c>
      <c r="W238">
        <v>1</v>
      </c>
      <c r="AA238">
        <v>-11214.2592</v>
      </c>
      <c r="AB238">
        <v>-11214.2592</v>
      </c>
      <c r="AC238">
        <v>-11214.2592</v>
      </c>
      <c r="AD238">
        <v>-11214.2592</v>
      </c>
      <c r="AE238">
        <v>-11214.2592</v>
      </c>
    </row>
    <row r="239" spans="2:32" x14ac:dyDescent="0.25">
      <c r="B239">
        <f t="shared" si="9"/>
        <v>37</v>
      </c>
      <c r="C239">
        <v>1</v>
      </c>
      <c r="D239">
        <v>1</v>
      </c>
      <c r="E239">
        <v>1</v>
      </c>
      <c r="F239">
        <v>1</v>
      </c>
      <c r="G239">
        <v>1</v>
      </c>
      <c r="J239">
        <f t="shared" si="10"/>
        <v>37</v>
      </c>
      <c r="K239">
        <v>1</v>
      </c>
      <c r="L239">
        <v>1</v>
      </c>
      <c r="M239">
        <v>1</v>
      </c>
      <c r="N239">
        <v>1</v>
      </c>
      <c r="O239">
        <v>1</v>
      </c>
      <c r="R239">
        <f t="shared" si="11"/>
        <v>37</v>
      </c>
      <c r="S239">
        <v>1</v>
      </c>
      <c r="T239">
        <v>1</v>
      </c>
      <c r="U239">
        <v>1</v>
      </c>
      <c r="V239">
        <v>1</v>
      </c>
      <c r="W239">
        <v>1</v>
      </c>
      <c r="AA239">
        <v>-11117.406199999999</v>
      </c>
      <c r="AB239">
        <v>-11117.406199999999</v>
      </c>
      <c r="AC239">
        <v>-11117.406199999999</v>
      </c>
      <c r="AD239">
        <v>-11117.406199999999</v>
      </c>
      <c r="AE239">
        <v>-11117.406199999999</v>
      </c>
    </row>
    <row r="240" spans="2:32" x14ac:dyDescent="0.25">
      <c r="B240">
        <f t="shared" si="9"/>
        <v>38</v>
      </c>
      <c r="C240">
        <v>1</v>
      </c>
      <c r="D240">
        <v>1</v>
      </c>
      <c r="E240">
        <v>1</v>
      </c>
      <c r="F240">
        <v>1</v>
      </c>
      <c r="G240">
        <v>1</v>
      </c>
      <c r="J240">
        <f t="shared" si="10"/>
        <v>38</v>
      </c>
      <c r="K240">
        <v>1</v>
      </c>
      <c r="L240">
        <v>1</v>
      </c>
      <c r="M240">
        <v>1</v>
      </c>
      <c r="N240">
        <v>1</v>
      </c>
      <c r="O240">
        <v>1</v>
      </c>
      <c r="R240">
        <f t="shared" si="11"/>
        <v>38</v>
      </c>
      <c r="S240">
        <v>1</v>
      </c>
      <c r="T240">
        <v>1</v>
      </c>
      <c r="U240">
        <v>1</v>
      </c>
      <c r="V240">
        <v>1</v>
      </c>
      <c r="W240">
        <v>1</v>
      </c>
      <c r="AA240">
        <v>-11018.229799999999</v>
      </c>
      <c r="AB240">
        <v>-11018.229799999999</v>
      </c>
      <c r="AC240">
        <v>-11018.229799999999</v>
      </c>
      <c r="AD240">
        <v>-11018.229799999999</v>
      </c>
      <c r="AE240">
        <v>-11018.229799999999</v>
      </c>
    </row>
    <row r="241" spans="2:31" x14ac:dyDescent="0.25">
      <c r="B241">
        <f t="shared" si="9"/>
        <v>39</v>
      </c>
      <c r="C241">
        <v>1</v>
      </c>
      <c r="D241">
        <v>1</v>
      </c>
      <c r="E241">
        <v>1</v>
      </c>
      <c r="F241">
        <v>1</v>
      </c>
      <c r="G241">
        <v>1</v>
      </c>
      <c r="J241">
        <f t="shared" si="10"/>
        <v>39</v>
      </c>
      <c r="K241">
        <v>1</v>
      </c>
      <c r="L241">
        <v>1</v>
      </c>
      <c r="M241">
        <v>1</v>
      </c>
      <c r="N241">
        <v>1</v>
      </c>
      <c r="O241">
        <v>1</v>
      </c>
      <c r="R241">
        <f t="shared" si="11"/>
        <v>39</v>
      </c>
      <c r="S241">
        <v>1</v>
      </c>
      <c r="T241">
        <v>1</v>
      </c>
      <c r="U241">
        <v>1</v>
      </c>
      <c r="V241">
        <v>1</v>
      </c>
      <c r="W241">
        <v>1</v>
      </c>
      <c r="AA241">
        <v>-10916.737999999999</v>
      </c>
      <c r="AB241">
        <v>-10916.737999999999</v>
      </c>
      <c r="AC241">
        <v>-10916.737999999999</v>
      </c>
      <c r="AD241">
        <v>-10916.737999999999</v>
      </c>
      <c r="AE241">
        <v>-10916.737999999999</v>
      </c>
    </row>
    <row r="242" spans="2:31" x14ac:dyDescent="0.25">
      <c r="B242">
        <f t="shared" si="9"/>
        <v>40</v>
      </c>
      <c r="C242">
        <v>1</v>
      </c>
      <c r="D242">
        <v>1</v>
      </c>
      <c r="E242">
        <v>1</v>
      </c>
      <c r="F242">
        <v>1</v>
      </c>
      <c r="G242">
        <v>1</v>
      </c>
      <c r="J242">
        <f t="shared" si="10"/>
        <v>40</v>
      </c>
      <c r="K242">
        <v>1</v>
      </c>
      <c r="L242">
        <v>1</v>
      </c>
      <c r="M242">
        <v>1</v>
      </c>
      <c r="N242">
        <v>1</v>
      </c>
      <c r="O242">
        <v>1</v>
      </c>
      <c r="R242">
        <f t="shared" si="11"/>
        <v>40</v>
      </c>
      <c r="S242">
        <v>1</v>
      </c>
      <c r="T242">
        <v>1</v>
      </c>
      <c r="U242">
        <v>1</v>
      </c>
      <c r="V242">
        <v>1</v>
      </c>
      <c r="W242">
        <v>1</v>
      </c>
      <c r="AA242">
        <v>-10812.8714</v>
      </c>
      <c r="AB242">
        <v>-10812.8714</v>
      </c>
      <c r="AC242">
        <v>-10812.8714</v>
      </c>
      <c r="AD242">
        <v>-10812.8714</v>
      </c>
      <c r="AE242">
        <v>-10812.8714</v>
      </c>
    </row>
    <row r="243" spans="2:31" x14ac:dyDescent="0.25">
      <c r="B243">
        <f t="shared" si="9"/>
        <v>41</v>
      </c>
      <c r="C243">
        <v>1</v>
      </c>
      <c r="D243">
        <v>1</v>
      </c>
      <c r="E243">
        <v>1</v>
      </c>
      <c r="F243">
        <v>1</v>
      </c>
      <c r="G243">
        <v>1</v>
      </c>
      <c r="J243">
        <f t="shared" si="10"/>
        <v>41</v>
      </c>
      <c r="K243">
        <v>1</v>
      </c>
      <c r="L243">
        <v>1</v>
      </c>
      <c r="M243">
        <v>1</v>
      </c>
      <c r="N243">
        <v>1</v>
      </c>
      <c r="O243">
        <v>1</v>
      </c>
      <c r="R243">
        <f t="shared" si="11"/>
        <v>41</v>
      </c>
      <c r="S243">
        <v>1</v>
      </c>
      <c r="T243">
        <v>1</v>
      </c>
      <c r="U243">
        <v>1</v>
      </c>
      <c r="V243">
        <v>1</v>
      </c>
      <c r="W243">
        <v>1</v>
      </c>
      <c r="AA243">
        <v>-10706.559600000001</v>
      </c>
      <c r="AB243">
        <v>-10706.559600000001</v>
      </c>
      <c r="AC243">
        <v>-10706.559600000001</v>
      </c>
      <c r="AD243">
        <v>-10706.559600000001</v>
      </c>
      <c r="AE243">
        <v>-10706.559600000001</v>
      </c>
    </row>
    <row r="244" spans="2:31" x14ac:dyDescent="0.25">
      <c r="B244">
        <f t="shared" si="9"/>
        <v>42</v>
      </c>
      <c r="C244">
        <v>1</v>
      </c>
      <c r="D244">
        <v>1</v>
      </c>
      <c r="E244">
        <v>1</v>
      </c>
      <c r="F244">
        <v>1</v>
      </c>
      <c r="G244">
        <v>1</v>
      </c>
      <c r="J244">
        <f t="shared" si="10"/>
        <v>42</v>
      </c>
      <c r="K244">
        <v>1</v>
      </c>
      <c r="L244">
        <v>1</v>
      </c>
      <c r="M244">
        <v>1</v>
      </c>
      <c r="N244">
        <v>1</v>
      </c>
      <c r="O244">
        <v>1</v>
      </c>
      <c r="R244">
        <f t="shared" si="11"/>
        <v>42</v>
      </c>
      <c r="S244">
        <v>1</v>
      </c>
      <c r="T244">
        <v>1</v>
      </c>
      <c r="U244">
        <v>1</v>
      </c>
      <c r="V244">
        <v>1</v>
      </c>
      <c r="W244">
        <v>1</v>
      </c>
      <c r="AA244">
        <v>-10597.8485</v>
      </c>
      <c r="AB244">
        <v>-10597.8485</v>
      </c>
      <c r="AC244">
        <v>-10597.8485</v>
      </c>
      <c r="AD244">
        <v>-10597.8485</v>
      </c>
      <c r="AE244">
        <v>-10597.8485</v>
      </c>
    </row>
    <row r="245" spans="2:31" x14ac:dyDescent="0.25">
      <c r="B245">
        <f t="shared" si="9"/>
        <v>43</v>
      </c>
      <c r="C245">
        <v>1</v>
      </c>
      <c r="D245">
        <v>1</v>
      </c>
      <c r="E245">
        <v>1</v>
      </c>
      <c r="F245">
        <v>1</v>
      </c>
      <c r="G245">
        <v>1</v>
      </c>
      <c r="J245">
        <f t="shared" si="10"/>
        <v>43</v>
      </c>
      <c r="K245">
        <v>1</v>
      </c>
      <c r="L245">
        <v>1</v>
      </c>
      <c r="M245">
        <v>1</v>
      </c>
      <c r="N245">
        <v>1</v>
      </c>
      <c r="O245">
        <v>1</v>
      </c>
      <c r="R245">
        <f t="shared" si="11"/>
        <v>43</v>
      </c>
      <c r="S245">
        <v>1</v>
      </c>
      <c r="T245">
        <v>1</v>
      </c>
      <c r="U245">
        <v>1</v>
      </c>
      <c r="V245">
        <v>1</v>
      </c>
      <c r="W245">
        <v>1</v>
      </c>
      <c r="AA245">
        <v>-10486.615400000001</v>
      </c>
      <c r="AB245">
        <v>-10486.615400000001</v>
      </c>
      <c r="AC245">
        <v>-10486.615400000001</v>
      </c>
      <c r="AD245">
        <v>-10486.615400000001</v>
      </c>
      <c r="AE245">
        <v>-10486.615400000001</v>
      </c>
    </row>
    <row r="246" spans="2:31" x14ac:dyDescent="0.25">
      <c r="B246">
        <f t="shared" si="9"/>
        <v>44</v>
      </c>
      <c r="C246">
        <v>1</v>
      </c>
      <c r="D246">
        <v>1</v>
      </c>
      <c r="E246">
        <v>1</v>
      </c>
      <c r="F246">
        <v>1</v>
      </c>
      <c r="G246">
        <v>1</v>
      </c>
      <c r="J246">
        <f t="shared" si="10"/>
        <v>44</v>
      </c>
      <c r="K246">
        <v>1</v>
      </c>
      <c r="L246">
        <v>1</v>
      </c>
      <c r="M246">
        <v>1</v>
      </c>
      <c r="N246">
        <v>1</v>
      </c>
      <c r="O246">
        <v>1</v>
      </c>
      <c r="R246">
        <f t="shared" si="11"/>
        <v>44</v>
      </c>
      <c r="S246">
        <v>1</v>
      </c>
      <c r="T246">
        <v>1</v>
      </c>
      <c r="U246">
        <v>1</v>
      </c>
      <c r="V246">
        <v>1</v>
      </c>
      <c r="W246">
        <v>1</v>
      </c>
      <c r="AA246">
        <v>-10372.9005</v>
      </c>
      <c r="AB246">
        <v>-10372.9005</v>
      </c>
      <c r="AC246">
        <v>-10372.9005</v>
      </c>
      <c r="AD246">
        <v>-10372.9005</v>
      </c>
      <c r="AE246">
        <v>-10372.9005</v>
      </c>
    </row>
    <row r="247" spans="2:31" x14ac:dyDescent="0.25">
      <c r="B247">
        <f t="shared" si="9"/>
        <v>45</v>
      </c>
      <c r="C247">
        <v>1</v>
      </c>
      <c r="D247">
        <v>1</v>
      </c>
      <c r="E247">
        <v>1</v>
      </c>
      <c r="F247">
        <v>1</v>
      </c>
      <c r="G247">
        <v>1</v>
      </c>
      <c r="J247">
        <f t="shared" si="10"/>
        <v>45</v>
      </c>
      <c r="K247">
        <v>1</v>
      </c>
      <c r="L247">
        <v>1</v>
      </c>
      <c r="M247">
        <v>1</v>
      </c>
      <c r="N247">
        <v>1</v>
      </c>
      <c r="O247">
        <v>1</v>
      </c>
      <c r="R247">
        <f t="shared" si="11"/>
        <v>45</v>
      </c>
      <c r="S247">
        <v>1</v>
      </c>
      <c r="T247">
        <v>1</v>
      </c>
      <c r="U247">
        <v>1</v>
      </c>
      <c r="V247">
        <v>1</v>
      </c>
      <c r="W247">
        <v>1</v>
      </c>
      <c r="AA247">
        <v>-10256.650600000001</v>
      </c>
      <c r="AB247">
        <v>-10256.650600000001</v>
      </c>
      <c r="AC247">
        <v>-10256.650600000001</v>
      </c>
      <c r="AD247">
        <v>-10256.650600000001</v>
      </c>
      <c r="AE247">
        <v>-10256.650600000001</v>
      </c>
    </row>
    <row r="248" spans="2:31" x14ac:dyDescent="0.25">
      <c r="B248">
        <f t="shared" si="9"/>
        <v>46</v>
      </c>
      <c r="C248">
        <v>1</v>
      </c>
      <c r="D248">
        <v>1</v>
      </c>
      <c r="E248">
        <v>1</v>
      </c>
      <c r="F248">
        <v>1</v>
      </c>
      <c r="G248">
        <v>1</v>
      </c>
      <c r="J248">
        <f t="shared" si="10"/>
        <v>46</v>
      </c>
      <c r="K248">
        <v>1</v>
      </c>
      <c r="L248">
        <v>1</v>
      </c>
      <c r="M248">
        <v>1</v>
      </c>
      <c r="N248">
        <v>1</v>
      </c>
      <c r="O248">
        <v>1</v>
      </c>
      <c r="R248">
        <f t="shared" si="11"/>
        <v>46</v>
      </c>
      <c r="S248">
        <v>1</v>
      </c>
      <c r="T248">
        <v>1</v>
      </c>
      <c r="U248">
        <v>1</v>
      </c>
      <c r="V248">
        <v>1</v>
      </c>
      <c r="W248">
        <v>1</v>
      </c>
      <c r="AA248">
        <v>-10137.871499999999</v>
      </c>
      <c r="AB248">
        <v>-10137.871499999999</v>
      </c>
      <c r="AC248">
        <v>-10137.871499999999</v>
      </c>
      <c r="AD248">
        <v>-10137.871499999999</v>
      </c>
      <c r="AE248">
        <v>-10137.871499999999</v>
      </c>
    </row>
    <row r="249" spans="2:31" x14ac:dyDescent="0.25">
      <c r="B249">
        <f t="shared" si="9"/>
        <v>47</v>
      </c>
      <c r="C249">
        <v>1</v>
      </c>
      <c r="D249">
        <v>1</v>
      </c>
      <c r="E249">
        <v>1</v>
      </c>
      <c r="F249">
        <v>1</v>
      </c>
      <c r="G249">
        <v>1</v>
      </c>
      <c r="J249">
        <f t="shared" si="10"/>
        <v>47</v>
      </c>
      <c r="K249">
        <v>1</v>
      </c>
      <c r="L249">
        <v>1</v>
      </c>
      <c r="M249">
        <v>1</v>
      </c>
      <c r="N249">
        <v>1</v>
      </c>
      <c r="O249">
        <v>1</v>
      </c>
      <c r="R249">
        <f t="shared" si="11"/>
        <v>47</v>
      </c>
      <c r="S249">
        <v>1</v>
      </c>
      <c r="T249">
        <v>1</v>
      </c>
      <c r="U249">
        <v>1</v>
      </c>
      <c r="V249">
        <v>1</v>
      </c>
      <c r="W249">
        <v>1</v>
      </c>
      <c r="AA249">
        <v>-10016.4967</v>
      </c>
      <c r="AB249">
        <v>-10016.4967</v>
      </c>
      <c r="AC249">
        <v>-10016.4967</v>
      </c>
      <c r="AD249">
        <v>-10016.4967</v>
      </c>
      <c r="AE249">
        <v>-10016.4967</v>
      </c>
    </row>
    <row r="250" spans="2:31" x14ac:dyDescent="0.25">
      <c r="B250">
        <f t="shared" si="9"/>
        <v>48</v>
      </c>
      <c r="C250">
        <v>1</v>
      </c>
      <c r="D250">
        <v>1</v>
      </c>
      <c r="E250">
        <v>1</v>
      </c>
      <c r="F250">
        <v>1</v>
      </c>
      <c r="G250">
        <v>1</v>
      </c>
      <c r="J250">
        <f t="shared" si="10"/>
        <v>48</v>
      </c>
      <c r="K250">
        <v>1</v>
      </c>
      <c r="L250">
        <v>1</v>
      </c>
      <c r="M250">
        <v>1</v>
      </c>
      <c r="N250">
        <v>1</v>
      </c>
      <c r="O250">
        <v>1</v>
      </c>
      <c r="R250">
        <f t="shared" si="11"/>
        <v>48</v>
      </c>
      <c r="S250">
        <v>1</v>
      </c>
      <c r="T250">
        <v>1</v>
      </c>
      <c r="U250">
        <v>1</v>
      </c>
      <c r="V250">
        <v>1</v>
      </c>
      <c r="W250">
        <v>1</v>
      </c>
      <c r="AA250">
        <v>-9892.6355000000003</v>
      </c>
      <c r="AB250">
        <v>-9892.6355000000003</v>
      </c>
      <c r="AC250">
        <v>-9892.6355000000003</v>
      </c>
      <c r="AD250">
        <v>-9892.6355000000003</v>
      </c>
      <c r="AE250">
        <v>-9892.6355000000003</v>
      </c>
    </row>
    <row r="251" spans="2:31" x14ac:dyDescent="0.25">
      <c r="B251">
        <f t="shared" si="9"/>
        <v>49</v>
      </c>
      <c r="C251">
        <v>1</v>
      </c>
      <c r="D251">
        <v>1</v>
      </c>
      <c r="E251">
        <v>1</v>
      </c>
      <c r="F251">
        <v>1</v>
      </c>
      <c r="G251">
        <v>1</v>
      </c>
      <c r="J251">
        <f t="shared" si="10"/>
        <v>49</v>
      </c>
      <c r="K251">
        <v>1</v>
      </c>
      <c r="L251">
        <v>1</v>
      </c>
      <c r="M251">
        <v>1</v>
      </c>
      <c r="N251">
        <v>1</v>
      </c>
      <c r="O251">
        <v>1</v>
      </c>
      <c r="R251">
        <f t="shared" si="11"/>
        <v>49</v>
      </c>
      <c r="S251">
        <v>1</v>
      </c>
      <c r="T251">
        <v>1</v>
      </c>
      <c r="U251">
        <v>1</v>
      </c>
      <c r="V251">
        <v>1</v>
      </c>
      <c r="W251">
        <v>1</v>
      </c>
      <c r="AA251">
        <v>-9766.3366999999998</v>
      </c>
      <c r="AB251">
        <v>-9766.3366999999998</v>
      </c>
      <c r="AC251">
        <v>-9766.3366999999998</v>
      </c>
      <c r="AD251">
        <v>-9766.3366999999998</v>
      </c>
      <c r="AE251">
        <v>-9766.3366999999998</v>
      </c>
    </row>
    <row r="252" spans="2:31" x14ac:dyDescent="0.25">
      <c r="B252">
        <f t="shared" si="9"/>
        <v>50</v>
      </c>
      <c r="C252">
        <v>1</v>
      </c>
      <c r="D252">
        <v>1</v>
      </c>
      <c r="E252">
        <v>1</v>
      </c>
      <c r="F252">
        <v>1</v>
      </c>
      <c r="G252">
        <v>1</v>
      </c>
      <c r="J252">
        <f t="shared" si="10"/>
        <v>50</v>
      </c>
      <c r="K252">
        <v>1</v>
      </c>
      <c r="L252">
        <v>1</v>
      </c>
      <c r="M252">
        <v>1</v>
      </c>
      <c r="N252">
        <v>1</v>
      </c>
      <c r="O252">
        <v>1</v>
      </c>
      <c r="R252">
        <f t="shared" si="11"/>
        <v>50</v>
      </c>
      <c r="S252">
        <v>1</v>
      </c>
      <c r="T252">
        <v>1</v>
      </c>
      <c r="U252">
        <v>1</v>
      </c>
      <c r="V252">
        <v>1</v>
      </c>
      <c r="W252">
        <v>1</v>
      </c>
      <c r="AA252">
        <v>-9637.5864000000001</v>
      </c>
      <c r="AB252">
        <v>-9637.5864000000001</v>
      </c>
      <c r="AC252">
        <v>-9637.5864000000001</v>
      </c>
      <c r="AD252">
        <v>-9637.5864000000001</v>
      </c>
      <c r="AE252">
        <v>-9637.5864000000001</v>
      </c>
    </row>
    <row r="253" spans="2:31" x14ac:dyDescent="0.25">
      <c r="B253">
        <f t="shared" si="9"/>
        <v>51</v>
      </c>
      <c r="C253">
        <v>1</v>
      </c>
      <c r="D253">
        <v>1</v>
      </c>
      <c r="E253">
        <v>1</v>
      </c>
      <c r="F253">
        <v>1</v>
      </c>
      <c r="G253">
        <v>1</v>
      </c>
      <c r="J253">
        <f t="shared" si="10"/>
        <v>51</v>
      </c>
      <c r="K253">
        <v>1</v>
      </c>
      <c r="L253">
        <v>1</v>
      </c>
      <c r="M253">
        <v>1</v>
      </c>
      <c r="N253">
        <v>1</v>
      </c>
      <c r="O253">
        <v>1</v>
      </c>
      <c r="R253">
        <f t="shared" si="11"/>
        <v>51</v>
      </c>
      <c r="S253">
        <v>1</v>
      </c>
      <c r="T253">
        <v>1</v>
      </c>
      <c r="U253">
        <v>1</v>
      </c>
      <c r="V253">
        <v>1</v>
      </c>
      <c r="W253">
        <v>1</v>
      </c>
      <c r="AA253">
        <v>-9506.3734000000004</v>
      </c>
      <c r="AB253">
        <v>-9506.3734000000004</v>
      </c>
      <c r="AC253">
        <v>-9506.3734000000004</v>
      </c>
      <c r="AD253">
        <v>-9506.3734000000004</v>
      </c>
      <c r="AE253">
        <v>-9506.3734000000004</v>
      </c>
    </row>
    <row r="254" spans="2:31" x14ac:dyDescent="0.25">
      <c r="B254">
        <f t="shared" si="9"/>
        <v>52</v>
      </c>
      <c r="C254">
        <v>1</v>
      </c>
      <c r="D254">
        <v>1</v>
      </c>
      <c r="E254">
        <v>1</v>
      </c>
      <c r="F254">
        <v>1</v>
      </c>
      <c r="G254">
        <v>1</v>
      </c>
      <c r="J254">
        <f t="shared" si="10"/>
        <v>52</v>
      </c>
      <c r="K254">
        <v>1</v>
      </c>
      <c r="L254">
        <v>1</v>
      </c>
      <c r="M254">
        <v>1</v>
      </c>
      <c r="N254">
        <v>1</v>
      </c>
      <c r="O254">
        <v>1</v>
      </c>
      <c r="R254">
        <f t="shared" si="11"/>
        <v>52</v>
      </c>
      <c r="S254">
        <v>1</v>
      </c>
      <c r="T254">
        <v>1</v>
      </c>
      <c r="U254">
        <v>1</v>
      </c>
      <c r="V254">
        <v>1</v>
      </c>
      <c r="W254">
        <v>1</v>
      </c>
      <c r="AA254">
        <v>-9372.7019</v>
      </c>
      <c r="AB254">
        <v>-9372.7019</v>
      </c>
      <c r="AC254">
        <v>-9372.7019</v>
      </c>
      <c r="AD254">
        <v>-9372.7019</v>
      </c>
      <c r="AE254">
        <v>-9372.7019</v>
      </c>
    </row>
    <row r="255" spans="2:31" x14ac:dyDescent="0.25">
      <c r="B255">
        <f t="shared" si="9"/>
        <v>53</v>
      </c>
      <c r="C255">
        <v>1</v>
      </c>
      <c r="D255">
        <v>1</v>
      </c>
      <c r="E255">
        <v>1</v>
      </c>
      <c r="F255">
        <v>1</v>
      </c>
      <c r="G255">
        <v>1</v>
      </c>
      <c r="J255">
        <f t="shared" si="10"/>
        <v>53</v>
      </c>
      <c r="K255">
        <v>1</v>
      </c>
      <c r="L255">
        <v>1</v>
      </c>
      <c r="M255">
        <v>1</v>
      </c>
      <c r="N255">
        <v>1</v>
      </c>
      <c r="O255">
        <v>1</v>
      </c>
      <c r="R255">
        <f t="shared" si="11"/>
        <v>53</v>
      </c>
      <c r="S255">
        <v>1</v>
      </c>
      <c r="T255">
        <v>1</v>
      </c>
      <c r="U255">
        <v>1</v>
      </c>
      <c r="V255">
        <v>1</v>
      </c>
      <c r="W255">
        <v>1</v>
      </c>
      <c r="AA255">
        <v>-9236.6705000000002</v>
      </c>
      <c r="AB255">
        <v>-9236.6705000000002</v>
      </c>
      <c r="AC255">
        <v>-9236.6705000000002</v>
      </c>
      <c r="AD255">
        <v>-9236.6705000000002</v>
      </c>
      <c r="AE255">
        <v>-9236.6705000000002</v>
      </c>
    </row>
    <row r="256" spans="2:31" x14ac:dyDescent="0.25">
      <c r="B256">
        <f t="shared" si="9"/>
        <v>54</v>
      </c>
      <c r="C256">
        <v>1</v>
      </c>
      <c r="D256">
        <v>1</v>
      </c>
      <c r="E256">
        <v>1</v>
      </c>
      <c r="F256">
        <v>1</v>
      </c>
      <c r="G256">
        <v>1</v>
      </c>
      <c r="J256">
        <f t="shared" si="10"/>
        <v>54</v>
      </c>
      <c r="K256">
        <v>1</v>
      </c>
      <c r="L256">
        <v>1</v>
      </c>
      <c r="M256">
        <v>1</v>
      </c>
      <c r="N256">
        <v>1</v>
      </c>
      <c r="O256">
        <v>1</v>
      </c>
      <c r="R256">
        <f t="shared" si="11"/>
        <v>54</v>
      </c>
      <c r="S256">
        <v>1</v>
      </c>
      <c r="T256">
        <v>1</v>
      </c>
      <c r="U256">
        <v>1</v>
      </c>
      <c r="V256">
        <v>1</v>
      </c>
      <c r="W256">
        <v>1</v>
      </c>
      <c r="AA256">
        <v>-9098.4312000000009</v>
      </c>
      <c r="AB256">
        <v>-9098.4312000000009</v>
      </c>
      <c r="AC256">
        <v>-9098.4312000000009</v>
      </c>
      <c r="AD256">
        <v>-9098.4312000000009</v>
      </c>
      <c r="AE256">
        <v>-9098.4312000000009</v>
      </c>
    </row>
    <row r="257" spans="2:32" x14ac:dyDescent="0.25">
      <c r="B257">
        <f t="shared" si="9"/>
        <v>55</v>
      </c>
      <c r="C257">
        <v>1</v>
      </c>
      <c r="D257">
        <v>1</v>
      </c>
      <c r="E257">
        <v>1</v>
      </c>
      <c r="F257">
        <v>1</v>
      </c>
      <c r="G257">
        <v>1</v>
      </c>
      <c r="J257">
        <f t="shared" si="10"/>
        <v>55</v>
      </c>
      <c r="K257">
        <v>1</v>
      </c>
      <c r="L257">
        <v>1</v>
      </c>
      <c r="M257">
        <v>1</v>
      </c>
      <c r="N257">
        <v>1</v>
      </c>
      <c r="O257">
        <v>1</v>
      </c>
      <c r="R257">
        <f t="shared" si="11"/>
        <v>55</v>
      </c>
      <c r="S257">
        <v>1</v>
      </c>
      <c r="T257">
        <v>1</v>
      </c>
      <c r="U257">
        <v>1</v>
      </c>
      <c r="V257">
        <v>1</v>
      </c>
      <c r="W257">
        <v>1</v>
      </c>
      <c r="AA257">
        <v>-8958.0210999999999</v>
      </c>
      <c r="AB257">
        <v>-8958.0210999999999</v>
      </c>
      <c r="AC257">
        <v>-8958.0210999999999</v>
      </c>
      <c r="AD257">
        <v>-8958.0210999999999</v>
      </c>
      <c r="AE257">
        <v>-8958.0210999999999</v>
      </c>
    </row>
    <row r="258" spans="2:32" x14ac:dyDescent="0.25">
      <c r="B258">
        <f t="shared" si="9"/>
        <v>56</v>
      </c>
      <c r="C258">
        <v>1</v>
      </c>
      <c r="D258">
        <v>1</v>
      </c>
      <c r="E258">
        <v>1</v>
      </c>
      <c r="F258">
        <v>1</v>
      </c>
      <c r="G258">
        <v>1</v>
      </c>
      <c r="J258">
        <f t="shared" si="10"/>
        <v>56</v>
      </c>
      <c r="K258">
        <v>1</v>
      </c>
      <c r="L258">
        <v>1</v>
      </c>
      <c r="M258">
        <v>1</v>
      </c>
      <c r="N258">
        <v>1</v>
      </c>
      <c r="O258">
        <v>1</v>
      </c>
      <c r="R258">
        <f t="shared" si="11"/>
        <v>56</v>
      </c>
      <c r="S258">
        <v>1</v>
      </c>
      <c r="T258">
        <v>1</v>
      </c>
      <c r="U258">
        <v>1</v>
      </c>
      <c r="V258">
        <v>1</v>
      </c>
      <c r="W258">
        <v>1</v>
      </c>
      <c r="AA258">
        <v>-8815.6316999999999</v>
      </c>
      <c r="AB258">
        <v>-8815.6316999999999</v>
      </c>
      <c r="AC258">
        <v>-8815.6316999999999</v>
      </c>
      <c r="AD258">
        <v>-8815.6316999999999</v>
      </c>
      <c r="AE258">
        <v>-8815.6316999999999</v>
      </c>
    </row>
    <row r="259" spans="2:32" x14ac:dyDescent="0.25">
      <c r="B259">
        <f t="shared" si="9"/>
        <v>57</v>
      </c>
      <c r="C259">
        <v>1</v>
      </c>
      <c r="D259">
        <v>1</v>
      </c>
      <c r="E259">
        <v>1</v>
      </c>
      <c r="F259">
        <v>1</v>
      </c>
      <c r="G259">
        <v>1</v>
      </c>
      <c r="J259">
        <f t="shared" si="10"/>
        <v>57</v>
      </c>
      <c r="K259">
        <v>1</v>
      </c>
      <c r="L259">
        <v>1</v>
      </c>
      <c r="M259">
        <v>1</v>
      </c>
      <c r="N259">
        <v>1</v>
      </c>
      <c r="O259">
        <v>1</v>
      </c>
      <c r="R259">
        <f t="shared" si="11"/>
        <v>57</v>
      </c>
      <c r="S259">
        <v>1</v>
      </c>
      <c r="T259">
        <v>1</v>
      </c>
      <c r="U259">
        <v>1</v>
      </c>
      <c r="V259">
        <v>1</v>
      </c>
      <c r="W259">
        <v>1</v>
      </c>
      <c r="AA259">
        <v>-8671.3991999999998</v>
      </c>
      <c r="AB259">
        <v>-8671.3991999999998</v>
      </c>
      <c r="AC259">
        <v>-8671.3991999999998</v>
      </c>
      <c r="AD259">
        <v>-8671.3991999999998</v>
      </c>
      <c r="AE259">
        <v>-8671.3991999999998</v>
      </c>
    </row>
    <row r="260" spans="2:32" x14ac:dyDescent="0.25">
      <c r="B260">
        <f t="shared" si="9"/>
        <v>58</v>
      </c>
      <c r="C260">
        <v>1</v>
      </c>
      <c r="D260">
        <v>1</v>
      </c>
      <c r="E260">
        <v>1</v>
      </c>
      <c r="F260">
        <v>1</v>
      </c>
      <c r="G260">
        <v>1</v>
      </c>
      <c r="J260">
        <f t="shared" si="10"/>
        <v>58</v>
      </c>
      <c r="K260">
        <v>1</v>
      </c>
      <c r="L260">
        <v>1</v>
      </c>
      <c r="M260">
        <v>1</v>
      </c>
      <c r="N260">
        <v>1</v>
      </c>
      <c r="O260">
        <v>1</v>
      </c>
      <c r="R260">
        <f t="shared" si="11"/>
        <v>58</v>
      </c>
      <c r="S260">
        <v>1</v>
      </c>
      <c r="T260">
        <v>1</v>
      </c>
      <c r="U260">
        <v>1</v>
      </c>
      <c r="V260">
        <v>1</v>
      </c>
      <c r="W260">
        <v>1</v>
      </c>
      <c r="AA260">
        <v>-8525.2759999999998</v>
      </c>
      <c r="AB260">
        <v>-8525.2759999999998</v>
      </c>
      <c r="AC260">
        <v>-8525.2759999999998</v>
      </c>
      <c r="AD260">
        <v>-8525.2759999999998</v>
      </c>
      <c r="AE260">
        <v>-8525.2759999999998</v>
      </c>
    </row>
    <row r="261" spans="2:32" x14ac:dyDescent="0.25">
      <c r="B261">
        <f t="shared" si="9"/>
        <v>59</v>
      </c>
      <c r="C261">
        <v>1</v>
      </c>
      <c r="D261">
        <v>1</v>
      </c>
      <c r="E261">
        <v>1</v>
      </c>
      <c r="F261">
        <v>1</v>
      </c>
      <c r="G261">
        <v>1</v>
      </c>
      <c r="J261">
        <f t="shared" si="10"/>
        <v>59</v>
      </c>
      <c r="K261">
        <v>1</v>
      </c>
      <c r="L261">
        <v>1</v>
      </c>
      <c r="M261">
        <v>1</v>
      </c>
      <c r="N261">
        <v>1</v>
      </c>
      <c r="O261">
        <v>1</v>
      </c>
      <c r="R261">
        <f t="shared" si="11"/>
        <v>59</v>
      </c>
      <c r="S261">
        <v>1</v>
      </c>
      <c r="T261">
        <v>1</v>
      </c>
      <c r="U261">
        <v>1</v>
      </c>
      <c r="V261">
        <v>1</v>
      </c>
      <c r="W261">
        <v>1</v>
      </c>
      <c r="AA261">
        <v>-8377.2351999999992</v>
      </c>
      <c r="AB261">
        <v>-8377.2351999999992</v>
      </c>
      <c r="AC261">
        <v>-8377.2351999999992</v>
      </c>
      <c r="AD261">
        <v>-8377.2351999999992</v>
      </c>
      <c r="AE261">
        <v>-8377.2351999999992</v>
      </c>
    </row>
    <row r="262" spans="2:32" x14ac:dyDescent="0.25">
      <c r="B262">
        <f t="shared" si="9"/>
        <v>60</v>
      </c>
      <c r="C262">
        <v>1</v>
      </c>
      <c r="D262">
        <v>1</v>
      </c>
      <c r="E262">
        <v>1</v>
      </c>
      <c r="F262">
        <v>1</v>
      </c>
      <c r="G262">
        <v>1</v>
      </c>
      <c r="J262">
        <f t="shared" si="10"/>
        <v>60</v>
      </c>
      <c r="K262">
        <v>1</v>
      </c>
      <c r="L262">
        <v>1</v>
      </c>
      <c r="M262">
        <v>1</v>
      </c>
      <c r="N262">
        <v>1</v>
      </c>
      <c r="O262">
        <v>1</v>
      </c>
      <c r="R262">
        <f t="shared" si="11"/>
        <v>60</v>
      </c>
      <c r="S262">
        <v>1</v>
      </c>
      <c r="T262">
        <v>1</v>
      </c>
      <c r="U262">
        <v>1</v>
      </c>
      <c r="V262">
        <v>1</v>
      </c>
      <c r="W262">
        <v>1</v>
      </c>
      <c r="AA262">
        <v>-8227.3953999999994</v>
      </c>
      <c r="AB262">
        <v>-8227.3953999999994</v>
      </c>
      <c r="AC262">
        <v>-8227.3953999999994</v>
      </c>
      <c r="AD262">
        <v>-8227.3953999999994</v>
      </c>
      <c r="AE262">
        <v>-8227.3953999999994</v>
      </c>
    </row>
    <row r="263" spans="2:32" x14ac:dyDescent="0.25">
      <c r="B263">
        <f t="shared" si="9"/>
        <v>61</v>
      </c>
      <c r="C263">
        <v>1</v>
      </c>
      <c r="D263">
        <v>1</v>
      </c>
      <c r="E263">
        <v>1</v>
      </c>
      <c r="F263">
        <v>1</v>
      </c>
      <c r="G263">
        <v>1</v>
      </c>
      <c r="J263">
        <f t="shared" si="10"/>
        <v>61</v>
      </c>
      <c r="K263">
        <v>1</v>
      </c>
      <c r="L263">
        <v>1</v>
      </c>
      <c r="M263">
        <v>1</v>
      </c>
      <c r="N263">
        <v>1</v>
      </c>
      <c r="O263">
        <v>1</v>
      </c>
      <c r="R263">
        <f t="shared" si="11"/>
        <v>61</v>
      </c>
      <c r="S263">
        <v>1</v>
      </c>
      <c r="T263">
        <v>1</v>
      </c>
      <c r="U263">
        <v>1</v>
      </c>
      <c r="V263">
        <v>1</v>
      </c>
      <c r="W263">
        <v>1</v>
      </c>
      <c r="AA263">
        <v>-8076.1778999999997</v>
      </c>
      <c r="AB263">
        <v>-8076.1778999999997</v>
      </c>
      <c r="AC263">
        <v>-8076.1778999999997</v>
      </c>
      <c r="AD263">
        <v>-8076.1778999999997</v>
      </c>
      <c r="AE263">
        <v>-8076.1778999999997</v>
      </c>
    </row>
    <row r="264" spans="2:32" x14ac:dyDescent="0.25">
      <c r="B264">
        <f t="shared" si="9"/>
        <v>62</v>
      </c>
      <c r="C264">
        <v>1</v>
      </c>
      <c r="D264">
        <v>1</v>
      </c>
      <c r="E264">
        <v>1</v>
      </c>
      <c r="F264">
        <v>1</v>
      </c>
      <c r="G264">
        <v>1</v>
      </c>
      <c r="J264">
        <f t="shared" si="10"/>
        <v>62</v>
      </c>
      <c r="K264">
        <v>1</v>
      </c>
      <c r="L264">
        <v>1</v>
      </c>
      <c r="M264">
        <v>1</v>
      </c>
      <c r="N264">
        <v>1</v>
      </c>
      <c r="O264">
        <v>1</v>
      </c>
      <c r="R264">
        <f t="shared" si="11"/>
        <v>62</v>
      </c>
      <c r="S264">
        <v>1</v>
      </c>
      <c r="T264">
        <v>1</v>
      </c>
      <c r="U264">
        <v>1</v>
      </c>
      <c r="V264">
        <v>1</v>
      </c>
      <c r="W264">
        <v>1</v>
      </c>
      <c r="AA264">
        <v>-7923.5816000000004</v>
      </c>
      <c r="AB264">
        <v>-7923.5816000000004</v>
      </c>
      <c r="AC264">
        <v>-7923.5816000000004</v>
      </c>
      <c r="AD264">
        <v>-7923.5816000000004</v>
      </c>
      <c r="AE264">
        <v>-7923.5816000000004</v>
      </c>
    </row>
    <row r="265" spans="2:32" x14ac:dyDescent="0.25">
      <c r="B265">
        <f t="shared" si="9"/>
        <v>63</v>
      </c>
      <c r="C265">
        <v>1</v>
      </c>
      <c r="D265">
        <v>1</v>
      </c>
      <c r="E265">
        <v>1</v>
      </c>
      <c r="F265">
        <v>1</v>
      </c>
      <c r="G265">
        <v>1</v>
      </c>
      <c r="J265">
        <f t="shared" si="10"/>
        <v>63</v>
      </c>
      <c r="K265">
        <v>1</v>
      </c>
      <c r="L265">
        <v>1</v>
      </c>
      <c r="M265">
        <v>1</v>
      </c>
      <c r="N265">
        <v>1</v>
      </c>
      <c r="O265">
        <v>1</v>
      </c>
      <c r="R265">
        <f t="shared" si="11"/>
        <v>63</v>
      </c>
      <c r="S265">
        <v>1</v>
      </c>
      <c r="T265">
        <v>1</v>
      </c>
      <c r="U265">
        <v>1</v>
      </c>
      <c r="V265">
        <v>1</v>
      </c>
      <c r="W265">
        <v>1</v>
      </c>
      <c r="AA265">
        <v>-7769.2775000000001</v>
      </c>
      <c r="AB265">
        <v>-7769.2775000000001</v>
      </c>
      <c r="AC265">
        <v>-7769.2775000000001</v>
      </c>
      <c r="AD265">
        <v>-7769.2775000000001</v>
      </c>
      <c r="AE265">
        <v>-7769.2775000000001</v>
      </c>
    </row>
    <row r="266" spans="2:32" x14ac:dyDescent="0.25">
      <c r="B266">
        <f t="shared" si="9"/>
        <v>64</v>
      </c>
      <c r="C266">
        <v>1</v>
      </c>
      <c r="D266">
        <v>1</v>
      </c>
      <c r="E266">
        <v>1</v>
      </c>
      <c r="F266">
        <v>1</v>
      </c>
      <c r="G266">
        <v>1</v>
      </c>
      <c r="J266">
        <f t="shared" si="10"/>
        <v>64</v>
      </c>
      <c r="K266">
        <v>1</v>
      </c>
      <c r="L266">
        <v>1</v>
      </c>
      <c r="M266">
        <v>1</v>
      </c>
      <c r="N266">
        <v>1</v>
      </c>
      <c r="O266">
        <v>1</v>
      </c>
      <c r="R266">
        <f t="shared" si="11"/>
        <v>64</v>
      </c>
      <c r="S266">
        <v>1</v>
      </c>
      <c r="T266">
        <v>1</v>
      </c>
      <c r="U266">
        <v>1</v>
      </c>
      <c r="V266">
        <v>1</v>
      </c>
      <c r="W266">
        <v>1</v>
      </c>
      <c r="AA266">
        <v>-7613.3999000000003</v>
      </c>
      <c r="AB266">
        <v>-7613.3999000000003</v>
      </c>
      <c r="AC266">
        <v>-7613.3999000000003</v>
      </c>
      <c r="AD266">
        <v>-7613.3999000000003</v>
      </c>
      <c r="AE266">
        <v>-7613.3999000000003</v>
      </c>
    </row>
    <row r="267" spans="2:32" x14ac:dyDescent="0.25">
      <c r="B267">
        <f t="shared" si="9"/>
        <v>65</v>
      </c>
      <c r="C267">
        <v>1</v>
      </c>
      <c r="D267">
        <v>1</v>
      </c>
      <c r="E267">
        <v>1</v>
      </c>
      <c r="F267">
        <v>1</v>
      </c>
      <c r="G267">
        <v>1</v>
      </c>
      <c r="J267">
        <f t="shared" si="10"/>
        <v>65</v>
      </c>
      <c r="K267">
        <v>1</v>
      </c>
      <c r="L267">
        <v>1</v>
      </c>
      <c r="M267">
        <v>1</v>
      </c>
      <c r="N267">
        <v>1</v>
      </c>
      <c r="O267">
        <v>1</v>
      </c>
      <c r="R267">
        <f t="shared" si="11"/>
        <v>65</v>
      </c>
      <c r="S267">
        <v>1</v>
      </c>
      <c r="T267">
        <v>1</v>
      </c>
      <c r="U267">
        <v>1</v>
      </c>
      <c r="V267">
        <v>1</v>
      </c>
      <c r="W267">
        <v>1</v>
      </c>
      <c r="AA267">
        <v>-7455.8590000000004</v>
      </c>
      <c r="AB267">
        <v>-7455.8590000000004</v>
      </c>
      <c r="AC267">
        <v>-7455.8590000000004</v>
      </c>
      <c r="AD267">
        <v>-7455.8590000000004</v>
      </c>
      <c r="AE267">
        <v>-7455.8590000000004</v>
      </c>
    </row>
    <row r="270" spans="2:32" x14ac:dyDescent="0.25">
      <c r="B270" t="s">
        <v>46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47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48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2:32" x14ac:dyDescent="0.25">
      <c r="B271">
        <v>26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J271">
        <v>26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R271">
        <v>26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AA271">
        <v>-7435.5060999999996</v>
      </c>
      <c r="AB271">
        <v>-7435.5060999999996</v>
      </c>
      <c r="AC271">
        <v>-7435.5060999999996</v>
      </c>
      <c r="AD271">
        <v>-7435.5060999999996</v>
      </c>
      <c r="AE271">
        <v>-7435.5060999999996</v>
      </c>
      <c r="AF271">
        <v>-7435.5060999999996</v>
      </c>
    </row>
    <row r="272" spans="2:32" x14ac:dyDescent="0.25">
      <c r="B272">
        <v>27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J272">
        <v>27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R272">
        <v>27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AA272">
        <v>-7434.2619000000004</v>
      </c>
      <c r="AB272">
        <v>-7434.2619000000004</v>
      </c>
      <c r="AC272">
        <v>-7434.2619000000004</v>
      </c>
      <c r="AD272">
        <v>-7434.2619000000004</v>
      </c>
      <c r="AE272">
        <v>-7434.2619000000004</v>
      </c>
      <c r="AF272">
        <v>-7434.2619000000004</v>
      </c>
    </row>
    <row r="273" spans="2:32" x14ac:dyDescent="0.25">
      <c r="B273">
        <v>28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J273">
        <v>28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R273">
        <v>28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AA273">
        <v>-7432.8334999999997</v>
      </c>
      <c r="AB273">
        <v>-7432.8334999999997</v>
      </c>
      <c r="AC273">
        <v>-7432.8334999999997</v>
      </c>
      <c r="AD273">
        <v>-7432.8334999999997</v>
      </c>
      <c r="AE273">
        <v>-7432.8334999999997</v>
      </c>
      <c r="AF273">
        <v>-7432.8334999999997</v>
      </c>
    </row>
    <row r="274" spans="2:32" x14ac:dyDescent="0.25">
      <c r="B274">
        <v>29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1</v>
      </c>
      <c r="J274">
        <v>29</v>
      </c>
      <c r="K274">
        <v>1</v>
      </c>
      <c r="L274">
        <v>1</v>
      </c>
      <c r="M274">
        <v>1</v>
      </c>
      <c r="N274">
        <v>1</v>
      </c>
      <c r="O274">
        <v>1</v>
      </c>
      <c r="P274">
        <v>1</v>
      </c>
      <c r="R274">
        <v>29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AA274">
        <v>-7431.2058999999999</v>
      </c>
      <c r="AB274">
        <v>-7431.2058999999999</v>
      </c>
      <c r="AC274">
        <v>-7431.2058999999999</v>
      </c>
      <c r="AD274">
        <v>-7431.2058999999999</v>
      </c>
      <c r="AE274">
        <v>-7431.2058999999999</v>
      </c>
      <c r="AF274">
        <v>-7431.2058999999999</v>
      </c>
    </row>
    <row r="275" spans="2:32" x14ac:dyDescent="0.25">
      <c r="B275">
        <v>30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J275">
        <v>30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R275">
        <v>30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AA275">
        <v>-7429.3476000000001</v>
      </c>
      <c r="AB275">
        <v>-7429.3476000000001</v>
      </c>
      <c r="AC275">
        <v>-7429.3476000000001</v>
      </c>
      <c r="AD275">
        <v>-7429.3476000000001</v>
      </c>
      <c r="AE275">
        <v>-7429.3476000000001</v>
      </c>
      <c r="AF275">
        <v>-7429.3476000000001</v>
      </c>
    </row>
    <row r="276" spans="2:32" x14ac:dyDescent="0.25">
      <c r="B276">
        <v>31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J276">
        <v>31</v>
      </c>
      <c r="K276">
        <v>1</v>
      </c>
      <c r="L276">
        <v>1</v>
      </c>
      <c r="M276">
        <v>1</v>
      </c>
      <c r="N276">
        <v>1</v>
      </c>
      <c r="O276">
        <v>1</v>
      </c>
      <c r="P276">
        <v>1</v>
      </c>
      <c r="R276">
        <v>31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AA276">
        <v>-7427.2446</v>
      </c>
      <c r="AB276">
        <v>-7427.2446</v>
      </c>
      <c r="AC276">
        <v>-7427.2446</v>
      </c>
      <c r="AD276">
        <v>-7427.2446</v>
      </c>
      <c r="AE276">
        <v>-7427.2446</v>
      </c>
      <c r="AF276">
        <v>-7427.2446</v>
      </c>
    </row>
    <row r="277" spans="2:32" x14ac:dyDescent="0.25">
      <c r="B277">
        <v>32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J277">
        <v>32</v>
      </c>
      <c r="K277">
        <v>1</v>
      </c>
      <c r="L277">
        <v>1</v>
      </c>
      <c r="M277">
        <v>1</v>
      </c>
      <c r="N277">
        <v>1</v>
      </c>
      <c r="O277">
        <v>1</v>
      </c>
      <c r="P277">
        <v>1</v>
      </c>
      <c r="R277">
        <v>32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AA277">
        <v>-7424.8944000000001</v>
      </c>
      <c r="AB277">
        <v>-7424.8944000000001</v>
      </c>
      <c r="AC277">
        <v>-7424.8944000000001</v>
      </c>
      <c r="AD277">
        <v>-7424.8944000000001</v>
      </c>
      <c r="AE277">
        <v>-7424.8944000000001</v>
      </c>
      <c r="AF277">
        <v>-7424.8944000000001</v>
      </c>
    </row>
    <row r="278" spans="2:32" x14ac:dyDescent="0.25">
      <c r="B278">
        <v>33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J278">
        <v>33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R278">
        <v>33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AA278">
        <v>-7422.2834000000003</v>
      </c>
      <c r="AB278">
        <v>-7422.2834000000003</v>
      </c>
      <c r="AC278">
        <v>-7422.2834000000003</v>
      </c>
      <c r="AD278">
        <v>-7422.2834000000003</v>
      </c>
      <c r="AE278">
        <v>-7422.2834000000003</v>
      </c>
      <c r="AF278">
        <v>-7422.2834000000003</v>
      </c>
    </row>
    <row r="279" spans="2:32" x14ac:dyDescent="0.25">
      <c r="B279">
        <v>34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1</v>
      </c>
      <c r="J279">
        <v>34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R279">
        <v>34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AA279">
        <v>-7419.3683000000001</v>
      </c>
      <c r="AB279">
        <v>-7419.3683000000001</v>
      </c>
      <c r="AC279">
        <v>-7419.3683000000001</v>
      </c>
      <c r="AD279">
        <v>-7419.3683000000001</v>
      </c>
      <c r="AE279">
        <v>-7419.3683000000001</v>
      </c>
      <c r="AF279">
        <v>-7419.3683000000001</v>
      </c>
    </row>
    <row r="280" spans="2:32" x14ac:dyDescent="0.25">
      <c r="B280">
        <v>35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1</v>
      </c>
      <c r="J280">
        <v>35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R280">
        <v>35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AA280">
        <v>-7416.1363000000001</v>
      </c>
      <c r="AB280">
        <v>-7416.1363000000001</v>
      </c>
      <c r="AC280">
        <v>-7416.1363000000001</v>
      </c>
      <c r="AD280">
        <v>-7416.1363000000001</v>
      </c>
      <c r="AE280">
        <v>-7416.1363000000001</v>
      </c>
      <c r="AF280">
        <v>-7416.1363000000001</v>
      </c>
    </row>
    <row r="281" spans="2:32" x14ac:dyDescent="0.25">
      <c r="B281">
        <v>36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J281">
        <v>36</v>
      </c>
      <c r="K281">
        <v>1</v>
      </c>
      <c r="L281">
        <v>1</v>
      </c>
      <c r="M281">
        <v>1</v>
      </c>
      <c r="N281">
        <v>1</v>
      </c>
      <c r="O281">
        <v>1</v>
      </c>
      <c r="P281">
        <v>1</v>
      </c>
      <c r="R281">
        <v>36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AA281">
        <v>-7412.5378000000001</v>
      </c>
      <c r="AB281">
        <v>-7412.5378000000001</v>
      </c>
      <c r="AC281">
        <v>-7412.5378000000001</v>
      </c>
      <c r="AD281">
        <v>-7412.5378000000001</v>
      </c>
      <c r="AE281">
        <v>-7412.5378000000001</v>
      </c>
      <c r="AF281">
        <v>-7412.5378000000001</v>
      </c>
    </row>
    <row r="282" spans="2:32" x14ac:dyDescent="0.25">
      <c r="B282">
        <v>37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J282">
        <v>37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R282">
        <v>37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AA282">
        <v>-7408.55</v>
      </c>
      <c r="AB282">
        <v>-7408.55</v>
      </c>
      <c r="AC282">
        <v>-7408.55</v>
      </c>
      <c r="AD282">
        <v>-7408.55</v>
      </c>
      <c r="AE282">
        <v>-7408.55</v>
      </c>
      <c r="AF282">
        <v>-7408.55</v>
      </c>
    </row>
    <row r="283" spans="2:32" x14ac:dyDescent="0.25">
      <c r="B283">
        <v>38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J283">
        <v>38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R283">
        <v>38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AA283">
        <v>-7404.1752999999999</v>
      </c>
      <c r="AB283">
        <v>-7404.1752999999999</v>
      </c>
      <c r="AC283">
        <v>-7404.1752999999999</v>
      </c>
      <c r="AD283">
        <v>-7404.1752999999999</v>
      </c>
      <c r="AE283">
        <v>-7404.1752999999999</v>
      </c>
      <c r="AF283">
        <v>-7404.1752999999999</v>
      </c>
    </row>
    <row r="284" spans="2:32" x14ac:dyDescent="0.25">
      <c r="B284">
        <v>39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1</v>
      </c>
      <c r="J284">
        <v>39</v>
      </c>
      <c r="K284">
        <v>1</v>
      </c>
      <c r="L284">
        <v>1</v>
      </c>
      <c r="M284">
        <v>1</v>
      </c>
      <c r="N284">
        <v>1</v>
      </c>
      <c r="O284">
        <v>1</v>
      </c>
      <c r="P284">
        <v>1</v>
      </c>
      <c r="R284">
        <v>39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AA284">
        <v>-7399.3923999999997</v>
      </c>
      <c r="AB284">
        <v>-7399.3923999999997</v>
      </c>
      <c r="AC284">
        <v>-7399.3923999999997</v>
      </c>
      <c r="AD284">
        <v>-7399.3923999999997</v>
      </c>
      <c r="AE284">
        <v>-7399.3923999999997</v>
      </c>
      <c r="AF284">
        <v>-7399.3923999999997</v>
      </c>
    </row>
    <row r="285" spans="2:32" x14ac:dyDescent="0.25">
      <c r="B285">
        <v>40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J285">
        <v>40</v>
      </c>
      <c r="K285">
        <v>1</v>
      </c>
      <c r="L285">
        <v>1</v>
      </c>
      <c r="M285">
        <v>1</v>
      </c>
      <c r="N285">
        <v>1</v>
      </c>
      <c r="O285">
        <v>1</v>
      </c>
      <c r="P285">
        <v>1</v>
      </c>
      <c r="R285">
        <v>40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AA285">
        <v>-7394.1365999999998</v>
      </c>
      <c r="AB285">
        <v>-7394.1365999999998</v>
      </c>
      <c r="AC285">
        <v>-7394.1365999999998</v>
      </c>
      <c r="AD285">
        <v>-7394.1365999999998</v>
      </c>
      <c r="AE285">
        <v>-7394.1365999999998</v>
      </c>
      <c r="AF285">
        <v>-7394.1365999999998</v>
      </c>
    </row>
    <row r="286" spans="2:32" x14ac:dyDescent="0.25">
      <c r="B286">
        <v>41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J286">
        <v>41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R286">
        <v>41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AA286">
        <v>-7388.3469999999998</v>
      </c>
      <c r="AB286">
        <v>-7388.3469999999998</v>
      </c>
      <c r="AC286">
        <v>-7388.3469999999998</v>
      </c>
      <c r="AD286">
        <v>-7388.3469999999998</v>
      </c>
      <c r="AE286">
        <v>-7388.3469999999998</v>
      </c>
      <c r="AF286">
        <v>-7388.3469999999998</v>
      </c>
    </row>
    <row r="287" spans="2:32" x14ac:dyDescent="0.25">
      <c r="B287">
        <v>42</v>
      </c>
      <c r="C287">
        <v>1</v>
      </c>
      <c r="D287">
        <v>1</v>
      </c>
      <c r="E287">
        <v>1</v>
      </c>
      <c r="F287">
        <v>1</v>
      </c>
      <c r="G287">
        <v>1</v>
      </c>
      <c r="H287">
        <v>1</v>
      </c>
      <c r="J287">
        <v>42</v>
      </c>
      <c r="K287">
        <v>1</v>
      </c>
      <c r="L287">
        <v>1</v>
      </c>
      <c r="M287">
        <v>1</v>
      </c>
      <c r="N287">
        <v>1</v>
      </c>
      <c r="O287">
        <v>1</v>
      </c>
      <c r="P287">
        <v>1</v>
      </c>
      <c r="R287">
        <v>42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AA287">
        <v>-7381.9919</v>
      </c>
      <c r="AB287">
        <v>-7381.9919</v>
      </c>
      <c r="AC287">
        <v>-7381.9919</v>
      </c>
      <c r="AD287">
        <v>-7381.9919</v>
      </c>
      <c r="AE287">
        <v>-7381.9919</v>
      </c>
      <c r="AF287">
        <v>-7381.9919</v>
      </c>
    </row>
    <row r="288" spans="2:32" x14ac:dyDescent="0.25">
      <c r="B288">
        <v>43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J288">
        <v>43</v>
      </c>
      <c r="K288">
        <v>1</v>
      </c>
      <c r="L288">
        <v>1</v>
      </c>
      <c r="M288">
        <v>1</v>
      </c>
      <c r="N288">
        <v>1</v>
      </c>
      <c r="O288">
        <v>1</v>
      </c>
      <c r="P288">
        <v>1</v>
      </c>
      <c r="R288">
        <v>43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AA288">
        <v>-7374.9579999999996</v>
      </c>
      <c r="AB288">
        <v>-7374.9579999999996</v>
      </c>
      <c r="AC288">
        <v>-7374.9579999999996</v>
      </c>
      <c r="AD288">
        <v>-7374.9579999999996</v>
      </c>
      <c r="AE288">
        <v>-7374.9579999999996</v>
      </c>
      <c r="AF288">
        <v>-7374.9579999999996</v>
      </c>
    </row>
    <row r="289" spans="2:32" x14ac:dyDescent="0.25">
      <c r="B289">
        <v>44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1</v>
      </c>
      <c r="J289">
        <v>44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R289">
        <v>44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AA289">
        <v>-7367.2034999999996</v>
      </c>
      <c r="AB289">
        <v>-7367.2034999999996</v>
      </c>
      <c r="AC289">
        <v>-7367.2034999999996</v>
      </c>
      <c r="AD289">
        <v>-7367.2034999999996</v>
      </c>
      <c r="AE289">
        <v>-7367.2034999999996</v>
      </c>
      <c r="AF289">
        <v>-7367.2034999999996</v>
      </c>
    </row>
    <row r="290" spans="2:32" x14ac:dyDescent="0.25">
      <c r="B290">
        <v>45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J290">
        <v>45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R290">
        <v>45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AA290">
        <v>-7358.6491999999998</v>
      </c>
      <c r="AB290">
        <v>-7358.6491999999998</v>
      </c>
      <c r="AC290">
        <v>-7358.6491999999998</v>
      </c>
      <c r="AD290">
        <v>-7358.6491999999998</v>
      </c>
      <c r="AE290">
        <v>-7358.6491999999998</v>
      </c>
      <c r="AF290">
        <v>-7358.6491999999998</v>
      </c>
    </row>
    <row r="291" spans="2:32" x14ac:dyDescent="0.25">
      <c r="B291">
        <v>46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J291">
        <v>46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R291">
        <v>46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AA291">
        <v>-7349.2232000000004</v>
      </c>
      <c r="AB291">
        <v>-7349.2232000000004</v>
      </c>
      <c r="AC291">
        <v>-7349.2232000000004</v>
      </c>
      <c r="AD291">
        <v>-7349.2232000000004</v>
      </c>
      <c r="AE291">
        <v>-7349.2232000000004</v>
      </c>
      <c r="AF291">
        <v>-7349.2232000000004</v>
      </c>
    </row>
    <row r="292" spans="2:32" x14ac:dyDescent="0.25">
      <c r="B292">
        <v>47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1</v>
      </c>
      <c r="J292">
        <v>47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R292">
        <v>47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AA292">
        <v>-7338.8310000000001</v>
      </c>
      <c r="AB292">
        <v>-7338.8310000000001</v>
      </c>
      <c r="AC292">
        <v>-7338.8310000000001</v>
      </c>
      <c r="AD292">
        <v>-7338.8310000000001</v>
      </c>
      <c r="AE292">
        <v>-7338.8310000000001</v>
      </c>
      <c r="AF292">
        <v>-7338.8310000000001</v>
      </c>
    </row>
    <row r="293" spans="2:32" x14ac:dyDescent="0.25">
      <c r="B293">
        <v>48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J293">
        <v>48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R293">
        <v>48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AA293">
        <v>-7327.4297999999999</v>
      </c>
      <c r="AB293">
        <v>-7327.4297999999999</v>
      </c>
      <c r="AC293">
        <v>-7327.4297999999999</v>
      </c>
      <c r="AD293">
        <v>-7327.4297999999999</v>
      </c>
      <c r="AE293">
        <v>-7327.4297999999999</v>
      </c>
      <c r="AF293">
        <v>-7327.4297999999999</v>
      </c>
    </row>
    <row r="294" spans="2:32" x14ac:dyDescent="0.25">
      <c r="B294">
        <v>49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J294">
        <v>49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R294">
        <v>49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AA294">
        <v>-7314.951</v>
      </c>
      <c r="AB294">
        <v>-7314.951</v>
      </c>
      <c r="AC294">
        <v>-7314.951</v>
      </c>
      <c r="AD294">
        <v>-7314.951</v>
      </c>
      <c r="AE294">
        <v>-7314.951</v>
      </c>
      <c r="AF294">
        <v>-7314.951</v>
      </c>
    </row>
    <row r="295" spans="2:32" x14ac:dyDescent="0.25">
      <c r="B295">
        <v>50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J295">
        <v>50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R295">
        <v>50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AA295">
        <v>-7301.2851000000001</v>
      </c>
      <c r="AB295">
        <v>-7301.2851000000001</v>
      </c>
      <c r="AC295">
        <v>-7301.2851000000001</v>
      </c>
      <c r="AD295">
        <v>-7301.2851000000001</v>
      </c>
      <c r="AE295">
        <v>-7301.2851000000001</v>
      </c>
      <c r="AF295">
        <v>-7301.2851000000001</v>
      </c>
    </row>
    <row r="296" spans="2:32" x14ac:dyDescent="0.25">
      <c r="B296">
        <v>51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J296">
        <v>51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R296">
        <v>51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AA296">
        <v>-7286.3271000000004</v>
      </c>
      <c r="AB296">
        <v>-7286.3271000000004</v>
      </c>
      <c r="AC296">
        <v>-7286.3271000000004</v>
      </c>
      <c r="AD296">
        <v>-7286.3271000000004</v>
      </c>
      <c r="AE296">
        <v>-7286.3271000000004</v>
      </c>
      <c r="AF296">
        <v>-7286.3271000000004</v>
      </c>
    </row>
    <row r="297" spans="2:32" x14ac:dyDescent="0.25">
      <c r="B297">
        <v>52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1</v>
      </c>
      <c r="J297">
        <v>52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1</v>
      </c>
      <c r="R297">
        <v>52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AA297">
        <v>-7269.9448000000002</v>
      </c>
      <c r="AB297">
        <v>-7269.9448000000002</v>
      </c>
      <c r="AC297">
        <v>-7269.9448000000002</v>
      </c>
      <c r="AD297">
        <v>-7269.9448000000002</v>
      </c>
      <c r="AE297">
        <v>-7269.9448000000002</v>
      </c>
      <c r="AF297">
        <v>-7269.9448000000002</v>
      </c>
    </row>
    <row r="298" spans="2:32" x14ac:dyDescent="0.25">
      <c r="B298">
        <v>53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J298">
        <v>53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R298">
        <v>53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AA298">
        <v>-7252.0574999999999</v>
      </c>
      <c r="AB298">
        <v>-7252.0574999999999</v>
      </c>
      <c r="AC298">
        <v>-7252.0574999999999</v>
      </c>
      <c r="AD298">
        <v>-7252.0574999999999</v>
      </c>
      <c r="AE298">
        <v>-7252.0574999999999</v>
      </c>
      <c r="AF298">
        <v>-7252.0574999999999</v>
      </c>
    </row>
    <row r="299" spans="2:32" x14ac:dyDescent="0.25">
      <c r="B299">
        <v>54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J299">
        <v>54</v>
      </c>
      <c r="K299">
        <v>1</v>
      </c>
      <c r="L299">
        <v>1</v>
      </c>
      <c r="M299">
        <v>1</v>
      </c>
      <c r="N299">
        <v>1</v>
      </c>
      <c r="O299">
        <v>1</v>
      </c>
      <c r="P299">
        <v>1</v>
      </c>
      <c r="R299">
        <v>54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AA299">
        <v>-7232.5680000000002</v>
      </c>
      <c r="AB299">
        <v>-7232.5680000000002</v>
      </c>
      <c r="AC299">
        <v>-7232.5680000000002</v>
      </c>
      <c r="AD299">
        <v>-7232.5680000000002</v>
      </c>
      <c r="AE299">
        <v>-7232.5680000000002</v>
      </c>
      <c r="AF299">
        <v>-7232.5680000000002</v>
      </c>
    </row>
    <row r="300" spans="2:32" x14ac:dyDescent="0.25">
      <c r="B300">
        <v>55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J300">
        <v>55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R300">
        <v>55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AA300">
        <v>-7211.3207000000002</v>
      </c>
      <c r="AB300">
        <v>-7211.3207000000002</v>
      </c>
      <c r="AC300">
        <v>-7211.3207000000002</v>
      </c>
      <c r="AD300">
        <v>-7211.3207000000002</v>
      </c>
      <c r="AE300">
        <v>-7211.3207000000002</v>
      </c>
      <c r="AF300">
        <v>-7211.3207000000002</v>
      </c>
    </row>
    <row r="303" spans="2:32" x14ac:dyDescent="0.25">
      <c r="B303" t="s">
        <v>46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32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48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2:32" x14ac:dyDescent="0.25">
      <c r="B304">
        <v>35</v>
      </c>
      <c r="C304">
        <v>1</v>
      </c>
      <c r="D304">
        <v>1</v>
      </c>
      <c r="E304">
        <v>1</v>
      </c>
      <c r="F304">
        <v>1</v>
      </c>
      <c r="G304">
        <v>1</v>
      </c>
      <c r="J304">
        <v>35</v>
      </c>
      <c r="K304">
        <v>1</v>
      </c>
      <c r="L304">
        <v>1</v>
      </c>
      <c r="M304">
        <v>1</v>
      </c>
      <c r="N304">
        <v>1</v>
      </c>
      <c r="O304">
        <v>1</v>
      </c>
      <c r="R304">
        <v>35</v>
      </c>
      <c r="S304">
        <v>1</v>
      </c>
      <c r="T304">
        <v>1</v>
      </c>
      <c r="U304">
        <v>1</v>
      </c>
      <c r="V304">
        <v>1</v>
      </c>
      <c r="W304">
        <v>1</v>
      </c>
      <c r="AA304">
        <v>-11308.6893</v>
      </c>
      <c r="AB304">
        <v>-11308.6893</v>
      </c>
      <c r="AC304">
        <v>-11308.6893</v>
      </c>
      <c r="AD304">
        <v>-11308.6893</v>
      </c>
      <c r="AE304">
        <v>-11308.6893</v>
      </c>
      <c r="AF304">
        <v>-759112.79520000005</v>
      </c>
    </row>
    <row r="305" spans="2:32" x14ac:dyDescent="0.25">
      <c r="B305">
        <f t="shared" ref="B305:B334" si="12">B304+1</f>
        <v>36</v>
      </c>
      <c r="C305">
        <v>1</v>
      </c>
      <c r="D305">
        <v>1</v>
      </c>
      <c r="E305">
        <v>1</v>
      </c>
      <c r="F305">
        <v>1</v>
      </c>
      <c r="G305">
        <v>1</v>
      </c>
      <c r="J305">
        <f t="shared" ref="J305:J334" si="13">J304+1</f>
        <v>36</v>
      </c>
      <c r="K305">
        <v>1</v>
      </c>
      <c r="L305">
        <v>1</v>
      </c>
      <c r="M305">
        <v>1</v>
      </c>
      <c r="N305">
        <v>1</v>
      </c>
      <c r="O305">
        <v>1</v>
      </c>
      <c r="R305">
        <f t="shared" ref="R305:R334" si="14">R304+1</f>
        <v>36</v>
      </c>
      <c r="S305">
        <v>1</v>
      </c>
      <c r="T305">
        <v>1</v>
      </c>
      <c r="U305">
        <v>1</v>
      </c>
      <c r="V305">
        <v>1</v>
      </c>
      <c r="W305">
        <v>1</v>
      </c>
      <c r="AA305">
        <v>-11214.2592</v>
      </c>
      <c r="AB305">
        <v>-11214.2592</v>
      </c>
      <c r="AC305">
        <v>-11214.2592</v>
      </c>
      <c r="AD305">
        <v>-11214.2592</v>
      </c>
      <c r="AE305">
        <v>-11214.2592</v>
      </c>
      <c r="AF305">
        <v>-737070.86179999996</v>
      </c>
    </row>
    <row r="306" spans="2:32" x14ac:dyDescent="0.25">
      <c r="B306">
        <f t="shared" si="12"/>
        <v>37</v>
      </c>
      <c r="C306">
        <v>1</v>
      </c>
      <c r="D306">
        <v>1</v>
      </c>
      <c r="E306">
        <v>1</v>
      </c>
      <c r="F306">
        <v>1</v>
      </c>
      <c r="G306">
        <v>1</v>
      </c>
      <c r="J306">
        <f t="shared" si="13"/>
        <v>37</v>
      </c>
      <c r="K306">
        <v>1</v>
      </c>
      <c r="L306">
        <v>1</v>
      </c>
      <c r="M306">
        <v>1</v>
      </c>
      <c r="N306">
        <v>1</v>
      </c>
      <c r="O306">
        <v>1</v>
      </c>
      <c r="R306">
        <f t="shared" si="14"/>
        <v>37</v>
      </c>
      <c r="S306">
        <v>1</v>
      </c>
      <c r="T306">
        <v>1</v>
      </c>
      <c r="U306">
        <v>1</v>
      </c>
      <c r="V306">
        <v>1</v>
      </c>
      <c r="W306">
        <v>1</v>
      </c>
      <c r="AA306">
        <v>-11117.406199999999</v>
      </c>
      <c r="AB306">
        <v>-11117.406199999999</v>
      </c>
      <c r="AC306">
        <v>-11117.406199999999</v>
      </c>
      <c r="AD306">
        <v>-11117.406199999999</v>
      </c>
      <c r="AE306">
        <v>-11117.406199999999</v>
      </c>
      <c r="AF306">
        <v>-765978.91940000001</v>
      </c>
    </row>
    <row r="307" spans="2:32" x14ac:dyDescent="0.25">
      <c r="B307">
        <f t="shared" si="12"/>
        <v>38</v>
      </c>
      <c r="C307">
        <v>1</v>
      </c>
      <c r="D307">
        <v>1</v>
      </c>
      <c r="E307">
        <v>1</v>
      </c>
      <c r="F307">
        <v>1</v>
      </c>
      <c r="G307">
        <v>1</v>
      </c>
      <c r="J307">
        <f t="shared" si="13"/>
        <v>38</v>
      </c>
      <c r="K307">
        <v>1</v>
      </c>
      <c r="L307">
        <v>1</v>
      </c>
      <c r="M307">
        <v>1</v>
      </c>
      <c r="N307">
        <v>1</v>
      </c>
      <c r="O307">
        <v>1</v>
      </c>
      <c r="R307">
        <f t="shared" si="14"/>
        <v>38</v>
      </c>
      <c r="S307">
        <v>1</v>
      </c>
      <c r="T307">
        <v>1</v>
      </c>
      <c r="U307">
        <v>1</v>
      </c>
      <c r="V307">
        <v>1</v>
      </c>
      <c r="W307">
        <v>1</v>
      </c>
      <c r="AA307">
        <v>-11018.229799999999</v>
      </c>
      <c r="AB307">
        <v>-11018.229799999999</v>
      </c>
      <c r="AC307">
        <v>-11018.229799999999</v>
      </c>
      <c r="AD307">
        <v>-11018.229799999999</v>
      </c>
      <c r="AE307">
        <v>-11018.229799999999</v>
      </c>
      <c r="AF307">
        <v>-783780.576</v>
      </c>
    </row>
    <row r="308" spans="2:32" x14ac:dyDescent="0.25">
      <c r="B308">
        <f t="shared" si="12"/>
        <v>39</v>
      </c>
      <c r="C308">
        <v>1</v>
      </c>
      <c r="D308">
        <v>1</v>
      </c>
      <c r="E308">
        <v>1</v>
      </c>
      <c r="F308">
        <v>1</v>
      </c>
      <c r="G308">
        <v>1</v>
      </c>
      <c r="J308">
        <f t="shared" si="13"/>
        <v>39</v>
      </c>
      <c r="K308">
        <v>1</v>
      </c>
      <c r="L308">
        <v>1</v>
      </c>
      <c r="M308">
        <v>1</v>
      </c>
      <c r="N308">
        <v>1</v>
      </c>
      <c r="O308">
        <v>1</v>
      </c>
      <c r="R308">
        <f t="shared" si="14"/>
        <v>39</v>
      </c>
      <c r="S308">
        <v>1</v>
      </c>
      <c r="T308">
        <v>1</v>
      </c>
      <c r="U308">
        <v>1</v>
      </c>
      <c r="V308">
        <v>1</v>
      </c>
      <c r="W308">
        <v>1</v>
      </c>
      <c r="AA308">
        <v>-10916.737999999999</v>
      </c>
      <c r="AB308">
        <v>-10916.737999999999</v>
      </c>
      <c r="AC308">
        <v>-10916.737999999999</v>
      </c>
      <c r="AD308">
        <v>-10916.737999999999</v>
      </c>
      <c r="AE308">
        <v>-10916.737999999999</v>
      </c>
      <c r="AF308">
        <v>-769662.22069999995</v>
      </c>
    </row>
    <row r="309" spans="2:32" x14ac:dyDescent="0.25">
      <c r="B309">
        <f t="shared" si="12"/>
        <v>40</v>
      </c>
      <c r="C309">
        <v>1</v>
      </c>
      <c r="D309">
        <v>1</v>
      </c>
      <c r="E309">
        <v>1</v>
      </c>
      <c r="F309">
        <v>1</v>
      </c>
      <c r="G309">
        <v>1</v>
      </c>
      <c r="J309">
        <f t="shared" si="13"/>
        <v>40</v>
      </c>
      <c r="K309">
        <v>1</v>
      </c>
      <c r="L309">
        <v>1</v>
      </c>
      <c r="M309">
        <v>1</v>
      </c>
      <c r="N309">
        <v>1</v>
      </c>
      <c r="O309">
        <v>1</v>
      </c>
      <c r="R309">
        <f t="shared" si="14"/>
        <v>40</v>
      </c>
      <c r="S309">
        <v>1</v>
      </c>
      <c r="T309">
        <v>1</v>
      </c>
      <c r="U309">
        <v>1</v>
      </c>
      <c r="V309">
        <v>1</v>
      </c>
      <c r="W309">
        <v>1</v>
      </c>
      <c r="AA309">
        <v>-10812.8714</v>
      </c>
      <c r="AB309">
        <v>-10812.8714</v>
      </c>
      <c r="AC309">
        <v>-10812.8714</v>
      </c>
      <c r="AD309">
        <v>-10812.8714</v>
      </c>
      <c r="AE309">
        <v>-10812.8714</v>
      </c>
      <c r="AF309">
        <v>-798570.41119999997</v>
      </c>
    </row>
    <row r="310" spans="2:32" x14ac:dyDescent="0.25">
      <c r="B310">
        <f t="shared" si="12"/>
        <v>41</v>
      </c>
      <c r="C310">
        <v>1</v>
      </c>
      <c r="D310">
        <v>1</v>
      </c>
      <c r="E310">
        <v>1</v>
      </c>
      <c r="F310">
        <v>1</v>
      </c>
      <c r="G310">
        <v>1</v>
      </c>
      <c r="J310">
        <f t="shared" si="13"/>
        <v>41</v>
      </c>
      <c r="K310">
        <v>1</v>
      </c>
      <c r="L310">
        <v>1</v>
      </c>
      <c r="M310">
        <v>1</v>
      </c>
      <c r="N310">
        <v>1</v>
      </c>
      <c r="O310">
        <v>1</v>
      </c>
      <c r="R310">
        <f t="shared" si="14"/>
        <v>41</v>
      </c>
      <c r="S310">
        <v>1</v>
      </c>
      <c r="T310">
        <v>1</v>
      </c>
      <c r="U310">
        <v>1</v>
      </c>
      <c r="V310">
        <v>1</v>
      </c>
      <c r="W310">
        <v>1</v>
      </c>
      <c r="AA310">
        <v>-10706.559600000001</v>
      </c>
      <c r="AB310">
        <v>-10706.559600000001</v>
      </c>
      <c r="AC310">
        <v>-10706.559600000001</v>
      </c>
      <c r="AD310">
        <v>-10706.559600000001</v>
      </c>
      <c r="AE310">
        <v>-10706.559600000001</v>
      </c>
      <c r="AF310">
        <v>-803549.96459999995</v>
      </c>
    </row>
    <row r="311" spans="2:32" x14ac:dyDescent="0.25">
      <c r="B311">
        <f t="shared" si="12"/>
        <v>42</v>
      </c>
      <c r="C311">
        <v>1</v>
      </c>
      <c r="D311">
        <v>1</v>
      </c>
      <c r="E311">
        <v>1</v>
      </c>
      <c r="F311">
        <v>1</v>
      </c>
      <c r="G311">
        <v>1</v>
      </c>
      <c r="J311">
        <f t="shared" si="13"/>
        <v>42</v>
      </c>
      <c r="K311">
        <v>1</v>
      </c>
      <c r="L311">
        <v>1</v>
      </c>
      <c r="M311">
        <v>1</v>
      </c>
      <c r="N311">
        <v>1</v>
      </c>
      <c r="O311">
        <v>1</v>
      </c>
      <c r="R311">
        <f t="shared" si="14"/>
        <v>42</v>
      </c>
      <c r="S311">
        <v>1</v>
      </c>
      <c r="T311">
        <v>1</v>
      </c>
      <c r="U311">
        <v>1</v>
      </c>
      <c r="V311">
        <v>1</v>
      </c>
      <c r="W311">
        <v>1</v>
      </c>
      <c r="AA311">
        <v>-10597.8485</v>
      </c>
      <c r="AB311">
        <v>-10597.8485</v>
      </c>
      <c r="AC311">
        <v>-10597.8485</v>
      </c>
      <c r="AD311">
        <v>-10597.8485</v>
      </c>
      <c r="AE311">
        <v>-10597.8485</v>
      </c>
      <c r="AF311">
        <v>-833551.75890000002</v>
      </c>
    </row>
    <row r="312" spans="2:32" x14ac:dyDescent="0.25">
      <c r="B312">
        <f t="shared" si="12"/>
        <v>43</v>
      </c>
      <c r="C312">
        <v>1</v>
      </c>
      <c r="D312">
        <v>1</v>
      </c>
      <c r="E312">
        <v>1</v>
      </c>
      <c r="F312">
        <v>1</v>
      </c>
      <c r="G312">
        <v>1</v>
      </c>
      <c r="J312">
        <f t="shared" si="13"/>
        <v>43</v>
      </c>
      <c r="K312">
        <v>1</v>
      </c>
      <c r="L312">
        <v>1</v>
      </c>
      <c r="M312">
        <v>1</v>
      </c>
      <c r="N312">
        <v>1</v>
      </c>
      <c r="O312">
        <v>1</v>
      </c>
      <c r="R312">
        <f t="shared" si="14"/>
        <v>43</v>
      </c>
      <c r="S312">
        <v>1</v>
      </c>
      <c r="T312">
        <v>1</v>
      </c>
      <c r="U312">
        <v>1</v>
      </c>
      <c r="V312">
        <v>1</v>
      </c>
      <c r="W312">
        <v>1</v>
      </c>
      <c r="AA312">
        <v>-10486.615400000001</v>
      </c>
      <c r="AB312">
        <v>-10486.615400000001</v>
      </c>
      <c r="AC312">
        <v>-10486.615400000001</v>
      </c>
      <c r="AD312">
        <v>-10486.615400000001</v>
      </c>
      <c r="AE312">
        <v>-10486.615400000001</v>
      </c>
      <c r="AF312">
        <v>-844950.93949999998</v>
      </c>
    </row>
    <row r="313" spans="2:32" x14ac:dyDescent="0.25">
      <c r="B313">
        <f t="shared" si="12"/>
        <v>44</v>
      </c>
      <c r="C313">
        <v>1</v>
      </c>
      <c r="D313">
        <v>1</v>
      </c>
      <c r="E313">
        <v>1</v>
      </c>
      <c r="F313">
        <v>1</v>
      </c>
      <c r="G313">
        <v>1</v>
      </c>
      <c r="J313">
        <f t="shared" si="13"/>
        <v>44</v>
      </c>
      <c r="K313">
        <v>1</v>
      </c>
      <c r="L313">
        <v>1</v>
      </c>
      <c r="M313">
        <v>1</v>
      </c>
      <c r="N313">
        <v>1</v>
      </c>
      <c r="O313">
        <v>1</v>
      </c>
      <c r="R313">
        <f t="shared" si="14"/>
        <v>44</v>
      </c>
      <c r="S313">
        <v>1</v>
      </c>
      <c r="T313">
        <v>1</v>
      </c>
      <c r="U313">
        <v>1</v>
      </c>
      <c r="V313">
        <v>1</v>
      </c>
      <c r="W313">
        <v>1</v>
      </c>
      <c r="AA313">
        <v>-10372.9005</v>
      </c>
      <c r="AB313">
        <v>-10372.9005</v>
      </c>
      <c r="AC313">
        <v>-10372.9005</v>
      </c>
      <c r="AD313">
        <v>-10372.9005</v>
      </c>
      <c r="AE313">
        <v>-10372.9005</v>
      </c>
      <c r="AF313">
        <v>-851265.64670000004</v>
      </c>
    </row>
    <row r="314" spans="2:32" x14ac:dyDescent="0.25">
      <c r="B314">
        <f t="shared" si="12"/>
        <v>45</v>
      </c>
      <c r="C314">
        <v>1</v>
      </c>
      <c r="D314">
        <v>1</v>
      </c>
      <c r="E314">
        <v>1</v>
      </c>
      <c r="F314">
        <v>1</v>
      </c>
      <c r="G314">
        <v>1</v>
      </c>
      <c r="J314">
        <f t="shared" si="13"/>
        <v>45</v>
      </c>
      <c r="K314">
        <v>1</v>
      </c>
      <c r="L314">
        <v>1</v>
      </c>
      <c r="M314">
        <v>1</v>
      </c>
      <c r="N314">
        <v>1</v>
      </c>
      <c r="O314">
        <v>1</v>
      </c>
      <c r="R314">
        <f t="shared" si="14"/>
        <v>45</v>
      </c>
      <c r="S314">
        <v>1</v>
      </c>
      <c r="T314">
        <v>1</v>
      </c>
      <c r="U314">
        <v>1</v>
      </c>
      <c r="V314">
        <v>1</v>
      </c>
      <c r="W314">
        <v>1</v>
      </c>
      <c r="AA314">
        <v>-10256.650600000001</v>
      </c>
      <c r="AB314">
        <v>-10256.650600000001</v>
      </c>
      <c r="AC314">
        <v>-10256.650600000001</v>
      </c>
      <c r="AD314">
        <v>-10256.650600000001</v>
      </c>
      <c r="AE314">
        <v>-10256.650600000001</v>
      </c>
      <c r="AF314">
        <v>-870649.02139999997</v>
      </c>
    </row>
    <row r="315" spans="2:32" x14ac:dyDescent="0.25">
      <c r="B315">
        <f t="shared" si="12"/>
        <v>46</v>
      </c>
      <c r="C315">
        <v>1</v>
      </c>
      <c r="D315">
        <v>1</v>
      </c>
      <c r="E315">
        <v>1</v>
      </c>
      <c r="F315">
        <v>1</v>
      </c>
      <c r="G315">
        <v>1</v>
      </c>
      <c r="J315">
        <f t="shared" si="13"/>
        <v>46</v>
      </c>
      <c r="K315">
        <v>1</v>
      </c>
      <c r="L315">
        <v>1</v>
      </c>
      <c r="M315">
        <v>1</v>
      </c>
      <c r="N315">
        <v>1</v>
      </c>
      <c r="O315">
        <v>1</v>
      </c>
      <c r="R315">
        <f t="shared" si="14"/>
        <v>46</v>
      </c>
      <c r="S315">
        <v>1</v>
      </c>
      <c r="T315">
        <v>1</v>
      </c>
      <c r="U315">
        <v>1</v>
      </c>
      <c r="V315">
        <v>1</v>
      </c>
      <c r="W315">
        <v>1</v>
      </c>
      <c r="AA315">
        <v>-10137.871499999999</v>
      </c>
      <c r="AB315">
        <v>-10137.871499999999</v>
      </c>
      <c r="AC315">
        <v>-10137.871499999999</v>
      </c>
      <c r="AD315">
        <v>-10137.871499999999</v>
      </c>
      <c r="AE315">
        <v>-10137.871499999999</v>
      </c>
      <c r="AF315">
        <v>-892550.54509999999</v>
      </c>
    </row>
    <row r="316" spans="2:32" x14ac:dyDescent="0.25">
      <c r="B316">
        <f t="shared" si="12"/>
        <v>47</v>
      </c>
      <c r="C316">
        <v>1</v>
      </c>
      <c r="D316">
        <v>1</v>
      </c>
      <c r="E316">
        <v>1</v>
      </c>
      <c r="F316">
        <v>1</v>
      </c>
      <c r="G316">
        <v>1</v>
      </c>
      <c r="J316">
        <f t="shared" si="13"/>
        <v>47</v>
      </c>
      <c r="K316">
        <v>1</v>
      </c>
      <c r="L316">
        <v>1</v>
      </c>
      <c r="M316">
        <v>1</v>
      </c>
      <c r="N316">
        <v>1</v>
      </c>
      <c r="O316">
        <v>1</v>
      </c>
      <c r="R316">
        <f t="shared" si="14"/>
        <v>47</v>
      </c>
      <c r="S316">
        <v>1</v>
      </c>
      <c r="T316">
        <v>1</v>
      </c>
      <c r="U316">
        <v>1</v>
      </c>
      <c r="V316">
        <v>1</v>
      </c>
      <c r="W316">
        <v>1</v>
      </c>
      <c r="AA316">
        <v>-10016.4967</v>
      </c>
      <c r="AB316">
        <v>-10016.4967</v>
      </c>
      <c r="AC316">
        <v>-10016.4967</v>
      </c>
      <c r="AD316">
        <v>-10016.4967</v>
      </c>
      <c r="AE316">
        <v>-10016.4967</v>
      </c>
      <c r="AF316">
        <v>-910915.81969999999</v>
      </c>
    </row>
    <row r="317" spans="2:32" x14ac:dyDescent="0.25">
      <c r="B317">
        <f t="shared" si="12"/>
        <v>48</v>
      </c>
      <c r="C317">
        <v>1</v>
      </c>
      <c r="D317">
        <v>1</v>
      </c>
      <c r="E317">
        <v>1</v>
      </c>
      <c r="F317">
        <v>1</v>
      </c>
      <c r="G317">
        <v>1</v>
      </c>
      <c r="J317">
        <f t="shared" si="13"/>
        <v>48</v>
      </c>
      <c r="K317">
        <v>1</v>
      </c>
      <c r="L317">
        <v>1</v>
      </c>
      <c r="M317">
        <v>1</v>
      </c>
      <c r="N317">
        <v>1</v>
      </c>
      <c r="O317">
        <v>1</v>
      </c>
      <c r="R317">
        <f t="shared" si="14"/>
        <v>48</v>
      </c>
      <c r="S317">
        <v>1</v>
      </c>
      <c r="T317">
        <v>1</v>
      </c>
      <c r="U317">
        <v>1</v>
      </c>
      <c r="V317">
        <v>1</v>
      </c>
      <c r="W317">
        <v>1</v>
      </c>
      <c r="AA317">
        <v>-9892.6355000000003</v>
      </c>
      <c r="AB317">
        <v>-9892.6355000000003</v>
      </c>
      <c r="AC317">
        <v>-9892.6355000000003</v>
      </c>
      <c r="AD317">
        <v>-9892.6355000000003</v>
      </c>
      <c r="AE317">
        <v>-9892.6355000000003</v>
      </c>
      <c r="AF317">
        <v>-917891.87360000005</v>
      </c>
    </row>
    <row r="318" spans="2:32" x14ac:dyDescent="0.25">
      <c r="B318">
        <f t="shared" si="12"/>
        <v>49</v>
      </c>
      <c r="C318">
        <v>1</v>
      </c>
      <c r="D318">
        <v>1</v>
      </c>
      <c r="E318">
        <v>1</v>
      </c>
      <c r="F318">
        <v>1</v>
      </c>
      <c r="G318">
        <v>1</v>
      </c>
      <c r="J318">
        <f t="shared" si="13"/>
        <v>49</v>
      </c>
      <c r="K318">
        <v>1</v>
      </c>
      <c r="L318">
        <v>1</v>
      </c>
      <c r="M318">
        <v>1</v>
      </c>
      <c r="N318">
        <v>1</v>
      </c>
      <c r="O318">
        <v>1</v>
      </c>
      <c r="R318">
        <f t="shared" si="14"/>
        <v>49</v>
      </c>
      <c r="S318">
        <v>1</v>
      </c>
      <c r="T318">
        <v>1</v>
      </c>
      <c r="U318">
        <v>1</v>
      </c>
      <c r="V318">
        <v>1</v>
      </c>
      <c r="W318">
        <v>1</v>
      </c>
      <c r="AA318">
        <v>-9766.3366999999998</v>
      </c>
      <c r="AB318">
        <v>-9766.3366999999998</v>
      </c>
      <c r="AC318">
        <v>-9766.3366999999998</v>
      </c>
      <c r="AD318">
        <v>-9766.3366999999998</v>
      </c>
      <c r="AE318">
        <v>-9766.3366999999998</v>
      </c>
      <c r="AF318">
        <v>-944521.72470000002</v>
      </c>
    </row>
    <row r="319" spans="2:32" x14ac:dyDescent="0.25">
      <c r="B319">
        <f t="shared" si="12"/>
        <v>50</v>
      </c>
      <c r="C319">
        <v>1</v>
      </c>
      <c r="D319">
        <v>1</v>
      </c>
      <c r="E319">
        <v>1</v>
      </c>
      <c r="F319">
        <v>1</v>
      </c>
      <c r="G319">
        <v>1</v>
      </c>
      <c r="J319">
        <f t="shared" si="13"/>
        <v>50</v>
      </c>
      <c r="K319">
        <v>1</v>
      </c>
      <c r="L319">
        <v>1</v>
      </c>
      <c r="M319">
        <v>1</v>
      </c>
      <c r="N319">
        <v>1</v>
      </c>
      <c r="O319">
        <v>1</v>
      </c>
      <c r="R319">
        <f t="shared" si="14"/>
        <v>50</v>
      </c>
      <c r="S319">
        <v>1</v>
      </c>
      <c r="T319">
        <v>1</v>
      </c>
      <c r="U319">
        <v>1</v>
      </c>
      <c r="V319">
        <v>1</v>
      </c>
      <c r="W319">
        <v>1</v>
      </c>
      <c r="AA319">
        <v>-9637.5864000000001</v>
      </c>
      <c r="AB319">
        <v>-9637.5864000000001</v>
      </c>
      <c r="AC319">
        <v>-9637.5864000000001</v>
      </c>
      <c r="AD319">
        <v>-9637.5864000000001</v>
      </c>
      <c r="AE319">
        <v>-9637.5864000000001</v>
      </c>
      <c r="AF319">
        <v>-963257.14989999996</v>
      </c>
    </row>
    <row r="320" spans="2:32" x14ac:dyDescent="0.25">
      <c r="B320">
        <f t="shared" si="12"/>
        <v>51</v>
      </c>
      <c r="C320">
        <v>1</v>
      </c>
      <c r="D320">
        <v>1</v>
      </c>
      <c r="E320">
        <v>1</v>
      </c>
      <c r="F320">
        <v>1</v>
      </c>
      <c r="G320">
        <v>1</v>
      </c>
      <c r="J320">
        <f t="shared" si="13"/>
        <v>51</v>
      </c>
      <c r="K320">
        <v>1</v>
      </c>
      <c r="L320">
        <v>1</v>
      </c>
      <c r="M320">
        <v>1</v>
      </c>
      <c r="N320">
        <v>1</v>
      </c>
      <c r="O320">
        <v>1</v>
      </c>
      <c r="R320">
        <f t="shared" si="14"/>
        <v>51</v>
      </c>
      <c r="S320">
        <v>1</v>
      </c>
      <c r="T320">
        <v>1</v>
      </c>
      <c r="U320">
        <v>1</v>
      </c>
      <c r="V320">
        <v>1</v>
      </c>
      <c r="W320">
        <v>1</v>
      </c>
      <c r="AA320">
        <v>-9506.3734000000004</v>
      </c>
      <c r="AB320">
        <v>-9506.3734000000004</v>
      </c>
      <c r="AC320">
        <v>-9506.3734000000004</v>
      </c>
      <c r="AD320">
        <v>-9506.3734000000004</v>
      </c>
      <c r="AE320">
        <v>-9506.3734000000004</v>
      </c>
      <c r="AF320">
        <v>-981592.90729999996</v>
      </c>
    </row>
    <row r="321" spans="2:32" x14ac:dyDescent="0.25">
      <c r="B321">
        <f t="shared" si="12"/>
        <v>52</v>
      </c>
      <c r="C321">
        <v>1</v>
      </c>
      <c r="D321">
        <v>1</v>
      </c>
      <c r="E321">
        <v>1</v>
      </c>
      <c r="F321">
        <v>1</v>
      </c>
      <c r="G321">
        <v>1</v>
      </c>
      <c r="J321">
        <f t="shared" si="13"/>
        <v>52</v>
      </c>
      <c r="K321">
        <v>1</v>
      </c>
      <c r="L321">
        <v>1</v>
      </c>
      <c r="M321">
        <v>1</v>
      </c>
      <c r="N321">
        <v>1</v>
      </c>
      <c r="O321">
        <v>1</v>
      </c>
      <c r="R321">
        <f t="shared" si="14"/>
        <v>52</v>
      </c>
      <c r="S321">
        <v>1</v>
      </c>
      <c r="T321">
        <v>1</v>
      </c>
      <c r="U321">
        <v>1</v>
      </c>
      <c r="V321">
        <v>1</v>
      </c>
      <c r="W321">
        <v>1</v>
      </c>
      <c r="AA321">
        <v>-9372.7019</v>
      </c>
      <c r="AB321">
        <v>-9372.7019</v>
      </c>
      <c r="AC321">
        <v>-9372.7019</v>
      </c>
      <c r="AD321">
        <v>-9372.7019</v>
      </c>
      <c r="AE321">
        <v>-9372.7019</v>
      </c>
      <c r="AF321">
        <v>-998556.10360000003</v>
      </c>
    </row>
    <row r="322" spans="2:32" x14ac:dyDescent="0.25">
      <c r="B322">
        <f t="shared" si="12"/>
        <v>53</v>
      </c>
      <c r="C322">
        <v>1</v>
      </c>
      <c r="D322">
        <v>1</v>
      </c>
      <c r="E322">
        <v>1</v>
      </c>
      <c r="F322">
        <v>1</v>
      </c>
      <c r="G322">
        <v>1</v>
      </c>
      <c r="J322">
        <f t="shared" si="13"/>
        <v>53</v>
      </c>
      <c r="K322">
        <v>1</v>
      </c>
      <c r="L322">
        <v>1</v>
      </c>
      <c r="M322">
        <v>1</v>
      </c>
      <c r="N322">
        <v>1</v>
      </c>
      <c r="O322">
        <v>1</v>
      </c>
      <c r="R322">
        <f t="shared" si="14"/>
        <v>53</v>
      </c>
      <c r="S322">
        <v>1</v>
      </c>
      <c r="T322">
        <v>1</v>
      </c>
      <c r="U322">
        <v>1</v>
      </c>
      <c r="V322">
        <v>1</v>
      </c>
      <c r="W322">
        <v>1</v>
      </c>
      <c r="AA322">
        <v>-9236.6705000000002</v>
      </c>
      <c r="AB322">
        <v>-9236.6705000000002</v>
      </c>
      <c r="AC322">
        <v>-9236.6705000000002</v>
      </c>
      <c r="AD322">
        <v>-9236.6705000000002</v>
      </c>
      <c r="AE322">
        <v>-9236.6705000000002</v>
      </c>
      <c r="AF322">
        <v>-1015461.3278</v>
      </c>
    </row>
    <row r="323" spans="2:32" x14ac:dyDescent="0.25">
      <c r="B323">
        <f t="shared" si="12"/>
        <v>54</v>
      </c>
      <c r="C323">
        <v>1</v>
      </c>
      <c r="D323">
        <v>1</v>
      </c>
      <c r="E323">
        <v>1</v>
      </c>
      <c r="F323">
        <v>1</v>
      </c>
      <c r="G323">
        <v>1</v>
      </c>
      <c r="J323">
        <f t="shared" si="13"/>
        <v>54</v>
      </c>
      <c r="K323">
        <v>1</v>
      </c>
      <c r="L323">
        <v>1</v>
      </c>
      <c r="M323">
        <v>1</v>
      </c>
      <c r="N323">
        <v>1</v>
      </c>
      <c r="O323">
        <v>1</v>
      </c>
      <c r="R323">
        <f t="shared" si="14"/>
        <v>54</v>
      </c>
      <c r="S323">
        <v>1</v>
      </c>
      <c r="T323">
        <v>1</v>
      </c>
      <c r="U323">
        <v>1</v>
      </c>
      <c r="V323">
        <v>1</v>
      </c>
      <c r="W323">
        <v>1</v>
      </c>
      <c r="AA323">
        <v>-9098.4312000000009</v>
      </c>
      <c r="AB323">
        <v>-9098.4312000000009</v>
      </c>
      <c r="AC323">
        <v>-9098.4312000000009</v>
      </c>
      <c r="AD323">
        <v>-9098.4312000000009</v>
      </c>
      <c r="AE323">
        <v>-9098.4312000000009</v>
      </c>
      <c r="AF323">
        <v>-1033869.6813000001</v>
      </c>
    </row>
    <row r="324" spans="2:32" x14ac:dyDescent="0.25">
      <c r="B324">
        <f t="shared" si="12"/>
        <v>55</v>
      </c>
      <c r="C324">
        <v>1</v>
      </c>
      <c r="D324">
        <v>1</v>
      </c>
      <c r="E324">
        <v>1</v>
      </c>
      <c r="F324">
        <v>1</v>
      </c>
      <c r="G324">
        <v>1</v>
      </c>
      <c r="J324">
        <f t="shared" si="13"/>
        <v>55</v>
      </c>
      <c r="K324">
        <v>1</v>
      </c>
      <c r="L324">
        <v>1</v>
      </c>
      <c r="M324">
        <v>1</v>
      </c>
      <c r="N324">
        <v>1</v>
      </c>
      <c r="O324">
        <v>1</v>
      </c>
      <c r="R324">
        <f t="shared" si="14"/>
        <v>55</v>
      </c>
      <c r="S324">
        <v>1</v>
      </c>
      <c r="T324">
        <v>1</v>
      </c>
      <c r="U324">
        <v>1</v>
      </c>
      <c r="V324">
        <v>1</v>
      </c>
      <c r="W324">
        <v>1</v>
      </c>
      <c r="AA324">
        <v>-8958.0210999999999</v>
      </c>
      <c r="AB324">
        <v>-8958.0210999999999</v>
      </c>
      <c r="AC324">
        <v>-8958.0210999999999</v>
      </c>
      <c r="AD324">
        <v>-8958.0210999999999</v>
      </c>
      <c r="AE324">
        <v>-8958.0210999999999</v>
      </c>
      <c r="AF324">
        <v>-1050810.2549999999</v>
      </c>
    </row>
    <row r="325" spans="2:32" x14ac:dyDescent="0.25">
      <c r="B325">
        <f t="shared" si="12"/>
        <v>56</v>
      </c>
      <c r="C325">
        <v>1</v>
      </c>
      <c r="D325">
        <v>1</v>
      </c>
      <c r="E325">
        <v>1</v>
      </c>
      <c r="F325">
        <v>1</v>
      </c>
      <c r="G325">
        <v>1</v>
      </c>
      <c r="J325">
        <f t="shared" si="13"/>
        <v>56</v>
      </c>
      <c r="K325">
        <v>1</v>
      </c>
      <c r="L325">
        <v>1</v>
      </c>
      <c r="M325">
        <v>1</v>
      </c>
      <c r="N325">
        <v>1</v>
      </c>
      <c r="O325">
        <v>1</v>
      </c>
      <c r="R325">
        <f t="shared" si="14"/>
        <v>56</v>
      </c>
      <c r="S325">
        <v>1</v>
      </c>
      <c r="T325">
        <v>1</v>
      </c>
      <c r="U325">
        <v>1</v>
      </c>
      <c r="V325">
        <v>1</v>
      </c>
      <c r="W325">
        <v>1</v>
      </c>
      <c r="AA325">
        <v>-8815.6316999999999</v>
      </c>
      <c r="AB325">
        <v>-8815.6316999999999</v>
      </c>
      <c r="AC325">
        <v>-8815.6316999999999</v>
      </c>
      <c r="AD325">
        <v>-8815.6316999999999</v>
      </c>
      <c r="AE325">
        <v>-8815.6316999999999</v>
      </c>
      <c r="AF325">
        <v>-1073295.8774000001</v>
      </c>
    </row>
    <row r="326" spans="2:32" x14ac:dyDescent="0.25">
      <c r="B326">
        <f t="shared" si="12"/>
        <v>57</v>
      </c>
      <c r="C326">
        <v>1</v>
      </c>
      <c r="D326">
        <v>1</v>
      </c>
      <c r="E326">
        <v>1</v>
      </c>
      <c r="F326">
        <v>1</v>
      </c>
      <c r="G326">
        <v>1</v>
      </c>
      <c r="J326">
        <f t="shared" si="13"/>
        <v>57</v>
      </c>
      <c r="K326">
        <v>1</v>
      </c>
      <c r="L326">
        <v>1</v>
      </c>
      <c r="M326">
        <v>1</v>
      </c>
      <c r="N326">
        <v>1</v>
      </c>
      <c r="O326">
        <v>1</v>
      </c>
      <c r="R326">
        <f t="shared" si="14"/>
        <v>57</v>
      </c>
      <c r="S326">
        <v>1</v>
      </c>
      <c r="T326">
        <v>1</v>
      </c>
      <c r="U326">
        <v>1</v>
      </c>
      <c r="V326">
        <v>1</v>
      </c>
      <c r="W326">
        <v>1</v>
      </c>
      <c r="AA326">
        <v>-8671.3991999999998</v>
      </c>
      <c r="AB326">
        <v>-8671.3991999999998</v>
      </c>
      <c r="AC326">
        <v>-8671.3991999999998</v>
      </c>
      <c r="AD326">
        <v>-8671.3991999999998</v>
      </c>
      <c r="AE326">
        <v>-8671.3991999999998</v>
      </c>
      <c r="AF326">
        <v>-1093242.6832999999</v>
      </c>
    </row>
    <row r="327" spans="2:32" x14ac:dyDescent="0.25">
      <c r="B327">
        <f t="shared" si="12"/>
        <v>58</v>
      </c>
      <c r="C327">
        <v>1</v>
      </c>
      <c r="D327">
        <v>1</v>
      </c>
      <c r="E327">
        <v>1</v>
      </c>
      <c r="F327">
        <v>1</v>
      </c>
      <c r="G327">
        <v>1</v>
      </c>
      <c r="J327">
        <f t="shared" si="13"/>
        <v>58</v>
      </c>
      <c r="K327">
        <v>1</v>
      </c>
      <c r="L327">
        <v>1</v>
      </c>
      <c r="M327">
        <v>1</v>
      </c>
      <c r="N327">
        <v>1</v>
      </c>
      <c r="O327">
        <v>1</v>
      </c>
      <c r="R327">
        <f t="shared" si="14"/>
        <v>58</v>
      </c>
      <c r="S327">
        <v>1</v>
      </c>
      <c r="T327">
        <v>1</v>
      </c>
      <c r="U327">
        <v>1</v>
      </c>
      <c r="V327">
        <v>1</v>
      </c>
      <c r="W327">
        <v>1</v>
      </c>
      <c r="AA327">
        <v>-8525.2759999999998</v>
      </c>
      <c r="AB327">
        <v>-8525.2759999999998</v>
      </c>
      <c r="AC327">
        <v>-8525.2759999999998</v>
      </c>
      <c r="AD327">
        <v>-8525.2759999999998</v>
      </c>
      <c r="AE327">
        <v>-8525.2759999999998</v>
      </c>
      <c r="AF327">
        <v>-1114366.6444000001</v>
      </c>
    </row>
    <row r="328" spans="2:32" x14ac:dyDescent="0.25">
      <c r="B328">
        <f t="shared" si="12"/>
        <v>59</v>
      </c>
      <c r="C328">
        <v>1</v>
      </c>
      <c r="D328">
        <v>1</v>
      </c>
      <c r="E328">
        <v>1</v>
      </c>
      <c r="F328">
        <v>1</v>
      </c>
      <c r="G328">
        <v>1</v>
      </c>
      <c r="J328">
        <f t="shared" si="13"/>
        <v>59</v>
      </c>
      <c r="K328">
        <v>1</v>
      </c>
      <c r="L328">
        <v>1</v>
      </c>
      <c r="M328">
        <v>1</v>
      </c>
      <c r="N328">
        <v>1</v>
      </c>
      <c r="O328">
        <v>1</v>
      </c>
      <c r="R328">
        <f t="shared" si="14"/>
        <v>59</v>
      </c>
      <c r="S328">
        <v>1</v>
      </c>
      <c r="T328">
        <v>1</v>
      </c>
      <c r="U328">
        <v>1</v>
      </c>
      <c r="V328">
        <v>1</v>
      </c>
      <c r="W328">
        <v>1</v>
      </c>
      <c r="AA328">
        <v>-8377.2351999999992</v>
      </c>
      <c r="AB328">
        <v>-8377.2351999999992</v>
      </c>
      <c r="AC328">
        <v>-8377.2351999999992</v>
      </c>
      <c r="AD328">
        <v>-8377.2351999999992</v>
      </c>
      <c r="AE328">
        <v>-8377.2351999999992</v>
      </c>
      <c r="AF328">
        <v>-1136284.0146999999</v>
      </c>
    </row>
    <row r="329" spans="2:32" x14ac:dyDescent="0.25">
      <c r="B329">
        <f t="shared" si="12"/>
        <v>60</v>
      </c>
      <c r="C329">
        <v>1</v>
      </c>
      <c r="D329">
        <v>1</v>
      </c>
      <c r="E329">
        <v>1</v>
      </c>
      <c r="F329">
        <v>1</v>
      </c>
      <c r="G329">
        <v>1</v>
      </c>
      <c r="J329">
        <f t="shared" si="13"/>
        <v>60</v>
      </c>
      <c r="K329">
        <v>1</v>
      </c>
      <c r="L329">
        <v>1</v>
      </c>
      <c r="M329">
        <v>1</v>
      </c>
      <c r="N329">
        <v>1</v>
      </c>
      <c r="O329">
        <v>1</v>
      </c>
      <c r="R329">
        <f t="shared" si="14"/>
        <v>60</v>
      </c>
      <c r="S329">
        <v>1</v>
      </c>
      <c r="T329">
        <v>1</v>
      </c>
      <c r="U329">
        <v>1</v>
      </c>
      <c r="V329">
        <v>1</v>
      </c>
      <c r="W329">
        <v>1</v>
      </c>
      <c r="AA329">
        <v>-8227.3953999999994</v>
      </c>
      <c r="AB329">
        <v>-8227.3953999999994</v>
      </c>
      <c r="AC329">
        <v>-8227.3953999999994</v>
      </c>
      <c r="AD329">
        <v>-8227.3953999999994</v>
      </c>
      <c r="AE329">
        <v>-8227.3953999999994</v>
      </c>
      <c r="AF329">
        <v>-1157801.6717999999</v>
      </c>
    </row>
    <row r="330" spans="2:32" x14ac:dyDescent="0.25">
      <c r="B330">
        <f t="shared" si="12"/>
        <v>61</v>
      </c>
      <c r="C330">
        <v>1</v>
      </c>
      <c r="D330">
        <v>1</v>
      </c>
      <c r="E330">
        <v>1</v>
      </c>
      <c r="F330">
        <v>1</v>
      </c>
      <c r="G330">
        <v>1</v>
      </c>
      <c r="J330">
        <f t="shared" si="13"/>
        <v>61</v>
      </c>
      <c r="K330">
        <v>1</v>
      </c>
      <c r="L330">
        <v>1</v>
      </c>
      <c r="M330">
        <v>1</v>
      </c>
      <c r="N330">
        <v>1</v>
      </c>
      <c r="O330">
        <v>1</v>
      </c>
      <c r="R330">
        <f t="shared" si="14"/>
        <v>61</v>
      </c>
      <c r="S330">
        <v>1</v>
      </c>
      <c r="T330">
        <v>1</v>
      </c>
      <c r="U330">
        <v>1</v>
      </c>
      <c r="V330">
        <v>1</v>
      </c>
      <c r="W330">
        <v>1</v>
      </c>
      <c r="AA330">
        <v>-8076.1778999999997</v>
      </c>
      <c r="AB330">
        <v>-8076.1778999999997</v>
      </c>
      <c r="AC330">
        <v>-8076.1778999999997</v>
      </c>
      <c r="AD330">
        <v>-8076.1778999999997</v>
      </c>
      <c r="AE330">
        <v>-8076.1778999999997</v>
      </c>
      <c r="AF330">
        <v>-1178581.4038</v>
      </c>
    </row>
    <row r="331" spans="2:32" x14ac:dyDescent="0.25">
      <c r="B331">
        <f t="shared" si="12"/>
        <v>62</v>
      </c>
      <c r="C331">
        <v>1</v>
      </c>
      <c r="D331">
        <v>1</v>
      </c>
      <c r="E331">
        <v>1</v>
      </c>
      <c r="F331">
        <v>1</v>
      </c>
      <c r="G331">
        <v>1</v>
      </c>
      <c r="J331">
        <f t="shared" si="13"/>
        <v>62</v>
      </c>
      <c r="K331">
        <v>1</v>
      </c>
      <c r="L331">
        <v>1</v>
      </c>
      <c r="M331">
        <v>1</v>
      </c>
      <c r="N331">
        <v>1</v>
      </c>
      <c r="O331">
        <v>1</v>
      </c>
      <c r="R331">
        <f t="shared" si="14"/>
        <v>62</v>
      </c>
      <c r="S331">
        <v>1</v>
      </c>
      <c r="T331">
        <v>1</v>
      </c>
      <c r="U331">
        <v>1</v>
      </c>
      <c r="V331">
        <v>1</v>
      </c>
      <c r="W331">
        <v>1</v>
      </c>
      <c r="AA331">
        <v>-7923.5816000000004</v>
      </c>
      <c r="AB331">
        <v>-7923.5816000000004</v>
      </c>
      <c r="AC331">
        <v>-7923.5816000000004</v>
      </c>
      <c r="AD331">
        <v>-7923.5816000000004</v>
      </c>
      <c r="AE331">
        <v>-7923.5816000000004</v>
      </c>
      <c r="AF331">
        <v>-1199521.5327000001</v>
      </c>
    </row>
    <row r="332" spans="2:32" x14ac:dyDescent="0.25">
      <c r="B332">
        <f t="shared" si="12"/>
        <v>63</v>
      </c>
      <c r="C332">
        <v>1</v>
      </c>
      <c r="D332">
        <v>1</v>
      </c>
      <c r="E332">
        <v>1</v>
      </c>
      <c r="F332">
        <v>1</v>
      </c>
      <c r="G332">
        <v>1</v>
      </c>
      <c r="J332">
        <f t="shared" si="13"/>
        <v>63</v>
      </c>
      <c r="K332">
        <v>1</v>
      </c>
      <c r="L332">
        <v>1</v>
      </c>
      <c r="M332">
        <v>1</v>
      </c>
      <c r="N332">
        <v>1</v>
      </c>
      <c r="O332">
        <v>1</v>
      </c>
      <c r="R332">
        <f t="shared" si="14"/>
        <v>63</v>
      </c>
      <c r="S332">
        <v>1</v>
      </c>
      <c r="T332">
        <v>1</v>
      </c>
      <c r="U332">
        <v>1</v>
      </c>
      <c r="V332">
        <v>1</v>
      </c>
      <c r="W332">
        <v>1</v>
      </c>
      <c r="AA332">
        <v>-7769.2775000000001</v>
      </c>
      <c r="AB332">
        <v>-7769.2775000000001</v>
      </c>
      <c r="AC332">
        <v>-7769.2775000000001</v>
      </c>
      <c r="AD332">
        <v>-7769.2775000000001</v>
      </c>
      <c r="AE332">
        <v>-7769.2775000000001</v>
      </c>
      <c r="AF332">
        <v>-1220461.6269</v>
      </c>
    </row>
    <row r="333" spans="2:32" x14ac:dyDescent="0.25">
      <c r="B333">
        <f t="shared" si="12"/>
        <v>64</v>
      </c>
      <c r="C333">
        <v>1</v>
      </c>
      <c r="D333">
        <v>1</v>
      </c>
      <c r="E333">
        <v>1</v>
      </c>
      <c r="F333">
        <v>1</v>
      </c>
      <c r="G333">
        <v>1</v>
      </c>
      <c r="J333">
        <f t="shared" si="13"/>
        <v>64</v>
      </c>
      <c r="K333">
        <v>1</v>
      </c>
      <c r="L333">
        <v>1</v>
      </c>
      <c r="M333">
        <v>1</v>
      </c>
      <c r="N333">
        <v>1</v>
      </c>
      <c r="O333">
        <v>1</v>
      </c>
      <c r="R333">
        <f t="shared" si="14"/>
        <v>64</v>
      </c>
      <c r="S333">
        <v>1</v>
      </c>
      <c r="T333">
        <v>1</v>
      </c>
      <c r="U333">
        <v>1</v>
      </c>
      <c r="V333">
        <v>1</v>
      </c>
      <c r="W333">
        <v>1</v>
      </c>
      <c r="AA333">
        <v>-7613.3999000000003</v>
      </c>
      <c r="AB333">
        <v>-7613.3999000000003</v>
      </c>
      <c r="AC333">
        <v>-7613.3999000000003</v>
      </c>
      <c r="AD333">
        <v>-7613.3999000000003</v>
      </c>
      <c r="AE333">
        <v>-7613.3999000000003</v>
      </c>
      <c r="AF333">
        <v>-1240652.2526</v>
      </c>
    </row>
    <row r="334" spans="2:32" x14ac:dyDescent="0.25">
      <c r="B334">
        <f t="shared" si="12"/>
        <v>65</v>
      </c>
      <c r="C334">
        <v>1</v>
      </c>
      <c r="D334">
        <v>1</v>
      </c>
      <c r="E334">
        <v>1</v>
      </c>
      <c r="F334">
        <v>1</v>
      </c>
      <c r="G334">
        <v>1</v>
      </c>
      <c r="J334">
        <f t="shared" si="13"/>
        <v>65</v>
      </c>
      <c r="K334">
        <v>1</v>
      </c>
      <c r="L334">
        <v>1</v>
      </c>
      <c r="M334">
        <v>1</v>
      </c>
      <c r="N334">
        <v>1</v>
      </c>
      <c r="O334">
        <v>1</v>
      </c>
      <c r="R334">
        <f t="shared" si="14"/>
        <v>65</v>
      </c>
      <c r="S334">
        <v>1</v>
      </c>
      <c r="T334">
        <v>1</v>
      </c>
      <c r="U334">
        <v>1</v>
      </c>
      <c r="V334">
        <v>1</v>
      </c>
      <c r="W334">
        <v>1</v>
      </c>
      <c r="AA334">
        <v>-7455.8590000000004</v>
      </c>
      <c r="AB334">
        <v>-7455.8590000000004</v>
      </c>
      <c r="AC334">
        <v>-7455.8590000000004</v>
      </c>
      <c r="AD334">
        <v>-7455.8590000000004</v>
      </c>
      <c r="AE334">
        <v>-7455.8590000000004</v>
      </c>
      <c r="AF334">
        <v>-1260049.8302</v>
      </c>
    </row>
    <row r="337" spans="2:32" x14ac:dyDescent="0.25">
      <c r="B337" t="s">
        <v>46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47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48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32" x14ac:dyDescent="0.25">
      <c r="B338">
        <v>26</v>
      </c>
      <c r="C338">
        <v>1</v>
      </c>
      <c r="D338">
        <v>1</v>
      </c>
      <c r="E338">
        <v>1</v>
      </c>
      <c r="F338">
        <v>1</v>
      </c>
      <c r="G338">
        <v>1</v>
      </c>
      <c r="H338">
        <v>1</v>
      </c>
      <c r="J338">
        <v>26</v>
      </c>
      <c r="K338">
        <v>1</v>
      </c>
      <c r="L338">
        <v>1</v>
      </c>
      <c r="M338">
        <v>1</v>
      </c>
      <c r="N338">
        <v>1</v>
      </c>
      <c r="O338">
        <v>1</v>
      </c>
      <c r="P338">
        <v>1</v>
      </c>
      <c r="R338">
        <v>26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AA338">
        <v>-7435.5060999999996</v>
      </c>
      <c r="AB338">
        <v>-7435.5060999999996</v>
      </c>
      <c r="AC338">
        <v>-7435.5060999999996</v>
      </c>
      <c r="AD338">
        <v>-7435.5060999999996</v>
      </c>
      <c r="AE338">
        <v>-7435.5060999999996</v>
      </c>
      <c r="AF338">
        <v>-7435.5060999999996</v>
      </c>
    </row>
    <row r="339" spans="2:32" x14ac:dyDescent="0.25">
      <c r="B339">
        <v>27</v>
      </c>
      <c r="C339">
        <v>1</v>
      </c>
      <c r="D339">
        <v>1</v>
      </c>
      <c r="E339">
        <v>1</v>
      </c>
      <c r="F339">
        <v>1</v>
      </c>
      <c r="G339">
        <v>1</v>
      </c>
      <c r="H339">
        <v>1</v>
      </c>
      <c r="J339">
        <v>27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R339">
        <v>27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AA339">
        <v>-7434.2619000000004</v>
      </c>
      <c r="AB339">
        <v>-7434.2619000000004</v>
      </c>
      <c r="AC339">
        <v>-7434.2619000000004</v>
      </c>
      <c r="AD339">
        <v>-7434.2619000000004</v>
      </c>
      <c r="AE339">
        <v>-7434.2619000000004</v>
      </c>
      <c r="AF339">
        <v>-7434.2619000000004</v>
      </c>
    </row>
    <row r="340" spans="2:32" x14ac:dyDescent="0.25">
      <c r="B340">
        <v>28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1</v>
      </c>
      <c r="J340">
        <v>28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1</v>
      </c>
      <c r="R340">
        <v>28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AA340">
        <v>-7432.8334999999997</v>
      </c>
      <c r="AB340">
        <v>-7432.8334999999997</v>
      </c>
      <c r="AC340">
        <v>-7432.8334999999997</v>
      </c>
      <c r="AD340">
        <v>-7432.8334999999997</v>
      </c>
      <c r="AE340">
        <v>-7432.8334999999997</v>
      </c>
      <c r="AF340">
        <v>-7432.8334999999997</v>
      </c>
    </row>
    <row r="341" spans="2:32" x14ac:dyDescent="0.25">
      <c r="B341">
        <v>29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1</v>
      </c>
      <c r="J341">
        <v>29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R341">
        <v>29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AA341">
        <v>-7431.2058999999999</v>
      </c>
      <c r="AB341">
        <v>-7431.2058999999999</v>
      </c>
      <c r="AC341">
        <v>-7431.2058999999999</v>
      </c>
      <c r="AD341">
        <v>-7431.2058999999999</v>
      </c>
      <c r="AE341">
        <v>-7431.2058999999999</v>
      </c>
      <c r="AF341">
        <v>-7431.2058999999999</v>
      </c>
    </row>
    <row r="342" spans="2:32" x14ac:dyDescent="0.25">
      <c r="B342">
        <v>30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1</v>
      </c>
      <c r="J342">
        <v>30</v>
      </c>
      <c r="K342">
        <v>1</v>
      </c>
      <c r="L342">
        <v>1</v>
      </c>
      <c r="M342">
        <v>1</v>
      </c>
      <c r="N342">
        <v>1</v>
      </c>
      <c r="O342">
        <v>1</v>
      </c>
      <c r="P342">
        <v>1</v>
      </c>
      <c r="R342">
        <v>30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AA342">
        <v>-7429.3476000000001</v>
      </c>
      <c r="AB342">
        <v>-7429.3476000000001</v>
      </c>
      <c r="AC342">
        <v>-7429.3476000000001</v>
      </c>
      <c r="AD342">
        <v>-7429.3476000000001</v>
      </c>
      <c r="AE342">
        <v>-7429.3476000000001</v>
      </c>
      <c r="AF342">
        <v>-7429.3476000000001</v>
      </c>
    </row>
    <row r="343" spans="2:32" x14ac:dyDescent="0.25">
      <c r="B343">
        <v>31</v>
      </c>
      <c r="C343">
        <v>1</v>
      </c>
      <c r="D343">
        <v>1</v>
      </c>
      <c r="E343">
        <v>1</v>
      </c>
      <c r="F343">
        <v>1</v>
      </c>
      <c r="G343">
        <v>1</v>
      </c>
      <c r="H343">
        <v>1</v>
      </c>
      <c r="J343">
        <v>31</v>
      </c>
      <c r="K343">
        <v>1</v>
      </c>
      <c r="L343">
        <v>1</v>
      </c>
      <c r="M343">
        <v>1</v>
      </c>
      <c r="N343">
        <v>1</v>
      </c>
      <c r="O343">
        <v>1</v>
      </c>
      <c r="P343">
        <v>1</v>
      </c>
      <c r="R343">
        <v>31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AA343">
        <v>-7427.2446</v>
      </c>
      <c r="AB343">
        <v>-7427.2446</v>
      </c>
      <c r="AC343">
        <v>-7427.2446</v>
      </c>
      <c r="AD343">
        <v>-7427.2446</v>
      </c>
      <c r="AE343">
        <v>-7427.2446</v>
      </c>
      <c r="AF343">
        <v>-7427.2446</v>
      </c>
    </row>
    <row r="344" spans="2:32" x14ac:dyDescent="0.25">
      <c r="B344">
        <v>32</v>
      </c>
      <c r="C344">
        <v>1</v>
      </c>
      <c r="D344">
        <v>1</v>
      </c>
      <c r="E344">
        <v>1</v>
      </c>
      <c r="F344">
        <v>1</v>
      </c>
      <c r="G344">
        <v>1</v>
      </c>
      <c r="H344">
        <v>1</v>
      </c>
      <c r="J344">
        <v>32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R344">
        <v>32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AA344">
        <v>-7424.8944000000001</v>
      </c>
      <c r="AB344">
        <v>-7424.8944000000001</v>
      </c>
      <c r="AC344">
        <v>-7424.8944000000001</v>
      </c>
      <c r="AD344">
        <v>-7424.8944000000001</v>
      </c>
      <c r="AE344">
        <v>-7424.8944000000001</v>
      </c>
      <c r="AF344">
        <v>-7424.8944000000001</v>
      </c>
    </row>
    <row r="345" spans="2:32" x14ac:dyDescent="0.25">
      <c r="B345">
        <v>33</v>
      </c>
      <c r="C345">
        <v>1</v>
      </c>
      <c r="D345">
        <v>1</v>
      </c>
      <c r="E345">
        <v>1</v>
      </c>
      <c r="F345">
        <v>1</v>
      </c>
      <c r="G345">
        <v>1</v>
      </c>
      <c r="H345">
        <v>1</v>
      </c>
      <c r="J345">
        <v>33</v>
      </c>
      <c r="K345">
        <v>1</v>
      </c>
      <c r="L345">
        <v>1</v>
      </c>
      <c r="M345">
        <v>1</v>
      </c>
      <c r="N345">
        <v>1</v>
      </c>
      <c r="O345">
        <v>1</v>
      </c>
      <c r="P345">
        <v>1</v>
      </c>
      <c r="R345">
        <v>33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AA345">
        <v>-7422.2834000000003</v>
      </c>
      <c r="AB345">
        <v>-7422.2834000000003</v>
      </c>
      <c r="AC345">
        <v>-7422.2834000000003</v>
      </c>
      <c r="AD345">
        <v>-7422.2834000000003</v>
      </c>
      <c r="AE345">
        <v>-7422.2834000000003</v>
      </c>
      <c r="AF345">
        <v>-7422.2834000000003</v>
      </c>
    </row>
    <row r="346" spans="2:32" x14ac:dyDescent="0.25">
      <c r="B346">
        <v>34</v>
      </c>
      <c r="C346">
        <v>1</v>
      </c>
      <c r="D346">
        <v>1</v>
      </c>
      <c r="E346">
        <v>1</v>
      </c>
      <c r="F346">
        <v>1</v>
      </c>
      <c r="G346">
        <v>1</v>
      </c>
      <c r="H346">
        <v>1</v>
      </c>
      <c r="J346">
        <v>34</v>
      </c>
      <c r="K346">
        <v>1</v>
      </c>
      <c r="L346">
        <v>1</v>
      </c>
      <c r="M346">
        <v>1</v>
      </c>
      <c r="N346">
        <v>1</v>
      </c>
      <c r="O346">
        <v>1</v>
      </c>
      <c r="P346">
        <v>1</v>
      </c>
      <c r="R346">
        <v>34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AA346">
        <v>-7419.3683000000001</v>
      </c>
      <c r="AB346">
        <v>-7419.3683000000001</v>
      </c>
      <c r="AC346">
        <v>-7419.3683000000001</v>
      </c>
      <c r="AD346">
        <v>-7419.3683000000001</v>
      </c>
      <c r="AE346">
        <v>-7419.3683000000001</v>
      </c>
      <c r="AF346">
        <v>-7419.3683000000001</v>
      </c>
    </row>
    <row r="347" spans="2:32" x14ac:dyDescent="0.25">
      <c r="B347">
        <v>35</v>
      </c>
      <c r="C347">
        <v>1</v>
      </c>
      <c r="D347">
        <v>1</v>
      </c>
      <c r="E347">
        <v>1</v>
      </c>
      <c r="F347">
        <v>1</v>
      </c>
      <c r="G347">
        <v>1</v>
      </c>
      <c r="H347">
        <v>1</v>
      </c>
      <c r="J347">
        <v>35</v>
      </c>
      <c r="K347">
        <v>1</v>
      </c>
      <c r="L347">
        <v>1</v>
      </c>
      <c r="M347">
        <v>1</v>
      </c>
      <c r="N347">
        <v>1</v>
      </c>
      <c r="O347">
        <v>1</v>
      </c>
      <c r="P347">
        <v>1</v>
      </c>
      <c r="R347">
        <v>35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AA347">
        <v>-7416.1363000000001</v>
      </c>
      <c r="AB347">
        <v>-7416.1363000000001</v>
      </c>
      <c r="AC347">
        <v>-7416.1363000000001</v>
      </c>
      <c r="AD347">
        <v>-7416.1363000000001</v>
      </c>
      <c r="AE347">
        <v>-7416.1363000000001</v>
      </c>
      <c r="AF347">
        <v>-7416.1363000000001</v>
      </c>
    </row>
    <row r="348" spans="2:32" x14ac:dyDescent="0.25">
      <c r="B348">
        <v>36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1</v>
      </c>
      <c r="J348">
        <v>36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R348">
        <v>36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AA348">
        <v>-7412.5378000000001</v>
      </c>
      <c r="AB348">
        <v>-7412.5378000000001</v>
      </c>
      <c r="AC348">
        <v>-7412.5378000000001</v>
      </c>
      <c r="AD348">
        <v>-7412.5378000000001</v>
      </c>
      <c r="AE348">
        <v>-7412.5378000000001</v>
      </c>
      <c r="AF348">
        <v>-7412.5378000000001</v>
      </c>
    </row>
    <row r="349" spans="2:32" x14ac:dyDescent="0.25">
      <c r="B349">
        <v>37</v>
      </c>
      <c r="C349">
        <v>1</v>
      </c>
      <c r="D349">
        <v>1</v>
      </c>
      <c r="E349">
        <v>1</v>
      </c>
      <c r="F349">
        <v>1</v>
      </c>
      <c r="G349">
        <v>1</v>
      </c>
      <c r="H349">
        <v>1</v>
      </c>
      <c r="J349">
        <v>37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R349">
        <v>37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AA349">
        <v>-7408.55</v>
      </c>
      <c r="AB349">
        <v>-7408.55</v>
      </c>
      <c r="AC349">
        <v>-7408.55</v>
      </c>
      <c r="AD349">
        <v>-7408.55</v>
      </c>
      <c r="AE349">
        <v>-7408.55</v>
      </c>
      <c r="AF349">
        <v>-7408.55</v>
      </c>
    </row>
    <row r="350" spans="2:32" x14ac:dyDescent="0.25">
      <c r="B350">
        <v>38</v>
      </c>
      <c r="C350">
        <v>1</v>
      </c>
      <c r="D350">
        <v>1</v>
      </c>
      <c r="E350">
        <v>1</v>
      </c>
      <c r="F350">
        <v>1</v>
      </c>
      <c r="G350">
        <v>1</v>
      </c>
      <c r="H350">
        <v>1</v>
      </c>
      <c r="J350">
        <v>38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R350">
        <v>38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AA350">
        <v>-7404.1752999999999</v>
      </c>
      <c r="AB350">
        <v>-7404.1752999999999</v>
      </c>
      <c r="AC350">
        <v>-7404.1752999999999</v>
      </c>
      <c r="AD350">
        <v>-7404.1752999999999</v>
      </c>
      <c r="AE350">
        <v>-7404.1752999999999</v>
      </c>
      <c r="AF350">
        <v>-7404.1752999999999</v>
      </c>
    </row>
    <row r="351" spans="2:32" x14ac:dyDescent="0.25">
      <c r="B351">
        <v>39</v>
      </c>
      <c r="C351">
        <v>1</v>
      </c>
      <c r="D351">
        <v>1</v>
      </c>
      <c r="E351">
        <v>1</v>
      </c>
      <c r="F351">
        <v>1</v>
      </c>
      <c r="G351">
        <v>1</v>
      </c>
      <c r="H351">
        <v>1</v>
      </c>
      <c r="J351">
        <v>39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R351">
        <v>39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AA351">
        <v>-7399.3923999999997</v>
      </c>
      <c r="AB351">
        <v>-7399.3923999999997</v>
      </c>
      <c r="AC351">
        <v>-7399.3923999999997</v>
      </c>
      <c r="AD351">
        <v>-7399.3923999999997</v>
      </c>
      <c r="AE351">
        <v>-7399.3923999999997</v>
      </c>
      <c r="AF351">
        <v>-7399.3923999999997</v>
      </c>
    </row>
    <row r="352" spans="2:32" x14ac:dyDescent="0.25">
      <c r="B352">
        <v>40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1</v>
      </c>
      <c r="J352">
        <v>40</v>
      </c>
      <c r="K352">
        <v>1</v>
      </c>
      <c r="L352">
        <v>1</v>
      </c>
      <c r="M352">
        <v>1</v>
      </c>
      <c r="N352">
        <v>1</v>
      </c>
      <c r="O352">
        <v>1</v>
      </c>
      <c r="P352">
        <v>1</v>
      </c>
      <c r="R352">
        <v>40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AA352">
        <v>-7394.1365999999998</v>
      </c>
      <c r="AB352">
        <v>-7394.1365999999998</v>
      </c>
      <c r="AC352">
        <v>-7394.1365999999998</v>
      </c>
      <c r="AD352">
        <v>-7394.1365999999998</v>
      </c>
      <c r="AE352">
        <v>-7394.1365999999998</v>
      </c>
      <c r="AF352">
        <v>-7394.1365999999998</v>
      </c>
    </row>
    <row r="353" spans="2:32" x14ac:dyDescent="0.25">
      <c r="B353">
        <v>41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J353">
        <v>41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R353">
        <v>41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AA353">
        <v>-7388.3469999999998</v>
      </c>
      <c r="AB353">
        <v>-7388.3469999999998</v>
      </c>
      <c r="AC353">
        <v>-7388.3469999999998</v>
      </c>
      <c r="AD353">
        <v>-7388.3469999999998</v>
      </c>
      <c r="AE353">
        <v>-7388.3469999999998</v>
      </c>
      <c r="AF353">
        <v>-7388.3469999999998</v>
      </c>
    </row>
    <row r="354" spans="2:32" x14ac:dyDescent="0.25">
      <c r="B354">
        <v>42</v>
      </c>
      <c r="C354">
        <v>1</v>
      </c>
      <c r="D354">
        <v>1</v>
      </c>
      <c r="E354">
        <v>1</v>
      </c>
      <c r="F354">
        <v>1</v>
      </c>
      <c r="G354">
        <v>1</v>
      </c>
      <c r="H354">
        <v>1</v>
      </c>
      <c r="J354">
        <v>42</v>
      </c>
      <c r="K354">
        <v>1</v>
      </c>
      <c r="L354">
        <v>1</v>
      </c>
      <c r="M354">
        <v>1</v>
      </c>
      <c r="N354">
        <v>1</v>
      </c>
      <c r="O354">
        <v>1</v>
      </c>
      <c r="P354">
        <v>1</v>
      </c>
      <c r="R354">
        <v>42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AA354">
        <v>-7381.9919</v>
      </c>
      <c r="AB354">
        <v>-7381.9919</v>
      </c>
      <c r="AC354">
        <v>-7381.9919</v>
      </c>
      <c r="AD354">
        <v>-7381.9919</v>
      </c>
      <c r="AE354">
        <v>-7381.9919</v>
      </c>
      <c r="AF354">
        <v>-7381.9919</v>
      </c>
    </row>
    <row r="355" spans="2:32" x14ac:dyDescent="0.25">
      <c r="B355">
        <v>43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1</v>
      </c>
      <c r="J355">
        <v>43</v>
      </c>
      <c r="K355">
        <v>1</v>
      </c>
      <c r="L355">
        <v>1</v>
      </c>
      <c r="M355">
        <v>1</v>
      </c>
      <c r="N355">
        <v>1</v>
      </c>
      <c r="O355">
        <v>1</v>
      </c>
      <c r="P355">
        <v>1</v>
      </c>
      <c r="R355">
        <v>43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AA355">
        <v>-7374.9579999999996</v>
      </c>
      <c r="AB355">
        <v>-7374.9579999999996</v>
      </c>
      <c r="AC355">
        <v>-7374.9579999999996</v>
      </c>
      <c r="AD355">
        <v>-7374.9579999999996</v>
      </c>
      <c r="AE355">
        <v>-7374.9579999999996</v>
      </c>
      <c r="AF355">
        <v>-7374.9579999999996</v>
      </c>
    </row>
    <row r="356" spans="2:32" x14ac:dyDescent="0.25">
      <c r="B356">
        <v>44</v>
      </c>
      <c r="C356">
        <v>1</v>
      </c>
      <c r="D356">
        <v>1</v>
      </c>
      <c r="E356">
        <v>1</v>
      </c>
      <c r="F356">
        <v>1</v>
      </c>
      <c r="G356">
        <v>1</v>
      </c>
      <c r="H356">
        <v>1</v>
      </c>
      <c r="J356">
        <v>44</v>
      </c>
      <c r="K356">
        <v>1</v>
      </c>
      <c r="L356">
        <v>1</v>
      </c>
      <c r="M356">
        <v>1</v>
      </c>
      <c r="N356">
        <v>1</v>
      </c>
      <c r="O356">
        <v>1</v>
      </c>
      <c r="P356">
        <v>1</v>
      </c>
      <c r="R356">
        <v>44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AA356">
        <v>-7367.2034999999996</v>
      </c>
      <c r="AB356">
        <v>-7367.2034999999996</v>
      </c>
      <c r="AC356">
        <v>-7367.2034999999996</v>
      </c>
      <c r="AD356">
        <v>-7367.2034999999996</v>
      </c>
      <c r="AE356">
        <v>-7367.2034999999996</v>
      </c>
      <c r="AF356">
        <v>-7367.2034999999996</v>
      </c>
    </row>
    <row r="357" spans="2:32" x14ac:dyDescent="0.25">
      <c r="B357">
        <v>45</v>
      </c>
      <c r="C357">
        <v>1</v>
      </c>
      <c r="D357">
        <v>1</v>
      </c>
      <c r="E357">
        <v>1</v>
      </c>
      <c r="F357">
        <v>1</v>
      </c>
      <c r="G357">
        <v>1</v>
      </c>
      <c r="H357">
        <v>1</v>
      </c>
      <c r="J357">
        <v>45</v>
      </c>
      <c r="K357">
        <v>1</v>
      </c>
      <c r="L357">
        <v>1</v>
      </c>
      <c r="M357">
        <v>1</v>
      </c>
      <c r="N357">
        <v>1</v>
      </c>
      <c r="O357">
        <v>1</v>
      </c>
      <c r="P357">
        <v>1</v>
      </c>
      <c r="R357">
        <v>45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AA357">
        <v>-7358.6491999999998</v>
      </c>
      <c r="AB357">
        <v>-7358.6491999999998</v>
      </c>
      <c r="AC357">
        <v>-7358.6491999999998</v>
      </c>
      <c r="AD357">
        <v>-7358.6491999999998</v>
      </c>
      <c r="AE357">
        <v>-7358.6491999999998</v>
      </c>
      <c r="AF357">
        <v>-7358.6491999999998</v>
      </c>
    </row>
    <row r="358" spans="2:32" x14ac:dyDescent="0.25">
      <c r="B358">
        <v>46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1</v>
      </c>
      <c r="J358">
        <v>46</v>
      </c>
      <c r="K358">
        <v>1</v>
      </c>
      <c r="L358">
        <v>1</v>
      </c>
      <c r="M358">
        <v>1</v>
      </c>
      <c r="N358">
        <v>1</v>
      </c>
      <c r="O358">
        <v>1</v>
      </c>
      <c r="P358">
        <v>1</v>
      </c>
      <c r="R358">
        <v>46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AA358">
        <v>-7349.2232000000004</v>
      </c>
      <c r="AB358">
        <v>-7349.2232000000004</v>
      </c>
      <c r="AC358">
        <v>-7349.2232000000004</v>
      </c>
      <c r="AD358">
        <v>-7349.2232000000004</v>
      </c>
      <c r="AE358">
        <v>-7349.2232000000004</v>
      </c>
      <c r="AF358">
        <v>-7349.2232000000004</v>
      </c>
    </row>
    <row r="359" spans="2:32" x14ac:dyDescent="0.25">
      <c r="B359">
        <v>47</v>
      </c>
      <c r="C359">
        <v>1</v>
      </c>
      <c r="D359">
        <v>1</v>
      </c>
      <c r="E359">
        <v>1</v>
      </c>
      <c r="F359">
        <v>1</v>
      </c>
      <c r="G359">
        <v>1</v>
      </c>
      <c r="H359">
        <v>1</v>
      </c>
      <c r="J359">
        <v>47</v>
      </c>
      <c r="K359">
        <v>1</v>
      </c>
      <c r="L359">
        <v>1</v>
      </c>
      <c r="M359">
        <v>1</v>
      </c>
      <c r="N359">
        <v>1</v>
      </c>
      <c r="O359">
        <v>1</v>
      </c>
      <c r="P359">
        <v>1</v>
      </c>
      <c r="R359">
        <v>47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AA359">
        <v>-7338.8310000000001</v>
      </c>
      <c r="AB359">
        <v>-7338.8310000000001</v>
      </c>
      <c r="AC359">
        <v>-7338.8310000000001</v>
      </c>
      <c r="AD359">
        <v>-7338.8310000000001</v>
      </c>
      <c r="AE359">
        <v>-7338.8310000000001</v>
      </c>
      <c r="AF359">
        <v>-7338.8310000000001</v>
      </c>
    </row>
    <row r="360" spans="2:32" x14ac:dyDescent="0.25">
      <c r="B360">
        <v>48</v>
      </c>
      <c r="C360">
        <v>1</v>
      </c>
      <c r="D360">
        <v>1</v>
      </c>
      <c r="E360">
        <v>1</v>
      </c>
      <c r="F360">
        <v>1</v>
      </c>
      <c r="G360">
        <v>1</v>
      </c>
      <c r="H360">
        <v>1</v>
      </c>
      <c r="J360">
        <v>48</v>
      </c>
      <c r="K360">
        <v>1</v>
      </c>
      <c r="L360">
        <v>1</v>
      </c>
      <c r="M360">
        <v>1</v>
      </c>
      <c r="N360">
        <v>1</v>
      </c>
      <c r="O360">
        <v>1</v>
      </c>
      <c r="P360">
        <v>1</v>
      </c>
      <c r="R360">
        <v>48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AA360">
        <v>-7327.4297999999999</v>
      </c>
      <c r="AB360">
        <v>-7327.4297999999999</v>
      </c>
      <c r="AC360">
        <v>-7327.4297999999999</v>
      </c>
      <c r="AD360">
        <v>-7327.4297999999999</v>
      </c>
      <c r="AE360">
        <v>-7327.4297999999999</v>
      </c>
      <c r="AF360">
        <v>-7327.4297999999999</v>
      </c>
    </row>
    <row r="361" spans="2:32" x14ac:dyDescent="0.25">
      <c r="B361">
        <v>49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J361">
        <v>49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R361">
        <v>49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AA361">
        <v>-7314.951</v>
      </c>
      <c r="AB361">
        <v>-7314.951</v>
      </c>
      <c r="AC361">
        <v>-7314.951</v>
      </c>
      <c r="AD361">
        <v>-7314.951</v>
      </c>
      <c r="AE361">
        <v>-7314.951</v>
      </c>
      <c r="AF361">
        <v>-7314.951</v>
      </c>
    </row>
    <row r="362" spans="2:32" x14ac:dyDescent="0.25">
      <c r="B362">
        <v>50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1</v>
      </c>
      <c r="J362">
        <v>50</v>
      </c>
      <c r="K362">
        <v>1</v>
      </c>
      <c r="L362">
        <v>1</v>
      </c>
      <c r="M362">
        <v>1</v>
      </c>
      <c r="N362">
        <v>1</v>
      </c>
      <c r="O362">
        <v>1</v>
      </c>
      <c r="P362">
        <v>1</v>
      </c>
      <c r="R362">
        <v>50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AA362">
        <v>-7301.2851000000001</v>
      </c>
      <c r="AB362">
        <v>-7301.2851000000001</v>
      </c>
      <c r="AC362">
        <v>-7301.2851000000001</v>
      </c>
      <c r="AD362">
        <v>-7301.2851000000001</v>
      </c>
      <c r="AE362">
        <v>-7301.2851000000001</v>
      </c>
      <c r="AF362">
        <v>-7301.2851000000001</v>
      </c>
    </row>
    <row r="363" spans="2:32" x14ac:dyDescent="0.25">
      <c r="B363">
        <v>51</v>
      </c>
      <c r="C363">
        <v>1</v>
      </c>
      <c r="D363">
        <v>1</v>
      </c>
      <c r="E363">
        <v>1</v>
      </c>
      <c r="F363">
        <v>1</v>
      </c>
      <c r="G363">
        <v>1</v>
      </c>
      <c r="H363">
        <v>1</v>
      </c>
      <c r="J363">
        <v>51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R363">
        <v>51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AA363">
        <v>-7286.3271000000004</v>
      </c>
      <c r="AB363">
        <v>-7286.3271000000004</v>
      </c>
      <c r="AC363">
        <v>-7286.3271000000004</v>
      </c>
      <c r="AD363">
        <v>-7286.3271000000004</v>
      </c>
      <c r="AE363">
        <v>-7286.3271000000004</v>
      </c>
      <c r="AF363">
        <v>-7286.3271000000004</v>
      </c>
    </row>
    <row r="364" spans="2:32" x14ac:dyDescent="0.25">
      <c r="B364">
        <v>52</v>
      </c>
      <c r="C364">
        <v>1</v>
      </c>
      <c r="D364">
        <v>1</v>
      </c>
      <c r="E364">
        <v>1</v>
      </c>
      <c r="F364">
        <v>1</v>
      </c>
      <c r="G364">
        <v>1</v>
      </c>
      <c r="H364">
        <v>1</v>
      </c>
      <c r="J364">
        <v>52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R364">
        <v>52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AA364">
        <v>-7269.9448000000002</v>
      </c>
      <c r="AB364">
        <v>-7269.9448000000002</v>
      </c>
      <c r="AC364">
        <v>-7269.9448000000002</v>
      </c>
      <c r="AD364">
        <v>-7269.9448000000002</v>
      </c>
      <c r="AE364">
        <v>-7269.9448000000002</v>
      </c>
      <c r="AF364">
        <v>-7269.9448000000002</v>
      </c>
    </row>
    <row r="365" spans="2:32" x14ac:dyDescent="0.25">
      <c r="B365">
        <v>53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1</v>
      </c>
      <c r="J365">
        <v>53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R365">
        <v>53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AA365">
        <v>-7252.0574999999999</v>
      </c>
      <c r="AB365">
        <v>-7252.0574999999999</v>
      </c>
      <c r="AC365">
        <v>-7252.0574999999999</v>
      </c>
      <c r="AD365">
        <v>-7252.0574999999999</v>
      </c>
      <c r="AE365">
        <v>-7252.0574999999999</v>
      </c>
      <c r="AF365">
        <v>-7252.0574999999999</v>
      </c>
    </row>
    <row r="366" spans="2:32" x14ac:dyDescent="0.25">
      <c r="B366">
        <v>54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1</v>
      </c>
      <c r="J366">
        <v>54</v>
      </c>
      <c r="K366">
        <v>1</v>
      </c>
      <c r="L366">
        <v>1</v>
      </c>
      <c r="M366">
        <v>1</v>
      </c>
      <c r="N366">
        <v>1</v>
      </c>
      <c r="O366">
        <v>1</v>
      </c>
      <c r="P366">
        <v>1</v>
      </c>
      <c r="R366">
        <v>54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AA366">
        <v>-7232.5680000000002</v>
      </c>
      <c r="AB366">
        <v>-7232.5680000000002</v>
      </c>
      <c r="AC366">
        <v>-7232.5680000000002</v>
      </c>
      <c r="AD366">
        <v>-7232.5680000000002</v>
      </c>
      <c r="AE366">
        <v>-7232.5680000000002</v>
      </c>
      <c r="AF366">
        <v>-7232.5680000000002</v>
      </c>
    </row>
    <row r="367" spans="2:32" x14ac:dyDescent="0.25">
      <c r="B367">
        <v>55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1</v>
      </c>
      <c r="J367">
        <v>55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R367">
        <v>55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AA367">
        <v>-7211.3207000000002</v>
      </c>
      <c r="AB367">
        <v>-7211.3207000000002</v>
      </c>
      <c r="AC367">
        <v>-7211.3207000000002</v>
      </c>
      <c r="AD367">
        <v>-7211.3207000000002</v>
      </c>
      <c r="AE367">
        <v>-7211.3207000000002</v>
      </c>
      <c r="AF367">
        <v>-7211.3207000000002</v>
      </c>
    </row>
    <row r="370" spans="2:32" x14ac:dyDescent="0.25">
      <c r="B370" t="s">
        <v>46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32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48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2:32" x14ac:dyDescent="0.25">
      <c r="B371">
        <v>35</v>
      </c>
      <c r="C371">
        <v>1</v>
      </c>
      <c r="D371">
        <v>1</v>
      </c>
      <c r="E371">
        <v>1</v>
      </c>
      <c r="F371">
        <v>1</v>
      </c>
      <c r="G371">
        <v>1</v>
      </c>
      <c r="J371">
        <v>35</v>
      </c>
      <c r="K371">
        <v>1</v>
      </c>
      <c r="L371">
        <v>1</v>
      </c>
      <c r="M371">
        <v>1</v>
      </c>
      <c r="N371">
        <v>1</v>
      </c>
      <c r="O371">
        <v>1</v>
      </c>
      <c r="R371">
        <v>35</v>
      </c>
      <c r="S371">
        <v>1</v>
      </c>
      <c r="T371">
        <v>1</v>
      </c>
      <c r="U371">
        <v>1</v>
      </c>
      <c r="V371">
        <v>1</v>
      </c>
      <c r="W371">
        <v>1</v>
      </c>
      <c r="AA371">
        <v>-11308.6893</v>
      </c>
      <c r="AB371">
        <v>-11308.6893</v>
      </c>
      <c r="AC371">
        <v>-11308.6893</v>
      </c>
      <c r="AD371">
        <v>-11308.6893</v>
      </c>
      <c r="AE371">
        <v>-11308.6893</v>
      </c>
      <c r="AF371">
        <v>-759112.79520000005</v>
      </c>
    </row>
    <row r="372" spans="2:32" x14ac:dyDescent="0.25">
      <c r="B372">
        <f t="shared" ref="B372:B401" si="15">B371+1</f>
        <v>36</v>
      </c>
      <c r="C372">
        <v>1</v>
      </c>
      <c r="D372">
        <v>1</v>
      </c>
      <c r="E372">
        <v>1</v>
      </c>
      <c r="F372">
        <v>1</v>
      </c>
      <c r="G372">
        <v>1</v>
      </c>
      <c r="J372">
        <f t="shared" ref="J372:J401" si="16">J371+1</f>
        <v>36</v>
      </c>
      <c r="K372">
        <v>1</v>
      </c>
      <c r="L372">
        <v>1</v>
      </c>
      <c r="M372">
        <v>1</v>
      </c>
      <c r="N372">
        <v>1</v>
      </c>
      <c r="O372">
        <v>1</v>
      </c>
      <c r="R372">
        <f t="shared" ref="R372:R401" si="17">R371+1</f>
        <v>36</v>
      </c>
      <c r="S372">
        <v>1</v>
      </c>
      <c r="T372">
        <v>1</v>
      </c>
      <c r="U372">
        <v>1</v>
      </c>
      <c r="V372">
        <v>1</v>
      </c>
      <c r="W372">
        <v>1</v>
      </c>
      <c r="AA372">
        <v>-11214.2592</v>
      </c>
      <c r="AB372">
        <v>-11214.2592</v>
      </c>
      <c r="AC372">
        <v>-11214.2592</v>
      </c>
      <c r="AD372">
        <v>-11214.2592</v>
      </c>
      <c r="AE372">
        <v>-11214.2592</v>
      </c>
      <c r="AF372">
        <v>-737070.86179999996</v>
      </c>
    </row>
    <row r="373" spans="2:32" x14ac:dyDescent="0.25">
      <c r="B373">
        <f t="shared" si="15"/>
        <v>37</v>
      </c>
      <c r="C373">
        <v>1</v>
      </c>
      <c r="D373">
        <v>1</v>
      </c>
      <c r="E373">
        <v>1</v>
      </c>
      <c r="F373">
        <v>1</v>
      </c>
      <c r="G373">
        <v>1</v>
      </c>
      <c r="J373">
        <f t="shared" si="16"/>
        <v>37</v>
      </c>
      <c r="K373">
        <v>1</v>
      </c>
      <c r="L373">
        <v>1</v>
      </c>
      <c r="M373">
        <v>1</v>
      </c>
      <c r="N373">
        <v>1</v>
      </c>
      <c r="O373">
        <v>1</v>
      </c>
      <c r="R373">
        <f t="shared" si="17"/>
        <v>37</v>
      </c>
      <c r="S373">
        <v>1</v>
      </c>
      <c r="T373">
        <v>1</v>
      </c>
      <c r="U373">
        <v>1</v>
      </c>
      <c r="V373">
        <v>1</v>
      </c>
      <c r="W373">
        <v>1</v>
      </c>
      <c r="AA373">
        <v>-11117.406199999999</v>
      </c>
      <c r="AB373">
        <v>-11117.406199999999</v>
      </c>
      <c r="AC373">
        <v>-11117.406199999999</v>
      </c>
      <c r="AD373">
        <v>-11117.406199999999</v>
      </c>
      <c r="AE373">
        <v>-11117.406199999999</v>
      </c>
      <c r="AF373">
        <v>-765978.91940000001</v>
      </c>
    </row>
    <row r="374" spans="2:32" x14ac:dyDescent="0.25">
      <c r="B374">
        <f t="shared" si="15"/>
        <v>38</v>
      </c>
      <c r="C374">
        <v>1</v>
      </c>
      <c r="D374">
        <v>1</v>
      </c>
      <c r="E374">
        <v>1</v>
      </c>
      <c r="F374">
        <v>1</v>
      </c>
      <c r="G374">
        <v>1</v>
      </c>
      <c r="J374">
        <f t="shared" si="16"/>
        <v>38</v>
      </c>
      <c r="K374">
        <v>1</v>
      </c>
      <c r="L374">
        <v>1</v>
      </c>
      <c r="M374">
        <v>1</v>
      </c>
      <c r="N374">
        <v>1</v>
      </c>
      <c r="O374">
        <v>1</v>
      </c>
      <c r="R374">
        <f t="shared" si="17"/>
        <v>38</v>
      </c>
      <c r="S374">
        <v>1</v>
      </c>
      <c r="T374">
        <v>1</v>
      </c>
      <c r="U374">
        <v>1</v>
      </c>
      <c r="V374">
        <v>1</v>
      </c>
      <c r="W374">
        <v>1</v>
      </c>
      <c r="AA374">
        <v>-11018.229799999999</v>
      </c>
      <c r="AB374">
        <v>-11018.229799999999</v>
      </c>
      <c r="AC374">
        <v>-11018.229799999999</v>
      </c>
      <c r="AD374">
        <v>-11018.229799999999</v>
      </c>
      <c r="AE374">
        <v>-11018.229799999999</v>
      </c>
      <c r="AF374">
        <v>-783780.576</v>
      </c>
    </row>
    <row r="375" spans="2:32" x14ac:dyDescent="0.25">
      <c r="B375">
        <f t="shared" si="15"/>
        <v>39</v>
      </c>
      <c r="C375">
        <v>1</v>
      </c>
      <c r="D375">
        <v>1</v>
      </c>
      <c r="E375">
        <v>1</v>
      </c>
      <c r="F375">
        <v>1</v>
      </c>
      <c r="G375">
        <v>1</v>
      </c>
      <c r="J375">
        <f t="shared" si="16"/>
        <v>39</v>
      </c>
      <c r="K375">
        <v>1</v>
      </c>
      <c r="L375">
        <v>1</v>
      </c>
      <c r="M375">
        <v>1</v>
      </c>
      <c r="N375">
        <v>1</v>
      </c>
      <c r="O375">
        <v>1</v>
      </c>
      <c r="R375">
        <f t="shared" si="17"/>
        <v>39</v>
      </c>
      <c r="S375">
        <v>1</v>
      </c>
      <c r="T375">
        <v>1</v>
      </c>
      <c r="U375">
        <v>1</v>
      </c>
      <c r="V375">
        <v>1</v>
      </c>
      <c r="W375">
        <v>1</v>
      </c>
      <c r="AA375">
        <v>-10916.737999999999</v>
      </c>
      <c r="AB375">
        <v>-10916.737999999999</v>
      </c>
      <c r="AC375">
        <v>-10916.737999999999</v>
      </c>
      <c r="AD375">
        <v>-10916.737999999999</v>
      </c>
      <c r="AE375">
        <v>-10916.737999999999</v>
      </c>
      <c r="AF375">
        <v>-769662.22069999995</v>
      </c>
    </row>
    <row r="376" spans="2:32" x14ac:dyDescent="0.25">
      <c r="B376">
        <f t="shared" si="15"/>
        <v>40</v>
      </c>
      <c r="C376">
        <v>1</v>
      </c>
      <c r="D376">
        <v>1</v>
      </c>
      <c r="E376">
        <v>1</v>
      </c>
      <c r="F376">
        <v>1</v>
      </c>
      <c r="G376">
        <v>1</v>
      </c>
      <c r="J376">
        <f t="shared" si="16"/>
        <v>40</v>
      </c>
      <c r="K376">
        <v>1</v>
      </c>
      <c r="L376">
        <v>1</v>
      </c>
      <c r="M376">
        <v>1</v>
      </c>
      <c r="N376">
        <v>1</v>
      </c>
      <c r="O376">
        <v>1</v>
      </c>
      <c r="R376">
        <f t="shared" si="17"/>
        <v>40</v>
      </c>
      <c r="S376">
        <v>1</v>
      </c>
      <c r="T376">
        <v>1</v>
      </c>
      <c r="U376">
        <v>1</v>
      </c>
      <c r="V376">
        <v>1</v>
      </c>
      <c r="W376">
        <v>1</v>
      </c>
      <c r="AA376">
        <v>-10812.8714</v>
      </c>
      <c r="AB376">
        <v>-10812.8714</v>
      </c>
      <c r="AC376">
        <v>-10812.8714</v>
      </c>
      <c r="AD376">
        <v>-10812.8714</v>
      </c>
      <c r="AE376">
        <v>-10812.8714</v>
      </c>
      <c r="AF376">
        <v>-798570.41119999997</v>
      </c>
    </row>
    <row r="377" spans="2:32" x14ac:dyDescent="0.25">
      <c r="B377">
        <f t="shared" si="15"/>
        <v>41</v>
      </c>
      <c r="C377">
        <v>1</v>
      </c>
      <c r="D377">
        <v>1</v>
      </c>
      <c r="E377">
        <v>1</v>
      </c>
      <c r="F377">
        <v>1</v>
      </c>
      <c r="G377">
        <v>1</v>
      </c>
      <c r="J377">
        <f t="shared" si="16"/>
        <v>41</v>
      </c>
      <c r="K377">
        <v>1</v>
      </c>
      <c r="L377">
        <v>1</v>
      </c>
      <c r="M377">
        <v>1</v>
      </c>
      <c r="N377">
        <v>1</v>
      </c>
      <c r="O377">
        <v>1</v>
      </c>
      <c r="R377">
        <f t="shared" si="17"/>
        <v>41</v>
      </c>
      <c r="S377">
        <v>1</v>
      </c>
      <c r="T377">
        <v>1</v>
      </c>
      <c r="U377">
        <v>1</v>
      </c>
      <c r="V377">
        <v>1</v>
      </c>
      <c r="W377">
        <v>1</v>
      </c>
      <c r="AA377">
        <v>-10706.559600000001</v>
      </c>
      <c r="AB377">
        <v>-10706.559600000001</v>
      </c>
      <c r="AC377">
        <v>-10706.559600000001</v>
      </c>
      <c r="AD377">
        <v>-10706.559600000001</v>
      </c>
      <c r="AE377">
        <v>-10706.559600000001</v>
      </c>
      <c r="AF377">
        <v>-803549.96459999995</v>
      </c>
    </row>
    <row r="378" spans="2:32" x14ac:dyDescent="0.25">
      <c r="B378">
        <f t="shared" si="15"/>
        <v>42</v>
      </c>
      <c r="C378">
        <v>1</v>
      </c>
      <c r="D378">
        <v>1</v>
      </c>
      <c r="E378">
        <v>1</v>
      </c>
      <c r="F378">
        <v>1</v>
      </c>
      <c r="G378">
        <v>1</v>
      </c>
      <c r="J378">
        <f t="shared" si="16"/>
        <v>42</v>
      </c>
      <c r="K378">
        <v>1</v>
      </c>
      <c r="L378">
        <v>1</v>
      </c>
      <c r="M378">
        <v>1</v>
      </c>
      <c r="N378">
        <v>1</v>
      </c>
      <c r="O378">
        <v>1</v>
      </c>
      <c r="R378">
        <f t="shared" si="17"/>
        <v>42</v>
      </c>
      <c r="S378">
        <v>1</v>
      </c>
      <c r="T378">
        <v>1</v>
      </c>
      <c r="U378">
        <v>1</v>
      </c>
      <c r="V378">
        <v>1</v>
      </c>
      <c r="W378">
        <v>1</v>
      </c>
      <c r="AA378">
        <v>-10597.8485</v>
      </c>
      <c r="AB378">
        <v>-10597.8485</v>
      </c>
      <c r="AC378">
        <v>-10597.8485</v>
      </c>
      <c r="AD378">
        <v>-10597.8485</v>
      </c>
      <c r="AE378">
        <v>-10597.8485</v>
      </c>
      <c r="AF378">
        <v>-833551.75890000002</v>
      </c>
    </row>
    <row r="379" spans="2:32" x14ac:dyDescent="0.25">
      <c r="B379">
        <f t="shared" si="15"/>
        <v>43</v>
      </c>
      <c r="C379">
        <v>1</v>
      </c>
      <c r="D379">
        <v>1</v>
      </c>
      <c r="E379">
        <v>1</v>
      </c>
      <c r="F379">
        <v>1</v>
      </c>
      <c r="G379">
        <v>1</v>
      </c>
      <c r="J379">
        <f t="shared" si="16"/>
        <v>43</v>
      </c>
      <c r="K379">
        <v>1</v>
      </c>
      <c r="L379">
        <v>1</v>
      </c>
      <c r="M379">
        <v>1</v>
      </c>
      <c r="N379">
        <v>1</v>
      </c>
      <c r="O379">
        <v>1</v>
      </c>
      <c r="R379">
        <f t="shared" si="17"/>
        <v>43</v>
      </c>
      <c r="S379">
        <v>1</v>
      </c>
      <c r="T379">
        <v>1</v>
      </c>
      <c r="U379">
        <v>1</v>
      </c>
      <c r="V379">
        <v>1</v>
      </c>
      <c r="W379">
        <v>1</v>
      </c>
      <c r="AA379">
        <v>-10486.615400000001</v>
      </c>
      <c r="AB379">
        <v>-10486.615400000001</v>
      </c>
      <c r="AC379">
        <v>-10486.615400000001</v>
      </c>
      <c r="AD379">
        <v>-10486.615400000001</v>
      </c>
      <c r="AE379">
        <v>-10486.615400000001</v>
      </c>
      <c r="AF379">
        <v>-844950.93949999998</v>
      </c>
    </row>
    <row r="380" spans="2:32" x14ac:dyDescent="0.25">
      <c r="B380">
        <f t="shared" si="15"/>
        <v>44</v>
      </c>
      <c r="C380">
        <v>1</v>
      </c>
      <c r="D380">
        <v>1</v>
      </c>
      <c r="E380">
        <v>1</v>
      </c>
      <c r="F380">
        <v>1</v>
      </c>
      <c r="G380">
        <v>1</v>
      </c>
      <c r="J380">
        <f t="shared" si="16"/>
        <v>44</v>
      </c>
      <c r="K380">
        <v>1</v>
      </c>
      <c r="L380">
        <v>1</v>
      </c>
      <c r="M380">
        <v>1</v>
      </c>
      <c r="N380">
        <v>1</v>
      </c>
      <c r="O380">
        <v>1</v>
      </c>
      <c r="R380">
        <f t="shared" si="17"/>
        <v>44</v>
      </c>
      <c r="S380">
        <v>1</v>
      </c>
      <c r="T380">
        <v>1</v>
      </c>
      <c r="U380">
        <v>1</v>
      </c>
      <c r="V380">
        <v>1</v>
      </c>
      <c r="W380">
        <v>1</v>
      </c>
      <c r="AA380">
        <v>-10372.9005</v>
      </c>
      <c r="AB380">
        <v>-10372.9005</v>
      </c>
      <c r="AC380">
        <v>-10372.9005</v>
      </c>
      <c r="AD380">
        <v>-10372.9005</v>
      </c>
      <c r="AE380">
        <v>-10372.9005</v>
      </c>
      <c r="AF380">
        <v>-851265.64670000004</v>
      </c>
    </row>
    <row r="381" spans="2:32" x14ac:dyDescent="0.25">
      <c r="B381">
        <f t="shared" si="15"/>
        <v>45</v>
      </c>
      <c r="C381">
        <v>1</v>
      </c>
      <c r="D381">
        <v>1</v>
      </c>
      <c r="E381">
        <v>1</v>
      </c>
      <c r="F381">
        <v>1</v>
      </c>
      <c r="G381">
        <v>1</v>
      </c>
      <c r="J381">
        <f t="shared" si="16"/>
        <v>45</v>
      </c>
      <c r="K381">
        <v>1</v>
      </c>
      <c r="L381">
        <v>1</v>
      </c>
      <c r="M381">
        <v>1</v>
      </c>
      <c r="N381">
        <v>1</v>
      </c>
      <c r="O381">
        <v>1</v>
      </c>
      <c r="R381">
        <f t="shared" si="17"/>
        <v>45</v>
      </c>
      <c r="S381">
        <v>1</v>
      </c>
      <c r="T381">
        <v>1</v>
      </c>
      <c r="U381">
        <v>1</v>
      </c>
      <c r="V381">
        <v>1</v>
      </c>
      <c r="W381">
        <v>1</v>
      </c>
      <c r="AA381">
        <v>-10256.650600000001</v>
      </c>
      <c r="AB381">
        <v>-10256.650600000001</v>
      </c>
      <c r="AC381">
        <v>-10256.650600000001</v>
      </c>
      <c r="AD381">
        <v>-10256.650600000001</v>
      </c>
      <c r="AE381">
        <v>-10256.650600000001</v>
      </c>
      <c r="AF381">
        <v>-870649.02139999997</v>
      </c>
    </row>
    <row r="382" spans="2:32" x14ac:dyDescent="0.25">
      <c r="B382">
        <f t="shared" si="15"/>
        <v>46</v>
      </c>
      <c r="C382">
        <v>1</v>
      </c>
      <c r="D382">
        <v>1</v>
      </c>
      <c r="E382">
        <v>1</v>
      </c>
      <c r="F382">
        <v>1</v>
      </c>
      <c r="G382">
        <v>1</v>
      </c>
      <c r="J382">
        <f t="shared" si="16"/>
        <v>46</v>
      </c>
      <c r="K382">
        <v>1</v>
      </c>
      <c r="L382">
        <v>1</v>
      </c>
      <c r="M382">
        <v>1</v>
      </c>
      <c r="N382">
        <v>1</v>
      </c>
      <c r="O382">
        <v>1</v>
      </c>
      <c r="R382">
        <f t="shared" si="17"/>
        <v>46</v>
      </c>
      <c r="S382">
        <v>1</v>
      </c>
      <c r="T382">
        <v>1</v>
      </c>
      <c r="U382">
        <v>1</v>
      </c>
      <c r="V382">
        <v>1</v>
      </c>
      <c r="W382">
        <v>1</v>
      </c>
      <c r="AA382">
        <v>-10137.871499999999</v>
      </c>
      <c r="AB382">
        <v>-10137.871499999999</v>
      </c>
      <c r="AC382">
        <v>-10137.871499999999</v>
      </c>
      <c r="AD382">
        <v>-10137.871499999999</v>
      </c>
      <c r="AE382">
        <v>-10137.871499999999</v>
      </c>
      <c r="AF382">
        <v>-892550.54509999999</v>
      </c>
    </row>
    <row r="383" spans="2:32" x14ac:dyDescent="0.25">
      <c r="B383">
        <f t="shared" si="15"/>
        <v>47</v>
      </c>
      <c r="C383">
        <v>1</v>
      </c>
      <c r="D383">
        <v>1</v>
      </c>
      <c r="E383">
        <v>1</v>
      </c>
      <c r="F383">
        <v>1</v>
      </c>
      <c r="G383">
        <v>1</v>
      </c>
      <c r="J383">
        <f t="shared" si="16"/>
        <v>47</v>
      </c>
      <c r="K383">
        <v>1</v>
      </c>
      <c r="L383">
        <v>1</v>
      </c>
      <c r="M383">
        <v>1</v>
      </c>
      <c r="N383">
        <v>1</v>
      </c>
      <c r="O383">
        <v>1</v>
      </c>
      <c r="R383">
        <f t="shared" si="17"/>
        <v>47</v>
      </c>
      <c r="S383">
        <v>1</v>
      </c>
      <c r="T383">
        <v>1</v>
      </c>
      <c r="U383">
        <v>1</v>
      </c>
      <c r="V383">
        <v>1</v>
      </c>
      <c r="W383">
        <v>1</v>
      </c>
      <c r="AA383">
        <v>-10016.4967</v>
      </c>
      <c r="AB383">
        <v>-10016.4967</v>
      </c>
      <c r="AC383">
        <v>-10016.4967</v>
      </c>
      <c r="AD383">
        <v>-10016.4967</v>
      </c>
      <c r="AE383">
        <v>-10016.4967</v>
      </c>
      <c r="AF383">
        <v>-910915.81969999999</v>
      </c>
    </row>
    <row r="384" spans="2:32" x14ac:dyDescent="0.25">
      <c r="B384">
        <f t="shared" si="15"/>
        <v>48</v>
      </c>
      <c r="C384">
        <v>1</v>
      </c>
      <c r="D384">
        <v>1</v>
      </c>
      <c r="E384">
        <v>1</v>
      </c>
      <c r="F384">
        <v>1</v>
      </c>
      <c r="G384">
        <v>1</v>
      </c>
      <c r="J384">
        <f t="shared" si="16"/>
        <v>48</v>
      </c>
      <c r="K384">
        <v>1</v>
      </c>
      <c r="L384">
        <v>1</v>
      </c>
      <c r="M384">
        <v>1</v>
      </c>
      <c r="N384">
        <v>1</v>
      </c>
      <c r="O384">
        <v>1</v>
      </c>
      <c r="R384">
        <f t="shared" si="17"/>
        <v>48</v>
      </c>
      <c r="S384">
        <v>1</v>
      </c>
      <c r="T384">
        <v>1</v>
      </c>
      <c r="U384">
        <v>1</v>
      </c>
      <c r="V384">
        <v>1</v>
      </c>
      <c r="W384">
        <v>1</v>
      </c>
      <c r="AA384">
        <v>-9892.6355000000003</v>
      </c>
      <c r="AB384">
        <v>-9892.6355000000003</v>
      </c>
      <c r="AC384">
        <v>-9892.6355000000003</v>
      </c>
      <c r="AD384">
        <v>-9892.6355000000003</v>
      </c>
      <c r="AE384">
        <v>-9892.6355000000003</v>
      </c>
      <c r="AF384">
        <v>-917891.87360000005</v>
      </c>
    </row>
    <row r="385" spans="2:32" x14ac:dyDescent="0.25">
      <c r="B385">
        <f t="shared" si="15"/>
        <v>49</v>
      </c>
      <c r="C385">
        <v>1</v>
      </c>
      <c r="D385">
        <v>1</v>
      </c>
      <c r="E385">
        <v>1</v>
      </c>
      <c r="F385">
        <v>1</v>
      </c>
      <c r="G385">
        <v>1</v>
      </c>
      <c r="J385">
        <f t="shared" si="16"/>
        <v>49</v>
      </c>
      <c r="K385">
        <v>1</v>
      </c>
      <c r="L385">
        <v>1</v>
      </c>
      <c r="M385">
        <v>1</v>
      </c>
      <c r="N385">
        <v>1</v>
      </c>
      <c r="O385">
        <v>1</v>
      </c>
      <c r="R385">
        <f t="shared" si="17"/>
        <v>49</v>
      </c>
      <c r="S385">
        <v>1</v>
      </c>
      <c r="T385">
        <v>1</v>
      </c>
      <c r="U385">
        <v>1</v>
      </c>
      <c r="V385">
        <v>1</v>
      </c>
      <c r="W385">
        <v>1</v>
      </c>
      <c r="AA385">
        <v>-9766.3366999999998</v>
      </c>
      <c r="AB385">
        <v>-9766.3366999999998</v>
      </c>
      <c r="AC385">
        <v>-9766.3366999999998</v>
      </c>
      <c r="AD385">
        <v>-9766.3366999999998</v>
      </c>
      <c r="AE385">
        <v>-9766.3366999999998</v>
      </c>
      <c r="AF385">
        <v>-944521.72470000002</v>
      </c>
    </row>
    <row r="386" spans="2:32" x14ac:dyDescent="0.25">
      <c r="B386">
        <f t="shared" si="15"/>
        <v>50</v>
      </c>
      <c r="C386">
        <v>1</v>
      </c>
      <c r="D386">
        <v>1</v>
      </c>
      <c r="E386">
        <v>1</v>
      </c>
      <c r="F386">
        <v>1</v>
      </c>
      <c r="G386">
        <v>1</v>
      </c>
      <c r="J386">
        <f t="shared" si="16"/>
        <v>50</v>
      </c>
      <c r="K386">
        <v>1</v>
      </c>
      <c r="L386">
        <v>1</v>
      </c>
      <c r="M386">
        <v>1</v>
      </c>
      <c r="N386">
        <v>1</v>
      </c>
      <c r="O386">
        <v>1</v>
      </c>
      <c r="R386">
        <f t="shared" si="17"/>
        <v>50</v>
      </c>
      <c r="S386">
        <v>1</v>
      </c>
      <c r="T386">
        <v>1</v>
      </c>
      <c r="U386">
        <v>1</v>
      </c>
      <c r="V386">
        <v>1</v>
      </c>
      <c r="W386">
        <v>1</v>
      </c>
      <c r="AA386">
        <v>-9637.5864000000001</v>
      </c>
      <c r="AB386">
        <v>-9637.5864000000001</v>
      </c>
      <c r="AC386">
        <v>-9637.5864000000001</v>
      </c>
      <c r="AD386">
        <v>-9637.5864000000001</v>
      </c>
      <c r="AE386">
        <v>-9637.5864000000001</v>
      </c>
      <c r="AF386">
        <v>-963257.14989999996</v>
      </c>
    </row>
    <row r="387" spans="2:32" x14ac:dyDescent="0.25">
      <c r="B387">
        <f t="shared" si="15"/>
        <v>51</v>
      </c>
      <c r="C387">
        <v>1</v>
      </c>
      <c r="D387">
        <v>1</v>
      </c>
      <c r="E387">
        <v>1</v>
      </c>
      <c r="F387">
        <v>1</v>
      </c>
      <c r="G387">
        <v>1</v>
      </c>
      <c r="J387">
        <f t="shared" si="16"/>
        <v>51</v>
      </c>
      <c r="K387">
        <v>1</v>
      </c>
      <c r="L387">
        <v>1</v>
      </c>
      <c r="M387">
        <v>1</v>
      </c>
      <c r="N387">
        <v>1</v>
      </c>
      <c r="O387">
        <v>1</v>
      </c>
      <c r="R387">
        <f t="shared" si="17"/>
        <v>51</v>
      </c>
      <c r="S387">
        <v>1</v>
      </c>
      <c r="T387">
        <v>1</v>
      </c>
      <c r="U387">
        <v>1</v>
      </c>
      <c r="V387">
        <v>1</v>
      </c>
      <c r="W387">
        <v>1</v>
      </c>
      <c r="AA387">
        <v>-9506.3734000000004</v>
      </c>
      <c r="AB387">
        <v>-9506.3734000000004</v>
      </c>
      <c r="AC387">
        <v>-9506.3734000000004</v>
      </c>
      <c r="AD387">
        <v>-9506.3734000000004</v>
      </c>
      <c r="AE387">
        <v>-9506.3734000000004</v>
      </c>
      <c r="AF387">
        <v>-981592.90729999996</v>
      </c>
    </row>
    <row r="388" spans="2:32" x14ac:dyDescent="0.25">
      <c r="B388">
        <f t="shared" si="15"/>
        <v>52</v>
      </c>
      <c r="C388">
        <v>1</v>
      </c>
      <c r="D388">
        <v>1</v>
      </c>
      <c r="E388">
        <v>1</v>
      </c>
      <c r="F388">
        <v>1</v>
      </c>
      <c r="G388">
        <v>1</v>
      </c>
      <c r="J388">
        <f t="shared" si="16"/>
        <v>52</v>
      </c>
      <c r="K388">
        <v>1</v>
      </c>
      <c r="L388">
        <v>1</v>
      </c>
      <c r="M388">
        <v>1</v>
      </c>
      <c r="N388">
        <v>1</v>
      </c>
      <c r="O388">
        <v>1</v>
      </c>
      <c r="R388">
        <f t="shared" si="17"/>
        <v>52</v>
      </c>
      <c r="S388">
        <v>1</v>
      </c>
      <c r="T388">
        <v>1</v>
      </c>
      <c r="U388">
        <v>1</v>
      </c>
      <c r="V388">
        <v>1</v>
      </c>
      <c r="W388">
        <v>1</v>
      </c>
      <c r="AA388">
        <v>-9372.7019</v>
      </c>
      <c r="AB388">
        <v>-9372.7019</v>
      </c>
      <c r="AC388">
        <v>-9372.7019</v>
      </c>
      <c r="AD388">
        <v>-9372.7019</v>
      </c>
      <c r="AE388">
        <v>-9372.7019</v>
      </c>
      <c r="AF388">
        <v>-998556.10360000003</v>
      </c>
    </row>
    <row r="389" spans="2:32" x14ac:dyDescent="0.25">
      <c r="B389">
        <f t="shared" si="15"/>
        <v>53</v>
      </c>
      <c r="C389">
        <v>1</v>
      </c>
      <c r="D389">
        <v>1</v>
      </c>
      <c r="E389">
        <v>1</v>
      </c>
      <c r="F389">
        <v>1</v>
      </c>
      <c r="G389">
        <v>1</v>
      </c>
      <c r="J389">
        <f t="shared" si="16"/>
        <v>53</v>
      </c>
      <c r="K389">
        <v>1</v>
      </c>
      <c r="L389">
        <v>1</v>
      </c>
      <c r="M389">
        <v>1</v>
      </c>
      <c r="N389">
        <v>1</v>
      </c>
      <c r="O389">
        <v>1</v>
      </c>
      <c r="R389">
        <f t="shared" si="17"/>
        <v>53</v>
      </c>
      <c r="S389">
        <v>1</v>
      </c>
      <c r="T389">
        <v>1</v>
      </c>
      <c r="U389">
        <v>1</v>
      </c>
      <c r="V389">
        <v>1</v>
      </c>
      <c r="W389">
        <v>1</v>
      </c>
      <c r="AA389">
        <v>-9236.6705000000002</v>
      </c>
      <c r="AB389">
        <v>-9236.6705000000002</v>
      </c>
      <c r="AC389">
        <v>-9236.6705000000002</v>
      </c>
      <c r="AD389">
        <v>-9236.6705000000002</v>
      </c>
      <c r="AE389">
        <v>-9236.6705000000002</v>
      </c>
      <c r="AF389">
        <v>-1015461.3278</v>
      </c>
    </row>
    <row r="390" spans="2:32" x14ac:dyDescent="0.25">
      <c r="B390">
        <f t="shared" si="15"/>
        <v>54</v>
      </c>
      <c r="C390">
        <v>1</v>
      </c>
      <c r="D390">
        <v>1</v>
      </c>
      <c r="E390">
        <v>1</v>
      </c>
      <c r="F390">
        <v>1</v>
      </c>
      <c r="G390">
        <v>1</v>
      </c>
      <c r="J390">
        <f t="shared" si="16"/>
        <v>54</v>
      </c>
      <c r="K390">
        <v>1</v>
      </c>
      <c r="L390">
        <v>1</v>
      </c>
      <c r="M390">
        <v>1</v>
      </c>
      <c r="N390">
        <v>1</v>
      </c>
      <c r="O390">
        <v>1</v>
      </c>
      <c r="R390">
        <f t="shared" si="17"/>
        <v>54</v>
      </c>
      <c r="S390">
        <v>1</v>
      </c>
      <c r="T390">
        <v>1</v>
      </c>
      <c r="U390">
        <v>1</v>
      </c>
      <c r="V390">
        <v>1</v>
      </c>
      <c r="W390">
        <v>1</v>
      </c>
      <c r="AA390">
        <v>-9098.4312000000009</v>
      </c>
      <c r="AB390">
        <v>-9098.4312000000009</v>
      </c>
      <c r="AC390">
        <v>-9098.4312000000009</v>
      </c>
      <c r="AD390">
        <v>-9098.4312000000009</v>
      </c>
      <c r="AE390">
        <v>-9098.4312000000009</v>
      </c>
      <c r="AF390">
        <v>-1033869.6813000001</v>
      </c>
    </row>
    <row r="391" spans="2:32" x14ac:dyDescent="0.25">
      <c r="B391">
        <f t="shared" si="15"/>
        <v>55</v>
      </c>
      <c r="C391">
        <v>1</v>
      </c>
      <c r="D391">
        <v>1</v>
      </c>
      <c r="E391">
        <v>1</v>
      </c>
      <c r="F391">
        <v>1</v>
      </c>
      <c r="G391">
        <v>1</v>
      </c>
      <c r="J391">
        <f t="shared" si="16"/>
        <v>55</v>
      </c>
      <c r="K391">
        <v>1</v>
      </c>
      <c r="L391">
        <v>1</v>
      </c>
      <c r="M391">
        <v>1</v>
      </c>
      <c r="N391">
        <v>1</v>
      </c>
      <c r="O391">
        <v>1</v>
      </c>
      <c r="R391">
        <f t="shared" si="17"/>
        <v>55</v>
      </c>
      <c r="S391">
        <v>1</v>
      </c>
      <c r="T391">
        <v>1</v>
      </c>
      <c r="U391">
        <v>1</v>
      </c>
      <c r="V391">
        <v>1</v>
      </c>
      <c r="W391">
        <v>1</v>
      </c>
      <c r="AA391">
        <v>-8958.0210999999999</v>
      </c>
      <c r="AB391">
        <v>-8958.0210999999999</v>
      </c>
      <c r="AC391">
        <v>-8958.0210999999999</v>
      </c>
      <c r="AD391">
        <v>-8958.0210999999999</v>
      </c>
      <c r="AE391">
        <v>-8958.0210999999999</v>
      </c>
      <c r="AF391">
        <v>-1050810.2549999999</v>
      </c>
    </row>
    <row r="392" spans="2:32" x14ac:dyDescent="0.25">
      <c r="B392">
        <f t="shared" si="15"/>
        <v>56</v>
      </c>
      <c r="C392">
        <v>1</v>
      </c>
      <c r="D392">
        <v>1</v>
      </c>
      <c r="E392">
        <v>1</v>
      </c>
      <c r="F392">
        <v>1</v>
      </c>
      <c r="G392">
        <v>1</v>
      </c>
      <c r="J392">
        <f t="shared" si="16"/>
        <v>56</v>
      </c>
      <c r="K392">
        <v>1</v>
      </c>
      <c r="L392">
        <v>1</v>
      </c>
      <c r="M392">
        <v>1</v>
      </c>
      <c r="N392">
        <v>1</v>
      </c>
      <c r="O392">
        <v>1</v>
      </c>
      <c r="R392">
        <f t="shared" si="17"/>
        <v>56</v>
      </c>
      <c r="S392">
        <v>1</v>
      </c>
      <c r="T392">
        <v>1</v>
      </c>
      <c r="U392">
        <v>1</v>
      </c>
      <c r="V392">
        <v>1</v>
      </c>
      <c r="W392">
        <v>1</v>
      </c>
      <c r="AA392">
        <v>-8815.6316999999999</v>
      </c>
      <c r="AB392">
        <v>-8815.6316999999999</v>
      </c>
      <c r="AC392">
        <v>-8815.6316999999999</v>
      </c>
      <c r="AD392">
        <v>-8815.6316999999999</v>
      </c>
      <c r="AE392">
        <v>-8815.6316999999999</v>
      </c>
      <c r="AF392">
        <v>-1073295.8774000001</v>
      </c>
    </row>
    <row r="393" spans="2:32" x14ac:dyDescent="0.25">
      <c r="B393">
        <f t="shared" si="15"/>
        <v>57</v>
      </c>
      <c r="C393">
        <v>1</v>
      </c>
      <c r="D393">
        <v>1</v>
      </c>
      <c r="E393">
        <v>1</v>
      </c>
      <c r="F393">
        <v>1</v>
      </c>
      <c r="G393">
        <v>1</v>
      </c>
      <c r="J393">
        <f t="shared" si="16"/>
        <v>57</v>
      </c>
      <c r="K393">
        <v>1</v>
      </c>
      <c r="L393">
        <v>1</v>
      </c>
      <c r="M393">
        <v>1</v>
      </c>
      <c r="N393">
        <v>1</v>
      </c>
      <c r="O393">
        <v>1</v>
      </c>
      <c r="R393">
        <f t="shared" si="17"/>
        <v>57</v>
      </c>
      <c r="S393">
        <v>1</v>
      </c>
      <c r="T393">
        <v>1</v>
      </c>
      <c r="U393">
        <v>1</v>
      </c>
      <c r="V393">
        <v>1</v>
      </c>
      <c r="W393">
        <v>1</v>
      </c>
      <c r="AA393">
        <v>-8671.3991999999998</v>
      </c>
      <c r="AB393">
        <v>-8671.3991999999998</v>
      </c>
      <c r="AC393">
        <v>-8671.3991999999998</v>
      </c>
      <c r="AD393">
        <v>-8671.3991999999998</v>
      </c>
      <c r="AE393">
        <v>-8671.3991999999998</v>
      </c>
      <c r="AF393">
        <v>-1093242.6832999999</v>
      </c>
    </row>
    <row r="394" spans="2:32" x14ac:dyDescent="0.25">
      <c r="B394">
        <f t="shared" si="15"/>
        <v>58</v>
      </c>
      <c r="C394">
        <v>1</v>
      </c>
      <c r="D394">
        <v>1</v>
      </c>
      <c r="E394">
        <v>1</v>
      </c>
      <c r="F394">
        <v>1</v>
      </c>
      <c r="G394">
        <v>1</v>
      </c>
      <c r="J394">
        <f t="shared" si="16"/>
        <v>58</v>
      </c>
      <c r="K394">
        <v>1</v>
      </c>
      <c r="L394">
        <v>1</v>
      </c>
      <c r="M394">
        <v>1</v>
      </c>
      <c r="N394">
        <v>1</v>
      </c>
      <c r="O394">
        <v>1</v>
      </c>
      <c r="R394">
        <f t="shared" si="17"/>
        <v>58</v>
      </c>
      <c r="S394">
        <v>1</v>
      </c>
      <c r="T394">
        <v>1</v>
      </c>
      <c r="U394">
        <v>1</v>
      </c>
      <c r="V394">
        <v>1</v>
      </c>
      <c r="W394">
        <v>1</v>
      </c>
      <c r="AA394">
        <v>-8525.2759999999998</v>
      </c>
      <c r="AB394">
        <v>-8525.2759999999998</v>
      </c>
      <c r="AC394">
        <v>-8525.2759999999998</v>
      </c>
      <c r="AD394">
        <v>-8525.2759999999998</v>
      </c>
      <c r="AE394">
        <v>-8525.2759999999998</v>
      </c>
      <c r="AF394">
        <v>-1114366.6444000001</v>
      </c>
    </row>
    <row r="395" spans="2:32" x14ac:dyDescent="0.25">
      <c r="B395">
        <f t="shared" si="15"/>
        <v>59</v>
      </c>
      <c r="C395">
        <v>1</v>
      </c>
      <c r="D395">
        <v>1</v>
      </c>
      <c r="E395">
        <v>1</v>
      </c>
      <c r="F395">
        <v>1</v>
      </c>
      <c r="G395">
        <v>1</v>
      </c>
      <c r="J395">
        <f t="shared" si="16"/>
        <v>59</v>
      </c>
      <c r="K395">
        <v>1</v>
      </c>
      <c r="L395">
        <v>1</v>
      </c>
      <c r="M395">
        <v>1</v>
      </c>
      <c r="N395">
        <v>1</v>
      </c>
      <c r="O395">
        <v>1</v>
      </c>
      <c r="R395">
        <f t="shared" si="17"/>
        <v>59</v>
      </c>
      <c r="S395">
        <v>1</v>
      </c>
      <c r="T395">
        <v>1</v>
      </c>
      <c r="U395">
        <v>1</v>
      </c>
      <c r="V395">
        <v>1</v>
      </c>
      <c r="W395">
        <v>1</v>
      </c>
      <c r="AA395">
        <v>-8377.2351999999992</v>
      </c>
      <c r="AB395">
        <v>-8377.2351999999992</v>
      </c>
      <c r="AC395">
        <v>-8377.2351999999992</v>
      </c>
      <c r="AD395">
        <v>-8377.2351999999992</v>
      </c>
      <c r="AE395">
        <v>-8377.2351999999992</v>
      </c>
      <c r="AF395">
        <v>-1136284.0146999999</v>
      </c>
    </row>
    <row r="396" spans="2:32" x14ac:dyDescent="0.25">
      <c r="B396">
        <f t="shared" si="15"/>
        <v>60</v>
      </c>
      <c r="C396">
        <v>1</v>
      </c>
      <c r="D396">
        <v>1</v>
      </c>
      <c r="E396">
        <v>1</v>
      </c>
      <c r="F396">
        <v>1</v>
      </c>
      <c r="G396">
        <v>1</v>
      </c>
      <c r="J396">
        <f t="shared" si="16"/>
        <v>60</v>
      </c>
      <c r="K396">
        <v>1</v>
      </c>
      <c r="L396">
        <v>1</v>
      </c>
      <c r="M396">
        <v>1</v>
      </c>
      <c r="N396">
        <v>1</v>
      </c>
      <c r="O396">
        <v>1</v>
      </c>
      <c r="R396">
        <f t="shared" si="17"/>
        <v>60</v>
      </c>
      <c r="S396">
        <v>1</v>
      </c>
      <c r="T396">
        <v>1</v>
      </c>
      <c r="U396">
        <v>1</v>
      </c>
      <c r="V396">
        <v>1</v>
      </c>
      <c r="W396">
        <v>1</v>
      </c>
      <c r="AA396">
        <v>-8227.3953999999994</v>
      </c>
      <c r="AB396">
        <v>-8227.3953999999994</v>
      </c>
      <c r="AC396">
        <v>-8227.3953999999994</v>
      </c>
      <c r="AD396">
        <v>-8227.3953999999994</v>
      </c>
      <c r="AE396">
        <v>-8227.3953999999994</v>
      </c>
      <c r="AF396">
        <v>-1157801.6717999999</v>
      </c>
    </row>
    <row r="397" spans="2:32" x14ac:dyDescent="0.25">
      <c r="B397">
        <f t="shared" si="15"/>
        <v>61</v>
      </c>
      <c r="C397">
        <v>1</v>
      </c>
      <c r="D397">
        <v>1</v>
      </c>
      <c r="E397">
        <v>1</v>
      </c>
      <c r="F397">
        <v>1</v>
      </c>
      <c r="G397">
        <v>1</v>
      </c>
      <c r="J397">
        <f t="shared" si="16"/>
        <v>61</v>
      </c>
      <c r="K397">
        <v>1</v>
      </c>
      <c r="L397">
        <v>1</v>
      </c>
      <c r="M397">
        <v>1</v>
      </c>
      <c r="N397">
        <v>1</v>
      </c>
      <c r="O397">
        <v>1</v>
      </c>
      <c r="R397">
        <f t="shared" si="17"/>
        <v>61</v>
      </c>
      <c r="S397">
        <v>1</v>
      </c>
      <c r="T397">
        <v>1</v>
      </c>
      <c r="U397">
        <v>1</v>
      </c>
      <c r="V397">
        <v>1</v>
      </c>
      <c r="W397">
        <v>1</v>
      </c>
      <c r="AA397">
        <v>-8076.1778999999997</v>
      </c>
      <c r="AB397">
        <v>-8076.1778999999997</v>
      </c>
      <c r="AC397">
        <v>-8076.1778999999997</v>
      </c>
      <c r="AD397">
        <v>-8076.1778999999997</v>
      </c>
      <c r="AE397">
        <v>-8076.1778999999997</v>
      </c>
      <c r="AF397">
        <v>-1178581.4038</v>
      </c>
    </row>
    <row r="398" spans="2:32" x14ac:dyDescent="0.25">
      <c r="B398">
        <f t="shared" si="15"/>
        <v>62</v>
      </c>
      <c r="C398">
        <v>1</v>
      </c>
      <c r="D398">
        <v>1</v>
      </c>
      <c r="E398">
        <v>1</v>
      </c>
      <c r="F398">
        <v>1</v>
      </c>
      <c r="G398">
        <v>1</v>
      </c>
      <c r="J398">
        <f t="shared" si="16"/>
        <v>62</v>
      </c>
      <c r="K398">
        <v>1</v>
      </c>
      <c r="L398">
        <v>1</v>
      </c>
      <c r="M398">
        <v>1</v>
      </c>
      <c r="N398">
        <v>1</v>
      </c>
      <c r="O398">
        <v>1</v>
      </c>
      <c r="R398">
        <f t="shared" si="17"/>
        <v>62</v>
      </c>
      <c r="S398">
        <v>1</v>
      </c>
      <c r="T398">
        <v>1</v>
      </c>
      <c r="U398">
        <v>1</v>
      </c>
      <c r="V398">
        <v>1</v>
      </c>
      <c r="W398">
        <v>1</v>
      </c>
      <c r="AA398">
        <v>-7923.5816000000004</v>
      </c>
      <c r="AB398">
        <v>-7923.5816000000004</v>
      </c>
      <c r="AC398">
        <v>-7923.5816000000004</v>
      </c>
      <c r="AD398">
        <v>-7923.5816000000004</v>
      </c>
      <c r="AE398">
        <v>-7923.5816000000004</v>
      </c>
      <c r="AF398">
        <v>-1199521.5327000001</v>
      </c>
    </row>
    <row r="399" spans="2:32" x14ac:dyDescent="0.25">
      <c r="B399">
        <f t="shared" si="15"/>
        <v>63</v>
      </c>
      <c r="C399">
        <v>1</v>
      </c>
      <c r="D399">
        <v>1</v>
      </c>
      <c r="E399">
        <v>1</v>
      </c>
      <c r="F399">
        <v>1</v>
      </c>
      <c r="G399">
        <v>1</v>
      </c>
      <c r="J399">
        <f t="shared" si="16"/>
        <v>63</v>
      </c>
      <c r="K399">
        <v>1</v>
      </c>
      <c r="L399">
        <v>1</v>
      </c>
      <c r="M399">
        <v>1</v>
      </c>
      <c r="N399">
        <v>1</v>
      </c>
      <c r="O399">
        <v>1</v>
      </c>
      <c r="R399">
        <f t="shared" si="17"/>
        <v>63</v>
      </c>
      <c r="S399">
        <v>1</v>
      </c>
      <c r="T399">
        <v>1</v>
      </c>
      <c r="U399">
        <v>1</v>
      </c>
      <c r="V399">
        <v>1</v>
      </c>
      <c r="W399">
        <v>1</v>
      </c>
      <c r="AA399">
        <v>-7769.2775000000001</v>
      </c>
      <c r="AB399">
        <v>-7769.2775000000001</v>
      </c>
      <c r="AC399">
        <v>-7769.2775000000001</v>
      </c>
      <c r="AD399">
        <v>-7769.2775000000001</v>
      </c>
      <c r="AE399">
        <v>-7769.2775000000001</v>
      </c>
      <c r="AF399">
        <v>-1220461.6269</v>
      </c>
    </row>
    <row r="400" spans="2:32" x14ac:dyDescent="0.25">
      <c r="B400">
        <f t="shared" si="15"/>
        <v>64</v>
      </c>
      <c r="C400">
        <v>1</v>
      </c>
      <c r="D400">
        <v>1</v>
      </c>
      <c r="E400">
        <v>1</v>
      </c>
      <c r="F400">
        <v>1</v>
      </c>
      <c r="G400">
        <v>1</v>
      </c>
      <c r="J400">
        <f t="shared" si="16"/>
        <v>64</v>
      </c>
      <c r="K400">
        <v>1</v>
      </c>
      <c r="L400">
        <v>1</v>
      </c>
      <c r="M400">
        <v>1</v>
      </c>
      <c r="N400">
        <v>1</v>
      </c>
      <c r="O400">
        <v>1</v>
      </c>
      <c r="R400">
        <f t="shared" si="17"/>
        <v>64</v>
      </c>
      <c r="S400">
        <v>1</v>
      </c>
      <c r="T400">
        <v>1</v>
      </c>
      <c r="U400">
        <v>1</v>
      </c>
      <c r="V400">
        <v>1</v>
      </c>
      <c r="W400">
        <v>1</v>
      </c>
      <c r="AA400">
        <v>-7613.3999000000003</v>
      </c>
      <c r="AB400">
        <v>-7613.3999000000003</v>
      </c>
      <c r="AC400">
        <v>-7613.3999000000003</v>
      </c>
      <c r="AD400">
        <v>-7613.3999000000003</v>
      </c>
      <c r="AE400">
        <v>-7613.3999000000003</v>
      </c>
      <c r="AF400">
        <v>-1240652.2526</v>
      </c>
    </row>
    <row r="401" spans="2:32" x14ac:dyDescent="0.25">
      <c r="B401">
        <f t="shared" si="15"/>
        <v>65</v>
      </c>
      <c r="C401">
        <v>1</v>
      </c>
      <c r="D401">
        <v>1</v>
      </c>
      <c r="E401">
        <v>1</v>
      </c>
      <c r="F401">
        <v>1</v>
      </c>
      <c r="G401">
        <v>1</v>
      </c>
      <c r="J401">
        <f t="shared" si="16"/>
        <v>65</v>
      </c>
      <c r="K401">
        <v>1</v>
      </c>
      <c r="L401">
        <v>1</v>
      </c>
      <c r="M401">
        <v>1</v>
      </c>
      <c r="N401">
        <v>1</v>
      </c>
      <c r="O401">
        <v>1</v>
      </c>
      <c r="R401">
        <f t="shared" si="17"/>
        <v>65</v>
      </c>
      <c r="S401">
        <v>1</v>
      </c>
      <c r="T401">
        <v>1</v>
      </c>
      <c r="U401">
        <v>1</v>
      </c>
      <c r="V401">
        <v>1</v>
      </c>
      <c r="W401">
        <v>1</v>
      </c>
      <c r="AA401">
        <v>-7455.8590000000004</v>
      </c>
      <c r="AB401">
        <v>-7455.8590000000004</v>
      </c>
      <c r="AC401">
        <v>-7455.8590000000004</v>
      </c>
      <c r="AD401">
        <v>-7455.8590000000004</v>
      </c>
      <c r="AE401">
        <v>-7455.8590000000004</v>
      </c>
      <c r="AF401">
        <v>-1260049.8302</v>
      </c>
    </row>
    <row r="404" spans="2:32" x14ac:dyDescent="0.25">
      <c r="B404" t="s">
        <v>46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47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48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2:32" x14ac:dyDescent="0.25">
      <c r="B405">
        <v>26</v>
      </c>
      <c r="C405">
        <v>1</v>
      </c>
      <c r="D405">
        <v>1</v>
      </c>
      <c r="E405">
        <v>1</v>
      </c>
      <c r="F405">
        <v>1</v>
      </c>
      <c r="G405">
        <v>1</v>
      </c>
      <c r="H405">
        <v>1</v>
      </c>
      <c r="J405">
        <v>26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R405">
        <v>26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AA405">
        <v>-7435.5060999999996</v>
      </c>
      <c r="AB405">
        <v>-7435.5060999999996</v>
      </c>
      <c r="AC405">
        <v>-7435.5060999999996</v>
      </c>
      <c r="AD405">
        <v>-7435.5060999999996</v>
      </c>
      <c r="AE405">
        <v>-7435.5060999999996</v>
      </c>
      <c r="AF405">
        <v>-7435.5060999999996</v>
      </c>
    </row>
    <row r="406" spans="2:32" x14ac:dyDescent="0.25">
      <c r="B406">
        <v>27</v>
      </c>
      <c r="C406">
        <v>1</v>
      </c>
      <c r="D406">
        <v>1</v>
      </c>
      <c r="E406">
        <v>1</v>
      </c>
      <c r="F406">
        <v>1</v>
      </c>
      <c r="G406">
        <v>1</v>
      </c>
      <c r="H406">
        <v>1</v>
      </c>
      <c r="J406">
        <v>27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R406">
        <v>27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AA406">
        <v>-7434.2619000000004</v>
      </c>
      <c r="AB406">
        <v>-7434.2619000000004</v>
      </c>
      <c r="AC406">
        <v>-7434.2619000000004</v>
      </c>
      <c r="AD406">
        <v>-7434.2619000000004</v>
      </c>
      <c r="AE406">
        <v>-7434.2619000000004</v>
      </c>
      <c r="AF406">
        <v>-7434.2619000000004</v>
      </c>
    </row>
    <row r="407" spans="2:32" x14ac:dyDescent="0.25">
      <c r="B407">
        <v>28</v>
      </c>
      <c r="C407">
        <v>1</v>
      </c>
      <c r="D407">
        <v>1</v>
      </c>
      <c r="E407">
        <v>1</v>
      </c>
      <c r="F407">
        <v>1</v>
      </c>
      <c r="G407">
        <v>1</v>
      </c>
      <c r="H407">
        <v>1</v>
      </c>
      <c r="J407">
        <v>28</v>
      </c>
      <c r="K407">
        <v>1</v>
      </c>
      <c r="L407">
        <v>1</v>
      </c>
      <c r="M407">
        <v>1</v>
      </c>
      <c r="N407">
        <v>1</v>
      </c>
      <c r="O407">
        <v>1</v>
      </c>
      <c r="P407">
        <v>1</v>
      </c>
      <c r="R407">
        <v>28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AA407">
        <v>-7432.8334999999997</v>
      </c>
      <c r="AB407">
        <v>-7432.8334999999997</v>
      </c>
      <c r="AC407">
        <v>-7432.8334999999997</v>
      </c>
      <c r="AD407">
        <v>-7432.8334999999997</v>
      </c>
      <c r="AE407">
        <v>-7432.8334999999997</v>
      </c>
      <c r="AF407">
        <v>-7432.8334999999997</v>
      </c>
    </row>
    <row r="408" spans="2:32" x14ac:dyDescent="0.25">
      <c r="B408">
        <v>29</v>
      </c>
      <c r="C408">
        <v>1</v>
      </c>
      <c r="D408">
        <v>1</v>
      </c>
      <c r="E408">
        <v>1</v>
      </c>
      <c r="F408">
        <v>1</v>
      </c>
      <c r="G408">
        <v>1</v>
      </c>
      <c r="H408">
        <v>1</v>
      </c>
      <c r="J408">
        <v>29</v>
      </c>
      <c r="K408">
        <v>1</v>
      </c>
      <c r="L408">
        <v>1</v>
      </c>
      <c r="M408">
        <v>1</v>
      </c>
      <c r="N408">
        <v>1</v>
      </c>
      <c r="O408">
        <v>1</v>
      </c>
      <c r="P408">
        <v>1</v>
      </c>
      <c r="R408">
        <v>29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AA408">
        <v>-7431.2058999999999</v>
      </c>
      <c r="AB408">
        <v>-7431.2058999999999</v>
      </c>
      <c r="AC408">
        <v>-7431.2058999999999</v>
      </c>
      <c r="AD408">
        <v>-7431.2058999999999</v>
      </c>
      <c r="AE408">
        <v>-7431.2058999999999</v>
      </c>
      <c r="AF408">
        <v>-7431.2058999999999</v>
      </c>
    </row>
    <row r="409" spans="2:32" x14ac:dyDescent="0.25">
      <c r="B409">
        <v>30</v>
      </c>
      <c r="C409">
        <v>1</v>
      </c>
      <c r="D409">
        <v>1</v>
      </c>
      <c r="E409">
        <v>1</v>
      </c>
      <c r="F409">
        <v>1</v>
      </c>
      <c r="G409">
        <v>1</v>
      </c>
      <c r="H409">
        <v>1</v>
      </c>
      <c r="J409">
        <v>30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R409">
        <v>30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AA409">
        <v>-7429.3476000000001</v>
      </c>
      <c r="AB409">
        <v>-7429.3476000000001</v>
      </c>
      <c r="AC409">
        <v>-7429.3476000000001</v>
      </c>
      <c r="AD409">
        <v>-7429.3476000000001</v>
      </c>
      <c r="AE409">
        <v>-7429.3476000000001</v>
      </c>
      <c r="AF409">
        <v>-7429.3476000000001</v>
      </c>
    </row>
    <row r="410" spans="2:32" x14ac:dyDescent="0.25">
      <c r="B410">
        <v>31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1</v>
      </c>
      <c r="J410">
        <v>31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R410">
        <v>31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AA410">
        <v>-7427.2446</v>
      </c>
      <c r="AB410">
        <v>-7427.2446</v>
      </c>
      <c r="AC410">
        <v>-7427.2446</v>
      </c>
      <c r="AD410">
        <v>-7427.2446</v>
      </c>
      <c r="AE410">
        <v>-7427.2446</v>
      </c>
      <c r="AF410">
        <v>-7427.2446</v>
      </c>
    </row>
    <row r="411" spans="2:32" x14ac:dyDescent="0.25">
      <c r="B411">
        <v>32</v>
      </c>
      <c r="C411">
        <v>1</v>
      </c>
      <c r="D411">
        <v>1</v>
      </c>
      <c r="E411">
        <v>1</v>
      </c>
      <c r="F411">
        <v>1</v>
      </c>
      <c r="G411">
        <v>1</v>
      </c>
      <c r="H411">
        <v>1</v>
      </c>
      <c r="J411">
        <v>32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R411">
        <v>32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AA411">
        <v>-7424.8944000000001</v>
      </c>
      <c r="AB411">
        <v>-7424.8944000000001</v>
      </c>
      <c r="AC411">
        <v>-7424.8944000000001</v>
      </c>
      <c r="AD411">
        <v>-7424.8944000000001</v>
      </c>
      <c r="AE411">
        <v>-7424.8944000000001</v>
      </c>
      <c r="AF411">
        <v>-7424.8944000000001</v>
      </c>
    </row>
    <row r="412" spans="2:32" x14ac:dyDescent="0.25">
      <c r="B412">
        <v>33</v>
      </c>
      <c r="C412">
        <v>1</v>
      </c>
      <c r="D412">
        <v>1</v>
      </c>
      <c r="E412">
        <v>1</v>
      </c>
      <c r="F412">
        <v>1</v>
      </c>
      <c r="G412">
        <v>1</v>
      </c>
      <c r="H412">
        <v>1</v>
      </c>
      <c r="J412">
        <v>33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R412">
        <v>33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AA412">
        <v>-7422.2834000000003</v>
      </c>
      <c r="AB412">
        <v>-7422.2834000000003</v>
      </c>
      <c r="AC412">
        <v>-7422.2834000000003</v>
      </c>
      <c r="AD412">
        <v>-7422.2834000000003</v>
      </c>
      <c r="AE412">
        <v>-7422.2834000000003</v>
      </c>
      <c r="AF412">
        <v>-7422.2834000000003</v>
      </c>
    </row>
    <row r="413" spans="2:32" x14ac:dyDescent="0.25">
      <c r="B413">
        <v>34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1</v>
      </c>
      <c r="J413">
        <v>34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R413">
        <v>34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AA413">
        <v>-7419.3683000000001</v>
      </c>
      <c r="AB413">
        <v>-7419.3683000000001</v>
      </c>
      <c r="AC413">
        <v>-7419.3683000000001</v>
      </c>
      <c r="AD413">
        <v>-7419.3683000000001</v>
      </c>
      <c r="AE413">
        <v>-7419.3683000000001</v>
      </c>
      <c r="AF413">
        <v>-7419.3683000000001</v>
      </c>
    </row>
    <row r="414" spans="2:32" x14ac:dyDescent="0.25">
      <c r="B414">
        <v>35</v>
      </c>
      <c r="C414">
        <v>1</v>
      </c>
      <c r="D414">
        <v>1</v>
      </c>
      <c r="E414">
        <v>1</v>
      </c>
      <c r="F414">
        <v>1</v>
      </c>
      <c r="G414">
        <v>1</v>
      </c>
      <c r="H414">
        <v>1</v>
      </c>
      <c r="J414">
        <v>35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R414">
        <v>35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AA414">
        <v>-7416.1363000000001</v>
      </c>
      <c r="AB414">
        <v>-7416.1363000000001</v>
      </c>
      <c r="AC414">
        <v>-7416.1363000000001</v>
      </c>
      <c r="AD414">
        <v>-7416.1363000000001</v>
      </c>
      <c r="AE414">
        <v>-7416.1363000000001</v>
      </c>
      <c r="AF414">
        <v>-7416.1363000000001</v>
      </c>
    </row>
    <row r="415" spans="2:32" x14ac:dyDescent="0.25">
      <c r="B415">
        <v>36</v>
      </c>
      <c r="C415">
        <v>1</v>
      </c>
      <c r="D415">
        <v>1</v>
      </c>
      <c r="E415">
        <v>1</v>
      </c>
      <c r="F415">
        <v>1</v>
      </c>
      <c r="G415">
        <v>1</v>
      </c>
      <c r="H415">
        <v>1</v>
      </c>
      <c r="J415">
        <v>36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R415">
        <v>36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AA415">
        <v>-7412.5378000000001</v>
      </c>
      <c r="AB415">
        <v>-7412.5378000000001</v>
      </c>
      <c r="AC415">
        <v>-7412.5378000000001</v>
      </c>
      <c r="AD415">
        <v>-7412.5378000000001</v>
      </c>
      <c r="AE415">
        <v>-7412.5378000000001</v>
      </c>
      <c r="AF415">
        <v>-7412.5378000000001</v>
      </c>
    </row>
    <row r="416" spans="2:32" x14ac:dyDescent="0.25">
      <c r="B416">
        <v>37</v>
      </c>
      <c r="C416">
        <v>1</v>
      </c>
      <c r="D416">
        <v>1</v>
      </c>
      <c r="E416">
        <v>1</v>
      </c>
      <c r="F416">
        <v>1</v>
      </c>
      <c r="G416">
        <v>1</v>
      </c>
      <c r="H416">
        <v>1</v>
      </c>
      <c r="J416">
        <v>37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R416">
        <v>37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AA416">
        <v>-7408.55</v>
      </c>
      <c r="AB416">
        <v>-7408.55</v>
      </c>
      <c r="AC416">
        <v>-7408.55</v>
      </c>
      <c r="AD416">
        <v>-7408.55</v>
      </c>
      <c r="AE416">
        <v>-7408.55</v>
      </c>
      <c r="AF416">
        <v>-7408.55</v>
      </c>
    </row>
    <row r="417" spans="2:32" x14ac:dyDescent="0.25">
      <c r="B417">
        <v>38</v>
      </c>
      <c r="C417">
        <v>1</v>
      </c>
      <c r="D417">
        <v>1</v>
      </c>
      <c r="E417">
        <v>1</v>
      </c>
      <c r="F417">
        <v>1</v>
      </c>
      <c r="G417">
        <v>1</v>
      </c>
      <c r="H417">
        <v>1</v>
      </c>
      <c r="J417">
        <v>38</v>
      </c>
      <c r="K417">
        <v>1</v>
      </c>
      <c r="L417">
        <v>1</v>
      </c>
      <c r="M417">
        <v>1</v>
      </c>
      <c r="N417">
        <v>1</v>
      </c>
      <c r="O417">
        <v>1</v>
      </c>
      <c r="P417">
        <v>1</v>
      </c>
      <c r="R417">
        <v>38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AA417">
        <v>-7404.1752999999999</v>
      </c>
      <c r="AB417">
        <v>-7404.1752999999999</v>
      </c>
      <c r="AC417">
        <v>-7404.1752999999999</v>
      </c>
      <c r="AD417">
        <v>-7404.1752999999999</v>
      </c>
      <c r="AE417">
        <v>-7404.1752999999999</v>
      </c>
      <c r="AF417">
        <v>-7404.1752999999999</v>
      </c>
    </row>
    <row r="418" spans="2:32" x14ac:dyDescent="0.25">
      <c r="B418">
        <v>39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1</v>
      </c>
      <c r="J418">
        <v>39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R418">
        <v>39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AA418">
        <v>-7399.3923999999997</v>
      </c>
      <c r="AB418">
        <v>-7399.3923999999997</v>
      </c>
      <c r="AC418">
        <v>-7399.3923999999997</v>
      </c>
      <c r="AD418">
        <v>-7399.3923999999997</v>
      </c>
      <c r="AE418">
        <v>-7399.3923999999997</v>
      </c>
      <c r="AF418">
        <v>-7399.3923999999997</v>
      </c>
    </row>
    <row r="419" spans="2:32" x14ac:dyDescent="0.25">
      <c r="B419">
        <v>40</v>
      </c>
      <c r="C419">
        <v>1</v>
      </c>
      <c r="D419">
        <v>1</v>
      </c>
      <c r="E419">
        <v>1</v>
      </c>
      <c r="F419">
        <v>1</v>
      </c>
      <c r="G419">
        <v>1</v>
      </c>
      <c r="H419">
        <v>1</v>
      </c>
      <c r="J419">
        <v>40</v>
      </c>
      <c r="K419">
        <v>1</v>
      </c>
      <c r="L419">
        <v>1</v>
      </c>
      <c r="M419">
        <v>1</v>
      </c>
      <c r="N419">
        <v>1</v>
      </c>
      <c r="O419">
        <v>1</v>
      </c>
      <c r="P419">
        <v>1</v>
      </c>
      <c r="R419">
        <v>40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AA419">
        <v>-7394.1365999999998</v>
      </c>
      <c r="AB419">
        <v>-7394.1365999999998</v>
      </c>
      <c r="AC419">
        <v>-7394.1365999999998</v>
      </c>
      <c r="AD419">
        <v>-7394.1365999999998</v>
      </c>
      <c r="AE419">
        <v>-7394.1365999999998</v>
      </c>
      <c r="AF419">
        <v>-7394.1365999999998</v>
      </c>
    </row>
    <row r="420" spans="2:32" x14ac:dyDescent="0.25">
      <c r="B420">
        <v>41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1</v>
      </c>
      <c r="J420">
        <v>41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R420">
        <v>41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AA420">
        <v>-7388.3469999999998</v>
      </c>
      <c r="AB420">
        <v>-7388.3469999999998</v>
      </c>
      <c r="AC420">
        <v>-7388.3469999999998</v>
      </c>
      <c r="AD420">
        <v>-7388.3469999999998</v>
      </c>
      <c r="AE420">
        <v>-7388.3469999999998</v>
      </c>
      <c r="AF420">
        <v>-7388.3469999999998</v>
      </c>
    </row>
    <row r="421" spans="2:32" x14ac:dyDescent="0.25">
      <c r="B421">
        <v>42</v>
      </c>
      <c r="C421">
        <v>1</v>
      </c>
      <c r="D421">
        <v>1</v>
      </c>
      <c r="E421">
        <v>1</v>
      </c>
      <c r="F421">
        <v>1</v>
      </c>
      <c r="G421">
        <v>1</v>
      </c>
      <c r="H421">
        <v>1</v>
      </c>
      <c r="J421">
        <v>42</v>
      </c>
      <c r="K421">
        <v>1</v>
      </c>
      <c r="L421">
        <v>1</v>
      </c>
      <c r="M421">
        <v>1</v>
      </c>
      <c r="N421">
        <v>1</v>
      </c>
      <c r="O421">
        <v>1</v>
      </c>
      <c r="P421">
        <v>1</v>
      </c>
      <c r="R421">
        <v>42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AA421">
        <v>-7381.9919</v>
      </c>
      <c r="AB421">
        <v>-7381.9919</v>
      </c>
      <c r="AC421">
        <v>-7381.9919</v>
      </c>
      <c r="AD421">
        <v>-7381.9919</v>
      </c>
      <c r="AE421">
        <v>-7381.9919</v>
      </c>
      <c r="AF421">
        <v>-7381.9919</v>
      </c>
    </row>
    <row r="422" spans="2:32" x14ac:dyDescent="0.25">
      <c r="B422">
        <v>43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1</v>
      </c>
      <c r="J422">
        <v>43</v>
      </c>
      <c r="K422">
        <v>1</v>
      </c>
      <c r="L422">
        <v>1</v>
      </c>
      <c r="M422">
        <v>1</v>
      </c>
      <c r="N422">
        <v>1</v>
      </c>
      <c r="O422">
        <v>1</v>
      </c>
      <c r="P422">
        <v>1</v>
      </c>
      <c r="R422">
        <v>43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AA422">
        <v>-7374.9579999999996</v>
      </c>
      <c r="AB422">
        <v>-7374.9579999999996</v>
      </c>
      <c r="AC422">
        <v>-7374.9579999999996</v>
      </c>
      <c r="AD422">
        <v>-7374.9579999999996</v>
      </c>
      <c r="AE422">
        <v>-7374.9579999999996</v>
      </c>
      <c r="AF422">
        <v>-7374.9579999999996</v>
      </c>
    </row>
    <row r="423" spans="2:32" x14ac:dyDescent="0.25">
      <c r="B423">
        <v>44</v>
      </c>
      <c r="C423">
        <v>1</v>
      </c>
      <c r="D423">
        <v>1</v>
      </c>
      <c r="E423">
        <v>1</v>
      </c>
      <c r="F423">
        <v>1</v>
      </c>
      <c r="G423">
        <v>1</v>
      </c>
      <c r="H423">
        <v>1</v>
      </c>
      <c r="J423">
        <v>44</v>
      </c>
      <c r="K423">
        <v>1</v>
      </c>
      <c r="L423">
        <v>1</v>
      </c>
      <c r="M423">
        <v>1</v>
      </c>
      <c r="N423">
        <v>1</v>
      </c>
      <c r="O423">
        <v>1</v>
      </c>
      <c r="P423">
        <v>1</v>
      </c>
      <c r="R423">
        <v>44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AA423">
        <v>-7367.2034999999996</v>
      </c>
      <c r="AB423">
        <v>-7367.2034999999996</v>
      </c>
      <c r="AC423">
        <v>-7367.2034999999996</v>
      </c>
      <c r="AD423">
        <v>-7367.2034999999996</v>
      </c>
      <c r="AE423">
        <v>-7367.2034999999996</v>
      </c>
      <c r="AF423">
        <v>-7367.2034999999996</v>
      </c>
    </row>
    <row r="424" spans="2:32" x14ac:dyDescent="0.25">
      <c r="B424">
        <v>45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1</v>
      </c>
      <c r="J424">
        <v>45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R424">
        <v>45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AA424">
        <v>-7358.6491999999998</v>
      </c>
      <c r="AB424">
        <v>-7358.6491999999998</v>
      </c>
      <c r="AC424">
        <v>-7358.6491999999998</v>
      </c>
      <c r="AD424">
        <v>-7358.6491999999998</v>
      </c>
      <c r="AE424">
        <v>-7358.6491999999998</v>
      </c>
      <c r="AF424">
        <v>-7358.6491999999998</v>
      </c>
    </row>
    <row r="425" spans="2:32" x14ac:dyDescent="0.25">
      <c r="B425">
        <v>46</v>
      </c>
      <c r="C425">
        <v>1</v>
      </c>
      <c r="D425">
        <v>1</v>
      </c>
      <c r="E425">
        <v>1</v>
      </c>
      <c r="F425">
        <v>1</v>
      </c>
      <c r="G425">
        <v>1</v>
      </c>
      <c r="H425">
        <v>1</v>
      </c>
      <c r="J425">
        <v>46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R425">
        <v>46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AA425">
        <v>-7349.2232000000004</v>
      </c>
      <c r="AB425">
        <v>-7349.2232000000004</v>
      </c>
      <c r="AC425">
        <v>-7349.2232000000004</v>
      </c>
      <c r="AD425">
        <v>-7349.2232000000004</v>
      </c>
      <c r="AE425">
        <v>-7349.2232000000004</v>
      </c>
      <c r="AF425">
        <v>-7349.2232000000004</v>
      </c>
    </row>
    <row r="426" spans="2:32" x14ac:dyDescent="0.25">
      <c r="B426">
        <v>47</v>
      </c>
      <c r="C426">
        <v>1</v>
      </c>
      <c r="D426">
        <v>1</v>
      </c>
      <c r="E426">
        <v>1</v>
      </c>
      <c r="F426">
        <v>1</v>
      </c>
      <c r="G426">
        <v>1</v>
      </c>
      <c r="H426">
        <v>1</v>
      </c>
      <c r="J426">
        <v>47</v>
      </c>
      <c r="K426">
        <v>1</v>
      </c>
      <c r="L426">
        <v>1</v>
      </c>
      <c r="M426">
        <v>1</v>
      </c>
      <c r="N426">
        <v>1</v>
      </c>
      <c r="O426">
        <v>1</v>
      </c>
      <c r="P426">
        <v>1</v>
      </c>
      <c r="R426">
        <v>47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AA426">
        <v>-7338.8310000000001</v>
      </c>
      <c r="AB426">
        <v>-7338.8310000000001</v>
      </c>
      <c r="AC426">
        <v>-7338.8310000000001</v>
      </c>
      <c r="AD426">
        <v>-7338.8310000000001</v>
      </c>
      <c r="AE426">
        <v>-7338.8310000000001</v>
      </c>
      <c r="AF426">
        <v>-7338.8310000000001</v>
      </c>
    </row>
    <row r="427" spans="2:32" x14ac:dyDescent="0.25">
      <c r="B427">
        <v>48</v>
      </c>
      <c r="C427">
        <v>1</v>
      </c>
      <c r="D427">
        <v>1</v>
      </c>
      <c r="E427">
        <v>1</v>
      </c>
      <c r="F427">
        <v>1</v>
      </c>
      <c r="G427">
        <v>1</v>
      </c>
      <c r="H427">
        <v>1</v>
      </c>
      <c r="J427">
        <v>48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R427">
        <v>48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AA427">
        <v>-7327.4297999999999</v>
      </c>
      <c r="AB427">
        <v>-7327.4297999999999</v>
      </c>
      <c r="AC427">
        <v>-7327.4297999999999</v>
      </c>
      <c r="AD427">
        <v>-7327.4297999999999</v>
      </c>
      <c r="AE427">
        <v>-7327.4297999999999</v>
      </c>
      <c r="AF427">
        <v>-7327.4297999999999</v>
      </c>
    </row>
    <row r="428" spans="2:32" x14ac:dyDescent="0.25">
      <c r="B428">
        <v>49</v>
      </c>
      <c r="C428">
        <v>1</v>
      </c>
      <c r="D428">
        <v>1</v>
      </c>
      <c r="E428">
        <v>1</v>
      </c>
      <c r="F428">
        <v>1</v>
      </c>
      <c r="G428">
        <v>1</v>
      </c>
      <c r="H428">
        <v>1</v>
      </c>
      <c r="J428">
        <v>49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R428">
        <v>49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AA428">
        <v>-7314.951</v>
      </c>
      <c r="AB428">
        <v>-7314.951</v>
      </c>
      <c r="AC428">
        <v>-7314.951</v>
      </c>
      <c r="AD428">
        <v>-7314.951</v>
      </c>
      <c r="AE428">
        <v>-7314.951</v>
      </c>
      <c r="AF428">
        <v>-7314.951</v>
      </c>
    </row>
    <row r="429" spans="2:32" x14ac:dyDescent="0.25">
      <c r="B429">
        <v>50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J429">
        <v>50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1</v>
      </c>
      <c r="R429">
        <v>50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AA429">
        <v>-7301.2851000000001</v>
      </c>
      <c r="AB429">
        <v>-7301.2851000000001</v>
      </c>
      <c r="AC429">
        <v>-7301.2851000000001</v>
      </c>
      <c r="AD429">
        <v>-7301.2851000000001</v>
      </c>
      <c r="AE429">
        <v>-7301.2851000000001</v>
      </c>
      <c r="AF429">
        <v>-7301.2851000000001</v>
      </c>
    </row>
    <row r="430" spans="2:32" x14ac:dyDescent="0.25">
      <c r="B430">
        <v>51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J430">
        <v>51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R430">
        <v>51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AA430">
        <v>-7286.3271000000004</v>
      </c>
      <c r="AB430">
        <v>-7286.3271000000004</v>
      </c>
      <c r="AC430">
        <v>-7286.3271000000004</v>
      </c>
      <c r="AD430">
        <v>-7286.3271000000004</v>
      </c>
      <c r="AE430">
        <v>-7286.3271000000004</v>
      </c>
      <c r="AF430">
        <v>-7286.3271000000004</v>
      </c>
    </row>
    <row r="431" spans="2:32" x14ac:dyDescent="0.25">
      <c r="B431">
        <v>52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1</v>
      </c>
      <c r="J431">
        <v>52</v>
      </c>
      <c r="K431">
        <v>1</v>
      </c>
      <c r="L431">
        <v>1</v>
      </c>
      <c r="M431">
        <v>1</v>
      </c>
      <c r="N431">
        <v>1</v>
      </c>
      <c r="O431">
        <v>1</v>
      </c>
      <c r="P431">
        <v>1</v>
      </c>
      <c r="R431">
        <v>52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AA431">
        <v>-7269.9448000000002</v>
      </c>
      <c r="AB431">
        <v>-7269.9448000000002</v>
      </c>
      <c r="AC431">
        <v>-7269.9448000000002</v>
      </c>
      <c r="AD431">
        <v>-7269.9448000000002</v>
      </c>
      <c r="AE431">
        <v>-7269.9448000000002</v>
      </c>
      <c r="AF431">
        <v>-7269.9448000000002</v>
      </c>
    </row>
    <row r="432" spans="2:32" x14ac:dyDescent="0.25">
      <c r="B432">
        <v>53</v>
      </c>
      <c r="C432">
        <v>1</v>
      </c>
      <c r="D432">
        <v>1</v>
      </c>
      <c r="E432">
        <v>1</v>
      </c>
      <c r="F432">
        <v>1</v>
      </c>
      <c r="G432">
        <v>1</v>
      </c>
      <c r="H432">
        <v>1</v>
      </c>
      <c r="J432">
        <v>53</v>
      </c>
      <c r="K432">
        <v>1</v>
      </c>
      <c r="L432">
        <v>1</v>
      </c>
      <c r="M432">
        <v>1</v>
      </c>
      <c r="N432">
        <v>1</v>
      </c>
      <c r="O432">
        <v>1</v>
      </c>
      <c r="P432">
        <v>1</v>
      </c>
      <c r="R432">
        <v>53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AA432">
        <v>-7252.0574999999999</v>
      </c>
      <c r="AB432">
        <v>-7252.0574999999999</v>
      </c>
      <c r="AC432">
        <v>-7252.0574999999999</v>
      </c>
      <c r="AD432">
        <v>-7252.0574999999999</v>
      </c>
      <c r="AE432">
        <v>-7252.0574999999999</v>
      </c>
      <c r="AF432">
        <v>-7252.0574999999999</v>
      </c>
    </row>
    <row r="433" spans="2:32" x14ac:dyDescent="0.25">
      <c r="B433">
        <v>54</v>
      </c>
      <c r="C433">
        <v>1</v>
      </c>
      <c r="D433">
        <v>1</v>
      </c>
      <c r="E433">
        <v>1</v>
      </c>
      <c r="F433">
        <v>1</v>
      </c>
      <c r="G433">
        <v>1</v>
      </c>
      <c r="H433">
        <v>1</v>
      </c>
      <c r="J433">
        <v>54</v>
      </c>
      <c r="K433">
        <v>1</v>
      </c>
      <c r="L433">
        <v>1</v>
      </c>
      <c r="M433">
        <v>1</v>
      </c>
      <c r="N433">
        <v>1</v>
      </c>
      <c r="O433">
        <v>1</v>
      </c>
      <c r="P433">
        <v>1</v>
      </c>
      <c r="R433">
        <v>54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AA433">
        <v>-7232.5680000000002</v>
      </c>
      <c r="AB433">
        <v>-7232.5680000000002</v>
      </c>
      <c r="AC433">
        <v>-7232.5680000000002</v>
      </c>
      <c r="AD433">
        <v>-7232.5680000000002</v>
      </c>
      <c r="AE433">
        <v>-7232.5680000000002</v>
      </c>
      <c r="AF433">
        <v>-7232.5680000000002</v>
      </c>
    </row>
    <row r="434" spans="2:32" x14ac:dyDescent="0.25">
      <c r="B434">
        <v>55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J434">
        <v>55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R434">
        <v>55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AA434">
        <v>-7211.3207000000002</v>
      </c>
      <c r="AB434">
        <v>-7211.3207000000002</v>
      </c>
      <c r="AC434">
        <v>-7211.3207000000002</v>
      </c>
      <c r="AD434">
        <v>-7211.3207000000002</v>
      </c>
      <c r="AE434">
        <v>-7211.3207000000002</v>
      </c>
      <c r="AF434">
        <v>-7211.3207000000002</v>
      </c>
    </row>
    <row r="437" spans="2:32" x14ac:dyDescent="0.25">
      <c r="B437" t="s">
        <v>46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32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48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2:32" x14ac:dyDescent="0.25">
      <c r="B438">
        <v>35</v>
      </c>
      <c r="C438">
        <v>1</v>
      </c>
      <c r="D438">
        <v>1</v>
      </c>
      <c r="E438">
        <v>1</v>
      </c>
      <c r="F438">
        <v>1</v>
      </c>
      <c r="G438">
        <v>1</v>
      </c>
      <c r="J438">
        <v>35</v>
      </c>
      <c r="K438">
        <v>1</v>
      </c>
      <c r="L438">
        <v>1</v>
      </c>
      <c r="M438">
        <v>1</v>
      </c>
      <c r="N438">
        <v>1</v>
      </c>
      <c r="O438">
        <v>1</v>
      </c>
      <c r="R438">
        <v>35</v>
      </c>
      <c r="S438">
        <v>1</v>
      </c>
      <c r="T438">
        <v>1</v>
      </c>
      <c r="U438">
        <v>1</v>
      </c>
      <c r="V438">
        <v>1</v>
      </c>
      <c r="W438">
        <v>1</v>
      </c>
      <c r="AA438">
        <v>-11308.6893</v>
      </c>
      <c r="AB438">
        <v>-11308.6893</v>
      </c>
      <c r="AC438">
        <v>-11308.6893</v>
      </c>
      <c r="AD438">
        <v>-11308.6893</v>
      </c>
      <c r="AE438">
        <v>-11308.6893</v>
      </c>
      <c r="AF438">
        <v>-759112.79520000005</v>
      </c>
    </row>
    <row r="439" spans="2:32" x14ac:dyDescent="0.25">
      <c r="B439">
        <f t="shared" ref="B439:B468" si="18">B438+1</f>
        <v>36</v>
      </c>
      <c r="C439">
        <v>1</v>
      </c>
      <c r="D439">
        <v>1</v>
      </c>
      <c r="E439">
        <v>1</v>
      </c>
      <c r="F439">
        <v>1</v>
      </c>
      <c r="G439">
        <v>1</v>
      </c>
      <c r="J439">
        <f t="shared" ref="J439:J468" si="19">J438+1</f>
        <v>36</v>
      </c>
      <c r="K439">
        <v>1</v>
      </c>
      <c r="L439">
        <v>1</v>
      </c>
      <c r="M439">
        <v>1</v>
      </c>
      <c r="N439">
        <v>1</v>
      </c>
      <c r="O439">
        <v>1</v>
      </c>
      <c r="R439">
        <f t="shared" ref="R439:R468" si="20">R438+1</f>
        <v>36</v>
      </c>
      <c r="S439">
        <v>1</v>
      </c>
      <c r="T439">
        <v>1</v>
      </c>
      <c r="U439">
        <v>1</v>
      </c>
      <c r="V439">
        <v>1</v>
      </c>
      <c r="W439">
        <v>1</v>
      </c>
      <c r="AA439">
        <v>-11214.2592</v>
      </c>
      <c r="AB439">
        <v>-11214.2592</v>
      </c>
      <c r="AC439">
        <v>-11214.2592</v>
      </c>
      <c r="AD439">
        <v>-11214.2592</v>
      </c>
      <c r="AE439">
        <v>-11214.2592</v>
      </c>
      <c r="AF439">
        <v>-737070.86179999996</v>
      </c>
    </row>
    <row r="440" spans="2:32" x14ac:dyDescent="0.25">
      <c r="B440">
        <f t="shared" si="18"/>
        <v>37</v>
      </c>
      <c r="C440">
        <v>1</v>
      </c>
      <c r="D440">
        <v>1</v>
      </c>
      <c r="E440">
        <v>1</v>
      </c>
      <c r="F440">
        <v>1</v>
      </c>
      <c r="G440">
        <v>1</v>
      </c>
      <c r="J440">
        <f t="shared" si="19"/>
        <v>37</v>
      </c>
      <c r="K440">
        <v>1</v>
      </c>
      <c r="L440">
        <v>1</v>
      </c>
      <c r="M440">
        <v>1</v>
      </c>
      <c r="N440">
        <v>1</v>
      </c>
      <c r="O440">
        <v>1</v>
      </c>
      <c r="R440">
        <f t="shared" si="20"/>
        <v>37</v>
      </c>
      <c r="S440">
        <v>1</v>
      </c>
      <c r="T440">
        <v>1</v>
      </c>
      <c r="U440">
        <v>1</v>
      </c>
      <c r="V440">
        <v>1</v>
      </c>
      <c r="W440">
        <v>1</v>
      </c>
      <c r="AA440">
        <v>-11117.406199999999</v>
      </c>
      <c r="AB440">
        <v>-11117.406199999999</v>
      </c>
      <c r="AC440">
        <v>-11117.406199999999</v>
      </c>
      <c r="AD440">
        <v>-11117.406199999999</v>
      </c>
      <c r="AE440">
        <v>-11117.406199999999</v>
      </c>
      <c r="AF440">
        <v>-765978.91940000001</v>
      </c>
    </row>
    <row r="441" spans="2:32" x14ac:dyDescent="0.25">
      <c r="B441">
        <f t="shared" si="18"/>
        <v>38</v>
      </c>
      <c r="C441">
        <v>1</v>
      </c>
      <c r="D441">
        <v>1</v>
      </c>
      <c r="E441">
        <v>1</v>
      </c>
      <c r="F441">
        <v>1</v>
      </c>
      <c r="G441">
        <v>1</v>
      </c>
      <c r="J441">
        <f t="shared" si="19"/>
        <v>38</v>
      </c>
      <c r="K441">
        <v>1</v>
      </c>
      <c r="L441">
        <v>1</v>
      </c>
      <c r="M441">
        <v>1</v>
      </c>
      <c r="N441">
        <v>1</v>
      </c>
      <c r="O441">
        <v>1</v>
      </c>
      <c r="R441">
        <f t="shared" si="20"/>
        <v>38</v>
      </c>
      <c r="S441">
        <v>1</v>
      </c>
      <c r="T441">
        <v>1</v>
      </c>
      <c r="U441">
        <v>1</v>
      </c>
      <c r="V441">
        <v>1</v>
      </c>
      <c r="W441">
        <v>1</v>
      </c>
      <c r="AA441">
        <v>-11018.229799999999</v>
      </c>
      <c r="AB441">
        <v>-11018.229799999999</v>
      </c>
      <c r="AC441">
        <v>-11018.229799999999</v>
      </c>
      <c r="AD441">
        <v>-11018.229799999999</v>
      </c>
      <c r="AE441">
        <v>-11018.229799999999</v>
      </c>
      <c r="AF441">
        <v>-783780.576</v>
      </c>
    </row>
    <row r="442" spans="2:32" x14ac:dyDescent="0.25">
      <c r="B442">
        <f t="shared" si="18"/>
        <v>39</v>
      </c>
      <c r="C442">
        <v>1</v>
      </c>
      <c r="D442">
        <v>1</v>
      </c>
      <c r="E442">
        <v>1</v>
      </c>
      <c r="F442">
        <v>1</v>
      </c>
      <c r="G442">
        <v>1</v>
      </c>
      <c r="J442">
        <f t="shared" si="19"/>
        <v>39</v>
      </c>
      <c r="K442">
        <v>1</v>
      </c>
      <c r="L442">
        <v>1</v>
      </c>
      <c r="M442">
        <v>1</v>
      </c>
      <c r="N442">
        <v>1</v>
      </c>
      <c r="O442">
        <v>1</v>
      </c>
      <c r="R442">
        <f t="shared" si="20"/>
        <v>39</v>
      </c>
      <c r="S442">
        <v>1</v>
      </c>
      <c r="T442">
        <v>1</v>
      </c>
      <c r="U442">
        <v>1</v>
      </c>
      <c r="V442">
        <v>1</v>
      </c>
      <c r="W442">
        <v>1</v>
      </c>
      <c r="AA442">
        <v>-10916.737999999999</v>
      </c>
      <c r="AB442">
        <v>-10916.737999999999</v>
      </c>
      <c r="AC442">
        <v>-10916.737999999999</v>
      </c>
      <c r="AD442">
        <v>-10916.737999999999</v>
      </c>
      <c r="AE442">
        <v>-10916.737999999999</v>
      </c>
      <c r="AF442">
        <v>-769662.22069999995</v>
      </c>
    </row>
    <row r="443" spans="2:32" x14ac:dyDescent="0.25">
      <c r="B443">
        <f t="shared" si="18"/>
        <v>40</v>
      </c>
      <c r="C443">
        <v>1</v>
      </c>
      <c r="D443">
        <v>1</v>
      </c>
      <c r="E443">
        <v>1</v>
      </c>
      <c r="F443">
        <v>1</v>
      </c>
      <c r="G443">
        <v>1</v>
      </c>
      <c r="J443">
        <f t="shared" si="19"/>
        <v>40</v>
      </c>
      <c r="K443">
        <v>1</v>
      </c>
      <c r="L443">
        <v>1</v>
      </c>
      <c r="M443">
        <v>1</v>
      </c>
      <c r="N443">
        <v>1</v>
      </c>
      <c r="O443">
        <v>1</v>
      </c>
      <c r="R443">
        <f t="shared" si="20"/>
        <v>40</v>
      </c>
      <c r="S443">
        <v>1</v>
      </c>
      <c r="T443">
        <v>1</v>
      </c>
      <c r="U443">
        <v>1</v>
      </c>
      <c r="V443">
        <v>1</v>
      </c>
      <c r="W443">
        <v>1</v>
      </c>
      <c r="AA443">
        <v>-10812.8714</v>
      </c>
      <c r="AB443">
        <v>-10812.8714</v>
      </c>
      <c r="AC443">
        <v>-10812.8714</v>
      </c>
      <c r="AD443">
        <v>-10812.8714</v>
      </c>
      <c r="AE443">
        <v>-10812.8714</v>
      </c>
      <c r="AF443">
        <v>-798570.41119999997</v>
      </c>
    </row>
    <row r="444" spans="2:32" x14ac:dyDescent="0.25">
      <c r="B444">
        <f t="shared" si="18"/>
        <v>41</v>
      </c>
      <c r="C444">
        <v>1</v>
      </c>
      <c r="D444">
        <v>1</v>
      </c>
      <c r="E444">
        <v>1</v>
      </c>
      <c r="F444">
        <v>1</v>
      </c>
      <c r="G444">
        <v>1</v>
      </c>
      <c r="J444">
        <f t="shared" si="19"/>
        <v>41</v>
      </c>
      <c r="K444">
        <v>1</v>
      </c>
      <c r="L444">
        <v>1</v>
      </c>
      <c r="M444">
        <v>1</v>
      </c>
      <c r="N444">
        <v>1</v>
      </c>
      <c r="O444">
        <v>1</v>
      </c>
      <c r="R444">
        <f t="shared" si="20"/>
        <v>41</v>
      </c>
      <c r="S444">
        <v>1</v>
      </c>
      <c r="T444">
        <v>1</v>
      </c>
      <c r="U444">
        <v>1</v>
      </c>
      <c r="V444">
        <v>1</v>
      </c>
      <c r="W444">
        <v>1</v>
      </c>
      <c r="AA444">
        <v>-10706.559600000001</v>
      </c>
      <c r="AB444">
        <v>-10706.559600000001</v>
      </c>
      <c r="AC444">
        <v>-10706.559600000001</v>
      </c>
      <c r="AD444">
        <v>-10706.559600000001</v>
      </c>
      <c r="AE444">
        <v>-10706.559600000001</v>
      </c>
      <c r="AF444">
        <v>-803549.96459999995</v>
      </c>
    </row>
    <row r="445" spans="2:32" x14ac:dyDescent="0.25">
      <c r="B445">
        <f t="shared" si="18"/>
        <v>42</v>
      </c>
      <c r="C445">
        <v>1</v>
      </c>
      <c r="D445">
        <v>1</v>
      </c>
      <c r="E445">
        <v>1</v>
      </c>
      <c r="F445">
        <v>1</v>
      </c>
      <c r="G445">
        <v>1</v>
      </c>
      <c r="J445">
        <f t="shared" si="19"/>
        <v>42</v>
      </c>
      <c r="K445">
        <v>1</v>
      </c>
      <c r="L445">
        <v>1</v>
      </c>
      <c r="M445">
        <v>1</v>
      </c>
      <c r="N445">
        <v>1</v>
      </c>
      <c r="O445">
        <v>1</v>
      </c>
      <c r="R445">
        <f t="shared" si="20"/>
        <v>42</v>
      </c>
      <c r="S445">
        <v>1</v>
      </c>
      <c r="T445">
        <v>1</v>
      </c>
      <c r="U445">
        <v>1</v>
      </c>
      <c r="V445">
        <v>1</v>
      </c>
      <c r="W445">
        <v>1</v>
      </c>
      <c r="AA445">
        <v>-10597.8485</v>
      </c>
      <c r="AB445">
        <v>-10597.8485</v>
      </c>
      <c r="AC445">
        <v>-10597.8485</v>
      </c>
      <c r="AD445">
        <v>-10597.8485</v>
      </c>
      <c r="AE445">
        <v>-10597.8485</v>
      </c>
      <c r="AF445">
        <v>-833551.75890000002</v>
      </c>
    </row>
    <row r="446" spans="2:32" x14ac:dyDescent="0.25">
      <c r="B446">
        <f t="shared" si="18"/>
        <v>43</v>
      </c>
      <c r="C446">
        <v>1</v>
      </c>
      <c r="D446">
        <v>1</v>
      </c>
      <c r="E446">
        <v>1</v>
      </c>
      <c r="F446">
        <v>1</v>
      </c>
      <c r="G446">
        <v>1</v>
      </c>
      <c r="J446">
        <f t="shared" si="19"/>
        <v>43</v>
      </c>
      <c r="K446">
        <v>1</v>
      </c>
      <c r="L446">
        <v>1</v>
      </c>
      <c r="M446">
        <v>1</v>
      </c>
      <c r="N446">
        <v>1</v>
      </c>
      <c r="O446">
        <v>1</v>
      </c>
      <c r="R446">
        <f t="shared" si="20"/>
        <v>43</v>
      </c>
      <c r="S446">
        <v>1</v>
      </c>
      <c r="T446">
        <v>1</v>
      </c>
      <c r="U446">
        <v>1</v>
      </c>
      <c r="V446">
        <v>1</v>
      </c>
      <c r="W446">
        <v>1</v>
      </c>
      <c r="AA446">
        <v>-10486.615400000001</v>
      </c>
      <c r="AB446">
        <v>-10486.615400000001</v>
      </c>
      <c r="AC446">
        <v>-10486.615400000001</v>
      </c>
      <c r="AD446">
        <v>-10486.615400000001</v>
      </c>
      <c r="AE446">
        <v>-10486.615400000001</v>
      </c>
      <c r="AF446">
        <v>-844950.93949999998</v>
      </c>
    </row>
    <row r="447" spans="2:32" x14ac:dyDescent="0.25">
      <c r="B447">
        <f t="shared" si="18"/>
        <v>44</v>
      </c>
      <c r="C447">
        <v>1</v>
      </c>
      <c r="D447">
        <v>1</v>
      </c>
      <c r="E447">
        <v>1</v>
      </c>
      <c r="F447">
        <v>1</v>
      </c>
      <c r="G447">
        <v>1</v>
      </c>
      <c r="J447">
        <f t="shared" si="19"/>
        <v>44</v>
      </c>
      <c r="K447">
        <v>1</v>
      </c>
      <c r="L447">
        <v>1</v>
      </c>
      <c r="M447">
        <v>1</v>
      </c>
      <c r="N447">
        <v>1</v>
      </c>
      <c r="O447">
        <v>1</v>
      </c>
      <c r="R447">
        <f t="shared" si="20"/>
        <v>44</v>
      </c>
      <c r="S447">
        <v>1</v>
      </c>
      <c r="T447">
        <v>1</v>
      </c>
      <c r="U447">
        <v>1</v>
      </c>
      <c r="V447">
        <v>1</v>
      </c>
      <c r="W447">
        <v>1</v>
      </c>
      <c r="AA447">
        <v>-10372.9005</v>
      </c>
      <c r="AB447">
        <v>-10372.9005</v>
      </c>
      <c r="AC447">
        <v>-10372.9005</v>
      </c>
      <c r="AD447">
        <v>-10372.9005</v>
      </c>
      <c r="AE447">
        <v>-10372.9005</v>
      </c>
      <c r="AF447">
        <v>-851265.64670000004</v>
      </c>
    </row>
    <row r="448" spans="2:32" x14ac:dyDescent="0.25">
      <c r="B448">
        <f t="shared" si="18"/>
        <v>45</v>
      </c>
      <c r="C448">
        <v>1</v>
      </c>
      <c r="D448">
        <v>1</v>
      </c>
      <c r="E448">
        <v>1</v>
      </c>
      <c r="F448">
        <v>1</v>
      </c>
      <c r="G448">
        <v>1</v>
      </c>
      <c r="J448">
        <f t="shared" si="19"/>
        <v>45</v>
      </c>
      <c r="K448">
        <v>1</v>
      </c>
      <c r="L448">
        <v>1</v>
      </c>
      <c r="M448">
        <v>1</v>
      </c>
      <c r="N448">
        <v>1</v>
      </c>
      <c r="O448">
        <v>1</v>
      </c>
      <c r="R448">
        <f t="shared" si="20"/>
        <v>45</v>
      </c>
      <c r="S448">
        <v>1</v>
      </c>
      <c r="T448">
        <v>1</v>
      </c>
      <c r="U448">
        <v>1</v>
      </c>
      <c r="V448">
        <v>1</v>
      </c>
      <c r="W448">
        <v>1</v>
      </c>
      <c r="AA448">
        <v>-10256.650600000001</v>
      </c>
      <c r="AB448">
        <v>-10256.650600000001</v>
      </c>
      <c r="AC448">
        <v>-10256.650600000001</v>
      </c>
      <c r="AD448">
        <v>-10256.650600000001</v>
      </c>
      <c r="AE448">
        <v>-10256.650600000001</v>
      </c>
      <c r="AF448">
        <v>-870649.02139999997</v>
      </c>
    </row>
    <row r="449" spans="2:32" x14ac:dyDescent="0.25">
      <c r="B449">
        <f t="shared" si="18"/>
        <v>46</v>
      </c>
      <c r="C449">
        <v>1</v>
      </c>
      <c r="D449">
        <v>1</v>
      </c>
      <c r="E449">
        <v>1</v>
      </c>
      <c r="F449">
        <v>1</v>
      </c>
      <c r="G449">
        <v>1</v>
      </c>
      <c r="J449">
        <f t="shared" si="19"/>
        <v>46</v>
      </c>
      <c r="K449">
        <v>1</v>
      </c>
      <c r="L449">
        <v>1</v>
      </c>
      <c r="M449">
        <v>1</v>
      </c>
      <c r="N449">
        <v>1</v>
      </c>
      <c r="O449">
        <v>1</v>
      </c>
      <c r="R449">
        <f t="shared" si="20"/>
        <v>46</v>
      </c>
      <c r="S449">
        <v>1</v>
      </c>
      <c r="T449">
        <v>1</v>
      </c>
      <c r="U449">
        <v>1</v>
      </c>
      <c r="V449">
        <v>1</v>
      </c>
      <c r="W449">
        <v>1</v>
      </c>
      <c r="AA449">
        <v>-10137.871499999999</v>
      </c>
      <c r="AB449">
        <v>-10137.871499999999</v>
      </c>
      <c r="AC449">
        <v>-10137.871499999999</v>
      </c>
      <c r="AD449">
        <v>-10137.871499999999</v>
      </c>
      <c r="AE449">
        <v>-10137.871499999999</v>
      </c>
      <c r="AF449">
        <v>-892550.54509999999</v>
      </c>
    </row>
    <row r="450" spans="2:32" x14ac:dyDescent="0.25">
      <c r="B450">
        <f t="shared" si="18"/>
        <v>47</v>
      </c>
      <c r="C450">
        <v>1</v>
      </c>
      <c r="D450">
        <v>1</v>
      </c>
      <c r="E450">
        <v>1</v>
      </c>
      <c r="F450">
        <v>1</v>
      </c>
      <c r="G450">
        <v>1</v>
      </c>
      <c r="J450">
        <f t="shared" si="19"/>
        <v>47</v>
      </c>
      <c r="K450">
        <v>1</v>
      </c>
      <c r="L450">
        <v>1</v>
      </c>
      <c r="M450">
        <v>1</v>
      </c>
      <c r="N450">
        <v>1</v>
      </c>
      <c r="O450">
        <v>1</v>
      </c>
      <c r="R450">
        <f t="shared" si="20"/>
        <v>47</v>
      </c>
      <c r="S450">
        <v>1</v>
      </c>
      <c r="T450">
        <v>1</v>
      </c>
      <c r="U450">
        <v>1</v>
      </c>
      <c r="V450">
        <v>1</v>
      </c>
      <c r="W450">
        <v>1</v>
      </c>
      <c r="AA450">
        <v>-10016.4967</v>
      </c>
      <c r="AB450">
        <v>-10016.4967</v>
      </c>
      <c r="AC450">
        <v>-10016.4967</v>
      </c>
      <c r="AD450">
        <v>-10016.4967</v>
      </c>
      <c r="AE450">
        <v>-10016.4967</v>
      </c>
      <c r="AF450">
        <v>-910915.81969999999</v>
      </c>
    </row>
    <row r="451" spans="2:32" x14ac:dyDescent="0.25">
      <c r="B451">
        <f t="shared" si="18"/>
        <v>48</v>
      </c>
      <c r="C451">
        <v>1</v>
      </c>
      <c r="D451">
        <v>1</v>
      </c>
      <c r="E451">
        <v>1</v>
      </c>
      <c r="F451">
        <v>1</v>
      </c>
      <c r="G451">
        <v>1</v>
      </c>
      <c r="J451">
        <f t="shared" si="19"/>
        <v>48</v>
      </c>
      <c r="K451">
        <v>1</v>
      </c>
      <c r="L451">
        <v>1</v>
      </c>
      <c r="M451">
        <v>1</v>
      </c>
      <c r="N451">
        <v>1</v>
      </c>
      <c r="O451">
        <v>1</v>
      </c>
      <c r="R451">
        <f t="shared" si="20"/>
        <v>48</v>
      </c>
      <c r="S451">
        <v>1</v>
      </c>
      <c r="T451">
        <v>1</v>
      </c>
      <c r="U451">
        <v>1</v>
      </c>
      <c r="V451">
        <v>1</v>
      </c>
      <c r="W451">
        <v>1</v>
      </c>
      <c r="AA451">
        <v>-9892.6355000000003</v>
      </c>
      <c r="AB451">
        <v>-9892.6355000000003</v>
      </c>
      <c r="AC451">
        <v>-9892.6355000000003</v>
      </c>
      <c r="AD451">
        <v>-9892.6355000000003</v>
      </c>
      <c r="AE451">
        <v>-9892.6355000000003</v>
      </c>
      <c r="AF451">
        <v>-917891.87360000005</v>
      </c>
    </row>
    <row r="452" spans="2:32" x14ac:dyDescent="0.25">
      <c r="B452">
        <f t="shared" si="18"/>
        <v>49</v>
      </c>
      <c r="C452">
        <v>1</v>
      </c>
      <c r="D452">
        <v>1</v>
      </c>
      <c r="E452">
        <v>1</v>
      </c>
      <c r="F452">
        <v>1</v>
      </c>
      <c r="G452">
        <v>1</v>
      </c>
      <c r="J452">
        <f t="shared" si="19"/>
        <v>49</v>
      </c>
      <c r="K452">
        <v>1</v>
      </c>
      <c r="L452">
        <v>1</v>
      </c>
      <c r="M452">
        <v>1</v>
      </c>
      <c r="N452">
        <v>1</v>
      </c>
      <c r="O452">
        <v>1</v>
      </c>
      <c r="R452">
        <f t="shared" si="20"/>
        <v>49</v>
      </c>
      <c r="S452">
        <v>1</v>
      </c>
      <c r="T452">
        <v>1</v>
      </c>
      <c r="U452">
        <v>1</v>
      </c>
      <c r="V452">
        <v>1</v>
      </c>
      <c r="W452">
        <v>1</v>
      </c>
      <c r="AA452">
        <v>-9766.3366999999998</v>
      </c>
      <c r="AB452">
        <v>-9766.3366999999998</v>
      </c>
      <c r="AC452">
        <v>-9766.3366999999998</v>
      </c>
      <c r="AD452">
        <v>-9766.3366999999998</v>
      </c>
      <c r="AE452">
        <v>-9766.3366999999998</v>
      </c>
      <c r="AF452">
        <v>-944521.72470000002</v>
      </c>
    </row>
    <row r="453" spans="2:32" x14ac:dyDescent="0.25">
      <c r="B453">
        <f t="shared" si="18"/>
        <v>50</v>
      </c>
      <c r="C453">
        <v>1</v>
      </c>
      <c r="D453">
        <v>1</v>
      </c>
      <c r="E453">
        <v>1</v>
      </c>
      <c r="F453">
        <v>1</v>
      </c>
      <c r="G453">
        <v>1</v>
      </c>
      <c r="J453">
        <f t="shared" si="19"/>
        <v>50</v>
      </c>
      <c r="K453">
        <v>1</v>
      </c>
      <c r="L453">
        <v>1</v>
      </c>
      <c r="M453">
        <v>1</v>
      </c>
      <c r="N453">
        <v>1</v>
      </c>
      <c r="O453">
        <v>1</v>
      </c>
      <c r="R453">
        <f t="shared" si="20"/>
        <v>50</v>
      </c>
      <c r="S453">
        <v>1</v>
      </c>
      <c r="T453">
        <v>1</v>
      </c>
      <c r="U453">
        <v>1</v>
      </c>
      <c r="V453">
        <v>1</v>
      </c>
      <c r="W453">
        <v>1</v>
      </c>
      <c r="AA453">
        <v>-9637.5864000000001</v>
      </c>
      <c r="AB453">
        <v>-9637.5864000000001</v>
      </c>
      <c r="AC453">
        <v>-9637.5864000000001</v>
      </c>
      <c r="AD453">
        <v>-9637.5864000000001</v>
      </c>
      <c r="AE453">
        <v>-9637.5864000000001</v>
      </c>
      <c r="AF453">
        <v>-963257.14989999996</v>
      </c>
    </row>
    <row r="454" spans="2:32" x14ac:dyDescent="0.25">
      <c r="B454">
        <f t="shared" si="18"/>
        <v>51</v>
      </c>
      <c r="C454">
        <v>1</v>
      </c>
      <c r="D454">
        <v>1</v>
      </c>
      <c r="E454">
        <v>1</v>
      </c>
      <c r="F454">
        <v>1</v>
      </c>
      <c r="G454">
        <v>1</v>
      </c>
      <c r="J454">
        <f t="shared" si="19"/>
        <v>51</v>
      </c>
      <c r="K454">
        <v>1</v>
      </c>
      <c r="L454">
        <v>1</v>
      </c>
      <c r="M454">
        <v>1</v>
      </c>
      <c r="N454">
        <v>1</v>
      </c>
      <c r="O454">
        <v>1</v>
      </c>
      <c r="R454">
        <f t="shared" si="20"/>
        <v>51</v>
      </c>
      <c r="S454">
        <v>1</v>
      </c>
      <c r="T454">
        <v>1</v>
      </c>
      <c r="U454">
        <v>1</v>
      </c>
      <c r="V454">
        <v>1</v>
      </c>
      <c r="W454">
        <v>1</v>
      </c>
      <c r="AA454">
        <v>-9506.3734000000004</v>
      </c>
      <c r="AB454">
        <v>-9506.3734000000004</v>
      </c>
      <c r="AC454">
        <v>-9506.3734000000004</v>
      </c>
      <c r="AD454">
        <v>-9506.3734000000004</v>
      </c>
      <c r="AE454">
        <v>-9506.3734000000004</v>
      </c>
      <c r="AF454">
        <v>-981592.90729999996</v>
      </c>
    </row>
    <row r="455" spans="2:32" x14ac:dyDescent="0.25">
      <c r="B455">
        <f t="shared" si="18"/>
        <v>52</v>
      </c>
      <c r="C455">
        <v>1</v>
      </c>
      <c r="D455">
        <v>1</v>
      </c>
      <c r="E455">
        <v>1</v>
      </c>
      <c r="F455">
        <v>1</v>
      </c>
      <c r="G455">
        <v>1</v>
      </c>
      <c r="J455">
        <f t="shared" si="19"/>
        <v>52</v>
      </c>
      <c r="K455">
        <v>1</v>
      </c>
      <c r="L455">
        <v>1</v>
      </c>
      <c r="M455">
        <v>1</v>
      </c>
      <c r="N455">
        <v>1</v>
      </c>
      <c r="O455">
        <v>1</v>
      </c>
      <c r="R455">
        <f t="shared" si="20"/>
        <v>52</v>
      </c>
      <c r="S455">
        <v>1</v>
      </c>
      <c r="T455">
        <v>1</v>
      </c>
      <c r="U455">
        <v>1</v>
      </c>
      <c r="V455">
        <v>1</v>
      </c>
      <c r="W455">
        <v>1</v>
      </c>
      <c r="AA455">
        <v>-9372.7019</v>
      </c>
      <c r="AB455">
        <v>-9372.7019</v>
      </c>
      <c r="AC455">
        <v>-9372.7019</v>
      </c>
      <c r="AD455">
        <v>-9372.7019</v>
      </c>
      <c r="AE455">
        <v>-9372.7019</v>
      </c>
      <c r="AF455">
        <v>-998556.10360000003</v>
      </c>
    </row>
    <row r="456" spans="2:32" x14ac:dyDescent="0.25">
      <c r="B456">
        <f t="shared" si="18"/>
        <v>53</v>
      </c>
      <c r="C456">
        <v>1</v>
      </c>
      <c r="D456">
        <v>1</v>
      </c>
      <c r="E456">
        <v>1</v>
      </c>
      <c r="F456">
        <v>1</v>
      </c>
      <c r="G456">
        <v>1</v>
      </c>
      <c r="J456">
        <f t="shared" si="19"/>
        <v>53</v>
      </c>
      <c r="K456">
        <v>1</v>
      </c>
      <c r="L456">
        <v>1</v>
      </c>
      <c r="M456">
        <v>1</v>
      </c>
      <c r="N456">
        <v>1</v>
      </c>
      <c r="O456">
        <v>1</v>
      </c>
      <c r="R456">
        <f t="shared" si="20"/>
        <v>53</v>
      </c>
      <c r="S456">
        <v>1</v>
      </c>
      <c r="T456">
        <v>1</v>
      </c>
      <c r="U456">
        <v>1</v>
      </c>
      <c r="V456">
        <v>1</v>
      </c>
      <c r="W456">
        <v>1</v>
      </c>
      <c r="AA456">
        <v>-9236.6705000000002</v>
      </c>
      <c r="AB456">
        <v>-9236.6705000000002</v>
      </c>
      <c r="AC456">
        <v>-9236.6705000000002</v>
      </c>
      <c r="AD456">
        <v>-9236.6705000000002</v>
      </c>
      <c r="AE456">
        <v>-9236.6705000000002</v>
      </c>
      <c r="AF456">
        <v>-1015461.3278</v>
      </c>
    </row>
    <row r="457" spans="2:32" x14ac:dyDescent="0.25">
      <c r="B457">
        <f t="shared" si="18"/>
        <v>54</v>
      </c>
      <c r="C457">
        <v>1</v>
      </c>
      <c r="D457">
        <v>1</v>
      </c>
      <c r="E457">
        <v>1</v>
      </c>
      <c r="F457">
        <v>1</v>
      </c>
      <c r="G457">
        <v>1</v>
      </c>
      <c r="J457">
        <f t="shared" si="19"/>
        <v>54</v>
      </c>
      <c r="K457">
        <v>1</v>
      </c>
      <c r="L457">
        <v>1</v>
      </c>
      <c r="M457">
        <v>1</v>
      </c>
      <c r="N457">
        <v>1</v>
      </c>
      <c r="O457">
        <v>1</v>
      </c>
      <c r="R457">
        <f t="shared" si="20"/>
        <v>54</v>
      </c>
      <c r="S457">
        <v>1</v>
      </c>
      <c r="T457">
        <v>1</v>
      </c>
      <c r="U457">
        <v>1</v>
      </c>
      <c r="V457">
        <v>1</v>
      </c>
      <c r="W457">
        <v>1</v>
      </c>
      <c r="AA457">
        <v>-9098.4312000000009</v>
      </c>
      <c r="AB457">
        <v>-9098.4312000000009</v>
      </c>
      <c r="AC457">
        <v>-9098.4312000000009</v>
      </c>
      <c r="AD457">
        <v>-9098.4312000000009</v>
      </c>
      <c r="AE457">
        <v>-9098.4312000000009</v>
      </c>
      <c r="AF457">
        <v>-1033869.6813000001</v>
      </c>
    </row>
    <row r="458" spans="2:32" x14ac:dyDescent="0.25">
      <c r="B458">
        <f t="shared" si="18"/>
        <v>55</v>
      </c>
      <c r="C458">
        <v>1</v>
      </c>
      <c r="D458">
        <v>1</v>
      </c>
      <c r="E458">
        <v>1</v>
      </c>
      <c r="F458">
        <v>1</v>
      </c>
      <c r="G458">
        <v>1</v>
      </c>
      <c r="J458">
        <f t="shared" si="19"/>
        <v>55</v>
      </c>
      <c r="K458">
        <v>1</v>
      </c>
      <c r="L458">
        <v>1</v>
      </c>
      <c r="M458">
        <v>1</v>
      </c>
      <c r="N458">
        <v>1</v>
      </c>
      <c r="O458">
        <v>1</v>
      </c>
      <c r="R458">
        <f t="shared" si="20"/>
        <v>55</v>
      </c>
      <c r="S458">
        <v>1</v>
      </c>
      <c r="T458">
        <v>1</v>
      </c>
      <c r="U458">
        <v>1</v>
      </c>
      <c r="V458">
        <v>1</v>
      </c>
      <c r="W458">
        <v>1</v>
      </c>
      <c r="AA458">
        <v>-8958.0210999999999</v>
      </c>
      <c r="AB458">
        <v>-8958.0210999999999</v>
      </c>
      <c r="AC458">
        <v>-8958.0210999999999</v>
      </c>
      <c r="AD458">
        <v>-8958.0210999999999</v>
      </c>
      <c r="AE458">
        <v>-8958.0210999999999</v>
      </c>
      <c r="AF458">
        <v>-1050810.2549999999</v>
      </c>
    </row>
    <row r="459" spans="2:32" x14ac:dyDescent="0.25">
      <c r="B459">
        <f t="shared" si="18"/>
        <v>56</v>
      </c>
      <c r="C459">
        <v>1</v>
      </c>
      <c r="D459">
        <v>1</v>
      </c>
      <c r="E459">
        <v>1</v>
      </c>
      <c r="F459">
        <v>1</v>
      </c>
      <c r="G459">
        <v>1</v>
      </c>
      <c r="J459">
        <f t="shared" si="19"/>
        <v>56</v>
      </c>
      <c r="K459">
        <v>1</v>
      </c>
      <c r="L459">
        <v>1</v>
      </c>
      <c r="M459">
        <v>1</v>
      </c>
      <c r="N459">
        <v>1</v>
      </c>
      <c r="O459">
        <v>1</v>
      </c>
      <c r="R459">
        <f t="shared" si="20"/>
        <v>56</v>
      </c>
      <c r="S459">
        <v>1</v>
      </c>
      <c r="T459">
        <v>1</v>
      </c>
      <c r="U459">
        <v>1</v>
      </c>
      <c r="V459">
        <v>1</v>
      </c>
      <c r="W459">
        <v>1</v>
      </c>
      <c r="AA459">
        <v>-8815.6316999999999</v>
      </c>
      <c r="AB459">
        <v>-8815.6316999999999</v>
      </c>
      <c r="AC459">
        <v>-8815.6316999999999</v>
      </c>
      <c r="AD459">
        <v>-8815.6316999999999</v>
      </c>
      <c r="AE459">
        <v>-8815.6316999999999</v>
      </c>
      <c r="AF459">
        <v>-1073295.8774000001</v>
      </c>
    </row>
    <row r="460" spans="2:32" x14ac:dyDescent="0.25">
      <c r="B460">
        <f t="shared" si="18"/>
        <v>57</v>
      </c>
      <c r="C460">
        <v>1</v>
      </c>
      <c r="D460">
        <v>1</v>
      </c>
      <c r="E460">
        <v>1</v>
      </c>
      <c r="F460">
        <v>1</v>
      </c>
      <c r="G460">
        <v>1</v>
      </c>
      <c r="J460">
        <f t="shared" si="19"/>
        <v>57</v>
      </c>
      <c r="K460">
        <v>1</v>
      </c>
      <c r="L460">
        <v>1</v>
      </c>
      <c r="M460">
        <v>1</v>
      </c>
      <c r="N460">
        <v>1</v>
      </c>
      <c r="O460">
        <v>1</v>
      </c>
      <c r="R460">
        <f t="shared" si="20"/>
        <v>57</v>
      </c>
      <c r="S460">
        <v>1</v>
      </c>
      <c r="T460">
        <v>1</v>
      </c>
      <c r="U460">
        <v>1</v>
      </c>
      <c r="V460">
        <v>1</v>
      </c>
      <c r="W460">
        <v>1</v>
      </c>
      <c r="AA460">
        <v>-8671.3991999999998</v>
      </c>
      <c r="AB460">
        <v>-8671.3991999999998</v>
      </c>
      <c r="AC460">
        <v>-8671.3991999999998</v>
      </c>
      <c r="AD460">
        <v>-8671.3991999999998</v>
      </c>
      <c r="AE460">
        <v>-8671.3991999999998</v>
      </c>
      <c r="AF460">
        <v>-1093242.6832999999</v>
      </c>
    </row>
    <row r="461" spans="2:32" x14ac:dyDescent="0.25">
      <c r="B461">
        <f t="shared" si="18"/>
        <v>58</v>
      </c>
      <c r="C461">
        <v>1</v>
      </c>
      <c r="D461">
        <v>1</v>
      </c>
      <c r="E461">
        <v>1</v>
      </c>
      <c r="F461">
        <v>1</v>
      </c>
      <c r="G461">
        <v>1</v>
      </c>
      <c r="J461">
        <f t="shared" si="19"/>
        <v>58</v>
      </c>
      <c r="K461">
        <v>1</v>
      </c>
      <c r="L461">
        <v>1</v>
      </c>
      <c r="M461">
        <v>1</v>
      </c>
      <c r="N461">
        <v>1</v>
      </c>
      <c r="O461">
        <v>1</v>
      </c>
      <c r="R461">
        <f t="shared" si="20"/>
        <v>58</v>
      </c>
      <c r="S461">
        <v>1</v>
      </c>
      <c r="T461">
        <v>1</v>
      </c>
      <c r="U461">
        <v>1</v>
      </c>
      <c r="V461">
        <v>1</v>
      </c>
      <c r="W461">
        <v>1</v>
      </c>
      <c r="AA461">
        <v>-8525.2759999999998</v>
      </c>
      <c r="AB461">
        <v>-8525.2759999999998</v>
      </c>
      <c r="AC461">
        <v>-8525.2759999999998</v>
      </c>
      <c r="AD461">
        <v>-8525.2759999999998</v>
      </c>
      <c r="AE461">
        <v>-8525.2759999999998</v>
      </c>
      <c r="AF461">
        <v>-1114366.6444000001</v>
      </c>
    </row>
    <row r="462" spans="2:32" x14ac:dyDescent="0.25">
      <c r="B462">
        <f t="shared" si="18"/>
        <v>59</v>
      </c>
      <c r="C462">
        <v>1</v>
      </c>
      <c r="D462">
        <v>1</v>
      </c>
      <c r="E462">
        <v>1</v>
      </c>
      <c r="F462">
        <v>1</v>
      </c>
      <c r="G462">
        <v>1</v>
      </c>
      <c r="J462">
        <f t="shared" si="19"/>
        <v>59</v>
      </c>
      <c r="K462">
        <v>1</v>
      </c>
      <c r="L462">
        <v>1</v>
      </c>
      <c r="M462">
        <v>1</v>
      </c>
      <c r="N462">
        <v>1</v>
      </c>
      <c r="O462">
        <v>1</v>
      </c>
      <c r="R462">
        <f t="shared" si="20"/>
        <v>59</v>
      </c>
      <c r="S462">
        <v>1</v>
      </c>
      <c r="T462">
        <v>1</v>
      </c>
      <c r="U462">
        <v>1</v>
      </c>
      <c r="V462">
        <v>1</v>
      </c>
      <c r="W462">
        <v>1</v>
      </c>
      <c r="AA462">
        <v>-8377.2351999999992</v>
      </c>
      <c r="AB462">
        <v>-8377.2351999999992</v>
      </c>
      <c r="AC462">
        <v>-8377.2351999999992</v>
      </c>
      <c r="AD462">
        <v>-8377.2351999999992</v>
      </c>
      <c r="AE462">
        <v>-8377.2351999999992</v>
      </c>
      <c r="AF462">
        <v>-1136284.0146999999</v>
      </c>
    </row>
    <row r="463" spans="2:32" x14ac:dyDescent="0.25">
      <c r="B463">
        <f t="shared" si="18"/>
        <v>60</v>
      </c>
      <c r="C463">
        <v>1</v>
      </c>
      <c r="D463">
        <v>1</v>
      </c>
      <c r="E463">
        <v>1</v>
      </c>
      <c r="F463">
        <v>1</v>
      </c>
      <c r="G463">
        <v>1</v>
      </c>
      <c r="J463">
        <f t="shared" si="19"/>
        <v>60</v>
      </c>
      <c r="K463">
        <v>1</v>
      </c>
      <c r="L463">
        <v>1</v>
      </c>
      <c r="M463">
        <v>1</v>
      </c>
      <c r="N463">
        <v>1</v>
      </c>
      <c r="O463">
        <v>1</v>
      </c>
      <c r="R463">
        <f t="shared" si="20"/>
        <v>60</v>
      </c>
      <c r="S463">
        <v>1</v>
      </c>
      <c r="T463">
        <v>1</v>
      </c>
      <c r="U463">
        <v>1</v>
      </c>
      <c r="V463">
        <v>1</v>
      </c>
      <c r="W463">
        <v>1</v>
      </c>
      <c r="AA463">
        <v>-8227.3953999999994</v>
      </c>
      <c r="AB463">
        <v>-8227.3953999999994</v>
      </c>
      <c r="AC463">
        <v>-8227.3953999999994</v>
      </c>
      <c r="AD463">
        <v>-8227.3953999999994</v>
      </c>
      <c r="AE463">
        <v>-8227.3953999999994</v>
      </c>
      <c r="AF463">
        <v>-1157801.6717999999</v>
      </c>
    </row>
    <row r="464" spans="2:32" x14ac:dyDescent="0.25">
      <c r="B464">
        <f t="shared" si="18"/>
        <v>61</v>
      </c>
      <c r="C464">
        <v>1</v>
      </c>
      <c r="D464">
        <v>1</v>
      </c>
      <c r="E464">
        <v>1</v>
      </c>
      <c r="F464">
        <v>1</v>
      </c>
      <c r="G464">
        <v>1</v>
      </c>
      <c r="J464">
        <f t="shared" si="19"/>
        <v>61</v>
      </c>
      <c r="K464">
        <v>1</v>
      </c>
      <c r="L464">
        <v>1</v>
      </c>
      <c r="M464">
        <v>1</v>
      </c>
      <c r="N464">
        <v>1</v>
      </c>
      <c r="O464">
        <v>1</v>
      </c>
      <c r="R464">
        <f t="shared" si="20"/>
        <v>61</v>
      </c>
      <c r="S464">
        <v>1</v>
      </c>
      <c r="T464">
        <v>1</v>
      </c>
      <c r="U464">
        <v>1</v>
      </c>
      <c r="V464">
        <v>1</v>
      </c>
      <c r="W464">
        <v>1</v>
      </c>
      <c r="AA464">
        <v>-8076.1778999999997</v>
      </c>
      <c r="AB464">
        <v>-8076.1778999999997</v>
      </c>
      <c r="AC464">
        <v>-8076.1778999999997</v>
      </c>
      <c r="AD464">
        <v>-8076.1778999999997</v>
      </c>
      <c r="AE464">
        <v>-8076.1778999999997</v>
      </c>
      <c r="AF464">
        <v>-1178581.4038</v>
      </c>
    </row>
    <row r="465" spans="2:32" x14ac:dyDescent="0.25">
      <c r="B465">
        <f t="shared" si="18"/>
        <v>62</v>
      </c>
      <c r="C465">
        <v>1</v>
      </c>
      <c r="D465">
        <v>1</v>
      </c>
      <c r="E465">
        <v>1</v>
      </c>
      <c r="F465">
        <v>1</v>
      </c>
      <c r="G465">
        <v>1</v>
      </c>
      <c r="J465">
        <f t="shared" si="19"/>
        <v>62</v>
      </c>
      <c r="K465">
        <v>1</v>
      </c>
      <c r="L465">
        <v>1</v>
      </c>
      <c r="M465">
        <v>1</v>
      </c>
      <c r="N465">
        <v>1</v>
      </c>
      <c r="O465">
        <v>1</v>
      </c>
      <c r="R465">
        <f t="shared" si="20"/>
        <v>62</v>
      </c>
      <c r="S465">
        <v>1</v>
      </c>
      <c r="T465">
        <v>1</v>
      </c>
      <c r="U465">
        <v>1</v>
      </c>
      <c r="V465">
        <v>1</v>
      </c>
      <c r="W465">
        <v>1</v>
      </c>
      <c r="AA465">
        <v>-7923.5816000000004</v>
      </c>
      <c r="AB465">
        <v>-7923.5816000000004</v>
      </c>
      <c r="AC465">
        <v>-7923.5816000000004</v>
      </c>
      <c r="AD465">
        <v>-7923.5816000000004</v>
      </c>
      <c r="AE465">
        <v>-7923.5816000000004</v>
      </c>
      <c r="AF465">
        <v>-1199521.5327000001</v>
      </c>
    </row>
    <row r="466" spans="2:32" x14ac:dyDescent="0.25">
      <c r="B466">
        <f t="shared" si="18"/>
        <v>63</v>
      </c>
      <c r="C466">
        <v>1</v>
      </c>
      <c r="D466">
        <v>1</v>
      </c>
      <c r="E466">
        <v>1</v>
      </c>
      <c r="F466">
        <v>1</v>
      </c>
      <c r="G466">
        <v>1</v>
      </c>
      <c r="J466">
        <f t="shared" si="19"/>
        <v>63</v>
      </c>
      <c r="K466">
        <v>1</v>
      </c>
      <c r="L466">
        <v>1</v>
      </c>
      <c r="M466">
        <v>1</v>
      </c>
      <c r="N466">
        <v>1</v>
      </c>
      <c r="O466">
        <v>1</v>
      </c>
      <c r="R466">
        <f t="shared" si="20"/>
        <v>63</v>
      </c>
      <c r="S466">
        <v>1</v>
      </c>
      <c r="T466">
        <v>1</v>
      </c>
      <c r="U466">
        <v>1</v>
      </c>
      <c r="V466">
        <v>1</v>
      </c>
      <c r="W466">
        <v>1</v>
      </c>
      <c r="AA466">
        <v>-7769.2775000000001</v>
      </c>
      <c r="AB466">
        <v>-7769.2775000000001</v>
      </c>
      <c r="AC466">
        <v>-7769.2775000000001</v>
      </c>
      <c r="AD466">
        <v>-7769.2775000000001</v>
      </c>
      <c r="AE466">
        <v>-7769.2775000000001</v>
      </c>
      <c r="AF466">
        <v>-1220461.6269</v>
      </c>
    </row>
    <row r="467" spans="2:32" x14ac:dyDescent="0.25">
      <c r="B467">
        <f t="shared" si="18"/>
        <v>64</v>
      </c>
      <c r="C467">
        <v>1</v>
      </c>
      <c r="D467">
        <v>1</v>
      </c>
      <c r="E467">
        <v>1</v>
      </c>
      <c r="F467">
        <v>1</v>
      </c>
      <c r="G467">
        <v>1</v>
      </c>
      <c r="J467">
        <f t="shared" si="19"/>
        <v>64</v>
      </c>
      <c r="K467">
        <v>1</v>
      </c>
      <c r="L467">
        <v>1</v>
      </c>
      <c r="M467">
        <v>1</v>
      </c>
      <c r="N467">
        <v>1</v>
      </c>
      <c r="O467">
        <v>1</v>
      </c>
      <c r="R467">
        <f t="shared" si="20"/>
        <v>64</v>
      </c>
      <c r="S467">
        <v>1</v>
      </c>
      <c r="T467">
        <v>1</v>
      </c>
      <c r="U467">
        <v>1</v>
      </c>
      <c r="V467">
        <v>1</v>
      </c>
      <c r="W467">
        <v>1</v>
      </c>
      <c r="AA467">
        <v>-7613.3999000000003</v>
      </c>
      <c r="AB467">
        <v>-7613.3999000000003</v>
      </c>
      <c r="AC467">
        <v>-7613.3999000000003</v>
      </c>
      <c r="AD467">
        <v>-7613.3999000000003</v>
      </c>
      <c r="AE467">
        <v>-7613.3999000000003</v>
      </c>
      <c r="AF467">
        <v>-1240652.2526</v>
      </c>
    </row>
    <row r="468" spans="2:32" x14ac:dyDescent="0.25">
      <c r="B468">
        <f t="shared" si="18"/>
        <v>65</v>
      </c>
      <c r="C468">
        <v>1</v>
      </c>
      <c r="D468">
        <v>1</v>
      </c>
      <c r="E468">
        <v>1</v>
      </c>
      <c r="F468">
        <v>1</v>
      </c>
      <c r="G468">
        <v>1</v>
      </c>
      <c r="J468">
        <f t="shared" si="19"/>
        <v>65</v>
      </c>
      <c r="K468">
        <v>1</v>
      </c>
      <c r="L468">
        <v>1</v>
      </c>
      <c r="M468">
        <v>1</v>
      </c>
      <c r="N468">
        <v>1</v>
      </c>
      <c r="O468">
        <v>1</v>
      </c>
      <c r="R468">
        <f t="shared" si="20"/>
        <v>65</v>
      </c>
      <c r="S468">
        <v>1</v>
      </c>
      <c r="T468">
        <v>1</v>
      </c>
      <c r="U468">
        <v>1</v>
      </c>
      <c r="V468">
        <v>1</v>
      </c>
      <c r="W468">
        <v>1</v>
      </c>
      <c r="AA468">
        <v>-7455.8590000000004</v>
      </c>
      <c r="AB468">
        <v>-7455.8590000000004</v>
      </c>
      <c r="AC468">
        <v>-7455.8590000000004</v>
      </c>
      <c r="AD468">
        <v>-7455.8590000000004</v>
      </c>
      <c r="AE468">
        <v>-7455.8590000000004</v>
      </c>
      <c r="AF468">
        <v>-1260049.8302</v>
      </c>
    </row>
    <row r="471" spans="2:32" x14ac:dyDescent="0.25">
      <c r="B471" t="s">
        <v>46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47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48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2:32" x14ac:dyDescent="0.25">
      <c r="B472">
        <v>26</v>
      </c>
      <c r="C472">
        <v>1</v>
      </c>
      <c r="D472">
        <v>1</v>
      </c>
      <c r="E472">
        <v>1</v>
      </c>
      <c r="F472">
        <v>1</v>
      </c>
      <c r="G472">
        <v>1</v>
      </c>
      <c r="H472">
        <v>1</v>
      </c>
      <c r="J472">
        <v>26</v>
      </c>
      <c r="K472">
        <v>1</v>
      </c>
      <c r="L472">
        <v>1</v>
      </c>
      <c r="M472">
        <v>1</v>
      </c>
      <c r="N472">
        <v>1</v>
      </c>
      <c r="O472">
        <v>1</v>
      </c>
      <c r="P472">
        <v>1</v>
      </c>
      <c r="R472">
        <v>26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AA472">
        <v>-7435.5060999999996</v>
      </c>
      <c r="AB472">
        <v>-7435.5060999999996</v>
      </c>
      <c r="AC472">
        <v>-7435.5060999999996</v>
      </c>
      <c r="AD472">
        <v>-7435.5060999999996</v>
      </c>
      <c r="AE472">
        <v>-7435.5060999999996</v>
      </c>
      <c r="AF472">
        <v>-7435.5060999999996</v>
      </c>
    </row>
    <row r="473" spans="2:32" x14ac:dyDescent="0.25">
      <c r="B473">
        <v>27</v>
      </c>
      <c r="C473">
        <v>1</v>
      </c>
      <c r="D473">
        <v>1</v>
      </c>
      <c r="E473">
        <v>1</v>
      </c>
      <c r="F473">
        <v>1</v>
      </c>
      <c r="G473">
        <v>1</v>
      </c>
      <c r="H473">
        <v>1</v>
      </c>
      <c r="J473">
        <v>27</v>
      </c>
      <c r="K473">
        <v>1</v>
      </c>
      <c r="L473">
        <v>1</v>
      </c>
      <c r="M473">
        <v>1</v>
      </c>
      <c r="N473">
        <v>1</v>
      </c>
      <c r="O473">
        <v>1</v>
      </c>
      <c r="P473">
        <v>1</v>
      </c>
      <c r="R473">
        <v>27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AA473">
        <v>-7434.2619000000004</v>
      </c>
      <c r="AB473">
        <v>-7434.2619000000004</v>
      </c>
      <c r="AC473">
        <v>-7434.2619000000004</v>
      </c>
      <c r="AD473">
        <v>-7434.2619000000004</v>
      </c>
      <c r="AE473">
        <v>-7434.2619000000004</v>
      </c>
      <c r="AF473">
        <v>-7434.2619000000004</v>
      </c>
    </row>
    <row r="474" spans="2:32" x14ac:dyDescent="0.25">
      <c r="B474">
        <v>28</v>
      </c>
      <c r="C474">
        <v>1</v>
      </c>
      <c r="D474">
        <v>1</v>
      </c>
      <c r="E474">
        <v>1</v>
      </c>
      <c r="F474">
        <v>1</v>
      </c>
      <c r="G474">
        <v>1</v>
      </c>
      <c r="H474">
        <v>1</v>
      </c>
      <c r="J474">
        <v>28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R474">
        <v>28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AA474">
        <v>-7432.8334999999997</v>
      </c>
      <c r="AB474">
        <v>-7432.8334999999997</v>
      </c>
      <c r="AC474">
        <v>-7432.8334999999997</v>
      </c>
      <c r="AD474">
        <v>-7432.8334999999997</v>
      </c>
      <c r="AE474">
        <v>-7432.8334999999997</v>
      </c>
      <c r="AF474">
        <v>-7432.8334999999997</v>
      </c>
    </row>
    <row r="475" spans="2:32" x14ac:dyDescent="0.25">
      <c r="B475">
        <v>29</v>
      </c>
      <c r="C475">
        <v>1</v>
      </c>
      <c r="D475">
        <v>1</v>
      </c>
      <c r="E475">
        <v>1</v>
      </c>
      <c r="F475">
        <v>1</v>
      </c>
      <c r="G475">
        <v>1</v>
      </c>
      <c r="H475">
        <v>1</v>
      </c>
      <c r="J475">
        <v>29</v>
      </c>
      <c r="K475">
        <v>1</v>
      </c>
      <c r="L475">
        <v>1</v>
      </c>
      <c r="M475">
        <v>1</v>
      </c>
      <c r="N475">
        <v>1</v>
      </c>
      <c r="O475">
        <v>1</v>
      </c>
      <c r="P475">
        <v>1</v>
      </c>
      <c r="R475">
        <v>29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AA475">
        <v>-7431.2058999999999</v>
      </c>
      <c r="AB475">
        <v>-7431.2058999999999</v>
      </c>
      <c r="AC475">
        <v>-7431.2058999999999</v>
      </c>
      <c r="AD475">
        <v>-7431.2058999999999</v>
      </c>
      <c r="AE475">
        <v>-7431.2058999999999</v>
      </c>
      <c r="AF475">
        <v>-7431.2058999999999</v>
      </c>
    </row>
    <row r="476" spans="2:32" x14ac:dyDescent="0.25">
      <c r="B476">
        <v>30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J476">
        <v>30</v>
      </c>
      <c r="K476">
        <v>1</v>
      </c>
      <c r="L476">
        <v>1</v>
      </c>
      <c r="M476">
        <v>1</v>
      </c>
      <c r="N476">
        <v>1</v>
      </c>
      <c r="O476">
        <v>1</v>
      </c>
      <c r="P476">
        <v>1</v>
      </c>
      <c r="R476">
        <v>30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AA476">
        <v>-7429.3476000000001</v>
      </c>
      <c r="AB476">
        <v>-7429.3476000000001</v>
      </c>
      <c r="AC476">
        <v>-7429.3476000000001</v>
      </c>
      <c r="AD476">
        <v>-7429.3476000000001</v>
      </c>
      <c r="AE476">
        <v>-7429.3476000000001</v>
      </c>
      <c r="AF476">
        <v>-7429.3476000000001</v>
      </c>
    </row>
    <row r="477" spans="2:32" x14ac:dyDescent="0.25">
      <c r="B477">
        <v>31</v>
      </c>
      <c r="C477">
        <v>1</v>
      </c>
      <c r="D477">
        <v>1</v>
      </c>
      <c r="E477">
        <v>1</v>
      </c>
      <c r="F477">
        <v>1</v>
      </c>
      <c r="G477">
        <v>1</v>
      </c>
      <c r="H477">
        <v>1</v>
      </c>
      <c r="J477">
        <v>31</v>
      </c>
      <c r="K477">
        <v>1</v>
      </c>
      <c r="L477">
        <v>1</v>
      </c>
      <c r="M477">
        <v>1</v>
      </c>
      <c r="N477">
        <v>1</v>
      </c>
      <c r="O477">
        <v>1</v>
      </c>
      <c r="P477">
        <v>1</v>
      </c>
      <c r="R477">
        <v>31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AA477">
        <v>-7427.2446</v>
      </c>
      <c r="AB477">
        <v>-7427.2446</v>
      </c>
      <c r="AC477">
        <v>-7427.2446</v>
      </c>
      <c r="AD477">
        <v>-7427.2446</v>
      </c>
      <c r="AE477">
        <v>-7427.2446</v>
      </c>
      <c r="AF477">
        <v>-7427.2446</v>
      </c>
    </row>
    <row r="478" spans="2:32" x14ac:dyDescent="0.25">
      <c r="B478">
        <v>32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1</v>
      </c>
      <c r="J478">
        <v>32</v>
      </c>
      <c r="K478">
        <v>1</v>
      </c>
      <c r="L478">
        <v>1</v>
      </c>
      <c r="M478">
        <v>1</v>
      </c>
      <c r="N478">
        <v>1</v>
      </c>
      <c r="O478">
        <v>1</v>
      </c>
      <c r="P478">
        <v>1</v>
      </c>
      <c r="R478">
        <v>32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AA478">
        <v>-7424.8944000000001</v>
      </c>
      <c r="AB478">
        <v>-7424.8944000000001</v>
      </c>
      <c r="AC478">
        <v>-7424.8944000000001</v>
      </c>
      <c r="AD478">
        <v>-7424.8944000000001</v>
      </c>
      <c r="AE478">
        <v>-7424.8944000000001</v>
      </c>
      <c r="AF478">
        <v>-7424.8944000000001</v>
      </c>
    </row>
    <row r="479" spans="2:32" x14ac:dyDescent="0.25">
      <c r="B479">
        <v>33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1</v>
      </c>
      <c r="J479">
        <v>33</v>
      </c>
      <c r="K479">
        <v>1</v>
      </c>
      <c r="L479">
        <v>1</v>
      </c>
      <c r="M479">
        <v>1</v>
      </c>
      <c r="N479">
        <v>1</v>
      </c>
      <c r="O479">
        <v>1</v>
      </c>
      <c r="P479">
        <v>1</v>
      </c>
      <c r="R479">
        <v>33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AA479">
        <v>-7422.2834000000003</v>
      </c>
      <c r="AB479">
        <v>-7422.2834000000003</v>
      </c>
      <c r="AC479">
        <v>-7422.2834000000003</v>
      </c>
      <c r="AD479">
        <v>-7422.2834000000003</v>
      </c>
      <c r="AE479">
        <v>-7422.2834000000003</v>
      </c>
      <c r="AF479">
        <v>-7422.2834000000003</v>
      </c>
    </row>
    <row r="480" spans="2:32" x14ac:dyDescent="0.25">
      <c r="B480">
        <v>34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J480">
        <v>34</v>
      </c>
      <c r="K480">
        <v>1</v>
      </c>
      <c r="L480">
        <v>1</v>
      </c>
      <c r="M480">
        <v>1</v>
      </c>
      <c r="N480">
        <v>1</v>
      </c>
      <c r="O480">
        <v>1</v>
      </c>
      <c r="P480">
        <v>1</v>
      </c>
      <c r="R480">
        <v>34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AA480">
        <v>-7419.3683000000001</v>
      </c>
      <c r="AB480">
        <v>-7419.3683000000001</v>
      </c>
      <c r="AC480">
        <v>-7419.3683000000001</v>
      </c>
      <c r="AD480">
        <v>-7419.3683000000001</v>
      </c>
      <c r="AE480">
        <v>-7419.3683000000001</v>
      </c>
      <c r="AF480">
        <v>-7419.3683000000001</v>
      </c>
    </row>
    <row r="481" spans="2:32" x14ac:dyDescent="0.25">
      <c r="B481">
        <v>35</v>
      </c>
      <c r="C481">
        <v>1</v>
      </c>
      <c r="D481">
        <v>1</v>
      </c>
      <c r="E481">
        <v>1</v>
      </c>
      <c r="F481">
        <v>1</v>
      </c>
      <c r="G481">
        <v>1</v>
      </c>
      <c r="H481">
        <v>1</v>
      </c>
      <c r="J481">
        <v>35</v>
      </c>
      <c r="K481">
        <v>1</v>
      </c>
      <c r="L481">
        <v>1</v>
      </c>
      <c r="M481">
        <v>1</v>
      </c>
      <c r="N481">
        <v>1</v>
      </c>
      <c r="O481">
        <v>1</v>
      </c>
      <c r="P481">
        <v>1</v>
      </c>
      <c r="R481">
        <v>35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AA481">
        <v>-7416.1363000000001</v>
      </c>
      <c r="AB481">
        <v>-7416.1363000000001</v>
      </c>
      <c r="AC481">
        <v>-7416.1363000000001</v>
      </c>
      <c r="AD481">
        <v>-7416.1363000000001</v>
      </c>
      <c r="AE481">
        <v>-7416.1363000000001</v>
      </c>
      <c r="AF481">
        <v>-7416.1363000000001</v>
      </c>
    </row>
    <row r="482" spans="2:32" x14ac:dyDescent="0.25">
      <c r="B482">
        <v>36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J482">
        <v>36</v>
      </c>
      <c r="K482">
        <v>1</v>
      </c>
      <c r="L482">
        <v>1</v>
      </c>
      <c r="M482">
        <v>1</v>
      </c>
      <c r="N482">
        <v>1</v>
      </c>
      <c r="O482">
        <v>1</v>
      </c>
      <c r="P482">
        <v>1</v>
      </c>
      <c r="R482">
        <v>36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AA482">
        <v>-7412.5378000000001</v>
      </c>
      <c r="AB482">
        <v>-7412.5378000000001</v>
      </c>
      <c r="AC482">
        <v>-7412.5378000000001</v>
      </c>
      <c r="AD482">
        <v>-7412.5378000000001</v>
      </c>
      <c r="AE482">
        <v>-7412.5378000000001</v>
      </c>
      <c r="AF482">
        <v>-7412.5378000000001</v>
      </c>
    </row>
    <row r="483" spans="2:32" x14ac:dyDescent="0.25">
      <c r="B483">
        <v>37</v>
      </c>
      <c r="C483">
        <v>1</v>
      </c>
      <c r="D483">
        <v>1</v>
      </c>
      <c r="E483">
        <v>1</v>
      </c>
      <c r="F483">
        <v>1</v>
      </c>
      <c r="G483">
        <v>1</v>
      </c>
      <c r="H483">
        <v>1</v>
      </c>
      <c r="J483">
        <v>37</v>
      </c>
      <c r="K483">
        <v>1</v>
      </c>
      <c r="L483">
        <v>1</v>
      </c>
      <c r="M483">
        <v>1</v>
      </c>
      <c r="N483">
        <v>1</v>
      </c>
      <c r="O483">
        <v>1</v>
      </c>
      <c r="P483">
        <v>1</v>
      </c>
      <c r="R483">
        <v>37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AA483">
        <v>-7408.55</v>
      </c>
      <c r="AB483">
        <v>-7408.55</v>
      </c>
      <c r="AC483">
        <v>-7408.55</v>
      </c>
      <c r="AD483">
        <v>-7408.55</v>
      </c>
      <c r="AE483">
        <v>-7408.55</v>
      </c>
      <c r="AF483">
        <v>-7408.55</v>
      </c>
    </row>
    <row r="484" spans="2:32" x14ac:dyDescent="0.25">
      <c r="B484">
        <v>38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1</v>
      </c>
      <c r="J484">
        <v>38</v>
      </c>
      <c r="K484">
        <v>1</v>
      </c>
      <c r="L484">
        <v>1</v>
      </c>
      <c r="M484">
        <v>1</v>
      </c>
      <c r="N484">
        <v>1</v>
      </c>
      <c r="O484">
        <v>1</v>
      </c>
      <c r="P484">
        <v>1</v>
      </c>
      <c r="R484">
        <v>38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AA484">
        <v>-7404.1752999999999</v>
      </c>
      <c r="AB484">
        <v>-7404.1752999999999</v>
      </c>
      <c r="AC484">
        <v>-7404.1752999999999</v>
      </c>
      <c r="AD484">
        <v>-7404.1752999999999</v>
      </c>
      <c r="AE484">
        <v>-7404.1752999999999</v>
      </c>
      <c r="AF484">
        <v>-7404.1752999999999</v>
      </c>
    </row>
    <row r="485" spans="2:32" x14ac:dyDescent="0.25">
      <c r="B485">
        <v>39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1</v>
      </c>
      <c r="J485">
        <v>39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1</v>
      </c>
      <c r="R485">
        <v>39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AA485">
        <v>-7399.3923999999997</v>
      </c>
      <c r="AB485">
        <v>-7399.3923999999997</v>
      </c>
      <c r="AC485">
        <v>-7399.3923999999997</v>
      </c>
      <c r="AD485">
        <v>-7399.3923999999997</v>
      </c>
      <c r="AE485">
        <v>-7399.3923999999997</v>
      </c>
      <c r="AF485">
        <v>-7399.3923999999997</v>
      </c>
    </row>
    <row r="486" spans="2:32" x14ac:dyDescent="0.25">
      <c r="B486">
        <v>40</v>
      </c>
      <c r="C486">
        <v>1</v>
      </c>
      <c r="D486">
        <v>1</v>
      </c>
      <c r="E486">
        <v>1</v>
      </c>
      <c r="F486">
        <v>1</v>
      </c>
      <c r="G486">
        <v>1</v>
      </c>
      <c r="H486">
        <v>1</v>
      </c>
      <c r="J486">
        <v>40</v>
      </c>
      <c r="K486">
        <v>1</v>
      </c>
      <c r="L486">
        <v>1</v>
      </c>
      <c r="M486">
        <v>1</v>
      </c>
      <c r="N486">
        <v>1</v>
      </c>
      <c r="O486">
        <v>1</v>
      </c>
      <c r="P486">
        <v>1</v>
      </c>
      <c r="R486">
        <v>40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AA486">
        <v>-7394.1365999999998</v>
      </c>
      <c r="AB486">
        <v>-7394.1365999999998</v>
      </c>
      <c r="AC486">
        <v>-7394.1365999999998</v>
      </c>
      <c r="AD486">
        <v>-7394.1365999999998</v>
      </c>
      <c r="AE486">
        <v>-7394.1365999999998</v>
      </c>
      <c r="AF486">
        <v>-7394.1365999999998</v>
      </c>
    </row>
    <row r="487" spans="2:32" x14ac:dyDescent="0.25">
      <c r="B487">
        <v>41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1</v>
      </c>
      <c r="J487">
        <v>41</v>
      </c>
      <c r="K487">
        <v>1</v>
      </c>
      <c r="L487">
        <v>1</v>
      </c>
      <c r="M487">
        <v>1</v>
      </c>
      <c r="N487">
        <v>1</v>
      </c>
      <c r="O487">
        <v>1</v>
      </c>
      <c r="P487">
        <v>1</v>
      </c>
      <c r="R487">
        <v>41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AA487">
        <v>-7388.3469999999998</v>
      </c>
      <c r="AB487">
        <v>-7388.3469999999998</v>
      </c>
      <c r="AC487">
        <v>-7388.3469999999998</v>
      </c>
      <c r="AD487">
        <v>-7388.3469999999998</v>
      </c>
      <c r="AE487">
        <v>-7388.3469999999998</v>
      </c>
      <c r="AF487">
        <v>-7388.3469999999998</v>
      </c>
    </row>
    <row r="488" spans="2:32" x14ac:dyDescent="0.25">
      <c r="B488">
        <v>42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1</v>
      </c>
      <c r="J488">
        <v>42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R488">
        <v>42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AA488">
        <v>-7381.9919</v>
      </c>
      <c r="AB488">
        <v>-7381.9919</v>
      </c>
      <c r="AC488">
        <v>-7381.9919</v>
      </c>
      <c r="AD488">
        <v>-7381.9919</v>
      </c>
      <c r="AE488">
        <v>-7381.9919</v>
      </c>
      <c r="AF488">
        <v>-7381.9919</v>
      </c>
    </row>
    <row r="489" spans="2:32" x14ac:dyDescent="0.25">
      <c r="B489">
        <v>43</v>
      </c>
      <c r="C489">
        <v>1</v>
      </c>
      <c r="D489">
        <v>1</v>
      </c>
      <c r="E489">
        <v>1</v>
      </c>
      <c r="F489">
        <v>1</v>
      </c>
      <c r="G489">
        <v>1</v>
      </c>
      <c r="H489">
        <v>1</v>
      </c>
      <c r="J489">
        <v>43</v>
      </c>
      <c r="K489">
        <v>1</v>
      </c>
      <c r="L489">
        <v>1</v>
      </c>
      <c r="M489">
        <v>1</v>
      </c>
      <c r="N489">
        <v>1</v>
      </c>
      <c r="O489">
        <v>1</v>
      </c>
      <c r="P489">
        <v>1</v>
      </c>
      <c r="R489">
        <v>43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AA489">
        <v>-7374.9579999999996</v>
      </c>
      <c r="AB489">
        <v>-7374.9579999999996</v>
      </c>
      <c r="AC489">
        <v>-7374.9579999999996</v>
      </c>
      <c r="AD489">
        <v>-7374.9579999999996</v>
      </c>
      <c r="AE489">
        <v>-7374.9579999999996</v>
      </c>
      <c r="AF489">
        <v>-7374.9579999999996</v>
      </c>
    </row>
    <row r="490" spans="2:32" x14ac:dyDescent="0.25">
      <c r="B490">
        <v>44</v>
      </c>
      <c r="C490">
        <v>1</v>
      </c>
      <c r="D490">
        <v>1</v>
      </c>
      <c r="E490">
        <v>1</v>
      </c>
      <c r="F490">
        <v>1</v>
      </c>
      <c r="G490">
        <v>1</v>
      </c>
      <c r="H490">
        <v>1</v>
      </c>
      <c r="J490">
        <v>44</v>
      </c>
      <c r="K490">
        <v>1</v>
      </c>
      <c r="L490">
        <v>1</v>
      </c>
      <c r="M490">
        <v>1</v>
      </c>
      <c r="N490">
        <v>1</v>
      </c>
      <c r="O490">
        <v>1</v>
      </c>
      <c r="P490">
        <v>1</v>
      </c>
      <c r="R490">
        <v>44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AA490">
        <v>-7367.2034999999996</v>
      </c>
      <c r="AB490">
        <v>-7367.2034999999996</v>
      </c>
      <c r="AC490">
        <v>-7367.2034999999996</v>
      </c>
      <c r="AD490">
        <v>-7367.2034999999996</v>
      </c>
      <c r="AE490">
        <v>-7367.2034999999996</v>
      </c>
      <c r="AF490">
        <v>-7367.2034999999996</v>
      </c>
    </row>
    <row r="491" spans="2:32" x14ac:dyDescent="0.25">
      <c r="B491">
        <v>45</v>
      </c>
      <c r="C491">
        <v>1</v>
      </c>
      <c r="D491">
        <v>1</v>
      </c>
      <c r="E491">
        <v>1</v>
      </c>
      <c r="F491">
        <v>1</v>
      </c>
      <c r="G491">
        <v>1</v>
      </c>
      <c r="H491">
        <v>1</v>
      </c>
      <c r="J491">
        <v>45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R491">
        <v>45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AA491">
        <v>-7358.6491999999998</v>
      </c>
      <c r="AB491">
        <v>-7358.6491999999998</v>
      </c>
      <c r="AC491">
        <v>-7358.6491999999998</v>
      </c>
      <c r="AD491">
        <v>-7358.6491999999998</v>
      </c>
      <c r="AE491">
        <v>-7358.6491999999998</v>
      </c>
      <c r="AF491">
        <v>-7358.6491999999998</v>
      </c>
    </row>
    <row r="492" spans="2:32" x14ac:dyDescent="0.25">
      <c r="B492">
        <v>46</v>
      </c>
      <c r="C492">
        <v>1</v>
      </c>
      <c r="D492">
        <v>1</v>
      </c>
      <c r="E492">
        <v>1</v>
      </c>
      <c r="F492">
        <v>1</v>
      </c>
      <c r="G492">
        <v>1</v>
      </c>
      <c r="H492">
        <v>1</v>
      </c>
      <c r="J492">
        <v>46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R492">
        <v>46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AA492">
        <v>-7349.2232000000004</v>
      </c>
      <c r="AB492">
        <v>-7349.2232000000004</v>
      </c>
      <c r="AC492">
        <v>-7349.2232000000004</v>
      </c>
      <c r="AD492">
        <v>-7349.2232000000004</v>
      </c>
      <c r="AE492">
        <v>-7349.2232000000004</v>
      </c>
      <c r="AF492">
        <v>-7349.2232000000004</v>
      </c>
    </row>
    <row r="493" spans="2:32" x14ac:dyDescent="0.25">
      <c r="B493">
        <v>47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1</v>
      </c>
      <c r="J493">
        <v>47</v>
      </c>
      <c r="K493">
        <v>1</v>
      </c>
      <c r="L493">
        <v>1</v>
      </c>
      <c r="M493">
        <v>1</v>
      </c>
      <c r="N493">
        <v>1</v>
      </c>
      <c r="O493">
        <v>1</v>
      </c>
      <c r="P493">
        <v>1</v>
      </c>
      <c r="R493">
        <v>47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AA493">
        <v>-7338.8310000000001</v>
      </c>
      <c r="AB493">
        <v>-7338.8310000000001</v>
      </c>
      <c r="AC493">
        <v>-7338.8310000000001</v>
      </c>
      <c r="AD493">
        <v>-7338.8310000000001</v>
      </c>
      <c r="AE493">
        <v>-7338.8310000000001</v>
      </c>
      <c r="AF493">
        <v>-7338.8310000000001</v>
      </c>
    </row>
    <row r="494" spans="2:32" x14ac:dyDescent="0.25">
      <c r="B494">
        <v>48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1</v>
      </c>
      <c r="J494">
        <v>48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1</v>
      </c>
      <c r="R494">
        <v>48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AA494">
        <v>-7327.4297999999999</v>
      </c>
      <c r="AB494">
        <v>-7327.4297999999999</v>
      </c>
      <c r="AC494">
        <v>-7327.4297999999999</v>
      </c>
      <c r="AD494">
        <v>-7327.4297999999999</v>
      </c>
      <c r="AE494">
        <v>-7327.4297999999999</v>
      </c>
      <c r="AF494">
        <v>-7327.4297999999999</v>
      </c>
    </row>
    <row r="495" spans="2:32" x14ac:dyDescent="0.25">
      <c r="B495">
        <v>49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1</v>
      </c>
      <c r="J495">
        <v>49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R495">
        <v>49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AA495">
        <v>-7314.951</v>
      </c>
      <c r="AB495">
        <v>-7314.951</v>
      </c>
      <c r="AC495">
        <v>-7314.951</v>
      </c>
      <c r="AD495">
        <v>-7314.951</v>
      </c>
      <c r="AE495">
        <v>-7314.951</v>
      </c>
      <c r="AF495">
        <v>-7314.951</v>
      </c>
    </row>
    <row r="496" spans="2:32" x14ac:dyDescent="0.25">
      <c r="B496">
        <v>50</v>
      </c>
      <c r="C496">
        <v>1</v>
      </c>
      <c r="D496">
        <v>1</v>
      </c>
      <c r="E496">
        <v>1</v>
      </c>
      <c r="F496">
        <v>1</v>
      </c>
      <c r="G496">
        <v>1</v>
      </c>
      <c r="H496">
        <v>1</v>
      </c>
      <c r="J496">
        <v>50</v>
      </c>
      <c r="K496">
        <v>1</v>
      </c>
      <c r="L496">
        <v>1</v>
      </c>
      <c r="M496">
        <v>1</v>
      </c>
      <c r="N496">
        <v>1</v>
      </c>
      <c r="O496">
        <v>1</v>
      </c>
      <c r="P496">
        <v>1</v>
      </c>
      <c r="R496">
        <v>50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AA496">
        <v>-7301.2851000000001</v>
      </c>
      <c r="AB496">
        <v>-7301.2851000000001</v>
      </c>
      <c r="AC496">
        <v>-7301.2851000000001</v>
      </c>
      <c r="AD496">
        <v>-7301.2851000000001</v>
      </c>
      <c r="AE496">
        <v>-7301.2851000000001</v>
      </c>
      <c r="AF496">
        <v>-7301.2851000000001</v>
      </c>
    </row>
    <row r="497" spans="2:32" x14ac:dyDescent="0.25">
      <c r="B497">
        <v>51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J497">
        <v>51</v>
      </c>
      <c r="K497">
        <v>1</v>
      </c>
      <c r="L497">
        <v>1</v>
      </c>
      <c r="M497">
        <v>1</v>
      </c>
      <c r="N497">
        <v>1</v>
      </c>
      <c r="O497">
        <v>1</v>
      </c>
      <c r="P497">
        <v>1</v>
      </c>
      <c r="R497">
        <v>51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AA497">
        <v>-7286.3271000000004</v>
      </c>
      <c r="AB497">
        <v>-7286.3271000000004</v>
      </c>
      <c r="AC497">
        <v>-7286.3271000000004</v>
      </c>
      <c r="AD497">
        <v>-7286.3271000000004</v>
      </c>
      <c r="AE497">
        <v>-7286.3271000000004</v>
      </c>
      <c r="AF497">
        <v>-7286.3271000000004</v>
      </c>
    </row>
    <row r="498" spans="2:32" x14ac:dyDescent="0.25">
      <c r="B498">
        <v>52</v>
      </c>
      <c r="C498">
        <v>1</v>
      </c>
      <c r="D498">
        <v>1</v>
      </c>
      <c r="E498">
        <v>1</v>
      </c>
      <c r="F498">
        <v>1</v>
      </c>
      <c r="G498">
        <v>1</v>
      </c>
      <c r="H498">
        <v>1</v>
      </c>
      <c r="J498">
        <v>52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R498">
        <v>52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AA498">
        <v>-7269.9448000000002</v>
      </c>
      <c r="AB498">
        <v>-7269.9448000000002</v>
      </c>
      <c r="AC498">
        <v>-7269.9448000000002</v>
      </c>
      <c r="AD498">
        <v>-7269.9448000000002</v>
      </c>
      <c r="AE498">
        <v>-7269.9448000000002</v>
      </c>
      <c r="AF498">
        <v>-7269.9448000000002</v>
      </c>
    </row>
    <row r="499" spans="2:32" x14ac:dyDescent="0.25">
      <c r="B499">
        <v>53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1</v>
      </c>
      <c r="J499">
        <v>53</v>
      </c>
      <c r="K499">
        <v>1</v>
      </c>
      <c r="L499">
        <v>1</v>
      </c>
      <c r="M499">
        <v>1</v>
      </c>
      <c r="N499">
        <v>1</v>
      </c>
      <c r="O499">
        <v>1</v>
      </c>
      <c r="P499">
        <v>1</v>
      </c>
      <c r="R499">
        <v>53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AA499">
        <v>-7252.0574999999999</v>
      </c>
      <c r="AB499">
        <v>-7252.0574999999999</v>
      </c>
      <c r="AC499">
        <v>-7252.0574999999999</v>
      </c>
      <c r="AD499">
        <v>-7252.0574999999999</v>
      </c>
      <c r="AE499">
        <v>-7252.0574999999999</v>
      </c>
      <c r="AF499">
        <v>-7252.0574999999999</v>
      </c>
    </row>
    <row r="500" spans="2:32" x14ac:dyDescent="0.25">
      <c r="B500">
        <v>54</v>
      </c>
      <c r="C500">
        <v>1</v>
      </c>
      <c r="D500">
        <v>1</v>
      </c>
      <c r="E500">
        <v>1</v>
      </c>
      <c r="F500">
        <v>1</v>
      </c>
      <c r="G500">
        <v>1</v>
      </c>
      <c r="H500">
        <v>1</v>
      </c>
      <c r="J500">
        <v>54</v>
      </c>
      <c r="K500">
        <v>1</v>
      </c>
      <c r="L500">
        <v>1</v>
      </c>
      <c r="M500">
        <v>1</v>
      </c>
      <c r="N500">
        <v>1</v>
      </c>
      <c r="O500">
        <v>1</v>
      </c>
      <c r="P500">
        <v>1</v>
      </c>
      <c r="R500">
        <v>54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AA500">
        <v>-7232.5680000000002</v>
      </c>
      <c r="AB500">
        <v>-7232.5680000000002</v>
      </c>
      <c r="AC500">
        <v>-7232.5680000000002</v>
      </c>
      <c r="AD500">
        <v>-7232.5680000000002</v>
      </c>
      <c r="AE500">
        <v>-7232.5680000000002</v>
      </c>
      <c r="AF500">
        <v>-7232.5680000000002</v>
      </c>
    </row>
    <row r="501" spans="2:32" x14ac:dyDescent="0.25">
      <c r="B501">
        <v>55</v>
      </c>
      <c r="C501">
        <v>1</v>
      </c>
      <c r="D501">
        <v>1</v>
      </c>
      <c r="E501">
        <v>1</v>
      </c>
      <c r="F501">
        <v>1</v>
      </c>
      <c r="G501">
        <v>1</v>
      </c>
      <c r="H501">
        <v>1</v>
      </c>
      <c r="J501">
        <v>55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R501">
        <v>55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AA501">
        <v>-7211.3207000000002</v>
      </c>
      <c r="AB501">
        <v>-7211.3207000000002</v>
      </c>
      <c r="AC501">
        <v>-7211.3207000000002</v>
      </c>
      <c r="AD501">
        <v>-7211.3207000000002</v>
      </c>
      <c r="AE501">
        <v>-7211.3207000000002</v>
      </c>
      <c r="AF501">
        <v>-7211.3207000000002</v>
      </c>
    </row>
    <row r="504" spans="2:32" x14ac:dyDescent="0.25">
      <c r="B504" t="s">
        <v>46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32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48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2:32" x14ac:dyDescent="0.25">
      <c r="B505">
        <v>35</v>
      </c>
      <c r="C505">
        <v>1</v>
      </c>
      <c r="D505">
        <v>1</v>
      </c>
      <c r="E505">
        <v>1</v>
      </c>
      <c r="F505">
        <v>1</v>
      </c>
      <c r="G505">
        <v>1</v>
      </c>
      <c r="J505">
        <v>35</v>
      </c>
      <c r="K505">
        <v>1</v>
      </c>
      <c r="L505">
        <v>1</v>
      </c>
      <c r="M505">
        <v>1</v>
      </c>
      <c r="N505">
        <v>1</v>
      </c>
      <c r="O505">
        <v>1</v>
      </c>
      <c r="R505">
        <v>35</v>
      </c>
      <c r="S505">
        <v>1</v>
      </c>
      <c r="T505">
        <v>1</v>
      </c>
      <c r="U505">
        <v>1</v>
      </c>
      <c r="V505">
        <v>1</v>
      </c>
      <c r="W505">
        <v>1</v>
      </c>
      <c r="AA505">
        <v>-11308.6893</v>
      </c>
      <c r="AB505">
        <v>-11308.6893</v>
      </c>
      <c r="AC505">
        <v>-11308.6893</v>
      </c>
      <c r="AD505">
        <v>-11308.6893</v>
      </c>
      <c r="AE505">
        <v>-11308.6893</v>
      </c>
      <c r="AF505">
        <v>-759112.79520000005</v>
      </c>
    </row>
    <row r="506" spans="2:32" x14ac:dyDescent="0.25">
      <c r="B506">
        <f t="shared" ref="B506:B535" si="21">B505+1</f>
        <v>36</v>
      </c>
      <c r="C506">
        <v>1</v>
      </c>
      <c r="D506">
        <v>1</v>
      </c>
      <c r="E506">
        <v>1</v>
      </c>
      <c r="F506">
        <v>1</v>
      </c>
      <c r="G506">
        <v>1</v>
      </c>
      <c r="J506">
        <f t="shared" ref="J506:J535" si="22">J505+1</f>
        <v>36</v>
      </c>
      <c r="K506">
        <v>1</v>
      </c>
      <c r="L506">
        <v>1</v>
      </c>
      <c r="M506">
        <v>1</v>
      </c>
      <c r="N506">
        <v>1</v>
      </c>
      <c r="O506">
        <v>1</v>
      </c>
      <c r="R506">
        <f t="shared" ref="R506:R535" si="23">R505+1</f>
        <v>36</v>
      </c>
      <c r="S506">
        <v>1</v>
      </c>
      <c r="T506">
        <v>1</v>
      </c>
      <c r="U506">
        <v>1</v>
      </c>
      <c r="V506">
        <v>1</v>
      </c>
      <c r="W506">
        <v>1</v>
      </c>
      <c r="AA506">
        <v>-11214.2592</v>
      </c>
      <c r="AB506">
        <v>-11214.2592</v>
      </c>
      <c r="AC506">
        <v>-11214.2592</v>
      </c>
      <c r="AD506">
        <v>-11214.2592</v>
      </c>
      <c r="AE506">
        <v>-11214.2592</v>
      </c>
      <c r="AF506">
        <v>-737070.86179999996</v>
      </c>
    </row>
    <row r="507" spans="2:32" x14ac:dyDescent="0.25">
      <c r="B507">
        <f t="shared" si="21"/>
        <v>37</v>
      </c>
      <c r="C507">
        <v>1</v>
      </c>
      <c r="D507">
        <v>1</v>
      </c>
      <c r="E507">
        <v>1</v>
      </c>
      <c r="F507">
        <v>1</v>
      </c>
      <c r="G507">
        <v>1</v>
      </c>
      <c r="J507">
        <f t="shared" si="22"/>
        <v>37</v>
      </c>
      <c r="K507">
        <v>1</v>
      </c>
      <c r="L507">
        <v>1</v>
      </c>
      <c r="M507">
        <v>1</v>
      </c>
      <c r="N507">
        <v>1</v>
      </c>
      <c r="O507">
        <v>1</v>
      </c>
      <c r="R507">
        <f t="shared" si="23"/>
        <v>37</v>
      </c>
      <c r="S507">
        <v>1</v>
      </c>
      <c r="T507">
        <v>1</v>
      </c>
      <c r="U507">
        <v>1</v>
      </c>
      <c r="V507">
        <v>1</v>
      </c>
      <c r="W507">
        <v>1</v>
      </c>
      <c r="AA507">
        <v>-11117.406199999999</v>
      </c>
      <c r="AB507">
        <v>-11117.406199999999</v>
      </c>
      <c r="AC507">
        <v>-11117.406199999999</v>
      </c>
      <c r="AD507">
        <v>-11117.406199999999</v>
      </c>
      <c r="AE507">
        <v>-11117.406199999999</v>
      </c>
      <c r="AF507">
        <v>-765978.91940000001</v>
      </c>
    </row>
    <row r="508" spans="2:32" x14ac:dyDescent="0.25">
      <c r="B508">
        <f t="shared" si="21"/>
        <v>38</v>
      </c>
      <c r="C508">
        <v>1</v>
      </c>
      <c r="D508">
        <v>1</v>
      </c>
      <c r="E508">
        <v>1</v>
      </c>
      <c r="F508">
        <v>1</v>
      </c>
      <c r="G508">
        <v>1</v>
      </c>
      <c r="J508">
        <f t="shared" si="22"/>
        <v>38</v>
      </c>
      <c r="K508">
        <v>1</v>
      </c>
      <c r="L508">
        <v>1</v>
      </c>
      <c r="M508">
        <v>1</v>
      </c>
      <c r="N508">
        <v>1</v>
      </c>
      <c r="O508">
        <v>1</v>
      </c>
      <c r="R508">
        <f t="shared" si="23"/>
        <v>38</v>
      </c>
      <c r="S508">
        <v>1</v>
      </c>
      <c r="T508">
        <v>1</v>
      </c>
      <c r="U508">
        <v>1</v>
      </c>
      <c r="V508">
        <v>1</v>
      </c>
      <c r="W508">
        <v>1</v>
      </c>
      <c r="AA508">
        <v>-11018.229799999999</v>
      </c>
      <c r="AB508">
        <v>-11018.229799999999</v>
      </c>
      <c r="AC508">
        <v>-11018.229799999999</v>
      </c>
      <c r="AD508">
        <v>-11018.229799999999</v>
      </c>
      <c r="AE508">
        <v>-11018.229799999999</v>
      </c>
      <c r="AF508">
        <v>-783780.576</v>
      </c>
    </row>
    <row r="509" spans="2:32" x14ac:dyDescent="0.25">
      <c r="B509">
        <f t="shared" si="21"/>
        <v>39</v>
      </c>
      <c r="C509">
        <v>1</v>
      </c>
      <c r="D509">
        <v>1</v>
      </c>
      <c r="E509">
        <v>1</v>
      </c>
      <c r="F509">
        <v>1</v>
      </c>
      <c r="G509">
        <v>1</v>
      </c>
      <c r="J509">
        <f t="shared" si="22"/>
        <v>39</v>
      </c>
      <c r="K509">
        <v>1</v>
      </c>
      <c r="L509">
        <v>1</v>
      </c>
      <c r="M509">
        <v>1</v>
      </c>
      <c r="N509">
        <v>1</v>
      </c>
      <c r="O509">
        <v>1</v>
      </c>
      <c r="R509">
        <f t="shared" si="23"/>
        <v>39</v>
      </c>
      <c r="S509">
        <v>1</v>
      </c>
      <c r="T509">
        <v>1</v>
      </c>
      <c r="U509">
        <v>1</v>
      </c>
      <c r="V509">
        <v>1</v>
      </c>
      <c r="W509">
        <v>1</v>
      </c>
      <c r="AA509">
        <v>-10916.737999999999</v>
      </c>
      <c r="AB509">
        <v>-10916.737999999999</v>
      </c>
      <c r="AC509">
        <v>-10916.737999999999</v>
      </c>
      <c r="AD509">
        <v>-10916.737999999999</v>
      </c>
      <c r="AE509">
        <v>-10916.737999999999</v>
      </c>
      <c r="AF509">
        <v>-769662.22069999995</v>
      </c>
    </row>
    <row r="510" spans="2:32" x14ac:dyDescent="0.25">
      <c r="B510">
        <f t="shared" si="21"/>
        <v>40</v>
      </c>
      <c r="C510">
        <v>1</v>
      </c>
      <c r="D510">
        <v>1</v>
      </c>
      <c r="E510">
        <v>1</v>
      </c>
      <c r="F510">
        <v>1</v>
      </c>
      <c r="G510">
        <v>1</v>
      </c>
      <c r="J510">
        <f t="shared" si="22"/>
        <v>40</v>
      </c>
      <c r="K510">
        <v>1</v>
      </c>
      <c r="L510">
        <v>1</v>
      </c>
      <c r="M510">
        <v>1</v>
      </c>
      <c r="N510">
        <v>1</v>
      </c>
      <c r="O510">
        <v>1</v>
      </c>
      <c r="R510">
        <f t="shared" si="23"/>
        <v>40</v>
      </c>
      <c r="S510">
        <v>1</v>
      </c>
      <c r="T510">
        <v>1</v>
      </c>
      <c r="U510">
        <v>1</v>
      </c>
      <c r="V510">
        <v>1</v>
      </c>
      <c r="W510">
        <v>1</v>
      </c>
      <c r="AA510">
        <v>-10812.8714</v>
      </c>
      <c r="AB510">
        <v>-10812.8714</v>
      </c>
      <c r="AC510">
        <v>-10812.8714</v>
      </c>
      <c r="AD510">
        <v>-10812.8714</v>
      </c>
      <c r="AE510">
        <v>-10812.8714</v>
      </c>
      <c r="AF510">
        <v>-798570.41119999997</v>
      </c>
    </row>
    <row r="511" spans="2:32" x14ac:dyDescent="0.25">
      <c r="B511">
        <f t="shared" si="21"/>
        <v>41</v>
      </c>
      <c r="C511">
        <v>1</v>
      </c>
      <c r="D511">
        <v>1</v>
      </c>
      <c r="E511">
        <v>1</v>
      </c>
      <c r="F511">
        <v>1</v>
      </c>
      <c r="G511">
        <v>1</v>
      </c>
      <c r="J511">
        <f t="shared" si="22"/>
        <v>41</v>
      </c>
      <c r="K511">
        <v>1</v>
      </c>
      <c r="L511">
        <v>1</v>
      </c>
      <c r="M511">
        <v>1</v>
      </c>
      <c r="N511">
        <v>1</v>
      </c>
      <c r="O511">
        <v>1</v>
      </c>
      <c r="R511">
        <f t="shared" si="23"/>
        <v>41</v>
      </c>
      <c r="S511">
        <v>1</v>
      </c>
      <c r="T511">
        <v>1</v>
      </c>
      <c r="U511">
        <v>1</v>
      </c>
      <c r="V511">
        <v>1</v>
      </c>
      <c r="W511">
        <v>1</v>
      </c>
      <c r="AA511">
        <v>-10706.559600000001</v>
      </c>
      <c r="AB511">
        <v>-10706.559600000001</v>
      </c>
      <c r="AC511">
        <v>-10706.559600000001</v>
      </c>
      <c r="AD511">
        <v>-10706.559600000001</v>
      </c>
      <c r="AE511">
        <v>-10706.559600000001</v>
      </c>
      <c r="AF511">
        <v>-803549.96459999995</v>
      </c>
    </row>
    <row r="512" spans="2:32" x14ac:dyDescent="0.25">
      <c r="B512">
        <f t="shared" si="21"/>
        <v>42</v>
      </c>
      <c r="C512">
        <v>1</v>
      </c>
      <c r="D512">
        <v>1</v>
      </c>
      <c r="E512">
        <v>1</v>
      </c>
      <c r="F512">
        <v>1</v>
      </c>
      <c r="G512">
        <v>1</v>
      </c>
      <c r="J512">
        <f t="shared" si="22"/>
        <v>42</v>
      </c>
      <c r="K512">
        <v>1</v>
      </c>
      <c r="L512">
        <v>1</v>
      </c>
      <c r="M512">
        <v>1</v>
      </c>
      <c r="N512">
        <v>1</v>
      </c>
      <c r="O512">
        <v>1</v>
      </c>
      <c r="R512">
        <f t="shared" si="23"/>
        <v>42</v>
      </c>
      <c r="S512">
        <v>1</v>
      </c>
      <c r="T512">
        <v>1</v>
      </c>
      <c r="U512">
        <v>1</v>
      </c>
      <c r="V512">
        <v>1</v>
      </c>
      <c r="W512">
        <v>1</v>
      </c>
      <c r="AA512">
        <v>-10597.8485</v>
      </c>
      <c r="AB512">
        <v>-10597.8485</v>
      </c>
      <c r="AC512">
        <v>-10597.8485</v>
      </c>
      <c r="AD512">
        <v>-10597.8485</v>
      </c>
      <c r="AE512">
        <v>-10597.8485</v>
      </c>
      <c r="AF512">
        <v>-833551.75890000002</v>
      </c>
    </row>
    <row r="513" spans="2:32" x14ac:dyDescent="0.25">
      <c r="B513">
        <f t="shared" si="21"/>
        <v>43</v>
      </c>
      <c r="C513">
        <v>1</v>
      </c>
      <c r="D513">
        <v>1</v>
      </c>
      <c r="E513">
        <v>1</v>
      </c>
      <c r="F513">
        <v>1</v>
      </c>
      <c r="G513">
        <v>1</v>
      </c>
      <c r="J513">
        <f t="shared" si="22"/>
        <v>43</v>
      </c>
      <c r="K513">
        <v>1</v>
      </c>
      <c r="L513">
        <v>1</v>
      </c>
      <c r="M513">
        <v>1</v>
      </c>
      <c r="N513">
        <v>1</v>
      </c>
      <c r="O513">
        <v>1</v>
      </c>
      <c r="R513">
        <f t="shared" si="23"/>
        <v>43</v>
      </c>
      <c r="S513">
        <v>1</v>
      </c>
      <c r="T513">
        <v>1</v>
      </c>
      <c r="U513">
        <v>1</v>
      </c>
      <c r="V513">
        <v>1</v>
      </c>
      <c r="W513">
        <v>1</v>
      </c>
      <c r="AA513">
        <v>-10486.615400000001</v>
      </c>
      <c r="AB513">
        <v>-10486.615400000001</v>
      </c>
      <c r="AC513">
        <v>-10486.615400000001</v>
      </c>
      <c r="AD513">
        <v>-10486.615400000001</v>
      </c>
      <c r="AE513">
        <v>-10486.615400000001</v>
      </c>
      <c r="AF513">
        <v>-844950.93949999998</v>
      </c>
    </row>
    <row r="514" spans="2:32" x14ac:dyDescent="0.25">
      <c r="B514">
        <f t="shared" si="21"/>
        <v>44</v>
      </c>
      <c r="C514">
        <v>1</v>
      </c>
      <c r="D514">
        <v>1</v>
      </c>
      <c r="E514">
        <v>1</v>
      </c>
      <c r="F514">
        <v>1</v>
      </c>
      <c r="G514">
        <v>1</v>
      </c>
      <c r="J514">
        <f t="shared" si="22"/>
        <v>44</v>
      </c>
      <c r="K514">
        <v>1</v>
      </c>
      <c r="L514">
        <v>1</v>
      </c>
      <c r="M514">
        <v>1</v>
      </c>
      <c r="N514">
        <v>1</v>
      </c>
      <c r="O514">
        <v>1</v>
      </c>
      <c r="R514">
        <f t="shared" si="23"/>
        <v>44</v>
      </c>
      <c r="S514">
        <v>1</v>
      </c>
      <c r="T514">
        <v>1</v>
      </c>
      <c r="U514">
        <v>1</v>
      </c>
      <c r="V514">
        <v>1</v>
      </c>
      <c r="W514">
        <v>1</v>
      </c>
      <c r="AA514">
        <v>-10372.9005</v>
      </c>
      <c r="AB514">
        <v>-10372.9005</v>
      </c>
      <c r="AC514">
        <v>-10372.9005</v>
      </c>
      <c r="AD514">
        <v>-10372.9005</v>
      </c>
      <c r="AE514">
        <v>-10372.9005</v>
      </c>
      <c r="AF514">
        <v>-851265.64670000004</v>
      </c>
    </row>
    <row r="515" spans="2:32" x14ac:dyDescent="0.25">
      <c r="B515">
        <f t="shared" si="21"/>
        <v>45</v>
      </c>
      <c r="C515">
        <v>1</v>
      </c>
      <c r="D515">
        <v>1</v>
      </c>
      <c r="E515">
        <v>1</v>
      </c>
      <c r="F515">
        <v>1</v>
      </c>
      <c r="G515">
        <v>1</v>
      </c>
      <c r="J515">
        <f t="shared" si="22"/>
        <v>45</v>
      </c>
      <c r="K515">
        <v>1</v>
      </c>
      <c r="L515">
        <v>1</v>
      </c>
      <c r="M515">
        <v>1</v>
      </c>
      <c r="N515">
        <v>1</v>
      </c>
      <c r="O515">
        <v>1</v>
      </c>
      <c r="R515">
        <f t="shared" si="23"/>
        <v>45</v>
      </c>
      <c r="S515">
        <v>1</v>
      </c>
      <c r="T515">
        <v>1</v>
      </c>
      <c r="U515">
        <v>1</v>
      </c>
      <c r="V515">
        <v>1</v>
      </c>
      <c r="W515">
        <v>1</v>
      </c>
      <c r="AA515">
        <v>-10256.650600000001</v>
      </c>
      <c r="AB515">
        <v>-10256.650600000001</v>
      </c>
      <c r="AC515">
        <v>-10256.650600000001</v>
      </c>
      <c r="AD515">
        <v>-10256.650600000001</v>
      </c>
      <c r="AE515">
        <v>-10256.650600000001</v>
      </c>
      <c r="AF515">
        <v>-870649.02139999997</v>
      </c>
    </row>
    <row r="516" spans="2:32" x14ac:dyDescent="0.25">
      <c r="B516">
        <f t="shared" si="21"/>
        <v>46</v>
      </c>
      <c r="C516">
        <v>1</v>
      </c>
      <c r="D516">
        <v>1</v>
      </c>
      <c r="E516">
        <v>1</v>
      </c>
      <c r="F516">
        <v>1</v>
      </c>
      <c r="G516">
        <v>1</v>
      </c>
      <c r="J516">
        <f t="shared" si="22"/>
        <v>46</v>
      </c>
      <c r="K516">
        <v>1</v>
      </c>
      <c r="L516">
        <v>1</v>
      </c>
      <c r="M516">
        <v>1</v>
      </c>
      <c r="N516">
        <v>1</v>
      </c>
      <c r="O516">
        <v>1</v>
      </c>
      <c r="R516">
        <f t="shared" si="23"/>
        <v>46</v>
      </c>
      <c r="S516">
        <v>1</v>
      </c>
      <c r="T516">
        <v>1</v>
      </c>
      <c r="U516">
        <v>1</v>
      </c>
      <c r="V516">
        <v>1</v>
      </c>
      <c r="W516">
        <v>1</v>
      </c>
      <c r="AA516">
        <v>-10137.871499999999</v>
      </c>
      <c r="AB516">
        <v>-10137.871499999999</v>
      </c>
      <c r="AC516">
        <v>-10137.871499999999</v>
      </c>
      <c r="AD516">
        <v>-10137.871499999999</v>
      </c>
      <c r="AE516">
        <v>-10137.871499999999</v>
      </c>
      <c r="AF516">
        <v>-892550.54509999999</v>
      </c>
    </row>
    <row r="517" spans="2:32" x14ac:dyDescent="0.25">
      <c r="B517">
        <f t="shared" si="21"/>
        <v>47</v>
      </c>
      <c r="C517">
        <v>1</v>
      </c>
      <c r="D517">
        <v>1</v>
      </c>
      <c r="E517">
        <v>1</v>
      </c>
      <c r="F517">
        <v>1</v>
      </c>
      <c r="G517">
        <v>1</v>
      </c>
      <c r="J517">
        <f t="shared" si="22"/>
        <v>47</v>
      </c>
      <c r="K517">
        <v>1</v>
      </c>
      <c r="L517">
        <v>1</v>
      </c>
      <c r="M517">
        <v>1</v>
      </c>
      <c r="N517">
        <v>1</v>
      </c>
      <c r="O517">
        <v>1</v>
      </c>
      <c r="R517">
        <f t="shared" si="23"/>
        <v>47</v>
      </c>
      <c r="S517">
        <v>1</v>
      </c>
      <c r="T517">
        <v>1</v>
      </c>
      <c r="U517">
        <v>1</v>
      </c>
      <c r="V517">
        <v>1</v>
      </c>
      <c r="W517">
        <v>1</v>
      </c>
      <c r="AA517">
        <v>-10016.4967</v>
      </c>
      <c r="AB517">
        <v>-10016.4967</v>
      </c>
      <c r="AC517">
        <v>-10016.4967</v>
      </c>
      <c r="AD517">
        <v>-10016.4967</v>
      </c>
      <c r="AE517">
        <v>-10016.4967</v>
      </c>
      <c r="AF517">
        <v>-910915.81969999999</v>
      </c>
    </row>
    <row r="518" spans="2:32" x14ac:dyDescent="0.25">
      <c r="B518">
        <f t="shared" si="21"/>
        <v>48</v>
      </c>
      <c r="C518">
        <v>1</v>
      </c>
      <c r="D518">
        <v>1</v>
      </c>
      <c r="E518">
        <v>1</v>
      </c>
      <c r="F518">
        <v>1</v>
      </c>
      <c r="G518">
        <v>1</v>
      </c>
      <c r="J518">
        <f t="shared" si="22"/>
        <v>48</v>
      </c>
      <c r="K518">
        <v>1</v>
      </c>
      <c r="L518">
        <v>1</v>
      </c>
      <c r="M518">
        <v>1</v>
      </c>
      <c r="N518">
        <v>1</v>
      </c>
      <c r="O518">
        <v>1</v>
      </c>
      <c r="R518">
        <f t="shared" si="23"/>
        <v>48</v>
      </c>
      <c r="S518">
        <v>1</v>
      </c>
      <c r="T518">
        <v>1</v>
      </c>
      <c r="U518">
        <v>1</v>
      </c>
      <c r="V518">
        <v>1</v>
      </c>
      <c r="W518">
        <v>1</v>
      </c>
      <c r="AA518">
        <v>-9892.6355000000003</v>
      </c>
      <c r="AB518">
        <v>-9892.6355000000003</v>
      </c>
      <c r="AC518">
        <v>-9892.6355000000003</v>
      </c>
      <c r="AD518">
        <v>-9892.6355000000003</v>
      </c>
      <c r="AE518">
        <v>-9892.6355000000003</v>
      </c>
      <c r="AF518">
        <v>-917891.87360000005</v>
      </c>
    </row>
    <row r="519" spans="2:32" x14ac:dyDescent="0.25">
      <c r="B519">
        <f t="shared" si="21"/>
        <v>49</v>
      </c>
      <c r="C519">
        <v>1</v>
      </c>
      <c r="D519">
        <v>1</v>
      </c>
      <c r="E519">
        <v>1</v>
      </c>
      <c r="F519">
        <v>1</v>
      </c>
      <c r="G519">
        <v>1</v>
      </c>
      <c r="J519">
        <f t="shared" si="22"/>
        <v>49</v>
      </c>
      <c r="K519">
        <v>1</v>
      </c>
      <c r="L519">
        <v>1</v>
      </c>
      <c r="M519">
        <v>1</v>
      </c>
      <c r="N519">
        <v>1</v>
      </c>
      <c r="O519">
        <v>1</v>
      </c>
      <c r="R519">
        <f t="shared" si="23"/>
        <v>49</v>
      </c>
      <c r="S519">
        <v>1</v>
      </c>
      <c r="T519">
        <v>1</v>
      </c>
      <c r="U519">
        <v>1</v>
      </c>
      <c r="V519">
        <v>1</v>
      </c>
      <c r="W519">
        <v>1</v>
      </c>
      <c r="AA519">
        <v>-9766.3366999999998</v>
      </c>
      <c r="AB519">
        <v>-9766.3366999999998</v>
      </c>
      <c r="AC519">
        <v>-9766.3366999999998</v>
      </c>
      <c r="AD519">
        <v>-9766.3366999999998</v>
      </c>
      <c r="AE519">
        <v>-9766.3366999999998</v>
      </c>
      <c r="AF519">
        <v>-944521.72470000002</v>
      </c>
    </row>
    <row r="520" spans="2:32" x14ac:dyDescent="0.25">
      <c r="B520">
        <f t="shared" si="21"/>
        <v>50</v>
      </c>
      <c r="C520">
        <v>1</v>
      </c>
      <c r="D520">
        <v>1</v>
      </c>
      <c r="E520">
        <v>1</v>
      </c>
      <c r="F520">
        <v>1</v>
      </c>
      <c r="G520">
        <v>1</v>
      </c>
      <c r="J520">
        <f t="shared" si="22"/>
        <v>50</v>
      </c>
      <c r="K520">
        <v>1</v>
      </c>
      <c r="L520">
        <v>1</v>
      </c>
      <c r="M520">
        <v>1</v>
      </c>
      <c r="N520">
        <v>1</v>
      </c>
      <c r="O520">
        <v>1</v>
      </c>
      <c r="R520">
        <f t="shared" si="23"/>
        <v>50</v>
      </c>
      <c r="S520">
        <v>1</v>
      </c>
      <c r="T520">
        <v>1</v>
      </c>
      <c r="U520">
        <v>1</v>
      </c>
      <c r="V520">
        <v>1</v>
      </c>
      <c r="W520">
        <v>1</v>
      </c>
      <c r="AA520">
        <v>-9637.5864000000001</v>
      </c>
      <c r="AB520">
        <v>-9637.5864000000001</v>
      </c>
      <c r="AC520">
        <v>-9637.5864000000001</v>
      </c>
      <c r="AD520">
        <v>-9637.5864000000001</v>
      </c>
      <c r="AE520">
        <v>-9637.5864000000001</v>
      </c>
      <c r="AF520">
        <v>-963257.14989999996</v>
      </c>
    </row>
    <row r="521" spans="2:32" x14ac:dyDescent="0.25">
      <c r="B521">
        <f t="shared" si="21"/>
        <v>51</v>
      </c>
      <c r="C521">
        <v>1</v>
      </c>
      <c r="D521">
        <v>1</v>
      </c>
      <c r="E521">
        <v>1</v>
      </c>
      <c r="F521">
        <v>1</v>
      </c>
      <c r="G521">
        <v>1</v>
      </c>
      <c r="J521">
        <f t="shared" si="22"/>
        <v>51</v>
      </c>
      <c r="K521">
        <v>1</v>
      </c>
      <c r="L521">
        <v>1</v>
      </c>
      <c r="M521">
        <v>1</v>
      </c>
      <c r="N521">
        <v>1</v>
      </c>
      <c r="O521">
        <v>1</v>
      </c>
      <c r="R521">
        <f t="shared" si="23"/>
        <v>51</v>
      </c>
      <c r="S521">
        <v>1</v>
      </c>
      <c r="T521">
        <v>1</v>
      </c>
      <c r="U521">
        <v>1</v>
      </c>
      <c r="V521">
        <v>1</v>
      </c>
      <c r="W521">
        <v>1</v>
      </c>
      <c r="AA521">
        <v>-9506.3734000000004</v>
      </c>
      <c r="AB521">
        <v>-9506.3734000000004</v>
      </c>
      <c r="AC521">
        <v>-9506.3734000000004</v>
      </c>
      <c r="AD521">
        <v>-9506.3734000000004</v>
      </c>
      <c r="AE521">
        <v>-9506.3734000000004</v>
      </c>
      <c r="AF521">
        <v>-981592.90729999996</v>
      </c>
    </row>
    <row r="522" spans="2:32" x14ac:dyDescent="0.25">
      <c r="B522">
        <f t="shared" si="21"/>
        <v>52</v>
      </c>
      <c r="C522">
        <v>1</v>
      </c>
      <c r="D522">
        <v>1</v>
      </c>
      <c r="E522">
        <v>1</v>
      </c>
      <c r="F522">
        <v>1</v>
      </c>
      <c r="G522">
        <v>1</v>
      </c>
      <c r="J522">
        <f t="shared" si="22"/>
        <v>52</v>
      </c>
      <c r="K522">
        <v>1</v>
      </c>
      <c r="L522">
        <v>1</v>
      </c>
      <c r="M522">
        <v>1</v>
      </c>
      <c r="N522">
        <v>1</v>
      </c>
      <c r="O522">
        <v>1</v>
      </c>
      <c r="R522">
        <f t="shared" si="23"/>
        <v>52</v>
      </c>
      <c r="S522">
        <v>1</v>
      </c>
      <c r="T522">
        <v>1</v>
      </c>
      <c r="U522">
        <v>1</v>
      </c>
      <c r="V522">
        <v>1</v>
      </c>
      <c r="W522">
        <v>1</v>
      </c>
      <c r="AA522">
        <v>-9372.7019</v>
      </c>
      <c r="AB522">
        <v>-9372.7019</v>
      </c>
      <c r="AC522">
        <v>-9372.7019</v>
      </c>
      <c r="AD522">
        <v>-9372.7019</v>
      </c>
      <c r="AE522">
        <v>-9372.7019</v>
      </c>
      <c r="AF522">
        <v>-998556.10360000003</v>
      </c>
    </row>
    <row r="523" spans="2:32" x14ac:dyDescent="0.25">
      <c r="B523">
        <f t="shared" si="21"/>
        <v>53</v>
      </c>
      <c r="C523">
        <v>1</v>
      </c>
      <c r="D523">
        <v>1</v>
      </c>
      <c r="E523">
        <v>1</v>
      </c>
      <c r="F523">
        <v>1</v>
      </c>
      <c r="G523">
        <v>1</v>
      </c>
      <c r="J523">
        <f t="shared" si="22"/>
        <v>53</v>
      </c>
      <c r="K523">
        <v>1</v>
      </c>
      <c r="L523">
        <v>1</v>
      </c>
      <c r="M523">
        <v>1</v>
      </c>
      <c r="N523">
        <v>1</v>
      </c>
      <c r="O523">
        <v>1</v>
      </c>
      <c r="R523">
        <f t="shared" si="23"/>
        <v>53</v>
      </c>
      <c r="S523">
        <v>1</v>
      </c>
      <c r="T523">
        <v>1</v>
      </c>
      <c r="U523">
        <v>1</v>
      </c>
      <c r="V523">
        <v>1</v>
      </c>
      <c r="W523">
        <v>1</v>
      </c>
      <c r="AA523">
        <v>-9236.6705000000002</v>
      </c>
      <c r="AB523">
        <v>-9236.6705000000002</v>
      </c>
      <c r="AC523">
        <v>-9236.6705000000002</v>
      </c>
      <c r="AD523">
        <v>-9236.6705000000002</v>
      </c>
      <c r="AE523">
        <v>-9236.6705000000002</v>
      </c>
      <c r="AF523">
        <v>-1015461.3278</v>
      </c>
    </row>
    <row r="524" spans="2:32" x14ac:dyDescent="0.25">
      <c r="B524">
        <f t="shared" si="21"/>
        <v>54</v>
      </c>
      <c r="C524">
        <v>1</v>
      </c>
      <c r="D524">
        <v>1</v>
      </c>
      <c r="E524">
        <v>1</v>
      </c>
      <c r="F524">
        <v>1</v>
      </c>
      <c r="G524">
        <v>1</v>
      </c>
      <c r="J524">
        <f t="shared" si="22"/>
        <v>54</v>
      </c>
      <c r="K524">
        <v>1</v>
      </c>
      <c r="L524">
        <v>1</v>
      </c>
      <c r="M524">
        <v>1</v>
      </c>
      <c r="N524">
        <v>1</v>
      </c>
      <c r="O524">
        <v>1</v>
      </c>
      <c r="R524">
        <f t="shared" si="23"/>
        <v>54</v>
      </c>
      <c r="S524">
        <v>1</v>
      </c>
      <c r="T524">
        <v>1</v>
      </c>
      <c r="U524">
        <v>1</v>
      </c>
      <c r="V524">
        <v>1</v>
      </c>
      <c r="W524">
        <v>1</v>
      </c>
      <c r="AA524">
        <v>-9098.4312000000009</v>
      </c>
      <c r="AB524">
        <v>-9098.4312000000009</v>
      </c>
      <c r="AC524">
        <v>-9098.4312000000009</v>
      </c>
      <c r="AD524">
        <v>-9098.4312000000009</v>
      </c>
      <c r="AE524">
        <v>-9098.4312000000009</v>
      </c>
      <c r="AF524">
        <v>-1033869.6813000001</v>
      </c>
    </row>
    <row r="525" spans="2:32" x14ac:dyDescent="0.25">
      <c r="B525">
        <f t="shared" si="21"/>
        <v>55</v>
      </c>
      <c r="C525">
        <v>1</v>
      </c>
      <c r="D525">
        <v>1</v>
      </c>
      <c r="E525">
        <v>1</v>
      </c>
      <c r="F525">
        <v>1</v>
      </c>
      <c r="G525">
        <v>1</v>
      </c>
      <c r="J525">
        <f t="shared" si="22"/>
        <v>55</v>
      </c>
      <c r="K525">
        <v>1</v>
      </c>
      <c r="L525">
        <v>1</v>
      </c>
      <c r="M525">
        <v>1</v>
      </c>
      <c r="N525">
        <v>1</v>
      </c>
      <c r="O525">
        <v>1</v>
      </c>
      <c r="R525">
        <f t="shared" si="23"/>
        <v>55</v>
      </c>
      <c r="S525">
        <v>1</v>
      </c>
      <c r="T525">
        <v>1</v>
      </c>
      <c r="U525">
        <v>1</v>
      </c>
      <c r="V525">
        <v>1</v>
      </c>
      <c r="W525">
        <v>1</v>
      </c>
      <c r="AA525">
        <v>-8958.0210999999999</v>
      </c>
      <c r="AB525">
        <v>-8958.0210999999999</v>
      </c>
      <c r="AC525">
        <v>-8958.0210999999999</v>
      </c>
      <c r="AD525">
        <v>-8958.0210999999999</v>
      </c>
      <c r="AE525">
        <v>-8958.0210999999999</v>
      </c>
      <c r="AF525">
        <v>-1050810.2549999999</v>
      </c>
    </row>
    <row r="526" spans="2:32" x14ac:dyDescent="0.25">
      <c r="B526">
        <f t="shared" si="21"/>
        <v>56</v>
      </c>
      <c r="C526">
        <v>1</v>
      </c>
      <c r="D526">
        <v>1</v>
      </c>
      <c r="E526">
        <v>1</v>
      </c>
      <c r="F526">
        <v>1</v>
      </c>
      <c r="G526">
        <v>1</v>
      </c>
      <c r="J526">
        <f t="shared" si="22"/>
        <v>56</v>
      </c>
      <c r="K526">
        <v>1</v>
      </c>
      <c r="L526">
        <v>1</v>
      </c>
      <c r="M526">
        <v>1</v>
      </c>
      <c r="N526">
        <v>1</v>
      </c>
      <c r="O526">
        <v>1</v>
      </c>
      <c r="R526">
        <f t="shared" si="23"/>
        <v>56</v>
      </c>
      <c r="S526">
        <v>1</v>
      </c>
      <c r="T526">
        <v>1</v>
      </c>
      <c r="U526">
        <v>1</v>
      </c>
      <c r="V526">
        <v>1</v>
      </c>
      <c r="W526">
        <v>1</v>
      </c>
      <c r="AA526">
        <v>-8815.6316999999999</v>
      </c>
      <c r="AB526">
        <v>-8815.6316999999999</v>
      </c>
      <c r="AC526">
        <v>-8815.6316999999999</v>
      </c>
      <c r="AD526">
        <v>-8815.6316999999999</v>
      </c>
      <c r="AE526">
        <v>-8815.6316999999999</v>
      </c>
      <c r="AF526">
        <v>-1073295.8774000001</v>
      </c>
    </row>
    <row r="527" spans="2:32" x14ac:dyDescent="0.25">
      <c r="B527">
        <f t="shared" si="21"/>
        <v>57</v>
      </c>
      <c r="C527">
        <v>1</v>
      </c>
      <c r="D527">
        <v>1</v>
      </c>
      <c r="E527">
        <v>1</v>
      </c>
      <c r="F527">
        <v>1</v>
      </c>
      <c r="G527">
        <v>1</v>
      </c>
      <c r="J527">
        <f t="shared" si="22"/>
        <v>57</v>
      </c>
      <c r="K527">
        <v>1</v>
      </c>
      <c r="L527">
        <v>1</v>
      </c>
      <c r="M527">
        <v>1</v>
      </c>
      <c r="N527">
        <v>1</v>
      </c>
      <c r="O527">
        <v>1</v>
      </c>
      <c r="R527">
        <f t="shared" si="23"/>
        <v>57</v>
      </c>
      <c r="S527">
        <v>1</v>
      </c>
      <c r="T527">
        <v>1</v>
      </c>
      <c r="U527">
        <v>1</v>
      </c>
      <c r="V527">
        <v>1</v>
      </c>
      <c r="W527">
        <v>1</v>
      </c>
      <c r="AA527">
        <v>-8671.3991999999998</v>
      </c>
      <c r="AB527">
        <v>-8671.3991999999998</v>
      </c>
      <c r="AC527">
        <v>-8671.3991999999998</v>
      </c>
      <c r="AD527">
        <v>-8671.3991999999998</v>
      </c>
      <c r="AE527">
        <v>-8671.3991999999998</v>
      </c>
      <c r="AF527">
        <v>-1093242.6832999999</v>
      </c>
    </row>
    <row r="528" spans="2:32" x14ac:dyDescent="0.25">
      <c r="B528">
        <f t="shared" si="21"/>
        <v>58</v>
      </c>
      <c r="C528">
        <v>1</v>
      </c>
      <c r="D528">
        <v>1</v>
      </c>
      <c r="E528">
        <v>1</v>
      </c>
      <c r="F528">
        <v>1</v>
      </c>
      <c r="G528">
        <v>1</v>
      </c>
      <c r="J528">
        <f t="shared" si="22"/>
        <v>58</v>
      </c>
      <c r="K528">
        <v>1</v>
      </c>
      <c r="L528">
        <v>1</v>
      </c>
      <c r="M528">
        <v>1</v>
      </c>
      <c r="N528">
        <v>1</v>
      </c>
      <c r="O528">
        <v>1</v>
      </c>
      <c r="R528">
        <f t="shared" si="23"/>
        <v>58</v>
      </c>
      <c r="S528">
        <v>1</v>
      </c>
      <c r="T528">
        <v>1</v>
      </c>
      <c r="U528">
        <v>1</v>
      </c>
      <c r="V528">
        <v>1</v>
      </c>
      <c r="W528">
        <v>1</v>
      </c>
      <c r="AA528">
        <v>-8525.2759999999998</v>
      </c>
      <c r="AB528">
        <v>-8525.2759999999998</v>
      </c>
      <c r="AC528">
        <v>-8525.2759999999998</v>
      </c>
      <c r="AD528">
        <v>-8525.2759999999998</v>
      </c>
      <c r="AE528">
        <v>-8525.2759999999998</v>
      </c>
      <c r="AF528">
        <v>-1114366.6444000001</v>
      </c>
    </row>
    <row r="529" spans="2:32" x14ac:dyDescent="0.25">
      <c r="B529">
        <f t="shared" si="21"/>
        <v>59</v>
      </c>
      <c r="C529">
        <v>1</v>
      </c>
      <c r="D529">
        <v>1</v>
      </c>
      <c r="E529">
        <v>1</v>
      </c>
      <c r="F529">
        <v>1</v>
      </c>
      <c r="G529">
        <v>1</v>
      </c>
      <c r="J529">
        <f t="shared" si="22"/>
        <v>59</v>
      </c>
      <c r="K529">
        <v>1</v>
      </c>
      <c r="L529">
        <v>1</v>
      </c>
      <c r="M529">
        <v>1</v>
      </c>
      <c r="N529">
        <v>1</v>
      </c>
      <c r="O529">
        <v>1</v>
      </c>
      <c r="R529">
        <f t="shared" si="23"/>
        <v>59</v>
      </c>
      <c r="S529">
        <v>1</v>
      </c>
      <c r="T529">
        <v>1</v>
      </c>
      <c r="U529">
        <v>1</v>
      </c>
      <c r="V529">
        <v>1</v>
      </c>
      <c r="W529">
        <v>1</v>
      </c>
      <c r="AA529">
        <v>-8377.2351999999992</v>
      </c>
      <c r="AB529">
        <v>-8377.2351999999992</v>
      </c>
      <c r="AC529">
        <v>-8377.2351999999992</v>
      </c>
      <c r="AD529">
        <v>-8377.2351999999992</v>
      </c>
      <c r="AE529">
        <v>-8377.2351999999992</v>
      </c>
      <c r="AF529">
        <v>-1136284.0146999999</v>
      </c>
    </row>
    <row r="530" spans="2:32" x14ac:dyDescent="0.25">
      <c r="B530">
        <f t="shared" si="21"/>
        <v>60</v>
      </c>
      <c r="C530">
        <v>1</v>
      </c>
      <c r="D530">
        <v>1</v>
      </c>
      <c r="E530">
        <v>1</v>
      </c>
      <c r="F530">
        <v>1</v>
      </c>
      <c r="G530">
        <v>1</v>
      </c>
      <c r="J530">
        <f t="shared" si="22"/>
        <v>60</v>
      </c>
      <c r="K530">
        <v>1</v>
      </c>
      <c r="L530">
        <v>1</v>
      </c>
      <c r="M530">
        <v>1</v>
      </c>
      <c r="N530">
        <v>1</v>
      </c>
      <c r="O530">
        <v>1</v>
      </c>
      <c r="R530">
        <f t="shared" si="23"/>
        <v>60</v>
      </c>
      <c r="S530">
        <v>1</v>
      </c>
      <c r="T530">
        <v>1</v>
      </c>
      <c r="U530">
        <v>1</v>
      </c>
      <c r="V530">
        <v>1</v>
      </c>
      <c r="W530">
        <v>1</v>
      </c>
      <c r="AA530">
        <v>-8227.3953999999994</v>
      </c>
      <c r="AB530">
        <v>-8227.3953999999994</v>
      </c>
      <c r="AC530">
        <v>-8227.3953999999994</v>
      </c>
      <c r="AD530">
        <v>-8227.3953999999994</v>
      </c>
      <c r="AE530">
        <v>-8227.3953999999994</v>
      </c>
      <c r="AF530">
        <v>-1157801.6717999999</v>
      </c>
    </row>
    <row r="531" spans="2:32" x14ac:dyDescent="0.25">
      <c r="B531">
        <f t="shared" si="21"/>
        <v>61</v>
      </c>
      <c r="C531">
        <v>1</v>
      </c>
      <c r="D531">
        <v>1</v>
      </c>
      <c r="E531">
        <v>1</v>
      </c>
      <c r="F531">
        <v>1</v>
      </c>
      <c r="G531">
        <v>1</v>
      </c>
      <c r="J531">
        <f t="shared" si="22"/>
        <v>61</v>
      </c>
      <c r="K531">
        <v>1</v>
      </c>
      <c r="L531">
        <v>1</v>
      </c>
      <c r="M531">
        <v>1</v>
      </c>
      <c r="N531">
        <v>1</v>
      </c>
      <c r="O531">
        <v>1</v>
      </c>
      <c r="R531">
        <f t="shared" si="23"/>
        <v>61</v>
      </c>
      <c r="S531">
        <v>1</v>
      </c>
      <c r="T531">
        <v>1</v>
      </c>
      <c r="U531">
        <v>1</v>
      </c>
      <c r="V531">
        <v>1</v>
      </c>
      <c r="W531">
        <v>1</v>
      </c>
      <c r="AA531">
        <v>-8076.1778999999997</v>
      </c>
      <c r="AB531">
        <v>-8076.1778999999997</v>
      </c>
      <c r="AC531">
        <v>-8076.1778999999997</v>
      </c>
      <c r="AD531">
        <v>-8076.1778999999997</v>
      </c>
      <c r="AE531">
        <v>-8076.1778999999997</v>
      </c>
      <c r="AF531">
        <v>-1178581.4038</v>
      </c>
    </row>
    <row r="532" spans="2:32" x14ac:dyDescent="0.25">
      <c r="B532">
        <f t="shared" si="21"/>
        <v>62</v>
      </c>
      <c r="C532">
        <v>1</v>
      </c>
      <c r="D532">
        <v>1</v>
      </c>
      <c r="E532">
        <v>1</v>
      </c>
      <c r="F532">
        <v>1</v>
      </c>
      <c r="G532">
        <v>1</v>
      </c>
      <c r="J532">
        <f t="shared" si="22"/>
        <v>62</v>
      </c>
      <c r="K532">
        <v>1</v>
      </c>
      <c r="L532">
        <v>1</v>
      </c>
      <c r="M532">
        <v>1</v>
      </c>
      <c r="N532">
        <v>1</v>
      </c>
      <c r="O532">
        <v>1</v>
      </c>
      <c r="R532">
        <f t="shared" si="23"/>
        <v>62</v>
      </c>
      <c r="S532">
        <v>1</v>
      </c>
      <c r="T532">
        <v>1</v>
      </c>
      <c r="U532">
        <v>1</v>
      </c>
      <c r="V532">
        <v>1</v>
      </c>
      <c r="W532">
        <v>1</v>
      </c>
      <c r="AA532">
        <v>-7923.5816000000004</v>
      </c>
      <c r="AB532">
        <v>-7923.5816000000004</v>
      </c>
      <c r="AC532">
        <v>-7923.5816000000004</v>
      </c>
      <c r="AD532">
        <v>-7923.5816000000004</v>
      </c>
      <c r="AE532">
        <v>-7923.5816000000004</v>
      </c>
      <c r="AF532">
        <v>-1199521.5327000001</v>
      </c>
    </row>
    <row r="533" spans="2:32" x14ac:dyDescent="0.25">
      <c r="B533">
        <f t="shared" si="21"/>
        <v>63</v>
      </c>
      <c r="C533">
        <v>1</v>
      </c>
      <c r="D533">
        <v>1</v>
      </c>
      <c r="E533">
        <v>1</v>
      </c>
      <c r="F533">
        <v>1</v>
      </c>
      <c r="G533">
        <v>1</v>
      </c>
      <c r="J533">
        <f t="shared" si="22"/>
        <v>63</v>
      </c>
      <c r="K533">
        <v>1</v>
      </c>
      <c r="L533">
        <v>1</v>
      </c>
      <c r="M533">
        <v>1</v>
      </c>
      <c r="N533">
        <v>1</v>
      </c>
      <c r="O533">
        <v>1</v>
      </c>
      <c r="R533">
        <f t="shared" si="23"/>
        <v>63</v>
      </c>
      <c r="S533">
        <v>1</v>
      </c>
      <c r="T533">
        <v>1</v>
      </c>
      <c r="U533">
        <v>1</v>
      </c>
      <c r="V533">
        <v>1</v>
      </c>
      <c r="W533">
        <v>1</v>
      </c>
      <c r="AA533">
        <v>-7769.2775000000001</v>
      </c>
      <c r="AB533">
        <v>-7769.2775000000001</v>
      </c>
      <c r="AC533">
        <v>-7769.2775000000001</v>
      </c>
      <c r="AD533">
        <v>-7769.2775000000001</v>
      </c>
      <c r="AE533">
        <v>-7769.2775000000001</v>
      </c>
      <c r="AF533">
        <v>-1220461.6269</v>
      </c>
    </row>
    <row r="534" spans="2:32" x14ac:dyDescent="0.25">
      <c r="B534">
        <f t="shared" si="21"/>
        <v>64</v>
      </c>
      <c r="C534">
        <v>1</v>
      </c>
      <c r="D534">
        <v>1</v>
      </c>
      <c r="E534">
        <v>1</v>
      </c>
      <c r="F534">
        <v>1</v>
      </c>
      <c r="G534">
        <v>1</v>
      </c>
      <c r="J534">
        <f t="shared" si="22"/>
        <v>64</v>
      </c>
      <c r="K534">
        <v>1</v>
      </c>
      <c r="L534">
        <v>1</v>
      </c>
      <c r="M534">
        <v>1</v>
      </c>
      <c r="N534">
        <v>1</v>
      </c>
      <c r="O534">
        <v>1</v>
      </c>
      <c r="R534">
        <f t="shared" si="23"/>
        <v>64</v>
      </c>
      <c r="S534">
        <v>1</v>
      </c>
      <c r="T534">
        <v>1</v>
      </c>
      <c r="U534">
        <v>1</v>
      </c>
      <c r="V534">
        <v>1</v>
      </c>
      <c r="W534">
        <v>1</v>
      </c>
      <c r="AA534">
        <v>-7613.3999000000003</v>
      </c>
      <c r="AB534">
        <v>-7613.3999000000003</v>
      </c>
      <c r="AC534">
        <v>-7613.3999000000003</v>
      </c>
      <c r="AD534">
        <v>-7613.3999000000003</v>
      </c>
      <c r="AE534">
        <v>-7613.3999000000003</v>
      </c>
      <c r="AF534">
        <v>-1240652.2526</v>
      </c>
    </row>
    <row r="535" spans="2:32" x14ac:dyDescent="0.25">
      <c r="B535">
        <f t="shared" si="21"/>
        <v>65</v>
      </c>
      <c r="C535">
        <v>1</v>
      </c>
      <c r="D535">
        <v>1</v>
      </c>
      <c r="E535">
        <v>1</v>
      </c>
      <c r="F535">
        <v>1</v>
      </c>
      <c r="G535">
        <v>1</v>
      </c>
      <c r="J535">
        <f t="shared" si="22"/>
        <v>65</v>
      </c>
      <c r="K535">
        <v>1</v>
      </c>
      <c r="L535">
        <v>1</v>
      </c>
      <c r="M535">
        <v>1</v>
      </c>
      <c r="N535">
        <v>1</v>
      </c>
      <c r="O535">
        <v>1</v>
      </c>
      <c r="R535">
        <f t="shared" si="23"/>
        <v>65</v>
      </c>
      <c r="S535">
        <v>1</v>
      </c>
      <c r="T535">
        <v>1</v>
      </c>
      <c r="U535">
        <v>1</v>
      </c>
      <c r="V535">
        <v>1</v>
      </c>
      <c r="W535">
        <v>1</v>
      </c>
      <c r="AA535">
        <v>-7455.8590000000004</v>
      </c>
      <c r="AB535">
        <v>-7455.8590000000004</v>
      </c>
      <c r="AC535">
        <v>-7455.8590000000004</v>
      </c>
      <c r="AD535">
        <v>-7455.8590000000004</v>
      </c>
      <c r="AE535">
        <v>-7455.8590000000004</v>
      </c>
      <c r="AF535">
        <v>-1260049.8302</v>
      </c>
    </row>
    <row r="538" spans="2:32" x14ac:dyDescent="0.25">
      <c r="B538" t="s">
        <v>46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47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48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2:32" x14ac:dyDescent="0.25">
      <c r="B539">
        <v>26</v>
      </c>
      <c r="C539">
        <v>1</v>
      </c>
      <c r="D539">
        <v>1</v>
      </c>
      <c r="E539">
        <v>1</v>
      </c>
      <c r="F539">
        <v>1</v>
      </c>
      <c r="G539">
        <v>1</v>
      </c>
      <c r="H539">
        <v>1</v>
      </c>
      <c r="J539">
        <v>26</v>
      </c>
      <c r="K539">
        <v>1</v>
      </c>
      <c r="L539">
        <v>1</v>
      </c>
      <c r="M539">
        <v>1</v>
      </c>
      <c r="N539">
        <v>1</v>
      </c>
      <c r="O539">
        <v>1</v>
      </c>
      <c r="P539">
        <v>1</v>
      </c>
      <c r="R539">
        <v>26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AA539">
        <v>-7435.5060999999996</v>
      </c>
      <c r="AB539">
        <v>-7435.5060999999996</v>
      </c>
      <c r="AC539">
        <v>-7435.5060999999996</v>
      </c>
      <c r="AD539">
        <v>-7435.5060999999996</v>
      </c>
      <c r="AE539">
        <v>-7435.5060999999996</v>
      </c>
      <c r="AF539">
        <v>-7435.5060999999996</v>
      </c>
    </row>
    <row r="540" spans="2:32" x14ac:dyDescent="0.25">
      <c r="B540">
        <v>27</v>
      </c>
      <c r="C540">
        <v>1</v>
      </c>
      <c r="D540">
        <v>1</v>
      </c>
      <c r="E540">
        <v>1</v>
      </c>
      <c r="F540">
        <v>1</v>
      </c>
      <c r="G540">
        <v>1</v>
      </c>
      <c r="H540">
        <v>1</v>
      </c>
      <c r="J540">
        <v>27</v>
      </c>
      <c r="K540">
        <v>1</v>
      </c>
      <c r="L540">
        <v>1</v>
      </c>
      <c r="M540">
        <v>1</v>
      </c>
      <c r="N540">
        <v>1</v>
      </c>
      <c r="O540">
        <v>1</v>
      </c>
      <c r="P540">
        <v>1</v>
      </c>
      <c r="R540">
        <v>27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AA540">
        <v>-7434.2619000000004</v>
      </c>
      <c r="AB540">
        <v>-7434.2619000000004</v>
      </c>
      <c r="AC540">
        <v>-7434.2619000000004</v>
      </c>
      <c r="AD540">
        <v>-7434.2619000000004</v>
      </c>
      <c r="AE540">
        <v>-7434.2619000000004</v>
      </c>
      <c r="AF540">
        <v>-7434.2619000000004</v>
      </c>
    </row>
    <row r="541" spans="2:32" x14ac:dyDescent="0.25">
      <c r="B541">
        <v>28</v>
      </c>
      <c r="C541">
        <v>1</v>
      </c>
      <c r="D541">
        <v>1</v>
      </c>
      <c r="E541">
        <v>1</v>
      </c>
      <c r="F541">
        <v>1</v>
      </c>
      <c r="G541">
        <v>1</v>
      </c>
      <c r="H541">
        <v>1</v>
      </c>
      <c r="J541">
        <v>28</v>
      </c>
      <c r="K541">
        <v>1</v>
      </c>
      <c r="L541">
        <v>1</v>
      </c>
      <c r="M541">
        <v>1</v>
      </c>
      <c r="N541">
        <v>1</v>
      </c>
      <c r="O541">
        <v>1</v>
      </c>
      <c r="P541">
        <v>1</v>
      </c>
      <c r="R541">
        <v>28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AA541">
        <v>-7432.8334999999997</v>
      </c>
      <c r="AB541">
        <v>-7432.8334999999997</v>
      </c>
      <c r="AC541">
        <v>-7432.8334999999997</v>
      </c>
      <c r="AD541">
        <v>-7432.8334999999997</v>
      </c>
      <c r="AE541">
        <v>-7432.8334999999997</v>
      </c>
      <c r="AF541">
        <v>-7432.8334999999997</v>
      </c>
    </row>
    <row r="542" spans="2:32" x14ac:dyDescent="0.25">
      <c r="B542">
        <v>29</v>
      </c>
      <c r="C542">
        <v>1</v>
      </c>
      <c r="D542">
        <v>1</v>
      </c>
      <c r="E542">
        <v>1</v>
      </c>
      <c r="F542">
        <v>1</v>
      </c>
      <c r="G542">
        <v>1</v>
      </c>
      <c r="H542">
        <v>1</v>
      </c>
      <c r="J542">
        <v>29</v>
      </c>
      <c r="K542">
        <v>1</v>
      </c>
      <c r="L542">
        <v>1</v>
      </c>
      <c r="M542">
        <v>1</v>
      </c>
      <c r="N542">
        <v>1</v>
      </c>
      <c r="O542">
        <v>1</v>
      </c>
      <c r="P542">
        <v>1</v>
      </c>
      <c r="R542">
        <v>29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AA542">
        <v>-7431.2058999999999</v>
      </c>
      <c r="AB542">
        <v>-7431.2058999999999</v>
      </c>
      <c r="AC542">
        <v>-7431.2058999999999</v>
      </c>
      <c r="AD542">
        <v>-7431.2058999999999</v>
      </c>
      <c r="AE542">
        <v>-7431.2058999999999</v>
      </c>
      <c r="AF542">
        <v>-7431.2058999999999</v>
      </c>
    </row>
    <row r="543" spans="2:32" x14ac:dyDescent="0.25">
      <c r="B543">
        <v>30</v>
      </c>
      <c r="C543">
        <v>1</v>
      </c>
      <c r="D543">
        <v>1</v>
      </c>
      <c r="E543">
        <v>1</v>
      </c>
      <c r="F543">
        <v>1</v>
      </c>
      <c r="G543">
        <v>1</v>
      </c>
      <c r="H543">
        <v>1</v>
      </c>
      <c r="J543">
        <v>30</v>
      </c>
      <c r="K543">
        <v>1</v>
      </c>
      <c r="L543">
        <v>1</v>
      </c>
      <c r="M543">
        <v>1</v>
      </c>
      <c r="N543">
        <v>1</v>
      </c>
      <c r="O543">
        <v>1</v>
      </c>
      <c r="P543">
        <v>1</v>
      </c>
      <c r="R543">
        <v>30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AA543">
        <v>-7429.3476000000001</v>
      </c>
      <c r="AB543">
        <v>-7429.3476000000001</v>
      </c>
      <c r="AC543">
        <v>-7429.3476000000001</v>
      </c>
      <c r="AD543">
        <v>-7429.3476000000001</v>
      </c>
      <c r="AE543">
        <v>-7429.3476000000001</v>
      </c>
      <c r="AF543">
        <v>-7429.3476000000001</v>
      </c>
    </row>
    <row r="544" spans="2:32" x14ac:dyDescent="0.25">
      <c r="B544">
        <v>31</v>
      </c>
      <c r="C544">
        <v>1</v>
      </c>
      <c r="D544">
        <v>1</v>
      </c>
      <c r="E544">
        <v>1</v>
      </c>
      <c r="F544">
        <v>1</v>
      </c>
      <c r="G544">
        <v>1</v>
      </c>
      <c r="H544">
        <v>1</v>
      </c>
      <c r="J544">
        <v>31</v>
      </c>
      <c r="K544">
        <v>1</v>
      </c>
      <c r="L544">
        <v>1</v>
      </c>
      <c r="M544">
        <v>1</v>
      </c>
      <c r="N544">
        <v>1</v>
      </c>
      <c r="O544">
        <v>1</v>
      </c>
      <c r="P544">
        <v>1</v>
      </c>
      <c r="R544">
        <v>31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AA544">
        <v>-7427.2446</v>
      </c>
      <c r="AB544">
        <v>-7427.2446</v>
      </c>
      <c r="AC544">
        <v>-7427.2446</v>
      </c>
      <c r="AD544">
        <v>-7427.2446</v>
      </c>
      <c r="AE544">
        <v>-7427.2446</v>
      </c>
      <c r="AF544">
        <v>-7427.2446</v>
      </c>
    </row>
    <row r="545" spans="2:32" x14ac:dyDescent="0.25">
      <c r="B545">
        <v>32</v>
      </c>
      <c r="C545">
        <v>1</v>
      </c>
      <c r="D545">
        <v>1</v>
      </c>
      <c r="E545">
        <v>1</v>
      </c>
      <c r="F545">
        <v>1</v>
      </c>
      <c r="G545">
        <v>1</v>
      </c>
      <c r="H545">
        <v>1</v>
      </c>
      <c r="J545">
        <v>32</v>
      </c>
      <c r="K545">
        <v>1</v>
      </c>
      <c r="L545">
        <v>1</v>
      </c>
      <c r="M545">
        <v>1</v>
      </c>
      <c r="N545">
        <v>1</v>
      </c>
      <c r="O545">
        <v>1</v>
      </c>
      <c r="P545">
        <v>1</v>
      </c>
      <c r="R545">
        <v>32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AA545">
        <v>-7424.8944000000001</v>
      </c>
      <c r="AB545">
        <v>-7424.8944000000001</v>
      </c>
      <c r="AC545">
        <v>-7424.8944000000001</v>
      </c>
      <c r="AD545">
        <v>-7424.8944000000001</v>
      </c>
      <c r="AE545">
        <v>-7424.8944000000001</v>
      </c>
      <c r="AF545">
        <v>-7424.8944000000001</v>
      </c>
    </row>
    <row r="546" spans="2:32" x14ac:dyDescent="0.25">
      <c r="B546">
        <v>33</v>
      </c>
      <c r="C546">
        <v>1</v>
      </c>
      <c r="D546">
        <v>1</v>
      </c>
      <c r="E546">
        <v>1</v>
      </c>
      <c r="F546">
        <v>1</v>
      </c>
      <c r="G546">
        <v>1</v>
      </c>
      <c r="H546">
        <v>1</v>
      </c>
      <c r="J546">
        <v>33</v>
      </c>
      <c r="K546">
        <v>1</v>
      </c>
      <c r="L546">
        <v>1</v>
      </c>
      <c r="M546">
        <v>1</v>
      </c>
      <c r="N546">
        <v>1</v>
      </c>
      <c r="O546">
        <v>1</v>
      </c>
      <c r="P546">
        <v>1</v>
      </c>
      <c r="R546">
        <v>33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AA546">
        <v>-7422.2834000000003</v>
      </c>
      <c r="AB546">
        <v>-7422.2834000000003</v>
      </c>
      <c r="AC546">
        <v>-7422.2834000000003</v>
      </c>
      <c r="AD546">
        <v>-7422.2834000000003</v>
      </c>
      <c r="AE546">
        <v>-7422.2834000000003</v>
      </c>
      <c r="AF546">
        <v>-7422.2834000000003</v>
      </c>
    </row>
    <row r="547" spans="2:32" x14ac:dyDescent="0.25">
      <c r="B547">
        <v>34</v>
      </c>
      <c r="C547">
        <v>1</v>
      </c>
      <c r="D547">
        <v>1</v>
      </c>
      <c r="E547">
        <v>1</v>
      </c>
      <c r="F547">
        <v>1</v>
      </c>
      <c r="G547">
        <v>1</v>
      </c>
      <c r="H547">
        <v>1</v>
      </c>
      <c r="J547">
        <v>34</v>
      </c>
      <c r="K547">
        <v>1</v>
      </c>
      <c r="L547">
        <v>1</v>
      </c>
      <c r="M547">
        <v>1</v>
      </c>
      <c r="N547">
        <v>1</v>
      </c>
      <c r="O547">
        <v>1</v>
      </c>
      <c r="P547">
        <v>1</v>
      </c>
      <c r="R547">
        <v>34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AA547">
        <v>-7419.3683000000001</v>
      </c>
      <c r="AB547">
        <v>-7419.3683000000001</v>
      </c>
      <c r="AC547">
        <v>-7419.3683000000001</v>
      </c>
      <c r="AD547">
        <v>-7419.3683000000001</v>
      </c>
      <c r="AE547">
        <v>-7419.3683000000001</v>
      </c>
      <c r="AF547">
        <v>-7419.3683000000001</v>
      </c>
    </row>
    <row r="548" spans="2:32" x14ac:dyDescent="0.25">
      <c r="B548">
        <v>35</v>
      </c>
      <c r="C548">
        <v>1</v>
      </c>
      <c r="D548">
        <v>1</v>
      </c>
      <c r="E548">
        <v>1</v>
      </c>
      <c r="F548">
        <v>1</v>
      </c>
      <c r="G548">
        <v>1</v>
      </c>
      <c r="H548">
        <v>1</v>
      </c>
      <c r="J548">
        <v>35</v>
      </c>
      <c r="K548">
        <v>1</v>
      </c>
      <c r="L548">
        <v>1</v>
      </c>
      <c r="M548">
        <v>1</v>
      </c>
      <c r="N548">
        <v>1</v>
      </c>
      <c r="O548">
        <v>1</v>
      </c>
      <c r="P548">
        <v>1</v>
      </c>
      <c r="R548">
        <v>35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AA548">
        <v>-7416.1363000000001</v>
      </c>
      <c r="AB548">
        <v>-7416.1363000000001</v>
      </c>
      <c r="AC548">
        <v>-7416.1363000000001</v>
      </c>
      <c r="AD548">
        <v>-7416.1363000000001</v>
      </c>
      <c r="AE548">
        <v>-7416.1363000000001</v>
      </c>
      <c r="AF548">
        <v>-7416.1363000000001</v>
      </c>
    </row>
    <row r="549" spans="2:32" x14ac:dyDescent="0.25">
      <c r="B549">
        <v>36</v>
      </c>
      <c r="C549">
        <v>1</v>
      </c>
      <c r="D549">
        <v>1</v>
      </c>
      <c r="E549">
        <v>1</v>
      </c>
      <c r="F549">
        <v>1</v>
      </c>
      <c r="G549">
        <v>1</v>
      </c>
      <c r="H549">
        <v>1</v>
      </c>
      <c r="J549">
        <v>36</v>
      </c>
      <c r="K549">
        <v>1</v>
      </c>
      <c r="L549">
        <v>1</v>
      </c>
      <c r="M549">
        <v>1</v>
      </c>
      <c r="N549">
        <v>1</v>
      </c>
      <c r="O549">
        <v>1</v>
      </c>
      <c r="P549">
        <v>1</v>
      </c>
      <c r="R549">
        <v>36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AA549">
        <v>-7412.5378000000001</v>
      </c>
      <c r="AB549">
        <v>-7412.5378000000001</v>
      </c>
      <c r="AC549">
        <v>-7412.5378000000001</v>
      </c>
      <c r="AD549">
        <v>-7412.5378000000001</v>
      </c>
      <c r="AE549">
        <v>-7412.5378000000001</v>
      </c>
      <c r="AF549">
        <v>-7412.5378000000001</v>
      </c>
    </row>
    <row r="550" spans="2:32" x14ac:dyDescent="0.25">
      <c r="B550">
        <v>37</v>
      </c>
      <c r="C550">
        <v>1</v>
      </c>
      <c r="D550">
        <v>1</v>
      </c>
      <c r="E550">
        <v>1</v>
      </c>
      <c r="F550">
        <v>1</v>
      </c>
      <c r="G550">
        <v>1</v>
      </c>
      <c r="H550">
        <v>1</v>
      </c>
      <c r="J550">
        <v>37</v>
      </c>
      <c r="K550">
        <v>1</v>
      </c>
      <c r="L550">
        <v>1</v>
      </c>
      <c r="M550">
        <v>1</v>
      </c>
      <c r="N550">
        <v>1</v>
      </c>
      <c r="O550">
        <v>1</v>
      </c>
      <c r="P550">
        <v>1</v>
      </c>
      <c r="R550">
        <v>37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AA550">
        <v>-7408.55</v>
      </c>
      <c r="AB550">
        <v>-7408.55</v>
      </c>
      <c r="AC550">
        <v>-7408.55</v>
      </c>
      <c r="AD550">
        <v>-7408.55</v>
      </c>
      <c r="AE550">
        <v>-7408.55</v>
      </c>
      <c r="AF550">
        <v>-7408.55</v>
      </c>
    </row>
    <row r="551" spans="2:32" x14ac:dyDescent="0.25">
      <c r="B551">
        <v>38</v>
      </c>
      <c r="C551">
        <v>1</v>
      </c>
      <c r="D551">
        <v>1</v>
      </c>
      <c r="E551">
        <v>1</v>
      </c>
      <c r="F551">
        <v>1</v>
      </c>
      <c r="G551">
        <v>1</v>
      </c>
      <c r="H551">
        <v>1</v>
      </c>
      <c r="J551">
        <v>38</v>
      </c>
      <c r="K551">
        <v>1</v>
      </c>
      <c r="L551">
        <v>1</v>
      </c>
      <c r="M551">
        <v>1</v>
      </c>
      <c r="N551">
        <v>1</v>
      </c>
      <c r="O551">
        <v>1</v>
      </c>
      <c r="P551">
        <v>1</v>
      </c>
      <c r="R551">
        <v>38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AA551">
        <v>-7404.1752999999999</v>
      </c>
      <c r="AB551">
        <v>-7404.1752999999999</v>
      </c>
      <c r="AC551">
        <v>-7404.1752999999999</v>
      </c>
      <c r="AD551">
        <v>-7404.1752999999999</v>
      </c>
      <c r="AE551">
        <v>-7404.1752999999999</v>
      </c>
      <c r="AF551">
        <v>-7404.1752999999999</v>
      </c>
    </row>
    <row r="552" spans="2:32" x14ac:dyDescent="0.25">
      <c r="B552">
        <v>39</v>
      </c>
      <c r="C552">
        <v>1</v>
      </c>
      <c r="D552">
        <v>1</v>
      </c>
      <c r="E552">
        <v>1</v>
      </c>
      <c r="F552">
        <v>1</v>
      </c>
      <c r="G552">
        <v>1</v>
      </c>
      <c r="H552">
        <v>1</v>
      </c>
      <c r="J552">
        <v>39</v>
      </c>
      <c r="K552">
        <v>1</v>
      </c>
      <c r="L552">
        <v>1</v>
      </c>
      <c r="M552">
        <v>1</v>
      </c>
      <c r="N552">
        <v>1</v>
      </c>
      <c r="O552">
        <v>1</v>
      </c>
      <c r="P552">
        <v>1</v>
      </c>
      <c r="R552">
        <v>39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AA552">
        <v>-7399.3923999999997</v>
      </c>
      <c r="AB552">
        <v>-7399.3923999999997</v>
      </c>
      <c r="AC552">
        <v>-7399.3923999999997</v>
      </c>
      <c r="AD552">
        <v>-7399.3923999999997</v>
      </c>
      <c r="AE552">
        <v>-7399.3923999999997</v>
      </c>
      <c r="AF552">
        <v>-7399.3923999999997</v>
      </c>
    </row>
    <row r="553" spans="2:32" x14ac:dyDescent="0.25">
      <c r="B553">
        <v>40</v>
      </c>
      <c r="C553">
        <v>1</v>
      </c>
      <c r="D553">
        <v>1</v>
      </c>
      <c r="E553">
        <v>1</v>
      </c>
      <c r="F553">
        <v>1</v>
      </c>
      <c r="G553">
        <v>1</v>
      </c>
      <c r="H553">
        <v>1</v>
      </c>
      <c r="J553">
        <v>40</v>
      </c>
      <c r="K553">
        <v>1</v>
      </c>
      <c r="L553">
        <v>1</v>
      </c>
      <c r="M553">
        <v>1</v>
      </c>
      <c r="N553">
        <v>1</v>
      </c>
      <c r="O553">
        <v>1</v>
      </c>
      <c r="P553">
        <v>1</v>
      </c>
      <c r="R553">
        <v>40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AA553">
        <v>-7394.1365999999998</v>
      </c>
      <c r="AB553">
        <v>-7394.1365999999998</v>
      </c>
      <c r="AC553">
        <v>-7394.1365999999998</v>
      </c>
      <c r="AD553">
        <v>-7394.1365999999998</v>
      </c>
      <c r="AE553">
        <v>-7394.1365999999998</v>
      </c>
      <c r="AF553">
        <v>-7394.1365999999998</v>
      </c>
    </row>
    <row r="554" spans="2:32" x14ac:dyDescent="0.25">
      <c r="B554">
        <v>41</v>
      </c>
      <c r="C554">
        <v>1</v>
      </c>
      <c r="D554">
        <v>1</v>
      </c>
      <c r="E554">
        <v>1</v>
      </c>
      <c r="F554">
        <v>1</v>
      </c>
      <c r="G554">
        <v>1</v>
      </c>
      <c r="H554">
        <v>1</v>
      </c>
      <c r="J554">
        <v>41</v>
      </c>
      <c r="K554">
        <v>1</v>
      </c>
      <c r="L554">
        <v>1</v>
      </c>
      <c r="M554">
        <v>1</v>
      </c>
      <c r="N554">
        <v>1</v>
      </c>
      <c r="O554">
        <v>1</v>
      </c>
      <c r="P554">
        <v>1</v>
      </c>
      <c r="R554">
        <v>41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AA554">
        <v>-7388.3469999999998</v>
      </c>
      <c r="AB554">
        <v>-7388.3469999999998</v>
      </c>
      <c r="AC554">
        <v>-7388.3469999999998</v>
      </c>
      <c r="AD554">
        <v>-7388.3469999999998</v>
      </c>
      <c r="AE554">
        <v>-7388.3469999999998</v>
      </c>
      <c r="AF554">
        <v>-7388.3469999999998</v>
      </c>
    </row>
    <row r="555" spans="2:32" x14ac:dyDescent="0.25">
      <c r="B555">
        <v>42</v>
      </c>
      <c r="C555">
        <v>1</v>
      </c>
      <c r="D555">
        <v>1</v>
      </c>
      <c r="E555">
        <v>1</v>
      </c>
      <c r="F555">
        <v>1</v>
      </c>
      <c r="G555">
        <v>1</v>
      </c>
      <c r="H555">
        <v>1</v>
      </c>
      <c r="J555">
        <v>42</v>
      </c>
      <c r="K555">
        <v>1</v>
      </c>
      <c r="L555">
        <v>1</v>
      </c>
      <c r="M555">
        <v>1</v>
      </c>
      <c r="N555">
        <v>1</v>
      </c>
      <c r="O555">
        <v>1</v>
      </c>
      <c r="P555">
        <v>1</v>
      </c>
      <c r="R555">
        <v>42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AA555">
        <v>-7381.9919</v>
      </c>
      <c r="AB555">
        <v>-7381.9919</v>
      </c>
      <c r="AC555">
        <v>-7381.9919</v>
      </c>
      <c r="AD555">
        <v>-7381.9919</v>
      </c>
      <c r="AE555">
        <v>-7381.9919</v>
      </c>
      <c r="AF555">
        <v>-7381.9919</v>
      </c>
    </row>
    <row r="556" spans="2:32" x14ac:dyDescent="0.25">
      <c r="B556">
        <v>43</v>
      </c>
      <c r="C556">
        <v>1</v>
      </c>
      <c r="D556">
        <v>1</v>
      </c>
      <c r="E556">
        <v>1</v>
      </c>
      <c r="F556">
        <v>1</v>
      </c>
      <c r="G556">
        <v>1</v>
      </c>
      <c r="H556">
        <v>1</v>
      </c>
      <c r="J556">
        <v>43</v>
      </c>
      <c r="K556">
        <v>1</v>
      </c>
      <c r="L556">
        <v>1</v>
      </c>
      <c r="M556">
        <v>1</v>
      </c>
      <c r="N556">
        <v>1</v>
      </c>
      <c r="O556">
        <v>1</v>
      </c>
      <c r="P556">
        <v>1</v>
      </c>
      <c r="R556">
        <v>43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AA556">
        <v>-7374.9579999999996</v>
      </c>
      <c r="AB556">
        <v>-7374.9579999999996</v>
      </c>
      <c r="AC556">
        <v>-7374.9579999999996</v>
      </c>
      <c r="AD556">
        <v>-7374.9579999999996</v>
      </c>
      <c r="AE556">
        <v>-7374.9579999999996</v>
      </c>
      <c r="AF556">
        <v>-7374.9579999999996</v>
      </c>
    </row>
    <row r="557" spans="2:32" x14ac:dyDescent="0.25">
      <c r="B557">
        <v>44</v>
      </c>
      <c r="C557">
        <v>1</v>
      </c>
      <c r="D557">
        <v>1</v>
      </c>
      <c r="E557">
        <v>1</v>
      </c>
      <c r="F557">
        <v>1</v>
      </c>
      <c r="G557">
        <v>1</v>
      </c>
      <c r="H557">
        <v>1</v>
      </c>
      <c r="J557">
        <v>44</v>
      </c>
      <c r="K557">
        <v>1</v>
      </c>
      <c r="L557">
        <v>1</v>
      </c>
      <c r="M557">
        <v>1</v>
      </c>
      <c r="N557">
        <v>1</v>
      </c>
      <c r="O557">
        <v>1</v>
      </c>
      <c r="P557">
        <v>1</v>
      </c>
      <c r="R557">
        <v>44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AA557">
        <v>-7367.2034999999996</v>
      </c>
      <c r="AB557">
        <v>-7367.2034999999996</v>
      </c>
      <c r="AC557">
        <v>-7367.2034999999996</v>
      </c>
      <c r="AD557">
        <v>-7367.2034999999996</v>
      </c>
      <c r="AE557">
        <v>-7367.2034999999996</v>
      </c>
      <c r="AF557">
        <v>-7367.2034999999996</v>
      </c>
    </row>
    <row r="558" spans="2:32" x14ac:dyDescent="0.25">
      <c r="B558">
        <v>45</v>
      </c>
      <c r="C558">
        <v>1</v>
      </c>
      <c r="D558">
        <v>1</v>
      </c>
      <c r="E558">
        <v>1</v>
      </c>
      <c r="F558">
        <v>1</v>
      </c>
      <c r="G558">
        <v>1</v>
      </c>
      <c r="H558">
        <v>1</v>
      </c>
      <c r="J558">
        <v>45</v>
      </c>
      <c r="K558">
        <v>1</v>
      </c>
      <c r="L558">
        <v>1</v>
      </c>
      <c r="M558">
        <v>1</v>
      </c>
      <c r="N558">
        <v>1</v>
      </c>
      <c r="O558">
        <v>1</v>
      </c>
      <c r="P558">
        <v>1</v>
      </c>
      <c r="R558">
        <v>45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AA558">
        <v>-7358.6491999999998</v>
      </c>
      <c r="AB558">
        <v>-7358.6491999999998</v>
      </c>
      <c r="AC558">
        <v>-7358.6491999999998</v>
      </c>
      <c r="AD558">
        <v>-7358.6491999999998</v>
      </c>
      <c r="AE558">
        <v>-7358.6491999999998</v>
      </c>
      <c r="AF558">
        <v>-7358.6491999999998</v>
      </c>
    </row>
    <row r="559" spans="2:32" x14ac:dyDescent="0.25">
      <c r="B559">
        <v>46</v>
      </c>
      <c r="C559">
        <v>1</v>
      </c>
      <c r="D559">
        <v>1</v>
      </c>
      <c r="E559">
        <v>1</v>
      </c>
      <c r="F559">
        <v>1</v>
      </c>
      <c r="G559">
        <v>1</v>
      </c>
      <c r="H559">
        <v>1</v>
      </c>
      <c r="J559">
        <v>46</v>
      </c>
      <c r="K559">
        <v>1</v>
      </c>
      <c r="L559">
        <v>1</v>
      </c>
      <c r="M559">
        <v>1</v>
      </c>
      <c r="N559">
        <v>1</v>
      </c>
      <c r="O559">
        <v>1</v>
      </c>
      <c r="P559">
        <v>1</v>
      </c>
      <c r="R559">
        <v>46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AA559">
        <v>-7349.2232000000004</v>
      </c>
      <c r="AB559">
        <v>-7349.2232000000004</v>
      </c>
      <c r="AC559">
        <v>-7349.2232000000004</v>
      </c>
      <c r="AD559">
        <v>-7349.2232000000004</v>
      </c>
      <c r="AE559">
        <v>-7349.2232000000004</v>
      </c>
      <c r="AF559">
        <v>-7349.2232000000004</v>
      </c>
    </row>
    <row r="560" spans="2:32" x14ac:dyDescent="0.25">
      <c r="B560">
        <v>47</v>
      </c>
      <c r="C560">
        <v>1</v>
      </c>
      <c r="D560">
        <v>1</v>
      </c>
      <c r="E560">
        <v>1</v>
      </c>
      <c r="F560">
        <v>1</v>
      </c>
      <c r="G560">
        <v>1</v>
      </c>
      <c r="H560">
        <v>1</v>
      </c>
      <c r="J560">
        <v>47</v>
      </c>
      <c r="K560">
        <v>1</v>
      </c>
      <c r="L560">
        <v>1</v>
      </c>
      <c r="M560">
        <v>1</v>
      </c>
      <c r="N560">
        <v>1</v>
      </c>
      <c r="O560">
        <v>1</v>
      </c>
      <c r="P560">
        <v>1</v>
      </c>
      <c r="R560">
        <v>47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AA560">
        <v>-7338.8310000000001</v>
      </c>
      <c r="AB560">
        <v>-7338.8310000000001</v>
      </c>
      <c r="AC560">
        <v>-7338.8310000000001</v>
      </c>
      <c r="AD560">
        <v>-7338.8310000000001</v>
      </c>
      <c r="AE560">
        <v>-7338.8310000000001</v>
      </c>
      <c r="AF560">
        <v>-7338.8310000000001</v>
      </c>
    </row>
    <row r="561" spans="2:32" x14ac:dyDescent="0.25">
      <c r="B561">
        <v>48</v>
      </c>
      <c r="C561">
        <v>1</v>
      </c>
      <c r="D561">
        <v>1</v>
      </c>
      <c r="E561">
        <v>1</v>
      </c>
      <c r="F561">
        <v>1</v>
      </c>
      <c r="G561">
        <v>1</v>
      </c>
      <c r="H561">
        <v>1</v>
      </c>
      <c r="J561">
        <v>48</v>
      </c>
      <c r="K561">
        <v>1</v>
      </c>
      <c r="L561">
        <v>1</v>
      </c>
      <c r="M561">
        <v>1</v>
      </c>
      <c r="N561">
        <v>1</v>
      </c>
      <c r="O561">
        <v>1</v>
      </c>
      <c r="P561">
        <v>1</v>
      </c>
      <c r="R561">
        <v>48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AA561">
        <v>-7327.4297999999999</v>
      </c>
      <c r="AB561">
        <v>-7327.4297999999999</v>
      </c>
      <c r="AC561">
        <v>-7327.4297999999999</v>
      </c>
      <c r="AD561">
        <v>-7327.4297999999999</v>
      </c>
      <c r="AE561">
        <v>-7327.4297999999999</v>
      </c>
      <c r="AF561">
        <v>-7327.4297999999999</v>
      </c>
    </row>
    <row r="562" spans="2:32" x14ac:dyDescent="0.25">
      <c r="B562">
        <v>49</v>
      </c>
      <c r="C562">
        <v>1</v>
      </c>
      <c r="D562">
        <v>1</v>
      </c>
      <c r="E562">
        <v>1</v>
      </c>
      <c r="F562">
        <v>1</v>
      </c>
      <c r="G562">
        <v>1</v>
      </c>
      <c r="H562">
        <v>1</v>
      </c>
      <c r="J562">
        <v>49</v>
      </c>
      <c r="K562">
        <v>1</v>
      </c>
      <c r="L562">
        <v>1</v>
      </c>
      <c r="M562">
        <v>1</v>
      </c>
      <c r="N562">
        <v>1</v>
      </c>
      <c r="O562">
        <v>1</v>
      </c>
      <c r="P562">
        <v>1</v>
      </c>
      <c r="R562">
        <v>49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AA562">
        <v>-7314.951</v>
      </c>
      <c r="AB562">
        <v>-7314.951</v>
      </c>
      <c r="AC562">
        <v>-7314.951</v>
      </c>
      <c r="AD562">
        <v>-7314.951</v>
      </c>
      <c r="AE562">
        <v>-7314.951</v>
      </c>
      <c r="AF562">
        <v>-7314.951</v>
      </c>
    </row>
    <row r="563" spans="2:32" x14ac:dyDescent="0.25">
      <c r="B563">
        <v>50</v>
      </c>
      <c r="C563">
        <v>1</v>
      </c>
      <c r="D563">
        <v>1</v>
      </c>
      <c r="E563">
        <v>1</v>
      </c>
      <c r="F563">
        <v>1</v>
      </c>
      <c r="G563">
        <v>1</v>
      </c>
      <c r="H563">
        <v>1</v>
      </c>
      <c r="J563">
        <v>50</v>
      </c>
      <c r="K563">
        <v>1</v>
      </c>
      <c r="L563">
        <v>1</v>
      </c>
      <c r="M563">
        <v>1</v>
      </c>
      <c r="N563">
        <v>1</v>
      </c>
      <c r="O563">
        <v>1</v>
      </c>
      <c r="P563">
        <v>1</v>
      </c>
      <c r="R563">
        <v>50</v>
      </c>
      <c r="S563">
        <v>1</v>
      </c>
      <c r="T563">
        <v>1</v>
      </c>
      <c r="U563">
        <v>1</v>
      </c>
      <c r="V563">
        <v>1</v>
      </c>
      <c r="W563">
        <v>1</v>
      </c>
      <c r="X563">
        <v>1</v>
      </c>
      <c r="AA563">
        <v>-7301.2851000000001</v>
      </c>
      <c r="AB563">
        <v>-7301.2851000000001</v>
      </c>
      <c r="AC563">
        <v>-7301.2851000000001</v>
      </c>
      <c r="AD563">
        <v>-7301.2851000000001</v>
      </c>
      <c r="AE563">
        <v>-7301.2851000000001</v>
      </c>
      <c r="AF563">
        <v>-7301.2851000000001</v>
      </c>
    </row>
    <row r="564" spans="2:32" x14ac:dyDescent="0.25">
      <c r="B564">
        <v>51</v>
      </c>
      <c r="C564">
        <v>1</v>
      </c>
      <c r="D564">
        <v>1</v>
      </c>
      <c r="E564">
        <v>1</v>
      </c>
      <c r="F564">
        <v>1</v>
      </c>
      <c r="G564">
        <v>1</v>
      </c>
      <c r="H564">
        <v>1</v>
      </c>
      <c r="J564">
        <v>51</v>
      </c>
      <c r="K564">
        <v>1</v>
      </c>
      <c r="L564">
        <v>1</v>
      </c>
      <c r="M564">
        <v>1</v>
      </c>
      <c r="N564">
        <v>1</v>
      </c>
      <c r="O564">
        <v>1</v>
      </c>
      <c r="P564">
        <v>1</v>
      </c>
      <c r="R564">
        <v>51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AA564">
        <v>-7286.3271000000004</v>
      </c>
      <c r="AB564">
        <v>-7286.3271000000004</v>
      </c>
      <c r="AC564">
        <v>-7286.3271000000004</v>
      </c>
      <c r="AD564">
        <v>-7286.3271000000004</v>
      </c>
      <c r="AE564">
        <v>-7286.3271000000004</v>
      </c>
      <c r="AF564">
        <v>-7286.3271000000004</v>
      </c>
    </row>
    <row r="565" spans="2:32" x14ac:dyDescent="0.25">
      <c r="B565">
        <v>52</v>
      </c>
      <c r="C565">
        <v>1</v>
      </c>
      <c r="D565">
        <v>1</v>
      </c>
      <c r="E565">
        <v>1</v>
      </c>
      <c r="F565">
        <v>1</v>
      </c>
      <c r="G565">
        <v>1</v>
      </c>
      <c r="H565">
        <v>1</v>
      </c>
      <c r="J565">
        <v>52</v>
      </c>
      <c r="K565">
        <v>1</v>
      </c>
      <c r="L565">
        <v>1</v>
      </c>
      <c r="M565">
        <v>1</v>
      </c>
      <c r="N565">
        <v>1</v>
      </c>
      <c r="O565">
        <v>1</v>
      </c>
      <c r="P565">
        <v>1</v>
      </c>
      <c r="R565">
        <v>52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AA565">
        <v>-7269.9448000000002</v>
      </c>
      <c r="AB565">
        <v>-7269.9448000000002</v>
      </c>
      <c r="AC565">
        <v>-7269.9448000000002</v>
      </c>
      <c r="AD565">
        <v>-7269.9448000000002</v>
      </c>
      <c r="AE565">
        <v>-7269.9448000000002</v>
      </c>
      <c r="AF565">
        <v>-7269.9448000000002</v>
      </c>
    </row>
    <row r="566" spans="2:32" x14ac:dyDescent="0.25">
      <c r="B566">
        <v>53</v>
      </c>
      <c r="C566">
        <v>1</v>
      </c>
      <c r="D566">
        <v>1</v>
      </c>
      <c r="E566">
        <v>1</v>
      </c>
      <c r="F566">
        <v>1</v>
      </c>
      <c r="G566">
        <v>1</v>
      </c>
      <c r="H566">
        <v>1</v>
      </c>
      <c r="J566">
        <v>53</v>
      </c>
      <c r="K566">
        <v>1</v>
      </c>
      <c r="L566">
        <v>1</v>
      </c>
      <c r="M566">
        <v>1</v>
      </c>
      <c r="N566">
        <v>1</v>
      </c>
      <c r="O566">
        <v>1</v>
      </c>
      <c r="P566">
        <v>1</v>
      </c>
      <c r="R566">
        <v>53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AA566">
        <v>-7252.0574999999999</v>
      </c>
      <c r="AB566">
        <v>-7252.0574999999999</v>
      </c>
      <c r="AC566">
        <v>-7252.0574999999999</v>
      </c>
      <c r="AD566">
        <v>-7252.0574999999999</v>
      </c>
      <c r="AE566">
        <v>-7252.0574999999999</v>
      </c>
      <c r="AF566">
        <v>-7252.0574999999999</v>
      </c>
    </row>
    <row r="567" spans="2:32" x14ac:dyDescent="0.25">
      <c r="B567">
        <v>54</v>
      </c>
      <c r="C567">
        <v>1</v>
      </c>
      <c r="D567">
        <v>1</v>
      </c>
      <c r="E567">
        <v>1</v>
      </c>
      <c r="F567">
        <v>1</v>
      </c>
      <c r="G567">
        <v>1</v>
      </c>
      <c r="H567">
        <v>1</v>
      </c>
      <c r="J567">
        <v>54</v>
      </c>
      <c r="K567">
        <v>1</v>
      </c>
      <c r="L567">
        <v>1</v>
      </c>
      <c r="M567">
        <v>1</v>
      </c>
      <c r="N567">
        <v>1</v>
      </c>
      <c r="O567">
        <v>1</v>
      </c>
      <c r="P567">
        <v>1</v>
      </c>
      <c r="R567">
        <v>54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AA567">
        <v>-7232.5680000000002</v>
      </c>
      <c r="AB567">
        <v>-7232.5680000000002</v>
      </c>
      <c r="AC567">
        <v>-7232.5680000000002</v>
      </c>
      <c r="AD567">
        <v>-7232.5680000000002</v>
      </c>
      <c r="AE567">
        <v>-7232.5680000000002</v>
      </c>
      <c r="AF567">
        <v>-7232.5680000000002</v>
      </c>
    </row>
    <row r="568" spans="2:32" x14ac:dyDescent="0.25">
      <c r="B568">
        <v>55</v>
      </c>
      <c r="C568">
        <v>1</v>
      </c>
      <c r="D568">
        <v>1</v>
      </c>
      <c r="E568">
        <v>1</v>
      </c>
      <c r="F568">
        <v>1</v>
      </c>
      <c r="G568">
        <v>1</v>
      </c>
      <c r="H568">
        <v>1</v>
      </c>
      <c r="J568">
        <v>55</v>
      </c>
      <c r="K568">
        <v>1</v>
      </c>
      <c r="L568">
        <v>1</v>
      </c>
      <c r="M568">
        <v>1</v>
      </c>
      <c r="N568">
        <v>1</v>
      </c>
      <c r="O568">
        <v>1</v>
      </c>
      <c r="P568">
        <v>1</v>
      </c>
      <c r="R568">
        <v>55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AA568">
        <v>-7211.3207000000002</v>
      </c>
      <c r="AB568">
        <v>-7211.3207000000002</v>
      </c>
      <c r="AC568">
        <v>-7211.3207000000002</v>
      </c>
      <c r="AD568">
        <v>-7211.3207000000002</v>
      </c>
      <c r="AE568">
        <v>-7211.3207000000002</v>
      </c>
      <c r="AF568">
        <v>-7211.3207000000002</v>
      </c>
    </row>
    <row r="571" spans="2:32" x14ac:dyDescent="0.25">
      <c r="B571" t="s">
        <v>46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32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48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2:32" x14ac:dyDescent="0.25">
      <c r="B572">
        <v>35</v>
      </c>
      <c r="C572">
        <v>1</v>
      </c>
      <c r="D572">
        <v>1</v>
      </c>
      <c r="E572">
        <v>1</v>
      </c>
      <c r="F572">
        <v>1</v>
      </c>
      <c r="G572">
        <v>1</v>
      </c>
      <c r="J572">
        <v>35</v>
      </c>
      <c r="K572">
        <v>1</v>
      </c>
      <c r="L572">
        <v>1</v>
      </c>
      <c r="M572">
        <v>1</v>
      </c>
      <c r="N572">
        <v>1</v>
      </c>
      <c r="O572">
        <v>1</v>
      </c>
      <c r="R572">
        <v>35</v>
      </c>
      <c r="S572">
        <v>1</v>
      </c>
      <c r="T572">
        <v>1</v>
      </c>
      <c r="U572">
        <v>1</v>
      </c>
      <c r="V572">
        <v>1</v>
      </c>
      <c r="W572">
        <v>1</v>
      </c>
      <c r="AA572">
        <v>-11308.6893</v>
      </c>
      <c r="AB572">
        <v>-11308.6893</v>
      </c>
      <c r="AC572">
        <v>-11308.6893</v>
      </c>
      <c r="AD572">
        <v>-11308.6893</v>
      </c>
      <c r="AE572">
        <v>-11308.6893</v>
      </c>
      <c r="AF572">
        <v>-759112.79520000005</v>
      </c>
    </row>
    <row r="573" spans="2:32" x14ac:dyDescent="0.25">
      <c r="B573">
        <f t="shared" ref="B573:B602" si="24">B572+1</f>
        <v>36</v>
      </c>
      <c r="C573">
        <v>1</v>
      </c>
      <c r="D573">
        <v>1</v>
      </c>
      <c r="E573">
        <v>1</v>
      </c>
      <c r="F573">
        <v>1</v>
      </c>
      <c r="G573">
        <v>1</v>
      </c>
      <c r="J573">
        <f t="shared" ref="J573:J602" si="25">J572+1</f>
        <v>36</v>
      </c>
      <c r="K573">
        <v>1</v>
      </c>
      <c r="L573">
        <v>1</v>
      </c>
      <c r="M573">
        <v>1</v>
      </c>
      <c r="N573">
        <v>1</v>
      </c>
      <c r="O573">
        <v>1</v>
      </c>
      <c r="R573">
        <f t="shared" ref="R573:R602" si="26">R572+1</f>
        <v>36</v>
      </c>
      <c r="S573">
        <v>1</v>
      </c>
      <c r="T573">
        <v>1</v>
      </c>
      <c r="U573">
        <v>1</v>
      </c>
      <c r="V573">
        <v>1</v>
      </c>
      <c r="W573">
        <v>1</v>
      </c>
      <c r="AA573">
        <v>-11214.2592</v>
      </c>
      <c r="AB573">
        <v>-11214.2592</v>
      </c>
      <c r="AC573">
        <v>-11214.2592</v>
      </c>
      <c r="AD573">
        <v>-11214.2592</v>
      </c>
      <c r="AE573">
        <v>-11214.2592</v>
      </c>
      <c r="AF573">
        <v>-737070.86179999996</v>
      </c>
    </row>
    <row r="574" spans="2:32" x14ac:dyDescent="0.25">
      <c r="B574">
        <f t="shared" si="24"/>
        <v>37</v>
      </c>
      <c r="C574">
        <v>1</v>
      </c>
      <c r="D574">
        <v>1</v>
      </c>
      <c r="E574">
        <v>1</v>
      </c>
      <c r="F574">
        <v>1</v>
      </c>
      <c r="G574">
        <v>1</v>
      </c>
      <c r="J574">
        <f t="shared" si="25"/>
        <v>37</v>
      </c>
      <c r="K574">
        <v>1</v>
      </c>
      <c r="L574">
        <v>1</v>
      </c>
      <c r="M574">
        <v>1</v>
      </c>
      <c r="N574">
        <v>1</v>
      </c>
      <c r="O574">
        <v>1</v>
      </c>
      <c r="R574">
        <f t="shared" si="26"/>
        <v>37</v>
      </c>
      <c r="S574">
        <v>1</v>
      </c>
      <c r="T574">
        <v>1</v>
      </c>
      <c r="U574">
        <v>1</v>
      </c>
      <c r="V574">
        <v>1</v>
      </c>
      <c r="W574">
        <v>1</v>
      </c>
      <c r="AA574">
        <v>-11117.406199999999</v>
      </c>
      <c r="AB574">
        <v>-11117.406199999999</v>
      </c>
      <c r="AC574">
        <v>-11117.406199999999</v>
      </c>
      <c r="AD574">
        <v>-11117.406199999999</v>
      </c>
      <c r="AE574">
        <v>-11117.406199999999</v>
      </c>
      <c r="AF574">
        <v>-765978.91940000001</v>
      </c>
    </row>
    <row r="575" spans="2:32" x14ac:dyDescent="0.25">
      <c r="B575">
        <f t="shared" si="24"/>
        <v>38</v>
      </c>
      <c r="C575">
        <v>1</v>
      </c>
      <c r="D575">
        <v>1</v>
      </c>
      <c r="E575">
        <v>1</v>
      </c>
      <c r="F575">
        <v>1</v>
      </c>
      <c r="G575">
        <v>1</v>
      </c>
      <c r="J575">
        <f t="shared" si="25"/>
        <v>38</v>
      </c>
      <c r="K575">
        <v>1</v>
      </c>
      <c r="L575">
        <v>1</v>
      </c>
      <c r="M575">
        <v>1</v>
      </c>
      <c r="N575">
        <v>1</v>
      </c>
      <c r="O575">
        <v>1</v>
      </c>
      <c r="R575">
        <f t="shared" si="26"/>
        <v>38</v>
      </c>
      <c r="S575">
        <v>1</v>
      </c>
      <c r="T575">
        <v>1</v>
      </c>
      <c r="U575">
        <v>1</v>
      </c>
      <c r="V575">
        <v>1</v>
      </c>
      <c r="W575">
        <v>1</v>
      </c>
      <c r="AA575">
        <v>-11018.229799999999</v>
      </c>
      <c r="AB575">
        <v>-11018.229799999999</v>
      </c>
      <c r="AC575">
        <v>-11018.229799999999</v>
      </c>
      <c r="AD575">
        <v>-11018.229799999999</v>
      </c>
      <c r="AE575">
        <v>-11018.229799999999</v>
      </c>
      <c r="AF575">
        <v>-783780.576</v>
      </c>
    </row>
    <row r="576" spans="2:32" x14ac:dyDescent="0.25">
      <c r="B576">
        <f t="shared" si="24"/>
        <v>39</v>
      </c>
      <c r="C576">
        <v>1</v>
      </c>
      <c r="D576">
        <v>1</v>
      </c>
      <c r="E576">
        <v>1</v>
      </c>
      <c r="F576">
        <v>1</v>
      </c>
      <c r="G576">
        <v>1</v>
      </c>
      <c r="J576">
        <f t="shared" si="25"/>
        <v>39</v>
      </c>
      <c r="K576">
        <v>1</v>
      </c>
      <c r="L576">
        <v>1</v>
      </c>
      <c r="M576">
        <v>1</v>
      </c>
      <c r="N576">
        <v>1</v>
      </c>
      <c r="O576">
        <v>1</v>
      </c>
      <c r="R576">
        <f t="shared" si="26"/>
        <v>39</v>
      </c>
      <c r="S576">
        <v>1</v>
      </c>
      <c r="T576">
        <v>1</v>
      </c>
      <c r="U576">
        <v>1</v>
      </c>
      <c r="V576">
        <v>1</v>
      </c>
      <c r="W576">
        <v>1</v>
      </c>
      <c r="AA576">
        <v>-10916.737999999999</v>
      </c>
      <c r="AB576">
        <v>-10916.737999999999</v>
      </c>
      <c r="AC576">
        <v>-10916.737999999999</v>
      </c>
      <c r="AD576">
        <v>-10916.737999999999</v>
      </c>
      <c r="AE576">
        <v>-10916.737999999999</v>
      </c>
      <c r="AF576">
        <v>-769662.22069999995</v>
      </c>
    </row>
    <row r="577" spans="2:32" x14ac:dyDescent="0.25">
      <c r="B577">
        <f t="shared" si="24"/>
        <v>40</v>
      </c>
      <c r="C577">
        <v>1</v>
      </c>
      <c r="D577">
        <v>1</v>
      </c>
      <c r="E577">
        <v>1</v>
      </c>
      <c r="F577">
        <v>1</v>
      </c>
      <c r="G577">
        <v>1</v>
      </c>
      <c r="J577">
        <f t="shared" si="25"/>
        <v>40</v>
      </c>
      <c r="K577">
        <v>1</v>
      </c>
      <c r="L577">
        <v>1</v>
      </c>
      <c r="M577">
        <v>1</v>
      </c>
      <c r="N577">
        <v>1</v>
      </c>
      <c r="O577">
        <v>1</v>
      </c>
      <c r="R577">
        <f t="shared" si="26"/>
        <v>40</v>
      </c>
      <c r="S577">
        <v>1</v>
      </c>
      <c r="T577">
        <v>1</v>
      </c>
      <c r="U577">
        <v>1</v>
      </c>
      <c r="V577">
        <v>1</v>
      </c>
      <c r="W577">
        <v>1</v>
      </c>
      <c r="AA577">
        <v>-10812.8714</v>
      </c>
      <c r="AB577">
        <v>-10812.8714</v>
      </c>
      <c r="AC577">
        <v>-10812.8714</v>
      </c>
      <c r="AD577">
        <v>-10812.8714</v>
      </c>
      <c r="AE577">
        <v>-10812.8714</v>
      </c>
      <c r="AF577">
        <v>-798570.41119999997</v>
      </c>
    </row>
    <row r="578" spans="2:32" x14ac:dyDescent="0.25">
      <c r="B578">
        <f t="shared" si="24"/>
        <v>41</v>
      </c>
      <c r="C578">
        <v>1</v>
      </c>
      <c r="D578">
        <v>1</v>
      </c>
      <c r="E578">
        <v>1</v>
      </c>
      <c r="F578">
        <v>1</v>
      </c>
      <c r="G578">
        <v>1</v>
      </c>
      <c r="J578">
        <f t="shared" si="25"/>
        <v>41</v>
      </c>
      <c r="K578">
        <v>1</v>
      </c>
      <c r="L578">
        <v>1</v>
      </c>
      <c r="M578">
        <v>1</v>
      </c>
      <c r="N578">
        <v>1</v>
      </c>
      <c r="O578">
        <v>1</v>
      </c>
      <c r="R578">
        <f t="shared" si="26"/>
        <v>41</v>
      </c>
      <c r="S578">
        <v>1</v>
      </c>
      <c r="T578">
        <v>1</v>
      </c>
      <c r="U578">
        <v>1</v>
      </c>
      <c r="V578">
        <v>1</v>
      </c>
      <c r="W578">
        <v>1</v>
      </c>
      <c r="AA578">
        <v>-10706.559600000001</v>
      </c>
      <c r="AB578">
        <v>-10706.559600000001</v>
      </c>
      <c r="AC578">
        <v>-10706.559600000001</v>
      </c>
      <c r="AD578">
        <v>-10706.559600000001</v>
      </c>
      <c r="AE578">
        <v>-10706.559600000001</v>
      </c>
      <c r="AF578">
        <v>-803549.96459999995</v>
      </c>
    </row>
    <row r="579" spans="2:32" x14ac:dyDescent="0.25">
      <c r="B579">
        <f t="shared" si="24"/>
        <v>42</v>
      </c>
      <c r="C579">
        <v>1</v>
      </c>
      <c r="D579">
        <v>1</v>
      </c>
      <c r="E579">
        <v>1</v>
      </c>
      <c r="F579">
        <v>1</v>
      </c>
      <c r="G579">
        <v>1</v>
      </c>
      <c r="J579">
        <f t="shared" si="25"/>
        <v>42</v>
      </c>
      <c r="K579">
        <v>1</v>
      </c>
      <c r="L579">
        <v>1</v>
      </c>
      <c r="M579">
        <v>1</v>
      </c>
      <c r="N579">
        <v>1</v>
      </c>
      <c r="O579">
        <v>1</v>
      </c>
      <c r="R579">
        <f t="shared" si="26"/>
        <v>42</v>
      </c>
      <c r="S579">
        <v>1</v>
      </c>
      <c r="T579">
        <v>1</v>
      </c>
      <c r="U579">
        <v>1</v>
      </c>
      <c r="V579">
        <v>1</v>
      </c>
      <c r="W579">
        <v>1</v>
      </c>
      <c r="AA579">
        <v>-10597.8485</v>
      </c>
      <c r="AB579">
        <v>-10597.8485</v>
      </c>
      <c r="AC579">
        <v>-10597.8485</v>
      </c>
      <c r="AD579">
        <v>-10597.8485</v>
      </c>
      <c r="AE579">
        <v>-10597.8485</v>
      </c>
      <c r="AF579">
        <v>-833551.75890000002</v>
      </c>
    </row>
    <row r="580" spans="2:32" x14ac:dyDescent="0.25">
      <c r="B580">
        <f t="shared" si="24"/>
        <v>43</v>
      </c>
      <c r="C580">
        <v>1</v>
      </c>
      <c r="D580">
        <v>1</v>
      </c>
      <c r="E580">
        <v>1</v>
      </c>
      <c r="F580">
        <v>1</v>
      </c>
      <c r="G580">
        <v>1</v>
      </c>
      <c r="J580">
        <f t="shared" si="25"/>
        <v>43</v>
      </c>
      <c r="K580">
        <v>1</v>
      </c>
      <c r="L580">
        <v>1</v>
      </c>
      <c r="M580">
        <v>1</v>
      </c>
      <c r="N580">
        <v>1</v>
      </c>
      <c r="O580">
        <v>1</v>
      </c>
      <c r="R580">
        <f t="shared" si="26"/>
        <v>43</v>
      </c>
      <c r="S580">
        <v>1</v>
      </c>
      <c r="T580">
        <v>1</v>
      </c>
      <c r="U580">
        <v>1</v>
      </c>
      <c r="V580">
        <v>1</v>
      </c>
      <c r="W580">
        <v>1</v>
      </c>
      <c r="AA580">
        <v>-10486.615400000001</v>
      </c>
      <c r="AB580">
        <v>-10486.615400000001</v>
      </c>
      <c r="AC580">
        <v>-10486.615400000001</v>
      </c>
      <c r="AD580">
        <v>-10486.615400000001</v>
      </c>
      <c r="AE580">
        <v>-10486.615400000001</v>
      </c>
      <c r="AF580">
        <v>-844950.93949999998</v>
      </c>
    </row>
    <row r="581" spans="2:32" x14ac:dyDescent="0.25">
      <c r="B581">
        <f t="shared" si="24"/>
        <v>44</v>
      </c>
      <c r="C581">
        <v>1</v>
      </c>
      <c r="D581">
        <v>1</v>
      </c>
      <c r="E581">
        <v>1</v>
      </c>
      <c r="F581">
        <v>1</v>
      </c>
      <c r="G581">
        <v>1</v>
      </c>
      <c r="J581">
        <f t="shared" si="25"/>
        <v>44</v>
      </c>
      <c r="K581">
        <v>1</v>
      </c>
      <c r="L581">
        <v>1</v>
      </c>
      <c r="M581">
        <v>1</v>
      </c>
      <c r="N581">
        <v>1</v>
      </c>
      <c r="O581">
        <v>1</v>
      </c>
      <c r="R581">
        <f t="shared" si="26"/>
        <v>44</v>
      </c>
      <c r="S581">
        <v>1</v>
      </c>
      <c r="T581">
        <v>1</v>
      </c>
      <c r="U581">
        <v>1</v>
      </c>
      <c r="V581">
        <v>1</v>
      </c>
      <c r="W581">
        <v>1</v>
      </c>
      <c r="AA581">
        <v>-10372.9005</v>
      </c>
      <c r="AB581">
        <v>-10372.9005</v>
      </c>
      <c r="AC581">
        <v>-10372.9005</v>
      </c>
      <c r="AD581">
        <v>-10372.9005</v>
      </c>
      <c r="AE581">
        <v>-10372.9005</v>
      </c>
      <c r="AF581">
        <v>-851265.64670000004</v>
      </c>
    </row>
    <row r="582" spans="2:32" x14ac:dyDescent="0.25">
      <c r="B582">
        <f t="shared" si="24"/>
        <v>45</v>
      </c>
      <c r="C582">
        <v>1</v>
      </c>
      <c r="D582">
        <v>1</v>
      </c>
      <c r="E582">
        <v>1</v>
      </c>
      <c r="F582">
        <v>1</v>
      </c>
      <c r="G582">
        <v>1</v>
      </c>
      <c r="J582">
        <f t="shared" si="25"/>
        <v>45</v>
      </c>
      <c r="K582">
        <v>1</v>
      </c>
      <c r="L582">
        <v>1</v>
      </c>
      <c r="M582">
        <v>1</v>
      </c>
      <c r="N582">
        <v>1</v>
      </c>
      <c r="O582">
        <v>1</v>
      </c>
      <c r="R582">
        <f t="shared" si="26"/>
        <v>45</v>
      </c>
      <c r="S582">
        <v>1</v>
      </c>
      <c r="T582">
        <v>1</v>
      </c>
      <c r="U582">
        <v>1</v>
      </c>
      <c r="V582">
        <v>1</v>
      </c>
      <c r="W582">
        <v>1</v>
      </c>
      <c r="AA582">
        <v>-10256.650600000001</v>
      </c>
      <c r="AB582">
        <v>-10256.650600000001</v>
      </c>
      <c r="AC582">
        <v>-10256.650600000001</v>
      </c>
      <c r="AD582">
        <v>-10256.650600000001</v>
      </c>
      <c r="AE582">
        <v>-10256.650600000001</v>
      </c>
      <c r="AF582">
        <v>-870649.02139999997</v>
      </c>
    </row>
    <row r="583" spans="2:32" x14ac:dyDescent="0.25">
      <c r="B583">
        <f t="shared" si="24"/>
        <v>46</v>
      </c>
      <c r="C583">
        <v>1</v>
      </c>
      <c r="D583">
        <v>1</v>
      </c>
      <c r="E583">
        <v>1</v>
      </c>
      <c r="F583">
        <v>1</v>
      </c>
      <c r="G583">
        <v>1</v>
      </c>
      <c r="J583">
        <f t="shared" si="25"/>
        <v>46</v>
      </c>
      <c r="K583">
        <v>1</v>
      </c>
      <c r="L583">
        <v>1</v>
      </c>
      <c r="M583">
        <v>1</v>
      </c>
      <c r="N583">
        <v>1</v>
      </c>
      <c r="O583">
        <v>1</v>
      </c>
      <c r="R583">
        <f t="shared" si="26"/>
        <v>46</v>
      </c>
      <c r="S583">
        <v>1</v>
      </c>
      <c r="T583">
        <v>1</v>
      </c>
      <c r="U583">
        <v>1</v>
      </c>
      <c r="V583">
        <v>1</v>
      </c>
      <c r="W583">
        <v>1</v>
      </c>
      <c r="AA583">
        <v>-10137.871499999999</v>
      </c>
      <c r="AB583">
        <v>-10137.871499999999</v>
      </c>
      <c r="AC583">
        <v>-10137.871499999999</v>
      </c>
      <c r="AD583">
        <v>-10137.871499999999</v>
      </c>
      <c r="AE583">
        <v>-10137.871499999999</v>
      </c>
      <c r="AF583">
        <v>-892550.54509999999</v>
      </c>
    </row>
    <row r="584" spans="2:32" x14ac:dyDescent="0.25">
      <c r="B584">
        <f t="shared" si="24"/>
        <v>47</v>
      </c>
      <c r="C584">
        <v>1</v>
      </c>
      <c r="D584">
        <v>1</v>
      </c>
      <c r="E584">
        <v>1</v>
      </c>
      <c r="F584">
        <v>1</v>
      </c>
      <c r="G584">
        <v>1</v>
      </c>
      <c r="J584">
        <f t="shared" si="25"/>
        <v>47</v>
      </c>
      <c r="K584">
        <v>1</v>
      </c>
      <c r="L584">
        <v>1</v>
      </c>
      <c r="M584">
        <v>1</v>
      </c>
      <c r="N584">
        <v>1</v>
      </c>
      <c r="O584">
        <v>1</v>
      </c>
      <c r="R584">
        <f t="shared" si="26"/>
        <v>47</v>
      </c>
      <c r="S584">
        <v>1</v>
      </c>
      <c r="T584">
        <v>1</v>
      </c>
      <c r="U584">
        <v>1</v>
      </c>
      <c r="V584">
        <v>1</v>
      </c>
      <c r="W584">
        <v>1</v>
      </c>
      <c r="AA584">
        <v>-10016.4967</v>
      </c>
      <c r="AB584">
        <v>-10016.4967</v>
      </c>
      <c r="AC584">
        <v>-10016.4967</v>
      </c>
      <c r="AD584">
        <v>-10016.4967</v>
      </c>
      <c r="AE584">
        <v>-10016.4967</v>
      </c>
      <c r="AF584">
        <v>-910915.81969999999</v>
      </c>
    </row>
    <row r="585" spans="2:32" x14ac:dyDescent="0.25">
      <c r="B585">
        <f t="shared" si="24"/>
        <v>48</v>
      </c>
      <c r="C585">
        <v>1</v>
      </c>
      <c r="D585">
        <v>1</v>
      </c>
      <c r="E585">
        <v>1</v>
      </c>
      <c r="F585">
        <v>1</v>
      </c>
      <c r="G585">
        <v>1</v>
      </c>
      <c r="J585">
        <f t="shared" si="25"/>
        <v>48</v>
      </c>
      <c r="K585">
        <v>1</v>
      </c>
      <c r="L585">
        <v>1</v>
      </c>
      <c r="M585">
        <v>1</v>
      </c>
      <c r="N585">
        <v>1</v>
      </c>
      <c r="O585">
        <v>1</v>
      </c>
      <c r="R585">
        <f t="shared" si="26"/>
        <v>48</v>
      </c>
      <c r="S585">
        <v>1</v>
      </c>
      <c r="T585">
        <v>1</v>
      </c>
      <c r="U585">
        <v>1</v>
      </c>
      <c r="V585">
        <v>1</v>
      </c>
      <c r="W585">
        <v>1</v>
      </c>
      <c r="AA585">
        <v>-9892.6355000000003</v>
      </c>
      <c r="AB585">
        <v>-9892.6355000000003</v>
      </c>
      <c r="AC585">
        <v>-9892.6355000000003</v>
      </c>
      <c r="AD585">
        <v>-9892.6355000000003</v>
      </c>
      <c r="AE585">
        <v>-9892.6355000000003</v>
      </c>
      <c r="AF585">
        <v>-917891.87360000005</v>
      </c>
    </row>
    <row r="586" spans="2:32" x14ac:dyDescent="0.25">
      <c r="B586">
        <f t="shared" si="24"/>
        <v>49</v>
      </c>
      <c r="C586">
        <v>1</v>
      </c>
      <c r="D586">
        <v>1</v>
      </c>
      <c r="E586">
        <v>1</v>
      </c>
      <c r="F586">
        <v>1</v>
      </c>
      <c r="G586">
        <v>1</v>
      </c>
      <c r="J586">
        <f t="shared" si="25"/>
        <v>49</v>
      </c>
      <c r="K586">
        <v>1</v>
      </c>
      <c r="L586">
        <v>1</v>
      </c>
      <c r="M586">
        <v>1</v>
      </c>
      <c r="N586">
        <v>1</v>
      </c>
      <c r="O586">
        <v>1</v>
      </c>
      <c r="R586">
        <f t="shared" si="26"/>
        <v>49</v>
      </c>
      <c r="S586">
        <v>1</v>
      </c>
      <c r="T586">
        <v>1</v>
      </c>
      <c r="U586">
        <v>1</v>
      </c>
      <c r="V586">
        <v>1</v>
      </c>
      <c r="W586">
        <v>1</v>
      </c>
      <c r="AA586">
        <v>-9766.3366999999998</v>
      </c>
      <c r="AB586">
        <v>-9766.3366999999998</v>
      </c>
      <c r="AC586">
        <v>-9766.3366999999998</v>
      </c>
      <c r="AD586">
        <v>-9766.3366999999998</v>
      </c>
      <c r="AE586">
        <v>-9766.3366999999998</v>
      </c>
      <c r="AF586">
        <v>-944521.72470000002</v>
      </c>
    </row>
    <row r="587" spans="2:32" x14ac:dyDescent="0.25">
      <c r="B587">
        <f t="shared" si="24"/>
        <v>50</v>
      </c>
      <c r="C587">
        <v>1</v>
      </c>
      <c r="D587">
        <v>1</v>
      </c>
      <c r="E587">
        <v>1</v>
      </c>
      <c r="F587">
        <v>1</v>
      </c>
      <c r="G587">
        <v>1</v>
      </c>
      <c r="J587">
        <f t="shared" si="25"/>
        <v>50</v>
      </c>
      <c r="K587">
        <v>1</v>
      </c>
      <c r="L587">
        <v>1</v>
      </c>
      <c r="M587">
        <v>1</v>
      </c>
      <c r="N587">
        <v>1</v>
      </c>
      <c r="O587">
        <v>1</v>
      </c>
      <c r="R587">
        <f t="shared" si="26"/>
        <v>50</v>
      </c>
      <c r="S587">
        <v>1</v>
      </c>
      <c r="T587">
        <v>1</v>
      </c>
      <c r="U587">
        <v>1</v>
      </c>
      <c r="V587">
        <v>1</v>
      </c>
      <c r="W587">
        <v>1</v>
      </c>
      <c r="AA587">
        <v>-9637.5864000000001</v>
      </c>
      <c r="AB587">
        <v>-9637.5864000000001</v>
      </c>
      <c r="AC587">
        <v>-9637.5864000000001</v>
      </c>
      <c r="AD587">
        <v>-9637.5864000000001</v>
      </c>
      <c r="AE587">
        <v>-9637.5864000000001</v>
      </c>
      <c r="AF587">
        <v>-963257.14989999996</v>
      </c>
    </row>
    <row r="588" spans="2:32" x14ac:dyDescent="0.25">
      <c r="B588">
        <f t="shared" si="24"/>
        <v>51</v>
      </c>
      <c r="C588">
        <v>1</v>
      </c>
      <c r="D588">
        <v>1</v>
      </c>
      <c r="E588">
        <v>1</v>
      </c>
      <c r="F588">
        <v>1</v>
      </c>
      <c r="G588">
        <v>1</v>
      </c>
      <c r="J588">
        <f t="shared" si="25"/>
        <v>51</v>
      </c>
      <c r="K588">
        <v>1</v>
      </c>
      <c r="L588">
        <v>1</v>
      </c>
      <c r="M588">
        <v>1</v>
      </c>
      <c r="N588">
        <v>1</v>
      </c>
      <c r="O588">
        <v>1</v>
      </c>
      <c r="R588">
        <f t="shared" si="26"/>
        <v>51</v>
      </c>
      <c r="S588">
        <v>1</v>
      </c>
      <c r="T588">
        <v>1</v>
      </c>
      <c r="U588">
        <v>1</v>
      </c>
      <c r="V588">
        <v>1</v>
      </c>
      <c r="W588">
        <v>1</v>
      </c>
      <c r="AA588">
        <v>-9506.3734000000004</v>
      </c>
      <c r="AB588">
        <v>-9506.3734000000004</v>
      </c>
      <c r="AC588">
        <v>-9506.3734000000004</v>
      </c>
      <c r="AD588">
        <v>-9506.3734000000004</v>
      </c>
      <c r="AE588">
        <v>-9506.3734000000004</v>
      </c>
      <c r="AF588">
        <v>-981592.90729999996</v>
      </c>
    </row>
    <row r="589" spans="2:32" x14ac:dyDescent="0.25">
      <c r="B589">
        <f t="shared" si="24"/>
        <v>52</v>
      </c>
      <c r="C589">
        <v>1</v>
      </c>
      <c r="D589">
        <v>1</v>
      </c>
      <c r="E589">
        <v>1</v>
      </c>
      <c r="F589">
        <v>1</v>
      </c>
      <c r="G589">
        <v>1</v>
      </c>
      <c r="J589">
        <f t="shared" si="25"/>
        <v>52</v>
      </c>
      <c r="K589">
        <v>1</v>
      </c>
      <c r="L589">
        <v>1</v>
      </c>
      <c r="M589">
        <v>1</v>
      </c>
      <c r="N589">
        <v>1</v>
      </c>
      <c r="O589">
        <v>1</v>
      </c>
      <c r="R589">
        <f t="shared" si="26"/>
        <v>52</v>
      </c>
      <c r="S589">
        <v>1</v>
      </c>
      <c r="T589">
        <v>1</v>
      </c>
      <c r="U589">
        <v>1</v>
      </c>
      <c r="V589">
        <v>1</v>
      </c>
      <c r="W589">
        <v>1</v>
      </c>
      <c r="AA589">
        <v>-9372.7019</v>
      </c>
      <c r="AB589">
        <v>-9372.7019</v>
      </c>
      <c r="AC589">
        <v>-9372.7019</v>
      </c>
      <c r="AD589">
        <v>-9372.7019</v>
      </c>
      <c r="AE589">
        <v>-9372.7019</v>
      </c>
      <c r="AF589">
        <v>-998556.10360000003</v>
      </c>
    </row>
    <row r="590" spans="2:32" x14ac:dyDescent="0.25">
      <c r="B590">
        <f t="shared" si="24"/>
        <v>53</v>
      </c>
      <c r="C590">
        <v>1</v>
      </c>
      <c r="D590">
        <v>1</v>
      </c>
      <c r="E590">
        <v>1</v>
      </c>
      <c r="F590">
        <v>1</v>
      </c>
      <c r="G590">
        <v>1</v>
      </c>
      <c r="J590">
        <f t="shared" si="25"/>
        <v>53</v>
      </c>
      <c r="K590">
        <v>1</v>
      </c>
      <c r="L590">
        <v>1</v>
      </c>
      <c r="M590">
        <v>1</v>
      </c>
      <c r="N590">
        <v>1</v>
      </c>
      <c r="O590">
        <v>1</v>
      </c>
      <c r="R590">
        <f t="shared" si="26"/>
        <v>53</v>
      </c>
      <c r="S590">
        <v>1</v>
      </c>
      <c r="T590">
        <v>1</v>
      </c>
      <c r="U590">
        <v>1</v>
      </c>
      <c r="V590">
        <v>1</v>
      </c>
      <c r="W590">
        <v>1</v>
      </c>
      <c r="AA590">
        <v>-9236.6705000000002</v>
      </c>
      <c r="AB590">
        <v>-9236.6705000000002</v>
      </c>
      <c r="AC590">
        <v>-9236.6705000000002</v>
      </c>
      <c r="AD590">
        <v>-9236.6705000000002</v>
      </c>
      <c r="AE590">
        <v>-9236.6705000000002</v>
      </c>
      <c r="AF590">
        <v>-1015461.3278</v>
      </c>
    </row>
    <row r="591" spans="2:32" x14ac:dyDescent="0.25">
      <c r="B591">
        <f t="shared" si="24"/>
        <v>54</v>
      </c>
      <c r="C591">
        <v>1</v>
      </c>
      <c r="D591">
        <v>1</v>
      </c>
      <c r="E591">
        <v>1</v>
      </c>
      <c r="F591">
        <v>1</v>
      </c>
      <c r="G591">
        <v>1</v>
      </c>
      <c r="J591">
        <f t="shared" si="25"/>
        <v>54</v>
      </c>
      <c r="K591">
        <v>1</v>
      </c>
      <c r="L591">
        <v>1</v>
      </c>
      <c r="M591">
        <v>1</v>
      </c>
      <c r="N591">
        <v>1</v>
      </c>
      <c r="O591">
        <v>1</v>
      </c>
      <c r="R591">
        <f t="shared" si="26"/>
        <v>54</v>
      </c>
      <c r="S591">
        <v>1</v>
      </c>
      <c r="T591">
        <v>1</v>
      </c>
      <c r="U591">
        <v>1</v>
      </c>
      <c r="V591">
        <v>1</v>
      </c>
      <c r="W591">
        <v>1</v>
      </c>
      <c r="AA591">
        <v>-9098.4312000000009</v>
      </c>
      <c r="AB591">
        <v>-9098.4312000000009</v>
      </c>
      <c r="AC591">
        <v>-9098.4312000000009</v>
      </c>
      <c r="AD591">
        <v>-9098.4312000000009</v>
      </c>
      <c r="AE591">
        <v>-9098.4312000000009</v>
      </c>
      <c r="AF591">
        <v>-1033869.6813000001</v>
      </c>
    </row>
    <row r="592" spans="2:32" x14ac:dyDescent="0.25">
      <c r="B592">
        <f t="shared" si="24"/>
        <v>55</v>
      </c>
      <c r="C592">
        <v>1</v>
      </c>
      <c r="D592">
        <v>1</v>
      </c>
      <c r="E592">
        <v>1</v>
      </c>
      <c r="F592">
        <v>1</v>
      </c>
      <c r="G592">
        <v>1</v>
      </c>
      <c r="J592">
        <f t="shared" si="25"/>
        <v>55</v>
      </c>
      <c r="K592">
        <v>1</v>
      </c>
      <c r="L592">
        <v>1</v>
      </c>
      <c r="M592">
        <v>1</v>
      </c>
      <c r="N592">
        <v>1</v>
      </c>
      <c r="O592">
        <v>1</v>
      </c>
      <c r="R592">
        <f t="shared" si="26"/>
        <v>55</v>
      </c>
      <c r="S592">
        <v>1</v>
      </c>
      <c r="T592">
        <v>1</v>
      </c>
      <c r="U592">
        <v>1</v>
      </c>
      <c r="V592">
        <v>1</v>
      </c>
      <c r="W592">
        <v>1</v>
      </c>
      <c r="AA592">
        <v>-8958.0210999999999</v>
      </c>
      <c r="AB592">
        <v>-8958.0210999999999</v>
      </c>
      <c r="AC592">
        <v>-8958.0210999999999</v>
      </c>
      <c r="AD592">
        <v>-8958.0210999999999</v>
      </c>
      <c r="AE592">
        <v>-8958.0210999999999</v>
      </c>
      <c r="AF592">
        <v>-1050810.2549999999</v>
      </c>
    </row>
    <row r="593" spans="2:32" x14ac:dyDescent="0.25">
      <c r="B593">
        <f t="shared" si="24"/>
        <v>56</v>
      </c>
      <c r="C593">
        <v>1</v>
      </c>
      <c r="D593">
        <v>1</v>
      </c>
      <c r="E593">
        <v>1</v>
      </c>
      <c r="F593">
        <v>1</v>
      </c>
      <c r="G593">
        <v>1</v>
      </c>
      <c r="J593">
        <f t="shared" si="25"/>
        <v>56</v>
      </c>
      <c r="K593">
        <v>1</v>
      </c>
      <c r="L593">
        <v>1</v>
      </c>
      <c r="M593">
        <v>1</v>
      </c>
      <c r="N593">
        <v>1</v>
      </c>
      <c r="O593">
        <v>1</v>
      </c>
      <c r="R593">
        <f t="shared" si="26"/>
        <v>56</v>
      </c>
      <c r="S593">
        <v>1</v>
      </c>
      <c r="T593">
        <v>1</v>
      </c>
      <c r="U593">
        <v>1</v>
      </c>
      <c r="V593">
        <v>1</v>
      </c>
      <c r="W593">
        <v>1</v>
      </c>
      <c r="AA593">
        <v>-8815.6316999999999</v>
      </c>
      <c r="AB593">
        <v>-8815.6316999999999</v>
      </c>
      <c r="AC593">
        <v>-8815.6316999999999</v>
      </c>
      <c r="AD593">
        <v>-8815.6316999999999</v>
      </c>
      <c r="AE593">
        <v>-8815.6316999999999</v>
      </c>
      <c r="AF593">
        <v>-1073295.8774000001</v>
      </c>
    </row>
    <row r="594" spans="2:32" x14ac:dyDescent="0.25">
      <c r="B594">
        <f t="shared" si="24"/>
        <v>57</v>
      </c>
      <c r="C594">
        <v>1</v>
      </c>
      <c r="D594">
        <v>1</v>
      </c>
      <c r="E594">
        <v>1</v>
      </c>
      <c r="F594">
        <v>1</v>
      </c>
      <c r="G594">
        <v>1</v>
      </c>
      <c r="J594">
        <f t="shared" si="25"/>
        <v>57</v>
      </c>
      <c r="K594">
        <v>1</v>
      </c>
      <c r="L594">
        <v>1</v>
      </c>
      <c r="M594">
        <v>1</v>
      </c>
      <c r="N594">
        <v>1</v>
      </c>
      <c r="O594">
        <v>1</v>
      </c>
      <c r="R594">
        <f t="shared" si="26"/>
        <v>57</v>
      </c>
      <c r="S594">
        <v>1</v>
      </c>
      <c r="T594">
        <v>1</v>
      </c>
      <c r="U594">
        <v>1</v>
      </c>
      <c r="V594">
        <v>1</v>
      </c>
      <c r="W594">
        <v>1</v>
      </c>
      <c r="AA594">
        <v>-8671.3991999999998</v>
      </c>
      <c r="AB594">
        <v>-8671.3991999999998</v>
      </c>
      <c r="AC594">
        <v>-8671.3991999999998</v>
      </c>
      <c r="AD594">
        <v>-8671.3991999999998</v>
      </c>
      <c r="AE594">
        <v>-8671.3991999999998</v>
      </c>
      <c r="AF594">
        <v>-1093242.6832999999</v>
      </c>
    </row>
    <row r="595" spans="2:32" x14ac:dyDescent="0.25">
      <c r="B595">
        <f t="shared" si="24"/>
        <v>58</v>
      </c>
      <c r="C595">
        <v>1</v>
      </c>
      <c r="D595">
        <v>1</v>
      </c>
      <c r="E595">
        <v>1</v>
      </c>
      <c r="F595">
        <v>1</v>
      </c>
      <c r="G595">
        <v>1</v>
      </c>
      <c r="J595">
        <f t="shared" si="25"/>
        <v>58</v>
      </c>
      <c r="K595">
        <v>1</v>
      </c>
      <c r="L595">
        <v>1</v>
      </c>
      <c r="M595">
        <v>1</v>
      </c>
      <c r="N595">
        <v>1</v>
      </c>
      <c r="O595">
        <v>1</v>
      </c>
      <c r="R595">
        <f t="shared" si="26"/>
        <v>58</v>
      </c>
      <c r="S595">
        <v>1</v>
      </c>
      <c r="T595">
        <v>1</v>
      </c>
      <c r="U595">
        <v>1</v>
      </c>
      <c r="V595">
        <v>1</v>
      </c>
      <c r="W595">
        <v>1</v>
      </c>
      <c r="AA595">
        <v>-8525.2759999999998</v>
      </c>
      <c r="AB595">
        <v>-8525.2759999999998</v>
      </c>
      <c r="AC595">
        <v>-8525.2759999999998</v>
      </c>
      <c r="AD595">
        <v>-8525.2759999999998</v>
      </c>
      <c r="AE595">
        <v>-8525.2759999999998</v>
      </c>
      <c r="AF595">
        <v>-1114366.6444000001</v>
      </c>
    </row>
    <row r="596" spans="2:32" x14ac:dyDescent="0.25">
      <c r="B596">
        <f t="shared" si="24"/>
        <v>59</v>
      </c>
      <c r="C596">
        <v>1</v>
      </c>
      <c r="D596">
        <v>1</v>
      </c>
      <c r="E596">
        <v>1</v>
      </c>
      <c r="F596">
        <v>1</v>
      </c>
      <c r="G596">
        <v>1</v>
      </c>
      <c r="J596">
        <f t="shared" si="25"/>
        <v>59</v>
      </c>
      <c r="K596">
        <v>1</v>
      </c>
      <c r="L596">
        <v>1</v>
      </c>
      <c r="M596">
        <v>1</v>
      </c>
      <c r="N596">
        <v>1</v>
      </c>
      <c r="O596">
        <v>1</v>
      </c>
      <c r="R596">
        <f t="shared" si="26"/>
        <v>59</v>
      </c>
      <c r="S596">
        <v>1</v>
      </c>
      <c r="T596">
        <v>1</v>
      </c>
      <c r="U596">
        <v>1</v>
      </c>
      <c r="V596">
        <v>1</v>
      </c>
      <c r="W596">
        <v>1</v>
      </c>
      <c r="AA596">
        <v>-8377.2351999999992</v>
      </c>
      <c r="AB596">
        <v>-8377.2351999999992</v>
      </c>
      <c r="AC596">
        <v>-8377.2351999999992</v>
      </c>
      <c r="AD596">
        <v>-8377.2351999999992</v>
      </c>
      <c r="AE596">
        <v>-8377.2351999999992</v>
      </c>
      <c r="AF596">
        <v>-1136284.0146999999</v>
      </c>
    </row>
    <row r="597" spans="2:32" x14ac:dyDescent="0.25">
      <c r="B597">
        <f t="shared" si="24"/>
        <v>60</v>
      </c>
      <c r="C597">
        <v>1</v>
      </c>
      <c r="D597">
        <v>1</v>
      </c>
      <c r="E597">
        <v>1</v>
      </c>
      <c r="F597">
        <v>1</v>
      </c>
      <c r="G597">
        <v>1</v>
      </c>
      <c r="J597">
        <f t="shared" si="25"/>
        <v>60</v>
      </c>
      <c r="K597">
        <v>1</v>
      </c>
      <c r="L597">
        <v>1</v>
      </c>
      <c r="M597">
        <v>1</v>
      </c>
      <c r="N597">
        <v>1</v>
      </c>
      <c r="O597">
        <v>1</v>
      </c>
      <c r="R597">
        <f t="shared" si="26"/>
        <v>60</v>
      </c>
      <c r="S597">
        <v>1</v>
      </c>
      <c r="T597">
        <v>1</v>
      </c>
      <c r="U597">
        <v>1</v>
      </c>
      <c r="V597">
        <v>1</v>
      </c>
      <c r="W597">
        <v>1</v>
      </c>
      <c r="AA597">
        <v>-8227.3953999999994</v>
      </c>
      <c r="AB597">
        <v>-8227.3953999999994</v>
      </c>
      <c r="AC597">
        <v>-8227.3953999999994</v>
      </c>
      <c r="AD597">
        <v>-8227.3953999999994</v>
      </c>
      <c r="AE597">
        <v>-8227.3953999999994</v>
      </c>
      <c r="AF597">
        <v>-1157801.6717999999</v>
      </c>
    </row>
    <row r="598" spans="2:32" x14ac:dyDescent="0.25">
      <c r="B598">
        <f t="shared" si="24"/>
        <v>61</v>
      </c>
      <c r="C598">
        <v>1</v>
      </c>
      <c r="D598">
        <v>1</v>
      </c>
      <c r="E598">
        <v>1</v>
      </c>
      <c r="F598">
        <v>1</v>
      </c>
      <c r="G598">
        <v>1</v>
      </c>
      <c r="J598">
        <f t="shared" si="25"/>
        <v>61</v>
      </c>
      <c r="K598">
        <v>1</v>
      </c>
      <c r="L598">
        <v>1</v>
      </c>
      <c r="M598">
        <v>1</v>
      </c>
      <c r="N598">
        <v>1</v>
      </c>
      <c r="O598">
        <v>1</v>
      </c>
      <c r="R598">
        <f t="shared" si="26"/>
        <v>61</v>
      </c>
      <c r="S598">
        <v>1</v>
      </c>
      <c r="T598">
        <v>1</v>
      </c>
      <c r="U598">
        <v>1</v>
      </c>
      <c r="V598">
        <v>1</v>
      </c>
      <c r="W598">
        <v>1</v>
      </c>
      <c r="AA598">
        <v>-8076.1778999999997</v>
      </c>
      <c r="AB598">
        <v>-8076.1778999999997</v>
      </c>
      <c r="AC598">
        <v>-8076.1778999999997</v>
      </c>
      <c r="AD598">
        <v>-8076.1778999999997</v>
      </c>
      <c r="AE598">
        <v>-8076.1778999999997</v>
      </c>
      <c r="AF598">
        <v>-1178581.4038</v>
      </c>
    </row>
    <row r="599" spans="2:32" x14ac:dyDescent="0.25">
      <c r="B599">
        <f t="shared" si="24"/>
        <v>62</v>
      </c>
      <c r="C599">
        <v>1</v>
      </c>
      <c r="D599">
        <v>1</v>
      </c>
      <c r="E599">
        <v>1</v>
      </c>
      <c r="F599">
        <v>1</v>
      </c>
      <c r="G599">
        <v>1</v>
      </c>
      <c r="J599">
        <f t="shared" si="25"/>
        <v>62</v>
      </c>
      <c r="K599">
        <v>1</v>
      </c>
      <c r="L599">
        <v>1</v>
      </c>
      <c r="M599">
        <v>1</v>
      </c>
      <c r="N599">
        <v>1</v>
      </c>
      <c r="O599">
        <v>1</v>
      </c>
      <c r="R599">
        <f t="shared" si="26"/>
        <v>62</v>
      </c>
      <c r="S599">
        <v>1</v>
      </c>
      <c r="T599">
        <v>1</v>
      </c>
      <c r="U599">
        <v>1</v>
      </c>
      <c r="V599">
        <v>1</v>
      </c>
      <c r="W599">
        <v>1</v>
      </c>
      <c r="AA599">
        <v>-7923.5816000000004</v>
      </c>
      <c r="AB599">
        <v>-7923.5816000000004</v>
      </c>
      <c r="AC599">
        <v>-7923.5816000000004</v>
      </c>
      <c r="AD599">
        <v>-7923.5816000000004</v>
      </c>
      <c r="AE599">
        <v>-7923.5816000000004</v>
      </c>
      <c r="AF599">
        <v>-1199521.5327000001</v>
      </c>
    </row>
    <row r="600" spans="2:32" x14ac:dyDescent="0.25">
      <c r="B600">
        <f t="shared" si="24"/>
        <v>63</v>
      </c>
      <c r="C600">
        <v>1</v>
      </c>
      <c r="D600">
        <v>1</v>
      </c>
      <c r="E600">
        <v>1</v>
      </c>
      <c r="F600">
        <v>1</v>
      </c>
      <c r="G600">
        <v>1</v>
      </c>
      <c r="J600">
        <f t="shared" si="25"/>
        <v>63</v>
      </c>
      <c r="K600">
        <v>1</v>
      </c>
      <c r="L600">
        <v>1</v>
      </c>
      <c r="M600">
        <v>1</v>
      </c>
      <c r="N600">
        <v>1</v>
      </c>
      <c r="O600">
        <v>1</v>
      </c>
      <c r="R600">
        <f t="shared" si="26"/>
        <v>63</v>
      </c>
      <c r="S600">
        <v>1</v>
      </c>
      <c r="T600">
        <v>1</v>
      </c>
      <c r="U600">
        <v>1</v>
      </c>
      <c r="V600">
        <v>1</v>
      </c>
      <c r="W600">
        <v>1</v>
      </c>
      <c r="AA600">
        <v>-7769.2775000000001</v>
      </c>
      <c r="AB600">
        <v>-7769.2775000000001</v>
      </c>
      <c r="AC600">
        <v>-7769.2775000000001</v>
      </c>
      <c r="AD600">
        <v>-7769.2775000000001</v>
      </c>
      <c r="AE600">
        <v>-7769.2775000000001</v>
      </c>
      <c r="AF600">
        <v>-1220461.6269</v>
      </c>
    </row>
    <row r="601" spans="2:32" x14ac:dyDescent="0.25">
      <c r="B601">
        <f t="shared" si="24"/>
        <v>64</v>
      </c>
      <c r="C601">
        <v>1</v>
      </c>
      <c r="D601">
        <v>1</v>
      </c>
      <c r="E601">
        <v>1</v>
      </c>
      <c r="F601">
        <v>1</v>
      </c>
      <c r="G601">
        <v>1</v>
      </c>
      <c r="J601">
        <f t="shared" si="25"/>
        <v>64</v>
      </c>
      <c r="K601">
        <v>1</v>
      </c>
      <c r="L601">
        <v>1</v>
      </c>
      <c r="M601">
        <v>1</v>
      </c>
      <c r="N601">
        <v>1</v>
      </c>
      <c r="O601">
        <v>1</v>
      </c>
      <c r="R601">
        <f t="shared" si="26"/>
        <v>64</v>
      </c>
      <c r="S601">
        <v>1</v>
      </c>
      <c r="T601">
        <v>1</v>
      </c>
      <c r="U601">
        <v>1</v>
      </c>
      <c r="V601">
        <v>1</v>
      </c>
      <c r="W601">
        <v>1</v>
      </c>
      <c r="AA601">
        <v>-7613.3999000000003</v>
      </c>
      <c r="AB601">
        <v>-7613.3999000000003</v>
      </c>
      <c r="AC601">
        <v>-7613.3999000000003</v>
      </c>
      <c r="AD601">
        <v>-7613.3999000000003</v>
      </c>
      <c r="AE601">
        <v>-7613.3999000000003</v>
      </c>
      <c r="AF601">
        <v>-1240652.2526</v>
      </c>
    </row>
    <row r="602" spans="2:32" x14ac:dyDescent="0.25">
      <c r="B602">
        <f t="shared" si="24"/>
        <v>65</v>
      </c>
      <c r="C602">
        <v>1</v>
      </c>
      <c r="D602">
        <v>1</v>
      </c>
      <c r="E602">
        <v>1</v>
      </c>
      <c r="F602">
        <v>1</v>
      </c>
      <c r="G602">
        <v>1</v>
      </c>
      <c r="J602">
        <f t="shared" si="25"/>
        <v>65</v>
      </c>
      <c r="K602">
        <v>1</v>
      </c>
      <c r="L602">
        <v>1</v>
      </c>
      <c r="M602">
        <v>1</v>
      </c>
      <c r="N602">
        <v>1</v>
      </c>
      <c r="O602">
        <v>1</v>
      </c>
      <c r="R602">
        <f t="shared" si="26"/>
        <v>65</v>
      </c>
      <c r="S602">
        <v>1</v>
      </c>
      <c r="T602">
        <v>1</v>
      </c>
      <c r="U602">
        <v>1</v>
      </c>
      <c r="V602">
        <v>1</v>
      </c>
      <c r="W602">
        <v>1</v>
      </c>
      <c r="AA602">
        <v>-7455.8590000000004</v>
      </c>
      <c r="AB602">
        <v>-7455.8590000000004</v>
      </c>
      <c r="AC602">
        <v>-7455.8590000000004</v>
      </c>
      <c r="AD602">
        <v>-7455.8590000000004</v>
      </c>
      <c r="AE602">
        <v>-7455.8590000000004</v>
      </c>
      <c r="AF602">
        <v>-1260049.8302</v>
      </c>
    </row>
    <row r="605" spans="2:32" x14ac:dyDescent="0.25">
      <c r="B605" t="s">
        <v>46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47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48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2:32" x14ac:dyDescent="0.25">
      <c r="B606">
        <v>26</v>
      </c>
      <c r="C606">
        <v>1</v>
      </c>
      <c r="D606">
        <v>1</v>
      </c>
      <c r="E606">
        <v>1</v>
      </c>
      <c r="F606">
        <v>1</v>
      </c>
      <c r="G606">
        <v>1</v>
      </c>
      <c r="H606">
        <v>1</v>
      </c>
      <c r="J606">
        <v>26</v>
      </c>
      <c r="K606">
        <v>1</v>
      </c>
      <c r="L606">
        <v>1</v>
      </c>
      <c r="M606">
        <v>1</v>
      </c>
      <c r="N606">
        <v>1</v>
      </c>
      <c r="O606">
        <v>1</v>
      </c>
      <c r="P606">
        <v>1</v>
      </c>
      <c r="R606">
        <v>26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AA606">
        <v>-7435.5060999999996</v>
      </c>
      <c r="AB606">
        <v>-7435.5060999999996</v>
      </c>
      <c r="AC606">
        <v>-7435.5060999999996</v>
      </c>
      <c r="AD606">
        <v>-7435.5060999999996</v>
      </c>
      <c r="AE606">
        <v>-7435.5060999999996</v>
      </c>
      <c r="AF606">
        <v>-7435.5060999999996</v>
      </c>
    </row>
    <row r="607" spans="2:32" x14ac:dyDescent="0.25">
      <c r="B607">
        <v>27</v>
      </c>
      <c r="C607">
        <v>1</v>
      </c>
      <c r="D607">
        <v>1</v>
      </c>
      <c r="E607">
        <v>1</v>
      </c>
      <c r="F607">
        <v>1</v>
      </c>
      <c r="G607">
        <v>1</v>
      </c>
      <c r="H607">
        <v>1</v>
      </c>
      <c r="J607">
        <v>27</v>
      </c>
      <c r="K607">
        <v>1</v>
      </c>
      <c r="L607">
        <v>1</v>
      </c>
      <c r="M607">
        <v>1</v>
      </c>
      <c r="N607">
        <v>1</v>
      </c>
      <c r="O607">
        <v>1</v>
      </c>
      <c r="P607">
        <v>1</v>
      </c>
      <c r="R607">
        <v>27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AA607">
        <v>-7434.2619000000004</v>
      </c>
      <c r="AB607">
        <v>-7434.2619000000004</v>
      </c>
      <c r="AC607">
        <v>-7434.2619000000004</v>
      </c>
      <c r="AD607">
        <v>-7434.2619000000004</v>
      </c>
      <c r="AE607">
        <v>-7434.2619000000004</v>
      </c>
      <c r="AF607">
        <v>-7434.2619000000004</v>
      </c>
    </row>
    <row r="608" spans="2:32" x14ac:dyDescent="0.25">
      <c r="B608">
        <v>28</v>
      </c>
      <c r="C608">
        <v>1</v>
      </c>
      <c r="D608">
        <v>1</v>
      </c>
      <c r="E608">
        <v>1</v>
      </c>
      <c r="F608">
        <v>1</v>
      </c>
      <c r="G608">
        <v>1</v>
      </c>
      <c r="H608">
        <v>1</v>
      </c>
      <c r="J608">
        <v>28</v>
      </c>
      <c r="K608">
        <v>1</v>
      </c>
      <c r="L608">
        <v>1</v>
      </c>
      <c r="M608">
        <v>1</v>
      </c>
      <c r="N608">
        <v>1</v>
      </c>
      <c r="O608">
        <v>1</v>
      </c>
      <c r="P608">
        <v>1</v>
      </c>
      <c r="R608">
        <v>28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AA608">
        <v>-7432.8334999999997</v>
      </c>
      <c r="AB608">
        <v>-7432.8334999999997</v>
      </c>
      <c r="AC608">
        <v>-7432.8334999999997</v>
      </c>
      <c r="AD608">
        <v>-7432.8334999999997</v>
      </c>
      <c r="AE608">
        <v>-7432.8334999999997</v>
      </c>
      <c r="AF608">
        <v>-7432.8334999999997</v>
      </c>
    </row>
    <row r="609" spans="2:32" x14ac:dyDescent="0.25">
      <c r="B609">
        <v>29</v>
      </c>
      <c r="C609">
        <v>1</v>
      </c>
      <c r="D609">
        <v>1</v>
      </c>
      <c r="E609">
        <v>1</v>
      </c>
      <c r="F609">
        <v>1</v>
      </c>
      <c r="G609">
        <v>1</v>
      </c>
      <c r="H609">
        <v>1</v>
      </c>
      <c r="J609">
        <v>29</v>
      </c>
      <c r="K609">
        <v>1</v>
      </c>
      <c r="L609">
        <v>1</v>
      </c>
      <c r="M609">
        <v>1</v>
      </c>
      <c r="N609">
        <v>1</v>
      </c>
      <c r="O609">
        <v>1</v>
      </c>
      <c r="P609">
        <v>1</v>
      </c>
      <c r="R609">
        <v>29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AA609">
        <v>-7431.2058999999999</v>
      </c>
      <c r="AB609">
        <v>-7431.2058999999999</v>
      </c>
      <c r="AC609">
        <v>-7431.2058999999999</v>
      </c>
      <c r="AD609">
        <v>-7431.2058999999999</v>
      </c>
      <c r="AE609">
        <v>-7431.2058999999999</v>
      </c>
      <c r="AF609">
        <v>-7431.2058999999999</v>
      </c>
    </row>
    <row r="610" spans="2:32" x14ac:dyDescent="0.25">
      <c r="B610">
        <v>30</v>
      </c>
      <c r="C610">
        <v>1</v>
      </c>
      <c r="D610">
        <v>1</v>
      </c>
      <c r="E610">
        <v>1</v>
      </c>
      <c r="F610">
        <v>1</v>
      </c>
      <c r="G610">
        <v>1</v>
      </c>
      <c r="H610">
        <v>1</v>
      </c>
      <c r="J610">
        <v>30</v>
      </c>
      <c r="K610">
        <v>1</v>
      </c>
      <c r="L610">
        <v>1</v>
      </c>
      <c r="M610">
        <v>1</v>
      </c>
      <c r="N610">
        <v>1</v>
      </c>
      <c r="O610">
        <v>1</v>
      </c>
      <c r="P610">
        <v>1</v>
      </c>
      <c r="R610">
        <v>30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AA610">
        <v>-7429.3476000000001</v>
      </c>
      <c r="AB610">
        <v>-7429.3476000000001</v>
      </c>
      <c r="AC610">
        <v>-7429.3476000000001</v>
      </c>
      <c r="AD610">
        <v>-7429.3476000000001</v>
      </c>
      <c r="AE610">
        <v>-7429.3476000000001</v>
      </c>
      <c r="AF610">
        <v>-7429.3476000000001</v>
      </c>
    </row>
    <row r="611" spans="2:32" x14ac:dyDescent="0.25">
      <c r="B611">
        <v>31</v>
      </c>
      <c r="C611">
        <v>1</v>
      </c>
      <c r="D611">
        <v>1</v>
      </c>
      <c r="E611">
        <v>1</v>
      </c>
      <c r="F611">
        <v>1</v>
      </c>
      <c r="G611">
        <v>1</v>
      </c>
      <c r="H611">
        <v>1</v>
      </c>
      <c r="J611">
        <v>31</v>
      </c>
      <c r="K611">
        <v>1</v>
      </c>
      <c r="L611">
        <v>1</v>
      </c>
      <c r="M611">
        <v>1</v>
      </c>
      <c r="N611">
        <v>1</v>
      </c>
      <c r="O611">
        <v>1</v>
      </c>
      <c r="P611">
        <v>1</v>
      </c>
      <c r="R611">
        <v>31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AA611">
        <v>-7427.2446</v>
      </c>
      <c r="AB611">
        <v>-7427.2446</v>
      </c>
      <c r="AC611">
        <v>-7427.2446</v>
      </c>
      <c r="AD611">
        <v>-7427.2446</v>
      </c>
      <c r="AE611">
        <v>-7427.2446</v>
      </c>
      <c r="AF611">
        <v>-7427.2446</v>
      </c>
    </row>
    <row r="612" spans="2:32" x14ac:dyDescent="0.25">
      <c r="B612">
        <v>32</v>
      </c>
      <c r="C612">
        <v>1</v>
      </c>
      <c r="D612">
        <v>1</v>
      </c>
      <c r="E612">
        <v>1</v>
      </c>
      <c r="F612">
        <v>1</v>
      </c>
      <c r="G612">
        <v>1</v>
      </c>
      <c r="H612">
        <v>1</v>
      </c>
      <c r="J612">
        <v>32</v>
      </c>
      <c r="K612">
        <v>1</v>
      </c>
      <c r="L612">
        <v>1</v>
      </c>
      <c r="M612">
        <v>1</v>
      </c>
      <c r="N612">
        <v>1</v>
      </c>
      <c r="O612">
        <v>1</v>
      </c>
      <c r="P612">
        <v>1</v>
      </c>
      <c r="R612">
        <v>32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AA612">
        <v>-7424.8944000000001</v>
      </c>
      <c r="AB612">
        <v>-7424.8944000000001</v>
      </c>
      <c r="AC612">
        <v>-7424.8944000000001</v>
      </c>
      <c r="AD612">
        <v>-7424.8944000000001</v>
      </c>
      <c r="AE612">
        <v>-7424.8944000000001</v>
      </c>
      <c r="AF612">
        <v>-7424.8944000000001</v>
      </c>
    </row>
    <row r="613" spans="2:32" x14ac:dyDescent="0.25">
      <c r="B613">
        <v>33</v>
      </c>
      <c r="C613">
        <v>1</v>
      </c>
      <c r="D613">
        <v>1</v>
      </c>
      <c r="E613">
        <v>1</v>
      </c>
      <c r="F613">
        <v>1</v>
      </c>
      <c r="G613">
        <v>1</v>
      </c>
      <c r="H613">
        <v>1</v>
      </c>
      <c r="J613">
        <v>33</v>
      </c>
      <c r="K613">
        <v>1</v>
      </c>
      <c r="L613">
        <v>1</v>
      </c>
      <c r="M613">
        <v>1</v>
      </c>
      <c r="N613">
        <v>1</v>
      </c>
      <c r="O613">
        <v>1</v>
      </c>
      <c r="P613">
        <v>1</v>
      </c>
      <c r="R613">
        <v>33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AA613">
        <v>-7422.2834000000003</v>
      </c>
      <c r="AB613">
        <v>-7422.2834000000003</v>
      </c>
      <c r="AC613">
        <v>-7422.2834000000003</v>
      </c>
      <c r="AD613">
        <v>-7422.2834000000003</v>
      </c>
      <c r="AE613">
        <v>-7422.2834000000003</v>
      </c>
      <c r="AF613">
        <v>-7422.2834000000003</v>
      </c>
    </row>
    <row r="614" spans="2:32" x14ac:dyDescent="0.25">
      <c r="B614">
        <v>34</v>
      </c>
      <c r="C614">
        <v>1</v>
      </c>
      <c r="D614">
        <v>1</v>
      </c>
      <c r="E614">
        <v>1</v>
      </c>
      <c r="F614">
        <v>1</v>
      </c>
      <c r="G614">
        <v>1</v>
      </c>
      <c r="H614">
        <v>1</v>
      </c>
      <c r="J614">
        <v>34</v>
      </c>
      <c r="K614">
        <v>1</v>
      </c>
      <c r="L614">
        <v>1</v>
      </c>
      <c r="M614">
        <v>1</v>
      </c>
      <c r="N614">
        <v>1</v>
      </c>
      <c r="O614">
        <v>1</v>
      </c>
      <c r="P614">
        <v>1</v>
      </c>
      <c r="R614">
        <v>34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AA614">
        <v>-7419.3683000000001</v>
      </c>
      <c r="AB614">
        <v>-7419.3683000000001</v>
      </c>
      <c r="AC614">
        <v>-7419.3683000000001</v>
      </c>
      <c r="AD614">
        <v>-7419.3683000000001</v>
      </c>
      <c r="AE614">
        <v>-7419.3683000000001</v>
      </c>
      <c r="AF614">
        <v>-7419.3683000000001</v>
      </c>
    </row>
    <row r="615" spans="2:32" x14ac:dyDescent="0.25">
      <c r="B615">
        <v>35</v>
      </c>
      <c r="C615">
        <v>1</v>
      </c>
      <c r="D615">
        <v>1</v>
      </c>
      <c r="E615">
        <v>1</v>
      </c>
      <c r="F615">
        <v>1</v>
      </c>
      <c r="G615">
        <v>1</v>
      </c>
      <c r="H615">
        <v>1</v>
      </c>
      <c r="J615">
        <v>35</v>
      </c>
      <c r="K615">
        <v>1</v>
      </c>
      <c r="L615">
        <v>1</v>
      </c>
      <c r="M615">
        <v>1</v>
      </c>
      <c r="N615">
        <v>1</v>
      </c>
      <c r="O615">
        <v>1</v>
      </c>
      <c r="P615">
        <v>1</v>
      </c>
      <c r="R615">
        <v>35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AA615">
        <v>-7416.1363000000001</v>
      </c>
      <c r="AB615">
        <v>-7416.1363000000001</v>
      </c>
      <c r="AC615">
        <v>-7416.1363000000001</v>
      </c>
      <c r="AD615">
        <v>-7416.1363000000001</v>
      </c>
      <c r="AE615">
        <v>-7416.1363000000001</v>
      </c>
      <c r="AF615">
        <v>-7416.1363000000001</v>
      </c>
    </row>
    <row r="616" spans="2:32" x14ac:dyDescent="0.25">
      <c r="B616">
        <v>36</v>
      </c>
      <c r="C616">
        <v>1</v>
      </c>
      <c r="D616">
        <v>1</v>
      </c>
      <c r="E616">
        <v>1</v>
      </c>
      <c r="F616">
        <v>1</v>
      </c>
      <c r="G616">
        <v>1</v>
      </c>
      <c r="H616">
        <v>1</v>
      </c>
      <c r="J616">
        <v>36</v>
      </c>
      <c r="K616">
        <v>1</v>
      </c>
      <c r="L616">
        <v>1</v>
      </c>
      <c r="M616">
        <v>1</v>
      </c>
      <c r="N616">
        <v>1</v>
      </c>
      <c r="O616">
        <v>1</v>
      </c>
      <c r="P616">
        <v>1</v>
      </c>
      <c r="R616">
        <v>36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AA616">
        <v>-7412.5378000000001</v>
      </c>
      <c r="AB616">
        <v>-7412.5378000000001</v>
      </c>
      <c r="AC616">
        <v>-7412.5378000000001</v>
      </c>
      <c r="AD616">
        <v>-7412.5378000000001</v>
      </c>
      <c r="AE616">
        <v>-7412.5378000000001</v>
      </c>
      <c r="AF616">
        <v>-7412.5378000000001</v>
      </c>
    </row>
    <row r="617" spans="2:32" x14ac:dyDescent="0.25">
      <c r="B617">
        <v>37</v>
      </c>
      <c r="C617">
        <v>1</v>
      </c>
      <c r="D617">
        <v>1</v>
      </c>
      <c r="E617">
        <v>1</v>
      </c>
      <c r="F617">
        <v>1</v>
      </c>
      <c r="G617">
        <v>1</v>
      </c>
      <c r="H617">
        <v>1</v>
      </c>
      <c r="J617">
        <v>37</v>
      </c>
      <c r="K617">
        <v>1</v>
      </c>
      <c r="L617">
        <v>1</v>
      </c>
      <c r="M617">
        <v>1</v>
      </c>
      <c r="N617">
        <v>1</v>
      </c>
      <c r="O617">
        <v>1</v>
      </c>
      <c r="P617">
        <v>1</v>
      </c>
      <c r="R617">
        <v>37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AA617">
        <v>-7408.55</v>
      </c>
      <c r="AB617">
        <v>-7408.55</v>
      </c>
      <c r="AC617">
        <v>-7408.55</v>
      </c>
      <c r="AD617">
        <v>-7408.55</v>
      </c>
      <c r="AE617">
        <v>-7408.55</v>
      </c>
      <c r="AF617">
        <v>-7408.55</v>
      </c>
    </row>
    <row r="618" spans="2:32" x14ac:dyDescent="0.25">
      <c r="B618">
        <v>38</v>
      </c>
      <c r="C618">
        <v>1</v>
      </c>
      <c r="D618">
        <v>1</v>
      </c>
      <c r="E618">
        <v>1</v>
      </c>
      <c r="F618">
        <v>1</v>
      </c>
      <c r="G618">
        <v>1</v>
      </c>
      <c r="H618">
        <v>1</v>
      </c>
      <c r="J618">
        <v>38</v>
      </c>
      <c r="K618">
        <v>1</v>
      </c>
      <c r="L618">
        <v>1</v>
      </c>
      <c r="M618">
        <v>1</v>
      </c>
      <c r="N618">
        <v>1</v>
      </c>
      <c r="O618">
        <v>1</v>
      </c>
      <c r="P618">
        <v>1</v>
      </c>
      <c r="R618">
        <v>38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AA618">
        <v>-7404.1752999999999</v>
      </c>
      <c r="AB618">
        <v>-7404.1752999999999</v>
      </c>
      <c r="AC618">
        <v>-7404.1752999999999</v>
      </c>
      <c r="AD618">
        <v>-7404.1752999999999</v>
      </c>
      <c r="AE618">
        <v>-7404.1752999999999</v>
      </c>
      <c r="AF618">
        <v>-7404.1752999999999</v>
      </c>
    </row>
    <row r="619" spans="2:32" x14ac:dyDescent="0.25">
      <c r="B619">
        <v>39</v>
      </c>
      <c r="C619">
        <v>1</v>
      </c>
      <c r="D619">
        <v>1</v>
      </c>
      <c r="E619">
        <v>1</v>
      </c>
      <c r="F619">
        <v>1</v>
      </c>
      <c r="G619">
        <v>1</v>
      </c>
      <c r="H619">
        <v>1</v>
      </c>
      <c r="J619">
        <v>39</v>
      </c>
      <c r="K619">
        <v>1</v>
      </c>
      <c r="L619">
        <v>1</v>
      </c>
      <c r="M619">
        <v>1</v>
      </c>
      <c r="N619">
        <v>1</v>
      </c>
      <c r="O619">
        <v>1</v>
      </c>
      <c r="P619">
        <v>1</v>
      </c>
      <c r="R619">
        <v>39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AA619">
        <v>-7399.3923999999997</v>
      </c>
      <c r="AB619">
        <v>-7399.3923999999997</v>
      </c>
      <c r="AC619">
        <v>-7399.3923999999997</v>
      </c>
      <c r="AD619">
        <v>-7399.3923999999997</v>
      </c>
      <c r="AE619">
        <v>-7399.3923999999997</v>
      </c>
      <c r="AF619">
        <v>-7399.3923999999997</v>
      </c>
    </row>
    <row r="620" spans="2:32" x14ac:dyDescent="0.25">
      <c r="B620">
        <v>40</v>
      </c>
      <c r="C620">
        <v>1</v>
      </c>
      <c r="D620">
        <v>1</v>
      </c>
      <c r="E620">
        <v>1</v>
      </c>
      <c r="F620">
        <v>1</v>
      </c>
      <c r="G620">
        <v>1</v>
      </c>
      <c r="H620">
        <v>1</v>
      </c>
      <c r="J620">
        <v>40</v>
      </c>
      <c r="K620">
        <v>1</v>
      </c>
      <c r="L620">
        <v>1</v>
      </c>
      <c r="M620">
        <v>1</v>
      </c>
      <c r="N620">
        <v>1</v>
      </c>
      <c r="O620">
        <v>1</v>
      </c>
      <c r="P620">
        <v>1</v>
      </c>
      <c r="R620">
        <v>40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AA620">
        <v>-7394.1365999999998</v>
      </c>
      <c r="AB620">
        <v>-7394.1365999999998</v>
      </c>
      <c r="AC620">
        <v>-7394.1365999999998</v>
      </c>
      <c r="AD620">
        <v>-7394.1365999999998</v>
      </c>
      <c r="AE620">
        <v>-7394.1365999999998</v>
      </c>
      <c r="AF620">
        <v>-7394.1365999999998</v>
      </c>
    </row>
    <row r="621" spans="2:32" x14ac:dyDescent="0.25">
      <c r="B621">
        <v>41</v>
      </c>
      <c r="C621">
        <v>1</v>
      </c>
      <c r="D621">
        <v>1</v>
      </c>
      <c r="E621">
        <v>1</v>
      </c>
      <c r="F621">
        <v>1</v>
      </c>
      <c r="G621">
        <v>1</v>
      </c>
      <c r="H621">
        <v>1</v>
      </c>
      <c r="J621">
        <v>41</v>
      </c>
      <c r="K621">
        <v>1</v>
      </c>
      <c r="L621">
        <v>1</v>
      </c>
      <c r="M621">
        <v>1</v>
      </c>
      <c r="N621">
        <v>1</v>
      </c>
      <c r="O621">
        <v>1</v>
      </c>
      <c r="P621">
        <v>1</v>
      </c>
      <c r="R621">
        <v>41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AA621">
        <v>-7388.3469999999998</v>
      </c>
      <c r="AB621">
        <v>-7388.3469999999998</v>
      </c>
      <c r="AC621">
        <v>-7388.3469999999998</v>
      </c>
      <c r="AD621">
        <v>-7388.3469999999998</v>
      </c>
      <c r="AE621">
        <v>-7388.3469999999998</v>
      </c>
      <c r="AF621">
        <v>-7388.3469999999998</v>
      </c>
    </row>
    <row r="622" spans="2:32" x14ac:dyDescent="0.25">
      <c r="B622">
        <v>42</v>
      </c>
      <c r="C622">
        <v>1</v>
      </c>
      <c r="D622">
        <v>1</v>
      </c>
      <c r="E622">
        <v>1</v>
      </c>
      <c r="F622">
        <v>1</v>
      </c>
      <c r="G622">
        <v>1</v>
      </c>
      <c r="H622">
        <v>1</v>
      </c>
      <c r="J622">
        <v>42</v>
      </c>
      <c r="K622">
        <v>1</v>
      </c>
      <c r="L622">
        <v>1</v>
      </c>
      <c r="M622">
        <v>1</v>
      </c>
      <c r="N622">
        <v>1</v>
      </c>
      <c r="O622">
        <v>1</v>
      </c>
      <c r="P622">
        <v>1</v>
      </c>
      <c r="R622">
        <v>42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AA622">
        <v>-7381.9919</v>
      </c>
      <c r="AB622">
        <v>-7381.9919</v>
      </c>
      <c r="AC622">
        <v>-7381.9919</v>
      </c>
      <c r="AD622">
        <v>-7381.9919</v>
      </c>
      <c r="AE622">
        <v>-7381.9919</v>
      </c>
      <c r="AF622">
        <v>-7381.9919</v>
      </c>
    </row>
    <row r="623" spans="2:32" x14ac:dyDescent="0.25">
      <c r="B623">
        <v>43</v>
      </c>
      <c r="C623">
        <v>1</v>
      </c>
      <c r="D623">
        <v>1</v>
      </c>
      <c r="E623">
        <v>1</v>
      </c>
      <c r="F623">
        <v>1</v>
      </c>
      <c r="G623">
        <v>1</v>
      </c>
      <c r="H623">
        <v>1</v>
      </c>
      <c r="J623">
        <v>43</v>
      </c>
      <c r="K623">
        <v>1</v>
      </c>
      <c r="L623">
        <v>1</v>
      </c>
      <c r="M623">
        <v>1</v>
      </c>
      <c r="N623">
        <v>1</v>
      </c>
      <c r="O623">
        <v>1</v>
      </c>
      <c r="P623">
        <v>1</v>
      </c>
      <c r="R623">
        <v>43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AA623">
        <v>-7374.9579999999996</v>
      </c>
      <c r="AB623">
        <v>-7374.9579999999996</v>
      </c>
      <c r="AC623">
        <v>-7374.9579999999996</v>
      </c>
      <c r="AD623">
        <v>-7374.9579999999996</v>
      </c>
      <c r="AE623">
        <v>-7374.9579999999996</v>
      </c>
      <c r="AF623">
        <v>-7374.9579999999996</v>
      </c>
    </row>
    <row r="624" spans="2:32" x14ac:dyDescent="0.25">
      <c r="B624">
        <v>44</v>
      </c>
      <c r="C624">
        <v>1</v>
      </c>
      <c r="D624">
        <v>1</v>
      </c>
      <c r="E624">
        <v>1</v>
      </c>
      <c r="F624">
        <v>1</v>
      </c>
      <c r="G624">
        <v>1</v>
      </c>
      <c r="H624">
        <v>1</v>
      </c>
      <c r="J624">
        <v>44</v>
      </c>
      <c r="K624">
        <v>1</v>
      </c>
      <c r="L624">
        <v>1</v>
      </c>
      <c r="M624">
        <v>1</v>
      </c>
      <c r="N624">
        <v>1</v>
      </c>
      <c r="O624">
        <v>1</v>
      </c>
      <c r="P624">
        <v>1</v>
      </c>
      <c r="R624">
        <v>44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AA624">
        <v>-7367.2034999999996</v>
      </c>
      <c r="AB624">
        <v>-7367.2034999999996</v>
      </c>
      <c r="AC624">
        <v>-7367.2034999999996</v>
      </c>
      <c r="AD624">
        <v>-7367.2034999999996</v>
      </c>
      <c r="AE624">
        <v>-7367.2034999999996</v>
      </c>
      <c r="AF624">
        <v>-7367.2034999999996</v>
      </c>
    </row>
    <row r="625" spans="2:32" x14ac:dyDescent="0.25">
      <c r="B625">
        <v>45</v>
      </c>
      <c r="C625">
        <v>1</v>
      </c>
      <c r="D625">
        <v>1</v>
      </c>
      <c r="E625">
        <v>1</v>
      </c>
      <c r="F625">
        <v>1</v>
      </c>
      <c r="G625">
        <v>1</v>
      </c>
      <c r="H625">
        <v>1</v>
      </c>
      <c r="J625">
        <v>45</v>
      </c>
      <c r="K625">
        <v>1</v>
      </c>
      <c r="L625">
        <v>1</v>
      </c>
      <c r="M625">
        <v>1</v>
      </c>
      <c r="N625">
        <v>1</v>
      </c>
      <c r="O625">
        <v>1</v>
      </c>
      <c r="P625">
        <v>1</v>
      </c>
      <c r="R625">
        <v>45</v>
      </c>
      <c r="S625">
        <v>1</v>
      </c>
      <c r="T625">
        <v>1</v>
      </c>
      <c r="U625">
        <v>1</v>
      </c>
      <c r="V625">
        <v>1</v>
      </c>
      <c r="W625">
        <v>1</v>
      </c>
      <c r="X625">
        <v>1</v>
      </c>
      <c r="AA625">
        <v>-7358.6491999999998</v>
      </c>
      <c r="AB625">
        <v>-7358.6491999999998</v>
      </c>
      <c r="AC625">
        <v>-7358.6491999999998</v>
      </c>
      <c r="AD625">
        <v>-7358.6491999999998</v>
      </c>
      <c r="AE625">
        <v>-7358.6491999999998</v>
      </c>
      <c r="AF625">
        <v>-7358.6491999999998</v>
      </c>
    </row>
    <row r="626" spans="2:32" x14ac:dyDescent="0.25">
      <c r="B626">
        <v>46</v>
      </c>
      <c r="C626">
        <v>1</v>
      </c>
      <c r="D626">
        <v>1</v>
      </c>
      <c r="E626">
        <v>1</v>
      </c>
      <c r="F626">
        <v>1</v>
      </c>
      <c r="G626">
        <v>1</v>
      </c>
      <c r="H626">
        <v>1</v>
      </c>
      <c r="J626">
        <v>46</v>
      </c>
      <c r="K626">
        <v>1</v>
      </c>
      <c r="L626">
        <v>1</v>
      </c>
      <c r="M626">
        <v>1</v>
      </c>
      <c r="N626">
        <v>1</v>
      </c>
      <c r="O626">
        <v>1</v>
      </c>
      <c r="P626">
        <v>1</v>
      </c>
      <c r="R626">
        <v>46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AA626">
        <v>-7349.2232000000004</v>
      </c>
      <c r="AB626">
        <v>-7349.2232000000004</v>
      </c>
      <c r="AC626">
        <v>-7349.2232000000004</v>
      </c>
      <c r="AD626">
        <v>-7349.2232000000004</v>
      </c>
      <c r="AE626">
        <v>-7349.2232000000004</v>
      </c>
      <c r="AF626">
        <v>-7349.2232000000004</v>
      </c>
    </row>
    <row r="627" spans="2:32" x14ac:dyDescent="0.25">
      <c r="B627">
        <v>47</v>
      </c>
      <c r="C627">
        <v>1</v>
      </c>
      <c r="D627">
        <v>1</v>
      </c>
      <c r="E627">
        <v>1</v>
      </c>
      <c r="F627">
        <v>1</v>
      </c>
      <c r="G627">
        <v>1</v>
      </c>
      <c r="H627">
        <v>1</v>
      </c>
      <c r="J627">
        <v>47</v>
      </c>
      <c r="K627">
        <v>1</v>
      </c>
      <c r="L627">
        <v>1</v>
      </c>
      <c r="M627">
        <v>1</v>
      </c>
      <c r="N627">
        <v>1</v>
      </c>
      <c r="O627">
        <v>1</v>
      </c>
      <c r="P627">
        <v>1</v>
      </c>
      <c r="R627">
        <v>47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AA627">
        <v>-7338.8310000000001</v>
      </c>
      <c r="AB627">
        <v>-7338.8310000000001</v>
      </c>
      <c r="AC627">
        <v>-7338.8310000000001</v>
      </c>
      <c r="AD627">
        <v>-7338.8310000000001</v>
      </c>
      <c r="AE627">
        <v>-7338.8310000000001</v>
      </c>
      <c r="AF627">
        <v>-7338.8310000000001</v>
      </c>
    </row>
    <row r="628" spans="2:32" x14ac:dyDescent="0.25">
      <c r="B628">
        <v>48</v>
      </c>
      <c r="C628">
        <v>1</v>
      </c>
      <c r="D628">
        <v>1</v>
      </c>
      <c r="E628">
        <v>1</v>
      </c>
      <c r="F628">
        <v>1</v>
      </c>
      <c r="G628">
        <v>1</v>
      </c>
      <c r="H628">
        <v>1</v>
      </c>
      <c r="J628">
        <v>48</v>
      </c>
      <c r="K628">
        <v>1</v>
      </c>
      <c r="L628">
        <v>1</v>
      </c>
      <c r="M628">
        <v>1</v>
      </c>
      <c r="N628">
        <v>1</v>
      </c>
      <c r="O628">
        <v>1</v>
      </c>
      <c r="P628">
        <v>1</v>
      </c>
      <c r="R628">
        <v>48</v>
      </c>
      <c r="S628">
        <v>1</v>
      </c>
      <c r="T628">
        <v>1</v>
      </c>
      <c r="U628">
        <v>1</v>
      </c>
      <c r="V628">
        <v>1</v>
      </c>
      <c r="W628">
        <v>1</v>
      </c>
      <c r="X628">
        <v>1</v>
      </c>
      <c r="AA628">
        <v>-7327.4297999999999</v>
      </c>
      <c r="AB628">
        <v>-7327.4297999999999</v>
      </c>
      <c r="AC628">
        <v>-7327.4297999999999</v>
      </c>
      <c r="AD628">
        <v>-7327.4297999999999</v>
      </c>
      <c r="AE628">
        <v>-7327.4297999999999</v>
      </c>
      <c r="AF628">
        <v>-7327.4297999999999</v>
      </c>
    </row>
    <row r="629" spans="2:32" x14ac:dyDescent="0.25">
      <c r="B629">
        <v>49</v>
      </c>
      <c r="C629">
        <v>1</v>
      </c>
      <c r="D629">
        <v>1</v>
      </c>
      <c r="E629">
        <v>1</v>
      </c>
      <c r="F629">
        <v>1</v>
      </c>
      <c r="G629">
        <v>1</v>
      </c>
      <c r="H629">
        <v>1</v>
      </c>
      <c r="J629">
        <v>49</v>
      </c>
      <c r="K629">
        <v>1</v>
      </c>
      <c r="L629">
        <v>1</v>
      </c>
      <c r="M629">
        <v>1</v>
      </c>
      <c r="N629">
        <v>1</v>
      </c>
      <c r="O629">
        <v>1</v>
      </c>
      <c r="P629">
        <v>1</v>
      </c>
      <c r="R629">
        <v>49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AA629">
        <v>-7314.951</v>
      </c>
      <c r="AB629">
        <v>-7314.951</v>
      </c>
      <c r="AC629">
        <v>-7314.951</v>
      </c>
      <c r="AD629">
        <v>-7314.951</v>
      </c>
      <c r="AE629">
        <v>-7314.951</v>
      </c>
      <c r="AF629">
        <v>-7314.951</v>
      </c>
    </row>
    <row r="630" spans="2:32" x14ac:dyDescent="0.25">
      <c r="B630">
        <v>50</v>
      </c>
      <c r="C630">
        <v>1</v>
      </c>
      <c r="D630">
        <v>1</v>
      </c>
      <c r="E630">
        <v>1</v>
      </c>
      <c r="F630">
        <v>1</v>
      </c>
      <c r="G630">
        <v>1</v>
      </c>
      <c r="H630">
        <v>1</v>
      </c>
      <c r="J630">
        <v>50</v>
      </c>
      <c r="K630">
        <v>1</v>
      </c>
      <c r="L630">
        <v>1</v>
      </c>
      <c r="M630">
        <v>1</v>
      </c>
      <c r="N630">
        <v>1</v>
      </c>
      <c r="O630">
        <v>1</v>
      </c>
      <c r="P630">
        <v>1</v>
      </c>
      <c r="R630">
        <v>50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AA630">
        <v>-7301.2851000000001</v>
      </c>
      <c r="AB630">
        <v>-7301.2851000000001</v>
      </c>
      <c r="AC630">
        <v>-7301.2851000000001</v>
      </c>
      <c r="AD630">
        <v>-7301.2851000000001</v>
      </c>
      <c r="AE630">
        <v>-7301.2851000000001</v>
      </c>
      <c r="AF630">
        <v>-7301.2851000000001</v>
      </c>
    </row>
    <row r="631" spans="2:32" x14ac:dyDescent="0.25">
      <c r="B631">
        <v>51</v>
      </c>
      <c r="C631">
        <v>1</v>
      </c>
      <c r="D631">
        <v>1</v>
      </c>
      <c r="E631">
        <v>1</v>
      </c>
      <c r="F631">
        <v>1</v>
      </c>
      <c r="G631">
        <v>1</v>
      </c>
      <c r="H631">
        <v>1</v>
      </c>
      <c r="J631">
        <v>51</v>
      </c>
      <c r="K631">
        <v>1</v>
      </c>
      <c r="L631">
        <v>1</v>
      </c>
      <c r="M631">
        <v>1</v>
      </c>
      <c r="N631">
        <v>1</v>
      </c>
      <c r="O631">
        <v>1</v>
      </c>
      <c r="P631">
        <v>1</v>
      </c>
      <c r="R631">
        <v>51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AA631">
        <v>-7286.3271000000004</v>
      </c>
      <c r="AB631">
        <v>-7286.3271000000004</v>
      </c>
      <c r="AC631">
        <v>-7286.3271000000004</v>
      </c>
      <c r="AD631">
        <v>-7286.3271000000004</v>
      </c>
      <c r="AE631">
        <v>-7286.3271000000004</v>
      </c>
      <c r="AF631">
        <v>-7286.3271000000004</v>
      </c>
    </row>
    <row r="632" spans="2:32" x14ac:dyDescent="0.25">
      <c r="B632">
        <v>52</v>
      </c>
      <c r="C632">
        <v>1</v>
      </c>
      <c r="D632">
        <v>1</v>
      </c>
      <c r="E632">
        <v>1</v>
      </c>
      <c r="F632">
        <v>1</v>
      </c>
      <c r="G632">
        <v>1</v>
      </c>
      <c r="H632">
        <v>1</v>
      </c>
      <c r="J632">
        <v>52</v>
      </c>
      <c r="K632">
        <v>1</v>
      </c>
      <c r="L632">
        <v>1</v>
      </c>
      <c r="M632">
        <v>1</v>
      </c>
      <c r="N632">
        <v>1</v>
      </c>
      <c r="O632">
        <v>1</v>
      </c>
      <c r="P632">
        <v>1</v>
      </c>
      <c r="R632">
        <v>52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AA632">
        <v>-7269.9448000000002</v>
      </c>
      <c r="AB632">
        <v>-7269.9448000000002</v>
      </c>
      <c r="AC632">
        <v>-7269.9448000000002</v>
      </c>
      <c r="AD632">
        <v>-7269.9448000000002</v>
      </c>
      <c r="AE632">
        <v>-7269.9448000000002</v>
      </c>
      <c r="AF632">
        <v>-7269.9448000000002</v>
      </c>
    </row>
    <row r="633" spans="2:32" x14ac:dyDescent="0.25">
      <c r="B633">
        <v>53</v>
      </c>
      <c r="C633">
        <v>1</v>
      </c>
      <c r="D633">
        <v>1</v>
      </c>
      <c r="E633">
        <v>1</v>
      </c>
      <c r="F633">
        <v>1</v>
      </c>
      <c r="G633">
        <v>1</v>
      </c>
      <c r="H633">
        <v>1</v>
      </c>
      <c r="J633">
        <v>53</v>
      </c>
      <c r="K633">
        <v>1</v>
      </c>
      <c r="L633">
        <v>1</v>
      </c>
      <c r="M633">
        <v>1</v>
      </c>
      <c r="N633">
        <v>1</v>
      </c>
      <c r="O633">
        <v>1</v>
      </c>
      <c r="P633">
        <v>1</v>
      </c>
      <c r="R633">
        <v>53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AA633">
        <v>-7252.0574999999999</v>
      </c>
      <c r="AB633">
        <v>-7252.0574999999999</v>
      </c>
      <c r="AC633">
        <v>-7252.0574999999999</v>
      </c>
      <c r="AD633">
        <v>-7252.0574999999999</v>
      </c>
      <c r="AE633">
        <v>-7252.0574999999999</v>
      </c>
      <c r="AF633">
        <v>-7252.0574999999999</v>
      </c>
    </row>
    <row r="634" spans="2:32" x14ac:dyDescent="0.25">
      <c r="B634">
        <v>54</v>
      </c>
      <c r="C634">
        <v>1</v>
      </c>
      <c r="D634">
        <v>1</v>
      </c>
      <c r="E634">
        <v>1</v>
      </c>
      <c r="F634">
        <v>1</v>
      </c>
      <c r="G634">
        <v>1</v>
      </c>
      <c r="H634">
        <v>1</v>
      </c>
      <c r="J634">
        <v>54</v>
      </c>
      <c r="K634">
        <v>1</v>
      </c>
      <c r="L634">
        <v>1</v>
      </c>
      <c r="M634">
        <v>1</v>
      </c>
      <c r="N634">
        <v>1</v>
      </c>
      <c r="O634">
        <v>1</v>
      </c>
      <c r="P634">
        <v>1</v>
      </c>
      <c r="R634">
        <v>54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AA634">
        <v>-7232.5680000000002</v>
      </c>
      <c r="AB634">
        <v>-7232.5680000000002</v>
      </c>
      <c r="AC634">
        <v>-7232.5680000000002</v>
      </c>
      <c r="AD634">
        <v>-7232.5680000000002</v>
      </c>
      <c r="AE634">
        <v>-7232.5680000000002</v>
      </c>
      <c r="AF634">
        <v>-7232.5680000000002</v>
      </c>
    </row>
    <row r="635" spans="2:32" x14ac:dyDescent="0.25">
      <c r="B635">
        <v>55</v>
      </c>
      <c r="C635">
        <v>1</v>
      </c>
      <c r="D635">
        <v>1</v>
      </c>
      <c r="E635">
        <v>1</v>
      </c>
      <c r="F635">
        <v>1</v>
      </c>
      <c r="G635">
        <v>1</v>
      </c>
      <c r="H635">
        <v>1</v>
      </c>
      <c r="J635">
        <v>55</v>
      </c>
      <c r="K635">
        <v>1</v>
      </c>
      <c r="L635">
        <v>1</v>
      </c>
      <c r="M635">
        <v>1</v>
      </c>
      <c r="N635">
        <v>1</v>
      </c>
      <c r="O635">
        <v>1</v>
      </c>
      <c r="P635">
        <v>1</v>
      </c>
      <c r="R635">
        <v>55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AA635">
        <v>-7211.3207000000002</v>
      </c>
      <c r="AB635">
        <v>-7211.3207000000002</v>
      </c>
      <c r="AC635">
        <v>-7211.3207000000002</v>
      </c>
      <c r="AD635">
        <v>-7211.3207000000002</v>
      </c>
      <c r="AE635">
        <v>-7211.3207000000002</v>
      </c>
      <c r="AF635">
        <v>-7211.3207000000002</v>
      </c>
    </row>
    <row r="638" spans="2:32" x14ac:dyDescent="0.25">
      <c r="B638" t="s">
        <v>46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32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48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2:32" x14ac:dyDescent="0.25">
      <c r="B639">
        <v>35</v>
      </c>
      <c r="C639">
        <v>1</v>
      </c>
      <c r="D639">
        <v>1</v>
      </c>
      <c r="E639">
        <v>1</v>
      </c>
      <c r="F639">
        <v>1</v>
      </c>
      <c r="G639">
        <v>1</v>
      </c>
      <c r="J639">
        <v>35</v>
      </c>
      <c r="K639">
        <v>1</v>
      </c>
      <c r="L639">
        <v>1</v>
      </c>
      <c r="M639">
        <v>1</v>
      </c>
      <c r="N639">
        <v>1</v>
      </c>
      <c r="O639">
        <v>1</v>
      </c>
      <c r="R639">
        <v>35</v>
      </c>
      <c r="S639">
        <v>1</v>
      </c>
      <c r="T639">
        <v>1</v>
      </c>
      <c r="U639">
        <v>1</v>
      </c>
      <c r="V639">
        <v>1</v>
      </c>
      <c r="W639">
        <v>1</v>
      </c>
      <c r="AA639">
        <v>-11308.6893</v>
      </c>
      <c r="AB639">
        <v>-11308.6893</v>
      </c>
      <c r="AC639">
        <v>-11308.6893</v>
      </c>
      <c r="AD639">
        <v>-11308.6893</v>
      </c>
      <c r="AE639">
        <v>-11308.6893</v>
      </c>
      <c r="AF639">
        <v>-759112.79520000005</v>
      </c>
    </row>
    <row r="640" spans="2:32" x14ac:dyDescent="0.25">
      <c r="B640">
        <f t="shared" ref="B640:B669" si="27">B639+1</f>
        <v>36</v>
      </c>
      <c r="C640">
        <v>1</v>
      </c>
      <c r="D640">
        <v>1</v>
      </c>
      <c r="E640">
        <v>1</v>
      </c>
      <c r="F640">
        <v>1</v>
      </c>
      <c r="G640">
        <v>1</v>
      </c>
      <c r="J640">
        <f t="shared" ref="J640:J669" si="28">J639+1</f>
        <v>36</v>
      </c>
      <c r="K640">
        <v>1</v>
      </c>
      <c r="L640">
        <v>1</v>
      </c>
      <c r="M640">
        <v>1</v>
      </c>
      <c r="N640">
        <v>1</v>
      </c>
      <c r="O640">
        <v>1</v>
      </c>
      <c r="R640">
        <f t="shared" ref="R640:R669" si="29">R639+1</f>
        <v>36</v>
      </c>
      <c r="S640">
        <v>1</v>
      </c>
      <c r="T640">
        <v>1</v>
      </c>
      <c r="U640">
        <v>1</v>
      </c>
      <c r="V640">
        <v>1</v>
      </c>
      <c r="W640">
        <v>1</v>
      </c>
      <c r="AA640">
        <v>-11214.2592</v>
      </c>
      <c r="AB640">
        <v>-11214.2592</v>
      </c>
      <c r="AC640">
        <v>-11214.2592</v>
      </c>
      <c r="AD640">
        <v>-11214.2592</v>
      </c>
      <c r="AE640">
        <v>-11214.2592</v>
      </c>
      <c r="AF640">
        <v>-737070.86179999996</v>
      </c>
    </row>
    <row r="641" spans="2:32" x14ac:dyDescent="0.25">
      <c r="B641">
        <f t="shared" si="27"/>
        <v>37</v>
      </c>
      <c r="C641">
        <v>1</v>
      </c>
      <c r="D641">
        <v>1</v>
      </c>
      <c r="E641">
        <v>1</v>
      </c>
      <c r="F641">
        <v>1</v>
      </c>
      <c r="G641">
        <v>1</v>
      </c>
      <c r="J641">
        <f t="shared" si="28"/>
        <v>37</v>
      </c>
      <c r="K641">
        <v>1</v>
      </c>
      <c r="L641">
        <v>1</v>
      </c>
      <c r="M641">
        <v>1</v>
      </c>
      <c r="N641">
        <v>1</v>
      </c>
      <c r="O641">
        <v>1</v>
      </c>
      <c r="R641">
        <f t="shared" si="29"/>
        <v>37</v>
      </c>
      <c r="S641">
        <v>1</v>
      </c>
      <c r="T641">
        <v>1</v>
      </c>
      <c r="U641">
        <v>1</v>
      </c>
      <c r="V641">
        <v>1</v>
      </c>
      <c r="W641">
        <v>1</v>
      </c>
      <c r="AA641">
        <v>-11117.406199999999</v>
      </c>
      <c r="AB641">
        <v>-11117.406199999999</v>
      </c>
      <c r="AC641">
        <v>-11117.406199999999</v>
      </c>
      <c r="AD641">
        <v>-11117.406199999999</v>
      </c>
      <c r="AE641">
        <v>-11117.406199999999</v>
      </c>
      <c r="AF641">
        <v>-765978.91940000001</v>
      </c>
    </row>
    <row r="642" spans="2:32" x14ac:dyDescent="0.25">
      <c r="B642">
        <f t="shared" si="27"/>
        <v>38</v>
      </c>
      <c r="C642">
        <v>1</v>
      </c>
      <c r="D642">
        <v>1</v>
      </c>
      <c r="E642">
        <v>1</v>
      </c>
      <c r="F642">
        <v>1</v>
      </c>
      <c r="G642">
        <v>1</v>
      </c>
      <c r="J642">
        <f t="shared" si="28"/>
        <v>38</v>
      </c>
      <c r="K642">
        <v>1</v>
      </c>
      <c r="L642">
        <v>1</v>
      </c>
      <c r="M642">
        <v>1</v>
      </c>
      <c r="N642">
        <v>1</v>
      </c>
      <c r="O642">
        <v>1</v>
      </c>
      <c r="R642">
        <f t="shared" si="29"/>
        <v>38</v>
      </c>
      <c r="S642">
        <v>1</v>
      </c>
      <c r="T642">
        <v>1</v>
      </c>
      <c r="U642">
        <v>1</v>
      </c>
      <c r="V642">
        <v>1</v>
      </c>
      <c r="W642">
        <v>1</v>
      </c>
      <c r="AA642">
        <v>-11018.229799999999</v>
      </c>
      <c r="AB642">
        <v>-11018.229799999999</v>
      </c>
      <c r="AC642">
        <v>-11018.229799999999</v>
      </c>
      <c r="AD642">
        <v>-11018.229799999999</v>
      </c>
      <c r="AE642">
        <v>-11018.229799999999</v>
      </c>
      <c r="AF642">
        <v>-783780.576</v>
      </c>
    </row>
    <row r="643" spans="2:32" x14ac:dyDescent="0.25">
      <c r="B643">
        <f t="shared" si="27"/>
        <v>39</v>
      </c>
      <c r="C643">
        <v>1</v>
      </c>
      <c r="D643">
        <v>1</v>
      </c>
      <c r="E643">
        <v>1</v>
      </c>
      <c r="F643">
        <v>1</v>
      </c>
      <c r="G643">
        <v>1</v>
      </c>
      <c r="J643">
        <f t="shared" si="28"/>
        <v>39</v>
      </c>
      <c r="K643">
        <v>1</v>
      </c>
      <c r="L643">
        <v>1</v>
      </c>
      <c r="M643">
        <v>1</v>
      </c>
      <c r="N643">
        <v>1</v>
      </c>
      <c r="O643">
        <v>1</v>
      </c>
      <c r="R643">
        <f t="shared" si="29"/>
        <v>39</v>
      </c>
      <c r="S643">
        <v>1</v>
      </c>
      <c r="T643">
        <v>1</v>
      </c>
      <c r="U643">
        <v>1</v>
      </c>
      <c r="V643">
        <v>1</v>
      </c>
      <c r="W643">
        <v>1</v>
      </c>
      <c r="AA643">
        <v>-10916.737999999999</v>
      </c>
      <c r="AB643">
        <v>-10916.737999999999</v>
      </c>
      <c r="AC643">
        <v>-10916.737999999999</v>
      </c>
      <c r="AD643">
        <v>-10916.737999999999</v>
      </c>
      <c r="AE643">
        <v>-10916.737999999999</v>
      </c>
      <c r="AF643">
        <v>-769662.22069999995</v>
      </c>
    </row>
    <row r="644" spans="2:32" x14ac:dyDescent="0.25">
      <c r="B644">
        <f t="shared" si="27"/>
        <v>40</v>
      </c>
      <c r="C644">
        <v>1</v>
      </c>
      <c r="D644">
        <v>1</v>
      </c>
      <c r="E644">
        <v>1</v>
      </c>
      <c r="F644">
        <v>1</v>
      </c>
      <c r="G644">
        <v>1</v>
      </c>
      <c r="J644">
        <f t="shared" si="28"/>
        <v>40</v>
      </c>
      <c r="K644">
        <v>1</v>
      </c>
      <c r="L644">
        <v>1</v>
      </c>
      <c r="M644">
        <v>1</v>
      </c>
      <c r="N644">
        <v>1</v>
      </c>
      <c r="O644">
        <v>1</v>
      </c>
      <c r="R644">
        <f t="shared" si="29"/>
        <v>40</v>
      </c>
      <c r="S644">
        <v>1</v>
      </c>
      <c r="T644">
        <v>1</v>
      </c>
      <c r="U644">
        <v>1</v>
      </c>
      <c r="V644">
        <v>1</v>
      </c>
      <c r="W644">
        <v>1</v>
      </c>
      <c r="AA644">
        <v>-10812.8714</v>
      </c>
      <c r="AB644">
        <v>-10812.8714</v>
      </c>
      <c r="AC644">
        <v>-10812.8714</v>
      </c>
      <c r="AD644">
        <v>-10812.8714</v>
      </c>
      <c r="AE644">
        <v>-10812.8714</v>
      </c>
      <c r="AF644">
        <v>-798570.41119999997</v>
      </c>
    </row>
    <row r="645" spans="2:32" x14ac:dyDescent="0.25">
      <c r="B645">
        <f t="shared" si="27"/>
        <v>41</v>
      </c>
      <c r="C645">
        <v>1</v>
      </c>
      <c r="D645">
        <v>1</v>
      </c>
      <c r="E645">
        <v>1</v>
      </c>
      <c r="F645">
        <v>1</v>
      </c>
      <c r="G645">
        <v>1</v>
      </c>
      <c r="J645">
        <f t="shared" si="28"/>
        <v>41</v>
      </c>
      <c r="K645">
        <v>1</v>
      </c>
      <c r="L645">
        <v>1</v>
      </c>
      <c r="M645">
        <v>1</v>
      </c>
      <c r="N645">
        <v>1</v>
      </c>
      <c r="O645">
        <v>1</v>
      </c>
      <c r="R645">
        <f t="shared" si="29"/>
        <v>41</v>
      </c>
      <c r="S645">
        <v>1</v>
      </c>
      <c r="T645">
        <v>1</v>
      </c>
      <c r="U645">
        <v>1</v>
      </c>
      <c r="V645">
        <v>1</v>
      </c>
      <c r="W645">
        <v>1</v>
      </c>
      <c r="AA645">
        <v>-10706.559600000001</v>
      </c>
      <c r="AB645">
        <v>-10706.559600000001</v>
      </c>
      <c r="AC645">
        <v>-10706.559600000001</v>
      </c>
      <c r="AD645">
        <v>-10706.559600000001</v>
      </c>
      <c r="AE645">
        <v>-10706.559600000001</v>
      </c>
      <c r="AF645">
        <v>-803549.96459999995</v>
      </c>
    </row>
    <row r="646" spans="2:32" x14ac:dyDescent="0.25">
      <c r="B646">
        <f t="shared" si="27"/>
        <v>42</v>
      </c>
      <c r="C646">
        <v>1</v>
      </c>
      <c r="D646">
        <v>1</v>
      </c>
      <c r="E646">
        <v>1</v>
      </c>
      <c r="F646">
        <v>1</v>
      </c>
      <c r="G646">
        <v>1</v>
      </c>
      <c r="J646">
        <f t="shared" si="28"/>
        <v>42</v>
      </c>
      <c r="K646">
        <v>1</v>
      </c>
      <c r="L646">
        <v>1</v>
      </c>
      <c r="M646">
        <v>1</v>
      </c>
      <c r="N646">
        <v>1</v>
      </c>
      <c r="O646">
        <v>1</v>
      </c>
      <c r="R646">
        <f t="shared" si="29"/>
        <v>42</v>
      </c>
      <c r="S646">
        <v>1</v>
      </c>
      <c r="T646">
        <v>1</v>
      </c>
      <c r="U646">
        <v>1</v>
      </c>
      <c r="V646">
        <v>1</v>
      </c>
      <c r="W646">
        <v>1</v>
      </c>
      <c r="AA646">
        <v>-10597.8485</v>
      </c>
      <c r="AB646">
        <v>-10597.8485</v>
      </c>
      <c r="AC646">
        <v>-10597.8485</v>
      </c>
      <c r="AD646">
        <v>-10597.8485</v>
      </c>
      <c r="AE646">
        <v>-10597.8485</v>
      </c>
      <c r="AF646">
        <v>-833551.75890000002</v>
      </c>
    </row>
    <row r="647" spans="2:32" x14ac:dyDescent="0.25">
      <c r="B647">
        <f t="shared" si="27"/>
        <v>43</v>
      </c>
      <c r="C647">
        <v>1</v>
      </c>
      <c r="D647">
        <v>1</v>
      </c>
      <c r="E647">
        <v>1</v>
      </c>
      <c r="F647">
        <v>1</v>
      </c>
      <c r="G647">
        <v>1</v>
      </c>
      <c r="J647">
        <f t="shared" si="28"/>
        <v>43</v>
      </c>
      <c r="K647">
        <v>1</v>
      </c>
      <c r="L647">
        <v>1</v>
      </c>
      <c r="M647">
        <v>1</v>
      </c>
      <c r="N647">
        <v>1</v>
      </c>
      <c r="O647">
        <v>1</v>
      </c>
      <c r="R647">
        <f t="shared" si="29"/>
        <v>43</v>
      </c>
      <c r="S647">
        <v>1</v>
      </c>
      <c r="T647">
        <v>1</v>
      </c>
      <c r="U647">
        <v>1</v>
      </c>
      <c r="V647">
        <v>1</v>
      </c>
      <c r="W647">
        <v>1</v>
      </c>
      <c r="AA647">
        <v>-10486.615400000001</v>
      </c>
      <c r="AB647">
        <v>-10486.615400000001</v>
      </c>
      <c r="AC647">
        <v>-10486.615400000001</v>
      </c>
      <c r="AD647">
        <v>-10486.615400000001</v>
      </c>
      <c r="AE647">
        <v>-10486.615400000001</v>
      </c>
      <c r="AF647">
        <v>-844950.93949999998</v>
      </c>
    </row>
    <row r="648" spans="2:32" x14ac:dyDescent="0.25">
      <c r="B648">
        <f t="shared" si="27"/>
        <v>44</v>
      </c>
      <c r="C648">
        <v>1</v>
      </c>
      <c r="D648">
        <v>1</v>
      </c>
      <c r="E648">
        <v>1</v>
      </c>
      <c r="F648">
        <v>1</v>
      </c>
      <c r="G648">
        <v>1</v>
      </c>
      <c r="J648">
        <f t="shared" si="28"/>
        <v>44</v>
      </c>
      <c r="K648">
        <v>1</v>
      </c>
      <c r="L648">
        <v>1</v>
      </c>
      <c r="M648">
        <v>1</v>
      </c>
      <c r="N648">
        <v>1</v>
      </c>
      <c r="O648">
        <v>1</v>
      </c>
      <c r="R648">
        <f t="shared" si="29"/>
        <v>44</v>
      </c>
      <c r="S648">
        <v>1</v>
      </c>
      <c r="T648">
        <v>1</v>
      </c>
      <c r="U648">
        <v>1</v>
      </c>
      <c r="V648">
        <v>1</v>
      </c>
      <c r="W648">
        <v>1</v>
      </c>
      <c r="AA648">
        <v>-10372.9005</v>
      </c>
      <c r="AB648">
        <v>-10372.9005</v>
      </c>
      <c r="AC648">
        <v>-10372.9005</v>
      </c>
      <c r="AD648">
        <v>-10372.9005</v>
      </c>
      <c r="AE648">
        <v>-10372.9005</v>
      </c>
      <c r="AF648">
        <v>-851265.64670000004</v>
      </c>
    </row>
    <row r="649" spans="2:32" x14ac:dyDescent="0.25">
      <c r="B649">
        <f t="shared" si="27"/>
        <v>45</v>
      </c>
      <c r="C649">
        <v>1</v>
      </c>
      <c r="D649">
        <v>1</v>
      </c>
      <c r="E649">
        <v>1</v>
      </c>
      <c r="F649">
        <v>1</v>
      </c>
      <c r="G649">
        <v>1</v>
      </c>
      <c r="J649">
        <f t="shared" si="28"/>
        <v>45</v>
      </c>
      <c r="K649">
        <v>1</v>
      </c>
      <c r="L649">
        <v>1</v>
      </c>
      <c r="M649">
        <v>1</v>
      </c>
      <c r="N649">
        <v>1</v>
      </c>
      <c r="O649">
        <v>1</v>
      </c>
      <c r="R649">
        <f t="shared" si="29"/>
        <v>45</v>
      </c>
      <c r="S649">
        <v>1</v>
      </c>
      <c r="T649">
        <v>1</v>
      </c>
      <c r="U649">
        <v>1</v>
      </c>
      <c r="V649">
        <v>1</v>
      </c>
      <c r="W649">
        <v>1</v>
      </c>
      <c r="AA649">
        <v>-10256.650600000001</v>
      </c>
      <c r="AB649">
        <v>-10256.650600000001</v>
      </c>
      <c r="AC649">
        <v>-10256.650600000001</v>
      </c>
      <c r="AD649">
        <v>-10256.650600000001</v>
      </c>
      <c r="AE649">
        <v>-10256.650600000001</v>
      </c>
      <c r="AF649">
        <v>-870649.02139999997</v>
      </c>
    </row>
    <row r="650" spans="2:32" x14ac:dyDescent="0.25">
      <c r="B650">
        <f t="shared" si="27"/>
        <v>46</v>
      </c>
      <c r="C650">
        <v>1</v>
      </c>
      <c r="D650">
        <v>1</v>
      </c>
      <c r="E650">
        <v>1</v>
      </c>
      <c r="F650">
        <v>1</v>
      </c>
      <c r="G650">
        <v>1</v>
      </c>
      <c r="J650">
        <f t="shared" si="28"/>
        <v>46</v>
      </c>
      <c r="K650">
        <v>1</v>
      </c>
      <c r="L650">
        <v>1</v>
      </c>
      <c r="M650">
        <v>1</v>
      </c>
      <c r="N650">
        <v>1</v>
      </c>
      <c r="O650">
        <v>1</v>
      </c>
      <c r="R650">
        <f t="shared" si="29"/>
        <v>46</v>
      </c>
      <c r="S650">
        <v>1</v>
      </c>
      <c r="T650">
        <v>1</v>
      </c>
      <c r="U650">
        <v>1</v>
      </c>
      <c r="V650">
        <v>1</v>
      </c>
      <c r="W650">
        <v>1</v>
      </c>
      <c r="AA650">
        <v>-10137.871499999999</v>
      </c>
      <c r="AB650">
        <v>-10137.871499999999</v>
      </c>
      <c r="AC650">
        <v>-10137.871499999999</v>
      </c>
      <c r="AD650">
        <v>-10137.871499999999</v>
      </c>
      <c r="AE650">
        <v>-10137.871499999999</v>
      </c>
      <c r="AF650">
        <v>-892550.54509999999</v>
      </c>
    </row>
    <row r="651" spans="2:32" x14ac:dyDescent="0.25">
      <c r="B651">
        <f t="shared" si="27"/>
        <v>47</v>
      </c>
      <c r="C651">
        <v>1</v>
      </c>
      <c r="D651">
        <v>1</v>
      </c>
      <c r="E651">
        <v>1</v>
      </c>
      <c r="F651">
        <v>1</v>
      </c>
      <c r="G651">
        <v>1</v>
      </c>
      <c r="J651">
        <f t="shared" si="28"/>
        <v>47</v>
      </c>
      <c r="K651">
        <v>1</v>
      </c>
      <c r="L651">
        <v>1</v>
      </c>
      <c r="M651">
        <v>1</v>
      </c>
      <c r="N651">
        <v>1</v>
      </c>
      <c r="O651">
        <v>1</v>
      </c>
      <c r="R651">
        <f t="shared" si="29"/>
        <v>47</v>
      </c>
      <c r="S651">
        <v>1</v>
      </c>
      <c r="T651">
        <v>1</v>
      </c>
      <c r="U651">
        <v>1</v>
      </c>
      <c r="V651">
        <v>1</v>
      </c>
      <c r="W651">
        <v>1</v>
      </c>
      <c r="AA651">
        <v>-10016.4967</v>
      </c>
      <c r="AB651">
        <v>-10016.4967</v>
      </c>
      <c r="AC651">
        <v>-10016.4967</v>
      </c>
      <c r="AD651">
        <v>-10016.4967</v>
      </c>
      <c r="AE651">
        <v>-10016.4967</v>
      </c>
      <c r="AF651">
        <v>-910915.81969999999</v>
      </c>
    </row>
    <row r="652" spans="2:32" x14ac:dyDescent="0.25">
      <c r="B652">
        <f t="shared" si="27"/>
        <v>48</v>
      </c>
      <c r="C652">
        <v>1</v>
      </c>
      <c r="D652">
        <v>1</v>
      </c>
      <c r="E652">
        <v>1</v>
      </c>
      <c r="F652">
        <v>1</v>
      </c>
      <c r="G652">
        <v>1</v>
      </c>
      <c r="J652">
        <f t="shared" si="28"/>
        <v>48</v>
      </c>
      <c r="K652">
        <v>1</v>
      </c>
      <c r="L652">
        <v>1</v>
      </c>
      <c r="M652">
        <v>1</v>
      </c>
      <c r="N652">
        <v>1</v>
      </c>
      <c r="O652">
        <v>1</v>
      </c>
      <c r="R652">
        <f t="shared" si="29"/>
        <v>48</v>
      </c>
      <c r="S652">
        <v>1</v>
      </c>
      <c r="T652">
        <v>1</v>
      </c>
      <c r="U652">
        <v>1</v>
      </c>
      <c r="V652">
        <v>1</v>
      </c>
      <c r="W652">
        <v>1</v>
      </c>
      <c r="AA652">
        <v>-9892.6355000000003</v>
      </c>
      <c r="AB652">
        <v>-9892.6355000000003</v>
      </c>
      <c r="AC652">
        <v>-9892.6355000000003</v>
      </c>
      <c r="AD652">
        <v>-9892.6355000000003</v>
      </c>
      <c r="AE652">
        <v>-9892.6355000000003</v>
      </c>
      <c r="AF652">
        <v>-917891.87360000005</v>
      </c>
    </row>
    <row r="653" spans="2:32" x14ac:dyDescent="0.25">
      <c r="B653">
        <f t="shared" si="27"/>
        <v>49</v>
      </c>
      <c r="C653">
        <v>1</v>
      </c>
      <c r="D653">
        <v>1</v>
      </c>
      <c r="E653">
        <v>1</v>
      </c>
      <c r="F653">
        <v>1</v>
      </c>
      <c r="G653">
        <v>1</v>
      </c>
      <c r="J653">
        <f t="shared" si="28"/>
        <v>49</v>
      </c>
      <c r="K653">
        <v>1</v>
      </c>
      <c r="L653">
        <v>1</v>
      </c>
      <c r="M653">
        <v>1</v>
      </c>
      <c r="N653">
        <v>1</v>
      </c>
      <c r="O653">
        <v>1</v>
      </c>
      <c r="R653">
        <f t="shared" si="29"/>
        <v>49</v>
      </c>
      <c r="S653">
        <v>1</v>
      </c>
      <c r="T653">
        <v>1</v>
      </c>
      <c r="U653">
        <v>1</v>
      </c>
      <c r="V653">
        <v>1</v>
      </c>
      <c r="W653">
        <v>1</v>
      </c>
      <c r="AA653">
        <v>-9766.3366999999998</v>
      </c>
      <c r="AB653">
        <v>-9766.3366999999998</v>
      </c>
      <c r="AC653">
        <v>-9766.3366999999998</v>
      </c>
      <c r="AD653">
        <v>-9766.3366999999998</v>
      </c>
      <c r="AE653">
        <v>-9766.3366999999998</v>
      </c>
      <c r="AF653">
        <v>-944521.72470000002</v>
      </c>
    </row>
    <row r="654" spans="2:32" x14ac:dyDescent="0.25">
      <c r="B654">
        <f t="shared" si="27"/>
        <v>50</v>
      </c>
      <c r="C654">
        <v>1</v>
      </c>
      <c r="D654">
        <v>1</v>
      </c>
      <c r="E654">
        <v>1</v>
      </c>
      <c r="F654">
        <v>1</v>
      </c>
      <c r="G654">
        <v>1</v>
      </c>
      <c r="J654">
        <f t="shared" si="28"/>
        <v>50</v>
      </c>
      <c r="K654">
        <v>1</v>
      </c>
      <c r="L654">
        <v>1</v>
      </c>
      <c r="M654">
        <v>1</v>
      </c>
      <c r="N654">
        <v>1</v>
      </c>
      <c r="O654">
        <v>1</v>
      </c>
      <c r="R654">
        <f t="shared" si="29"/>
        <v>50</v>
      </c>
      <c r="S654">
        <v>1</v>
      </c>
      <c r="T654">
        <v>1</v>
      </c>
      <c r="U654">
        <v>1</v>
      </c>
      <c r="V654">
        <v>1</v>
      </c>
      <c r="W654">
        <v>1</v>
      </c>
      <c r="AA654">
        <v>-9637.5864000000001</v>
      </c>
      <c r="AB654">
        <v>-9637.5864000000001</v>
      </c>
      <c r="AC654">
        <v>-9637.5864000000001</v>
      </c>
      <c r="AD654">
        <v>-9637.5864000000001</v>
      </c>
      <c r="AE654">
        <v>-9637.5864000000001</v>
      </c>
      <c r="AF654">
        <v>-963257.14989999996</v>
      </c>
    </row>
    <row r="655" spans="2:32" x14ac:dyDescent="0.25">
      <c r="B655">
        <f t="shared" si="27"/>
        <v>51</v>
      </c>
      <c r="C655">
        <v>1</v>
      </c>
      <c r="D655">
        <v>1</v>
      </c>
      <c r="E655">
        <v>1</v>
      </c>
      <c r="F655">
        <v>1</v>
      </c>
      <c r="G655">
        <v>1</v>
      </c>
      <c r="J655">
        <f t="shared" si="28"/>
        <v>51</v>
      </c>
      <c r="K655">
        <v>1</v>
      </c>
      <c r="L655">
        <v>1</v>
      </c>
      <c r="M655">
        <v>1</v>
      </c>
      <c r="N655">
        <v>1</v>
      </c>
      <c r="O655">
        <v>1</v>
      </c>
      <c r="R655">
        <f t="shared" si="29"/>
        <v>51</v>
      </c>
      <c r="S655">
        <v>1</v>
      </c>
      <c r="T655">
        <v>1</v>
      </c>
      <c r="U655">
        <v>1</v>
      </c>
      <c r="V655">
        <v>1</v>
      </c>
      <c r="W655">
        <v>1</v>
      </c>
      <c r="AA655">
        <v>-9506.3734000000004</v>
      </c>
      <c r="AB655">
        <v>-9506.3734000000004</v>
      </c>
      <c r="AC655">
        <v>-9506.3734000000004</v>
      </c>
      <c r="AD655">
        <v>-9506.3734000000004</v>
      </c>
      <c r="AE655">
        <v>-9506.3734000000004</v>
      </c>
      <c r="AF655">
        <v>-981592.90729999996</v>
      </c>
    </row>
    <row r="656" spans="2:32" x14ac:dyDescent="0.25">
      <c r="B656">
        <f t="shared" si="27"/>
        <v>52</v>
      </c>
      <c r="C656">
        <v>1</v>
      </c>
      <c r="D656">
        <v>1</v>
      </c>
      <c r="E656">
        <v>1</v>
      </c>
      <c r="F656">
        <v>1</v>
      </c>
      <c r="G656">
        <v>1</v>
      </c>
      <c r="J656">
        <f t="shared" si="28"/>
        <v>52</v>
      </c>
      <c r="K656">
        <v>1</v>
      </c>
      <c r="L656">
        <v>1</v>
      </c>
      <c r="M656">
        <v>1</v>
      </c>
      <c r="N656">
        <v>1</v>
      </c>
      <c r="O656">
        <v>1</v>
      </c>
      <c r="R656">
        <f t="shared" si="29"/>
        <v>52</v>
      </c>
      <c r="S656">
        <v>1</v>
      </c>
      <c r="T656">
        <v>1</v>
      </c>
      <c r="U656">
        <v>1</v>
      </c>
      <c r="V656">
        <v>1</v>
      </c>
      <c r="W656">
        <v>1</v>
      </c>
      <c r="AA656">
        <v>-9372.7019</v>
      </c>
      <c r="AB656">
        <v>-9372.7019</v>
      </c>
      <c r="AC656">
        <v>-9372.7019</v>
      </c>
      <c r="AD656">
        <v>-9372.7019</v>
      </c>
      <c r="AE656">
        <v>-9372.7019</v>
      </c>
      <c r="AF656">
        <v>-998556.10360000003</v>
      </c>
    </row>
    <row r="657" spans="2:32" x14ac:dyDescent="0.25">
      <c r="B657">
        <f t="shared" si="27"/>
        <v>53</v>
      </c>
      <c r="C657">
        <v>1</v>
      </c>
      <c r="D657">
        <v>1</v>
      </c>
      <c r="E657">
        <v>1</v>
      </c>
      <c r="F657">
        <v>1</v>
      </c>
      <c r="G657">
        <v>1</v>
      </c>
      <c r="J657">
        <f t="shared" si="28"/>
        <v>53</v>
      </c>
      <c r="K657">
        <v>1</v>
      </c>
      <c r="L657">
        <v>1</v>
      </c>
      <c r="M657">
        <v>1</v>
      </c>
      <c r="N657">
        <v>1</v>
      </c>
      <c r="O657">
        <v>1</v>
      </c>
      <c r="R657">
        <f t="shared" si="29"/>
        <v>53</v>
      </c>
      <c r="S657">
        <v>1</v>
      </c>
      <c r="T657">
        <v>1</v>
      </c>
      <c r="U657">
        <v>1</v>
      </c>
      <c r="V657">
        <v>1</v>
      </c>
      <c r="W657">
        <v>1</v>
      </c>
      <c r="AA657">
        <v>-9236.6705000000002</v>
      </c>
      <c r="AB657">
        <v>-9236.6705000000002</v>
      </c>
      <c r="AC657">
        <v>-9236.6705000000002</v>
      </c>
      <c r="AD657">
        <v>-9236.6705000000002</v>
      </c>
      <c r="AE657">
        <v>-9236.6705000000002</v>
      </c>
      <c r="AF657">
        <v>-1015461.3278</v>
      </c>
    </row>
    <row r="658" spans="2:32" x14ac:dyDescent="0.25">
      <c r="B658">
        <f t="shared" si="27"/>
        <v>54</v>
      </c>
      <c r="C658">
        <v>1</v>
      </c>
      <c r="D658">
        <v>1</v>
      </c>
      <c r="E658">
        <v>1</v>
      </c>
      <c r="F658">
        <v>1</v>
      </c>
      <c r="G658">
        <v>1</v>
      </c>
      <c r="J658">
        <f t="shared" si="28"/>
        <v>54</v>
      </c>
      <c r="K658">
        <v>1</v>
      </c>
      <c r="L658">
        <v>1</v>
      </c>
      <c r="M658">
        <v>1</v>
      </c>
      <c r="N658">
        <v>1</v>
      </c>
      <c r="O658">
        <v>1</v>
      </c>
      <c r="R658">
        <f t="shared" si="29"/>
        <v>54</v>
      </c>
      <c r="S658">
        <v>1</v>
      </c>
      <c r="T658">
        <v>1</v>
      </c>
      <c r="U658">
        <v>1</v>
      </c>
      <c r="V658">
        <v>1</v>
      </c>
      <c r="W658">
        <v>1</v>
      </c>
      <c r="AA658">
        <v>-9098.4312000000009</v>
      </c>
      <c r="AB658">
        <v>-9098.4312000000009</v>
      </c>
      <c r="AC658">
        <v>-9098.4312000000009</v>
      </c>
      <c r="AD658">
        <v>-9098.4312000000009</v>
      </c>
      <c r="AE658">
        <v>-9098.4312000000009</v>
      </c>
      <c r="AF658">
        <v>-1033869.6813000001</v>
      </c>
    </row>
    <row r="659" spans="2:32" x14ac:dyDescent="0.25">
      <c r="B659">
        <f t="shared" si="27"/>
        <v>55</v>
      </c>
      <c r="C659">
        <v>1</v>
      </c>
      <c r="D659">
        <v>1</v>
      </c>
      <c r="E659">
        <v>1</v>
      </c>
      <c r="F659">
        <v>1</v>
      </c>
      <c r="G659">
        <v>1</v>
      </c>
      <c r="J659">
        <f t="shared" si="28"/>
        <v>55</v>
      </c>
      <c r="K659">
        <v>1</v>
      </c>
      <c r="L659">
        <v>1</v>
      </c>
      <c r="M659">
        <v>1</v>
      </c>
      <c r="N659">
        <v>1</v>
      </c>
      <c r="O659">
        <v>1</v>
      </c>
      <c r="R659">
        <f t="shared" si="29"/>
        <v>55</v>
      </c>
      <c r="S659">
        <v>1</v>
      </c>
      <c r="T659">
        <v>1</v>
      </c>
      <c r="U659">
        <v>1</v>
      </c>
      <c r="V659">
        <v>1</v>
      </c>
      <c r="W659">
        <v>1</v>
      </c>
      <c r="AA659">
        <v>-8958.0210999999999</v>
      </c>
      <c r="AB659">
        <v>-8958.0210999999999</v>
      </c>
      <c r="AC659">
        <v>-8958.0210999999999</v>
      </c>
      <c r="AD659">
        <v>-8958.0210999999999</v>
      </c>
      <c r="AE659">
        <v>-8958.0210999999999</v>
      </c>
      <c r="AF659">
        <v>-1050810.2549999999</v>
      </c>
    </row>
    <row r="660" spans="2:32" x14ac:dyDescent="0.25">
      <c r="B660">
        <f t="shared" si="27"/>
        <v>56</v>
      </c>
      <c r="C660">
        <v>1</v>
      </c>
      <c r="D660">
        <v>1</v>
      </c>
      <c r="E660">
        <v>1</v>
      </c>
      <c r="F660">
        <v>1</v>
      </c>
      <c r="G660">
        <v>1</v>
      </c>
      <c r="J660">
        <f t="shared" si="28"/>
        <v>56</v>
      </c>
      <c r="K660">
        <v>1</v>
      </c>
      <c r="L660">
        <v>1</v>
      </c>
      <c r="M660">
        <v>1</v>
      </c>
      <c r="N660">
        <v>1</v>
      </c>
      <c r="O660">
        <v>1</v>
      </c>
      <c r="R660">
        <f t="shared" si="29"/>
        <v>56</v>
      </c>
      <c r="S660">
        <v>1</v>
      </c>
      <c r="T660">
        <v>1</v>
      </c>
      <c r="U660">
        <v>1</v>
      </c>
      <c r="V660">
        <v>1</v>
      </c>
      <c r="W660">
        <v>1</v>
      </c>
      <c r="AA660">
        <v>-8815.6316999999999</v>
      </c>
      <c r="AB660">
        <v>-8815.6316999999999</v>
      </c>
      <c r="AC660">
        <v>-8815.6316999999999</v>
      </c>
      <c r="AD660">
        <v>-8815.6316999999999</v>
      </c>
      <c r="AE660">
        <v>-8815.6316999999999</v>
      </c>
      <c r="AF660">
        <v>-1073295.8774000001</v>
      </c>
    </row>
    <row r="661" spans="2:32" x14ac:dyDescent="0.25">
      <c r="B661">
        <f t="shared" si="27"/>
        <v>57</v>
      </c>
      <c r="C661">
        <v>1</v>
      </c>
      <c r="D661">
        <v>1</v>
      </c>
      <c r="E661">
        <v>1</v>
      </c>
      <c r="F661">
        <v>1</v>
      </c>
      <c r="G661">
        <v>1</v>
      </c>
      <c r="J661">
        <f t="shared" si="28"/>
        <v>57</v>
      </c>
      <c r="K661">
        <v>1</v>
      </c>
      <c r="L661">
        <v>1</v>
      </c>
      <c r="M661">
        <v>1</v>
      </c>
      <c r="N661">
        <v>1</v>
      </c>
      <c r="O661">
        <v>1</v>
      </c>
      <c r="R661">
        <f t="shared" si="29"/>
        <v>57</v>
      </c>
      <c r="S661">
        <v>1</v>
      </c>
      <c r="T661">
        <v>1</v>
      </c>
      <c r="U661">
        <v>1</v>
      </c>
      <c r="V661">
        <v>1</v>
      </c>
      <c r="W661">
        <v>1</v>
      </c>
      <c r="AA661">
        <v>-8671.3991999999998</v>
      </c>
      <c r="AB661">
        <v>-8671.3991999999998</v>
      </c>
      <c r="AC661">
        <v>-8671.3991999999998</v>
      </c>
      <c r="AD661">
        <v>-8671.3991999999998</v>
      </c>
      <c r="AE661">
        <v>-8671.3991999999998</v>
      </c>
      <c r="AF661">
        <v>-1093242.6832999999</v>
      </c>
    </row>
    <row r="662" spans="2:32" x14ac:dyDescent="0.25">
      <c r="B662">
        <f t="shared" si="27"/>
        <v>58</v>
      </c>
      <c r="C662">
        <v>1</v>
      </c>
      <c r="D662">
        <v>1</v>
      </c>
      <c r="E662">
        <v>1</v>
      </c>
      <c r="F662">
        <v>1</v>
      </c>
      <c r="G662">
        <v>1</v>
      </c>
      <c r="J662">
        <f t="shared" si="28"/>
        <v>58</v>
      </c>
      <c r="K662">
        <v>1</v>
      </c>
      <c r="L662">
        <v>1</v>
      </c>
      <c r="M662">
        <v>1</v>
      </c>
      <c r="N662">
        <v>1</v>
      </c>
      <c r="O662">
        <v>1</v>
      </c>
      <c r="R662">
        <f t="shared" si="29"/>
        <v>58</v>
      </c>
      <c r="S662">
        <v>1</v>
      </c>
      <c r="T662">
        <v>1</v>
      </c>
      <c r="U662">
        <v>1</v>
      </c>
      <c r="V662">
        <v>1</v>
      </c>
      <c r="W662">
        <v>1</v>
      </c>
      <c r="AA662">
        <v>-8525.2759999999998</v>
      </c>
      <c r="AB662">
        <v>-8525.2759999999998</v>
      </c>
      <c r="AC662">
        <v>-8525.2759999999998</v>
      </c>
      <c r="AD662">
        <v>-8525.2759999999998</v>
      </c>
      <c r="AE662">
        <v>-8525.2759999999998</v>
      </c>
      <c r="AF662">
        <v>-1114366.6444000001</v>
      </c>
    </row>
    <row r="663" spans="2:32" x14ac:dyDescent="0.25">
      <c r="B663">
        <f t="shared" si="27"/>
        <v>59</v>
      </c>
      <c r="C663">
        <v>1</v>
      </c>
      <c r="D663">
        <v>1</v>
      </c>
      <c r="E663">
        <v>1</v>
      </c>
      <c r="F663">
        <v>1</v>
      </c>
      <c r="G663">
        <v>1</v>
      </c>
      <c r="J663">
        <f t="shared" si="28"/>
        <v>59</v>
      </c>
      <c r="K663">
        <v>1</v>
      </c>
      <c r="L663">
        <v>1</v>
      </c>
      <c r="M663">
        <v>1</v>
      </c>
      <c r="N663">
        <v>1</v>
      </c>
      <c r="O663">
        <v>1</v>
      </c>
      <c r="R663">
        <f t="shared" si="29"/>
        <v>59</v>
      </c>
      <c r="S663">
        <v>1</v>
      </c>
      <c r="T663">
        <v>1</v>
      </c>
      <c r="U663">
        <v>1</v>
      </c>
      <c r="V663">
        <v>1</v>
      </c>
      <c r="W663">
        <v>1</v>
      </c>
      <c r="AA663">
        <v>-8377.2351999999992</v>
      </c>
      <c r="AB663">
        <v>-8377.2351999999992</v>
      </c>
      <c r="AC663">
        <v>-8377.2351999999992</v>
      </c>
      <c r="AD663">
        <v>-8377.2351999999992</v>
      </c>
      <c r="AE663">
        <v>-8377.2351999999992</v>
      </c>
      <c r="AF663">
        <v>-1136284.0146999999</v>
      </c>
    </row>
    <row r="664" spans="2:32" x14ac:dyDescent="0.25">
      <c r="B664">
        <f t="shared" si="27"/>
        <v>60</v>
      </c>
      <c r="C664">
        <v>1</v>
      </c>
      <c r="D664">
        <v>1</v>
      </c>
      <c r="E664">
        <v>1</v>
      </c>
      <c r="F664">
        <v>1</v>
      </c>
      <c r="G664">
        <v>1</v>
      </c>
      <c r="J664">
        <f t="shared" si="28"/>
        <v>60</v>
      </c>
      <c r="K664">
        <v>1</v>
      </c>
      <c r="L664">
        <v>1</v>
      </c>
      <c r="M664">
        <v>1</v>
      </c>
      <c r="N664">
        <v>1</v>
      </c>
      <c r="O664">
        <v>1</v>
      </c>
      <c r="R664">
        <f t="shared" si="29"/>
        <v>60</v>
      </c>
      <c r="S664">
        <v>1</v>
      </c>
      <c r="T664">
        <v>1</v>
      </c>
      <c r="U664">
        <v>1</v>
      </c>
      <c r="V664">
        <v>1</v>
      </c>
      <c r="W664">
        <v>1</v>
      </c>
      <c r="AA664">
        <v>-8227.3953999999994</v>
      </c>
      <c r="AB664">
        <v>-8227.3953999999994</v>
      </c>
      <c r="AC664">
        <v>-8227.3953999999994</v>
      </c>
      <c r="AD664">
        <v>-8227.3953999999994</v>
      </c>
      <c r="AE664">
        <v>-8227.3953999999994</v>
      </c>
      <c r="AF664">
        <v>-1157801.6717999999</v>
      </c>
    </row>
    <row r="665" spans="2:32" x14ac:dyDescent="0.25">
      <c r="B665">
        <f t="shared" si="27"/>
        <v>61</v>
      </c>
      <c r="C665">
        <v>1</v>
      </c>
      <c r="D665">
        <v>1</v>
      </c>
      <c r="E665">
        <v>1</v>
      </c>
      <c r="F665">
        <v>1</v>
      </c>
      <c r="G665">
        <v>1</v>
      </c>
      <c r="J665">
        <f t="shared" si="28"/>
        <v>61</v>
      </c>
      <c r="K665">
        <v>1</v>
      </c>
      <c r="L665">
        <v>1</v>
      </c>
      <c r="M665">
        <v>1</v>
      </c>
      <c r="N665">
        <v>1</v>
      </c>
      <c r="O665">
        <v>1</v>
      </c>
      <c r="R665">
        <f t="shared" si="29"/>
        <v>61</v>
      </c>
      <c r="S665">
        <v>1</v>
      </c>
      <c r="T665">
        <v>1</v>
      </c>
      <c r="U665">
        <v>1</v>
      </c>
      <c r="V665">
        <v>1</v>
      </c>
      <c r="W665">
        <v>1</v>
      </c>
      <c r="AA665">
        <v>-8076.1778999999997</v>
      </c>
      <c r="AB665">
        <v>-8076.1778999999997</v>
      </c>
      <c r="AC665">
        <v>-8076.1778999999997</v>
      </c>
      <c r="AD665">
        <v>-8076.1778999999997</v>
      </c>
      <c r="AE665">
        <v>-8076.1778999999997</v>
      </c>
      <c r="AF665">
        <v>-1178581.4038</v>
      </c>
    </row>
    <row r="666" spans="2:32" x14ac:dyDescent="0.25">
      <c r="B666">
        <f t="shared" si="27"/>
        <v>62</v>
      </c>
      <c r="C666">
        <v>1</v>
      </c>
      <c r="D666">
        <v>1</v>
      </c>
      <c r="E666">
        <v>1</v>
      </c>
      <c r="F666">
        <v>1</v>
      </c>
      <c r="G666">
        <v>1</v>
      </c>
      <c r="J666">
        <f t="shared" si="28"/>
        <v>62</v>
      </c>
      <c r="K666">
        <v>1</v>
      </c>
      <c r="L666">
        <v>1</v>
      </c>
      <c r="M666">
        <v>1</v>
      </c>
      <c r="N666">
        <v>1</v>
      </c>
      <c r="O666">
        <v>1</v>
      </c>
      <c r="R666">
        <f t="shared" si="29"/>
        <v>62</v>
      </c>
      <c r="S666">
        <v>1</v>
      </c>
      <c r="T666">
        <v>1</v>
      </c>
      <c r="U666">
        <v>1</v>
      </c>
      <c r="V666">
        <v>1</v>
      </c>
      <c r="W666">
        <v>1</v>
      </c>
      <c r="AA666">
        <v>-7923.5816000000004</v>
      </c>
      <c r="AB666">
        <v>-7923.5816000000004</v>
      </c>
      <c r="AC666">
        <v>-7923.5816000000004</v>
      </c>
      <c r="AD666">
        <v>-7923.5816000000004</v>
      </c>
      <c r="AE666">
        <v>-7923.5816000000004</v>
      </c>
      <c r="AF666">
        <v>-1199521.5327000001</v>
      </c>
    </row>
    <row r="667" spans="2:32" x14ac:dyDescent="0.25">
      <c r="B667">
        <f t="shared" si="27"/>
        <v>63</v>
      </c>
      <c r="C667">
        <v>1</v>
      </c>
      <c r="D667">
        <v>1</v>
      </c>
      <c r="E667">
        <v>1</v>
      </c>
      <c r="F667">
        <v>1</v>
      </c>
      <c r="G667">
        <v>1</v>
      </c>
      <c r="J667">
        <f t="shared" si="28"/>
        <v>63</v>
      </c>
      <c r="K667">
        <v>1</v>
      </c>
      <c r="L667">
        <v>1</v>
      </c>
      <c r="M667">
        <v>1</v>
      </c>
      <c r="N667">
        <v>1</v>
      </c>
      <c r="O667">
        <v>1</v>
      </c>
      <c r="R667">
        <f t="shared" si="29"/>
        <v>63</v>
      </c>
      <c r="S667">
        <v>1</v>
      </c>
      <c r="T667">
        <v>1</v>
      </c>
      <c r="U667">
        <v>1</v>
      </c>
      <c r="V667">
        <v>1</v>
      </c>
      <c r="W667">
        <v>1</v>
      </c>
      <c r="AA667">
        <v>-7769.2775000000001</v>
      </c>
      <c r="AB667">
        <v>-7769.2775000000001</v>
      </c>
      <c r="AC667">
        <v>-7769.2775000000001</v>
      </c>
      <c r="AD667">
        <v>-7769.2775000000001</v>
      </c>
      <c r="AE667">
        <v>-7769.2775000000001</v>
      </c>
      <c r="AF667">
        <v>-1220461.6269</v>
      </c>
    </row>
    <row r="668" spans="2:32" x14ac:dyDescent="0.25">
      <c r="B668">
        <f t="shared" si="27"/>
        <v>64</v>
      </c>
      <c r="C668">
        <v>1</v>
      </c>
      <c r="D668">
        <v>1</v>
      </c>
      <c r="E668">
        <v>1</v>
      </c>
      <c r="F668">
        <v>1</v>
      </c>
      <c r="G668">
        <v>1</v>
      </c>
      <c r="J668">
        <f t="shared" si="28"/>
        <v>64</v>
      </c>
      <c r="K668">
        <v>1</v>
      </c>
      <c r="L668">
        <v>1</v>
      </c>
      <c r="M668">
        <v>1</v>
      </c>
      <c r="N668">
        <v>1</v>
      </c>
      <c r="O668">
        <v>1</v>
      </c>
      <c r="R668">
        <f t="shared" si="29"/>
        <v>64</v>
      </c>
      <c r="S668">
        <v>1</v>
      </c>
      <c r="T668">
        <v>1</v>
      </c>
      <c r="U668">
        <v>1</v>
      </c>
      <c r="V668">
        <v>1</v>
      </c>
      <c r="W668">
        <v>1</v>
      </c>
      <c r="AA668">
        <v>-7613.3999000000003</v>
      </c>
      <c r="AB668">
        <v>-7613.3999000000003</v>
      </c>
      <c r="AC668">
        <v>-7613.3999000000003</v>
      </c>
      <c r="AD668">
        <v>-7613.3999000000003</v>
      </c>
      <c r="AE668">
        <v>-7613.3999000000003</v>
      </c>
      <c r="AF668">
        <v>-1240652.2526</v>
      </c>
    </row>
    <row r="669" spans="2:32" x14ac:dyDescent="0.25">
      <c r="B669">
        <f t="shared" si="27"/>
        <v>65</v>
      </c>
      <c r="C669">
        <v>1</v>
      </c>
      <c r="D669">
        <v>1</v>
      </c>
      <c r="E669">
        <v>1</v>
      </c>
      <c r="F669">
        <v>1</v>
      </c>
      <c r="G669">
        <v>1</v>
      </c>
      <c r="J669">
        <f t="shared" si="28"/>
        <v>65</v>
      </c>
      <c r="K669">
        <v>1</v>
      </c>
      <c r="L669">
        <v>1</v>
      </c>
      <c r="M669">
        <v>1</v>
      </c>
      <c r="N669">
        <v>1</v>
      </c>
      <c r="O669">
        <v>1</v>
      </c>
      <c r="R669">
        <f t="shared" si="29"/>
        <v>65</v>
      </c>
      <c r="S669">
        <v>1</v>
      </c>
      <c r="T669">
        <v>1</v>
      </c>
      <c r="U669">
        <v>1</v>
      </c>
      <c r="V669">
        <v>1</v>
      </c>
      <c r="W669">
        <v>1</v>
      </c>
      <c r="AA669">
        <v>-7455.8590000000004</v>
      </c>
      <c r="AB669">
        <v>-7455.8590000000004</v>
      </c>
      <c r="AC669">
        <v>-7455.8590000000004</v>
      </c>
      <c r="AD669">
        <v>-7455.8590000000004</v>
      </c>
      <c r="AE669">
        <v>-7455.8590000000004</v>
      </c>
      <c r="AF669">
        <v>-1260049.8302</v>
      </c>
    </row>
    <row r="672" spans="2:32" x14ac:dyDescent="0.25">
      <c r="B672" t="s">
        <v>46</v>
      </c>
      <c r="C672">
        <v>50000</v>
      </c>
      <c r="D672">
        <v>100000</v>
      </c>
      <c r="E672">
        <v>250000</v>
      </c>
      <c r="F672">
        <v>500000</v>
      </c>
      <c r="G672">
        <v>1000000</v>
      </c>
      <c r="H672">
        <v>2000000</v>
      </c>
      <c r="J672" t="s">
        <v>47</v>
      </c>
      <c r="K672">
        <v>50000</v>
      </c>
      <c r="L672">
        <v>100000</v>
      </c>
      <c r="M672">
        <v>250000</v>
      </c>
      <c r="N672">
        <v>500000</v>
      </c>
      <c r="O672">
        <v>1000000</v>
      </c>
      <c r="P672">
        <v>2000000</v>
      </c>
      <c r="R672" t="s">
        <v>48</v>
      </c>
      <c r="S672">
        <v>50000</v>
      </c>
      <c r="T672">
        <v>100000</v>
      </c>
      <c r="U672">
        <v>250000</v>
      </c>
      <c r="V672">
        <v>500000</v>
      </c>
      <c r="W672">
        <v>1000000</v>
      </c>
      <c r="X672">
        <v>2000000</v>
      </c>
    </row>
    <row r="673" spans="2:32" x14ac:dyDescent="0.25">
      <c r="B673">
        <v>26</v>
      </c>
      <c r="C673">
        <v>1</v>
      </c>
      <c r="D673">
        <v>1</v>
      </c>
      <c r="E673">
        <v>1</v>
      </c>
      <c r="F673">
        <v>1</v>
      </c>
      <c r="G673">
        <v>1</v>
      </c>
      <c r="H673">
        <v>1</v>
      </c>
      <c r="J673">
        <v>26</v>
      </c>
      <c r="K673">
        <v>1</v>
      </c>
      <c r="L673">
        <v>1</v>
      </c>
      <c r="M673">
        <v>1</v>
      </c>
      <c r="N673">
        <v>1</v>
      </c>
      <c r="O673">
        <v>1</v>
      </c>
      <c r="P673">
        <v>1</v>
      </c>
      <c r="R673">
        <v>26</v>
      </c>
      <c r="S673">
        <v>1</v>
      </c>
      <c r="T673">
        <v>1</v>
      </c>
      <c r="U673">
        <v>1</v>
      </c>
      <c r="V673">
        <v>1</v>
      </c>
      <c r="W673">
        <v>1</v>
      </c>
      <c r="X673">
        <v>1</v>
      </c>
      <c r="AA673">
        <v>-7435.5060999999996</v>
      </c>
      <c r="AB673">
        <v>-7435.5060999999996</v>
      </c>
      <c r="AC673">
        <v>-7435.5060999999996</v>
      </c>
      <c r="AD673">
        <v>-7435.5060999999996</v>
      </c>
      <c r="AE673">
        <v>-7435.5060999999996</v>
      </c>
      <c r="AF673">
        <v>-7435.5060999999996</v>
      </c>
    </row>
    <row r="674" spans="2:32" x14ac:dyDescent="0.25">
      <c r="B674">
        <v>27</v>
      </c>
      <c r="C674">
        <v>1</v>
      </c>
      <c r="D674">
        <v>1</v>
      </c>
      <c r="E674">
        <v>1</v>
      </c>
      <c r="F674">
        <v>1</v>
      </c>
      <c r="G674">
        <v>1</v>
      </c>
      <c r="H674">
        <v>1</v>
      </c>
      <c r="J674">
        <v>27</v>
      </c>
      <c r="K674">
        <v>1</v>
      </c>
      <c r="L674">
        <v>1</v>
      </c>
      <c r="M674">
        <v>1</v>
      </c>
      <c r="N674">
        <v>1</v>
      </c>
      <c r="O674">
        <v>1</v>
      </c>
      <c r="P674">
        <v>1</v>
      </c>
      <c r="R674">
        <v>27</v>
      </c>
      <c r="S674">
        <v>1</v>
      </c>
      <c r="T674">
        <v>1</v>
      </c>
      <c r="U674">
        <v>1</v>
      </c>
      <c r="V674">
        <v>1</v>
      </c>
      <c r="W674">
        <v>1</v>
      </c>
      <c r="X674">
        <v>1</v>
      </c>
      <c r="AA674">
        <v>-7434.2619000000004</v>
      </c>
      <c r="AB674">
        <v>-7434.2619000000004</v>
      </c>
      <c r="AC674">
        <v>-7434.2619000000004</v>
      </c>
      <c r="AD674">
        <v>-7434.2619000000004</v>
      </c>
      <c r="AE674">
        <v>-7434.2619000000004</v>
      </c>
      <c r="AF674">
        <v>-7434.2619000000004</v>
      </c>
    </row>
    <row r="675" spans="2:32" x14ac:dyDescent="0.25">
      <c r="B675">
        <v>28</v>
      </c>
      <c r="C675">
        <v>1</v>
      </c>
      <c r="D675">
        <v>1</v>
      </c>
      <c r="E675">
        <v>1</v>
      </c>
      <c r="F675">
        <v>1</v>
      </c>
      <c r="G675">
        <v>1</v>
      </c>
      <c r="H675">
        <v>1</v>
      </c>
      <c r="J675">
        <v>28</v>
      </c>
      <c r="K675">
        <v>1</v>
      </c>
      <c r="L675">
        <v>1</v>
      </c>
      <c r="M675">
        <v>1</v>
      </c>
      <c r="N675">
        <v>1</v>
      </c>
      <c r="O675">
        <v>1</v>
      </c>
      <c r="P675">
        <v>1</v>
      </c>
      <c r="R675">
        <v>28</v>
      </c>
      <c r="S675">
        <v>1</v>
      </c>
      <c r="T675">
        <v>1</v>
      </c>
      <c r="U675">
        <v>1</v>
      </c>
      <c r="V675">
        <v>1</v>
      </c>
      <c r="W675">
        <v>1</v>
      </c>
      <c r="X675">
        <v>1</v>
      </c>
      <c r="AA675">
        <v>-7432.8334999999997</v>
      </c>
      <c r="AB675">
        <v>-7432.8334999999997</v>
      </c>
      <c r="AC675">
        <v>-7432.8334999999997</v>
      </c>
      <c r="AD675">
        <v>-7432.8334999999997</v>
      </c>
      <c r="AE675">
        <v>-7432.8334999999997</v>
      </c>
      <c r="AF675">
        <v>-7432.8334999999997</v>
      </c>
    </row>
    <row r="676" spans="2:32" x14ac:dyDescent="0.25">
      <c r="B676">
        <v>29</v>
      </c>
      <c r="C676">
        <v>1</v>
      </c>
      <c r="D676">
        <v>1</v>
      </c>
      <c r="E676">
        <v>1</v>
      </c>
      <c r="F676">
        <v>1</v>
      </c>
      <c r="G676">
        <v>1</v>
      </c>
      <c r="H676">
        <v>1</v>
      </c>
      <c r="J676">
        <v>29</v>
      </c>
      <c r="K676">
        <v>1</v>
      </c>
      <c r="L676">
        <v>1</v>
      </c>
      <c r="M676">
        <v>1</v>
      </c>
      <c r="N676">
        <v>1</v>
      </c>
      <c r="O676">
        <v>1</v>
      </c>
      <c r="P676">
        <v>1</v>
      </c>
      <c r="R676">
        <v>29</v>
      </c>
      <c r="S676">
        <v>1</v>
      </c>
      <c r="T676">
        <v>1</v>
      </c>
      <c r="U676">
        <v>1</v>
      </c>
      <c r="V676">
        <v>1</v>
      </c>
      <c r="W676">
        <v>1</v>
      </c>
      <c r="X676">
        <v>1</v>
      </c>
      <c r="AA676">
        <v>-7431.2058999999999</v>
      </c>
      <c r="AB676">
        <v>-7431.2058999999999</v>
      </c>
      <c r="AC676">
        <v>-7431.2058999999999</v>
      </c>
      <c r="AD676">
        <v>-7431.2058999999999</v>
      </c>
      <c r="AE676">
        <v>-7431.2058999999999</v>
      </c>
      <c r="AF676">
        <v>-7431.2058999999999</v>
      </c>
    </row>
    <row r="677" spans="2:32" x14ac:dyDescent="0.25">
      <c r="B677">
        <v>30</v>
      </c>
      <c r="C677">
        <v>1</v>
      </c>
      <c r="D677">
        <v>1</v>
      </c>
      <c r="E677">
        <v>1</v>
      </c>
      <c r="F677">
        <v>1</v>
      </c>
      <c r="G677">
        <v>1</v>
      </c>
      <c r="H677">
        <v>1</v>
      </c>
      <c r="J677">
        <v>30</v>
      </c>
      <c r="K677">
        <v>1</v>
      </c>
      <c r="L677">
        <v>1</v>
      </c>
      <c r="M677">
        <v>1</v>
      </c>
      <c r="N677">
        <v>1</v>
      </c>
      <c r="O677">
        <v>1</v>
      </c>
      <c r="P677">
        <v>1</v>
      </c>
      <c r="R677">
        <v>30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AA677">
        <v>-7429.3476000000001</v>
      </c>
      <c r="AB677">
        <v>-7429.3476000000001</v>
      </c>
      <c r="AC677">
        <v>-7429.3476000000001</v>
      </c>
      <c r="AD677">
        <v>-7429.3476000000001</v>
      </c>
      <c r="AE677">
        <v>-7429.3476000000001</v>
      </c>
      <c r="AF677">
        <v>-7429.3476000000001</v>
      </c>
    </row>
    <row r="678" spans="2:32" x14ac:dyDescent="0.25">
      <c r="B678">
        <v>31</v>
      </c>
      <c r="C678">
        <v>1</v>
      </c>
      <c r="D678">
        <v>1</v>
      </c>
      <c r="E678">
        <v>1</v>
      </c>
      <c r="F678">
        <v>1</v>
      </c>
      <c r="G678">
        <v>1</v>
      </c>
      <c r="H678">
        <v>1</v>
      </c>
      <c r="J678">
        <v>31</v>
      </c>
      <c r="K678">
        <v>1</v>
      </c>
      <c r="L678">
        <v>1</v>
      </c>
      <c r="M678">
        <v>1</v>
      </c>
      <c r="N678">
        <v>1</v>
      </c>
      <c r="O678">
        <v>1</v>
      </c>
      <c r="P678">
        <v>1</v>
      </c>
      <c r="R678">
        <v>31</v>
      </c>
      <c r="S678">
        <v>1</v>
      </c>
      <c r="T678">
        <v>1</v>
      </c>
      <c r="U678">
        <v>1</v>
      </c>
      <c r="V678">
        <v>1</v>
      </c>
      <c r="W678">
        <v>1</v>
      </c>
      <c r="X678">
        <v>1</v>
      </c>
      <c r="AA678">
        <v>-7427.2446</v>
      </c>
      <c r="AB678">
        <v>-7427.2446</v>
      </c>
      <c r="AC678">
        <v>-7427.2446</v>
      </c>
      <c r="AD678">
        <v>-7427.2446</v>
      </c>
      <c r="AE678">
        <v>-7427.2446</v>
      </c>
      <c r="AF678">
        <v>-7427.2446</v>
      </c>
    </row>
    <row r="679" spans="2:32" x14ac:dyDescent="0.25">
      <c r="B679">
        <v>32</v>
      </c>
      <c r="C679">
        <v>1</v>
      </c>
      <c r="D679">
        <v>1</v>
      </c>
      <c r="E679">
        <v>1</v>
      </c>
      <c r="F679">
        <v>1</v>
      </c>
      <c r="G679">
        <v>1</v>
      </c>
      <c r="H679">
        <v>1</v>
      </c>
      <c r="J679">
        <v>32</v>
      </c>
      <c r="K679">
        <v>1</v>
      </c>
      <c r="L679">
        <v>1</v>
      </c>
      <c r="M679">
        <v>1</v>
      </c>
      <c r="N679">
        <v>1</v>
      </c>
      <c r="O679">
        <v>1</v>
      </c>
      <c r="P679">
        <v>1</v>
      </c>
      <c r="R679">
        <v>32</v>
      </c>
      <c r="S679">
        <v>1</v>
      </c>
      <c r="T679">
        <v>1</v>
      </c>
      <c r="U679">
        <v>1</v>
      </c>
      <c r="V679">
        <v>1</v>
      </c>
      <c r="W679">
        <v>1</v>
      </c>
      <c r="X679">
        <v>1</v>
      </c>
      <c r="AA679">
        <v>-7424.8944000000001</v>
      </c>
      <c r="AB679">
        <v>-7424.8944000000001</v>
      </c>
      <c r="AC679">
        <v>-7424.8944000000001</v>
      </c>
      <c r="AD679">
        <v>-7424.8944000000001</v>
      </c>
      <c r="AE679">
        <v>-7424.8944000000001</v>
      </c>
      <c r="AF679">
        <v>-7424.8944000000001</v>
      </c>
    </row>
    <row r="680" spans="2:32" x14ac:dyDescent="0.25">
      <c r="B680">
        <v>33</v>
      </c>
      <c r="C680">
        <v>1</v>
      </c>
      <c r="D680">
        <v>1</v>
      </c>
      <c r="E680">
        <v>1</v>
      </c>
      <c r="F680">
        <v>1</v>
      </c>
      <c r="G680">
        <v>1</v>
      </c>
      <c r="H680">
        <v>1</v>
      </c>
      <c r="J680">
        <v>33</v>
      </c>
      <c r="K680">
        <v>1</v>
      </c>
      <c r="L680">
        <v>1</v>
      </c>
      <c r="M680">
        <v>1</v>
      </c>
      <c r="N680">
        <v>1</v>
      </c>
      <c r="O680">
        <v>1</v>
      </c>
      <c r="P680">
        <v>1</v>
      </c>
      <c r="R680">
        <v>33</v>
      </c>
      <c r="S680">
        <v>1</v>
      </c>
      <c r="T680">
        <v>1</v>
      </c>
      <c r="U680">
        <v>1</v>
      </c>
      <c r="V680">
        <v>1</v>
      </c>
      <c r="W680">
        <v>1</v>
      </c>
      <c r="X680">
        <v>1</v>
      </c>
      <c r="AA680">
        <v>-7422.2834000000003</v>
      </c>
      <c r="AB680">
        <v>-7422.2834000000003</v>
      </c>
      <c r="AC680">
        <v>-7422.2834000000003</v>
      </c>
      <c r="AD680">
        <v>-7422.2834000000003</v>
      </c>
      <c r="AE680">
        <v>-7422.2834000000003</v>
      </c>
      <c r="AF680">
        <v>-7422.2834000000003</v>
      </c>
    </row>
    <row r="681" spans="2:32" x14ac:dyDescent="0.25">
      <c r="B681">
        <v>34</v>
      </c>
      <c r="C681">
        <v>1</v>
      </c>
      <c r="D681">
        <v>1</v>
      </c>
      <c r="E681">
        <v>1</v>
      </c>
      <c r="F681">
        <v>1</v>
      </c>
      <c r="G681">
        <v>1</v>
      </c>
      <c r="H681">
        <v>1</v>
      </c>
      <c r="J681">
        <v>34</v>
      </c>
      <c r="K681">
        <v>1</v>
      </c>
      <c r="L681">
        <v>1</v>
      </c>
      <c r="M681">
        <v>1</v>
      </c>
      <c r="N681">
        <v>1</v>
      </c>
      <c r="O681">
        <v>1</v>
      </c>
      <c r="P681">
        <v>1</v>
      </c>
      <c r="R681">
        <v>34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AA681">
        <v>-7419.3683000000001</v>
      </c>
      <c r="AB681">
        <v>-7419.3683000000001</v>
      </c>
      <c r="AC681">
        <v>-7419.3683000000001</v>
      </c>
      <c r="AD681">
        <v>-7419.3683000000001</v>
      </c>
      <c r="AE681">
        <v>-7419.3683000000001</v>
      </c>
      <c r="AF681">
        <v>-7419.3683000000001</v>
      </c>
    </row>
    <row r="682" spans="2:32" x14ac:dyDescent="0.25">
      <c r="B682">
        <v>35</v>
      </c>
      <c r="C682">
        <v>1</v>
      </c>
      <c r="D682">
        <v>1</v>
      </c>
      <c r="E682">
        <v>1</v>
      </c>
      <c r="F682">
        <v>1</v>
      </c>
      <c r="G682">
        <v>1</v>
      </c>
      <c r="H682">
        <v>1</v>
      </c>
      <c r="J682">
        <v>35</v>
      </c>
      <c r="K682">
        <v>1</v>
      </c>
      <c r="L682">
        <v>1</v>
      </c>
      <c r="M682">
        <v>1</v>
      </c>
      <c r="N682">
        <v>1</v>
      </c>
      <c r="O682">
        <v>1</v>
      </c>
      <c r="P682">
        <v>1</v>
      </c>
      <c r="R682">
        <v>35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AA682">
        <v>-7416.1363000000001</v>
      </c>
      <c r="AB682">
        <v>-7416.1363000000001</v>
      </c>
      <c r="AC682">
        <v>-7416.1363000000001</v>
      </c>
      <c r="AD682">
        <v>-7416.1363000000001</v>
      </c>
      <c r="AE682">
        <v>-7416.1363000000001</v>
      </c>
      <c r="AF682">
        <v>-7416.1363000000001</v>
      </c>
    </row>
    <row r="683" spans="2:32" x14ac:dyDescent="0.25">
      <c r="B683">
        <v>36</v>
      </c>
      <c r="C683">
        <v>1</v>
      </c>
      <c r="D683">
        <v>1</v>
      </c>
      <c r="E683">
        <v>1</v>
      </c>
      <c r="F683">
        <v>1</v>
      </c>
      <c r="G683">
        <v>1</v>
      </c>
      <c r="H683">
        <v>1</v>
      </c>
      <c r="J683">
        <v>36</v>
      </c>
      <c r="K683">
        <v>1</v>
      </c>
      <c r="L683">
        <v>1</v>
      </c>
      <c r="M683">
        <v>1</v>
      </c>
      <c r="N683">
        <v>1</v>
      </c>
      <c r="O683">
        <v>1</v>
      </c>
      <c r="P683">
        <v>1</v>
      </c>
      <c r="R683">
        <v>36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AA683">
        <v>-7412.5378000000001</v>
      </c>
      <c r="AB683">
        <v>-7412.5378000000001</v>
      </c>
      <c r="AC683">
        <v>-7412.5378000000001</v>
      </c>
      <c r="AD683">
        <v>-7412.5378000000001</v>
      </c>
      <c r="AE683">
        <v>-7412.5378000000001</v>
      </c>
      <c r="AF683">
        <v>-7412.5378000000001</v>
      </c>
    </row>
    <row r="684" spans="2:32" x14ac:dyDescent="0.25">
      <c r="B684">
        <v>37</v>
      </c>
      <c r="C684">
        <v>1</v>
      </c>
      <c r="D684">
        <v>1</v>
      </c>
      <c r="E684">
        <v>1</v>
      </c>
      <c r="F684">
        <v>1</v>
      </c>
      <c r="G684">
        <v>1</v>
      </c>
      <c r="H684">
        <v>1</v>
      </c>
      <c r="J684">
        <v>37</v>
      </c>
      <c r="K684">
        <v>1</v>
      </c>
      <c r="L684">
        <v>1</v>
      </c>
      <c r="M684">
        <v>1</v>
      </c>
      <c r="N684">
        <v>1</v>
      </c>
      <c r="O684">
        <v>1</v>
      </c>
      <c r="P684">
        <v>1</v>
      </c>
      <c r="R684">
        <v>37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AA684">
        <v>-7408.55</v>
      </c>
      <c r="AB684">
        <v>-7408.55</v>
      </c>
      <c r="AC684">
        <v>-7408.55</v>
      </c>
      <c r="AD684">
        <v>-7408.55</v>
      </c>
      <c r="AE684">
        <v>-7408.55</v>
      </c>
      <c r="AF684">
        <v>-7408.55</v>
      </c>
    </row>
    <row r="685" spans="2:32" x14ac:dyDescent="0.25">
      <c r="B685">
        <v>38</v>
      </c>
      <c r="C685">
        <v>1</v>
      </c>
      <c r="D685">
        <v>1</v>
      </c>
      <c r="E685">
        <v>1</v>
      </c>
      <c r="F685">
        <v>1</v>
      </c>
      <c r="G685">
        <v>1</v>
      </c>
      <c r="H685">
        <v>1</v>
      </c>
      <c r="J685">
        <v>38</v>
      </c>
      <c r="K685">
        <v>1</v>
      </c>
      <c r="L685">
        <v>1</v>
      </c>
      <c r="M685">
        <v>1</v>
      </c>
      <c r="N685">
        <v>1</v>
      </c>
      <c r="O685">
        <v>1</v>
      </c>
      <c r="P685">
        <v>1</v>
      </c>
      <c r="R685">
        <v>38</v>
      </c>
      <c r="S685">
        <v>1</v>
      </c>
      <c r="T685">
        <v>1</v>
      </c>
      <c r="U685">
        <v>1</v>
      </c>
      <c r="V685">
        <v>1</v>
      </c>
      <c r="W685">
        <v>1</v>
      </c>
      <c r="X685">
        <v>1</v>
      </c>
      <c r="AA685">
        <v>-7404.1752999999999</v>
      </c>
      <c r="AB685">
        <v>-7404.1752999999999</v>
      </c>
      <c r="AC685">
        <v>-7404.1752999999999</v>
      </c>
      <c r="AD685">
        <v>-7404.1752999999999</v>
      </c>
      <c r="AE685">
        <v>-7404.1752999999999</v>
      </c>
      <c r="AF685">
        <v>-7404.1752999999999</v>
      </c>
    </row>
    <row r="686" spans="2:32" x14ac:dyDescent="0.25">
      <c r="B686">
        <v>39</v>
      </c>
      <c r="C686">
        <v>1</v>
      </c>
      <c r="D686">
        <v>1</v>
      </c>
      <c r="E686">
        <v>1</v>
      </c>
      <c r="F686">
        <v>1</v>
      </c>
      <c r="G686">
        <v>1</v>
      </c>
      <c r="H686">
        <v>1</v>
      </c>
      <c r="J686">
        <v>39</v>
      </c>
      <c r="K686">
        <v>1</v>
      </c>
      <c r="L686">
        <v>1</v>
      </c>
      <c r="M686">
        <v>1</v>
      </c>
      <c r="N686">
        <v>1</v>
      </c>
      <c r="O686">
        <v>1</v>
      </c>
      <c r="P686">
        <v>1</v>
      </c>
      <c r="R686">
        <v>39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AA686">
        <v>-7399.3923999999997</v>
      </c>
      <c r="AB686">
        <v>-7399.3923999999997</v>
      </c>
      <c r="AC686">
        <v>-7399.3923999999997</v>
      </c>
      <c r="AD686">
        <v>-7399.3923999999997</v>
      </c>
      <c r="AE686">
        <v>-7399.3923999999997</v>
      </c>
      <c r="AF686">
        <v>-7399.3923999999997</v>
      </c>
    </row>
    <row r="687" spans="2:32" x14ac:dyDescent="0.25">
      <c r="B687">
        <v>40</v>
      </c>
      <c r="C687">
        <v>1</v>
      </c>
      <c r="D687">
        <v>1</v>
      </c>
      <c r="E687">
        <v>1</v>
      </c>
      <c r="F687">
        <v>1</v>
      </c>
      <c r="G687">
        <v>1</v>
      </c>
      <c r="H687">
        <v>1</v>
      </c>
      <c r="J687">
        <v>40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1</v>
      </c>
      <c r="R687">
        <v>40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AA687">
        <v>-7394.1365999999998</v>
      </c>
      <c r="AB687">
        <v>-7394.1365999999998</v>
      </c>
      <c r="AC687">
        <v>-7394.1365999999998</v>
      </c>
      <c r="AD687">
        <v>-7394.1365999999998</v>
      </c>
      <c r="AE687">
        <v>-7394.1365999999998</v>
      </c>
      <c r="AF687">
        <v>-7394.1365999999998</v>
      </c>
    </row>
    <row r="688" spans="2:32" x14ac:dyDescent="0.25">
      <c r="B688">
        <v>41</v>
      </c>
      <c r="C688">
        <v>1</v>
      </c>
      <c r="D688">
        <v>1</v>
      </c>
      <c r="E688">
        <v>1</v>
      </c>
      <c r="F688">
        <v>1</v>
      </c>
      <c r="G688">
        <v>1</v>
      </c>
      <c r="H688">
        <v>1</v>
      </c>
      <c r="J688">
        <v>41</v>
      </c>
      <c r="K688">
        <v>1</v>
      </c>
      <c r="L688">
        <v>1</v>
      </c>
      <c r="M688">
        <v>1</v>
      </c>
      <c r="N688">
        <v>1</v>
      </c>
      <c r="O688">
        <v>1</v>
      </c>
      <c r="P688">
        <v>1</v>
      </c>
      <c r="R688">
        <v>41</v>
      </c>
      <c r="S688">
        <v>1</v>
      </c>
      <c r="T688">
        <v>1</v>
      </c>
      <c r="U688">
        <v>1</v>
      </c>
      <c r="V688">
        <v>1</v>
      </c>
      <c r="W688">
        <v>1</v>
      </c>
      <c r="X688">
        <v>1</v>
      </c>
      <c r="AA688">
        <v>-7388.3469999999998</v>
      </c>
      <c r="AB688">
        <v>-7388.3469999999998</v>
      </c>
      <c r="AC688">
        <v>-7388.3469999999998</v>
      </c>
      <c r="AD688">
        <v>-7388.3469999999998</v>
      </c>
      <c r="AE688">
        <v>-7388.3469999999998</v>
      </c>
      <c r="AF688">
        <v>-7388.3469999999998</v>
      </c>
    </row>
    <row r="689" spans="2:32" x14ac:dyDescent="0.25">
      <c r="B689">
        <v>42</v>
      </c>
      <c r="C689">
        <v>1</v>
      </c>
      <c r="D689">
        <v>1</v>
      </c>
      <c r="E689">
        <v>1</v>
      </c>
      <c r="F689">
        <v>1</v>
      </c>
      <c r="G689">
        <v>1</v>
      </c>
      <c r="H689">
        <v>1</v>
      </c>
      <c r="J689">
        <v>42</v>
      </c>
      <c r="K689">
        <v>1</v>
      </c>
      <c r="L689">
        <v>1</v>
      </c>
      <c r="M689">
        <v>1</v>
      </c>
      <c r="N689">
        <v>1</v>
      </c>
      <c r="O689">
        <v>1</v>
      </c>
      <c r="P689">
        <v>1</v>
      </c>
      <c r="R689">
        <v>42</v>
      </c>
      <c r="S689">
        <v>1</v>
      </c>
      <c r="T689">
        <v>1</v>
      </c>
      <c r="U689">
        <v>1</v>
      </c>
      <c r="V689">
        <v>1</v>
      </c>
      <c r="W689">
        <v>1</v>
      </c>
      <c r="X689">
        <v>1</v>
      </c>
      <c r="AA689">
        <v>-7381.9919</v>
      </c>
      <c r="AB689">
        <v>-7381.9919</v>
      </c>
      <c r="AC689">
        <v>-7381.9919</v>
      </c>
      <c r="AD689">
        <v>-7381.9919</v>
      </c>
      <c r="AE689">
        <v>-7381.9919</v>
      </c>
      <c r="AF689">
        <v>-7381.9919</v>
      </c>
    </row>
    <row r="690" spans="2:32" x14ac:dyDescent="0.25">
      <c r="B690">
        <v>43</v>
      </c>
      <c r="C690">
        <v>1</v>
      </c>
      <c r="D690">
        <v>1</v>
      </c>
      <c r="E690">
        <v>1</v>
      </c>
      <c r="F690">
        <v>1</v>
      </c>
      <c r="G690">
        <v>1</v>
      </c>
      <c r="H690">
        <v>1</v>
      </c>
      <c r="J690">
        <v>43</v>
      </c>
      <c r="K690">
        <v>1</v>
      </c>
      <c r="L690">
        <v>1</v>
      </c>
      <c r="M690">
        <v>1</v>
      </c>
      <c r="N690">
        <v>1</v>
      </c>
      <c r="O690">
        <v>1</v>
      </c>
      <c r="P690">
        <v>1</v>
      </c>
      <c r="R690">
        <v>43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AA690">
        <v>-7374.9579999999996</v>
      </c>
      <c r="AB690">
        <v>-7374.9579999999996</v>
      </c>
      <c r="AC690">
        <v>-7374.9579999999996</v>
      </c>
      <c r="AD690">
        <v>-7374.9579999999996</v>
      </c>
      <c r="AE690">
        <v>-7374.9579999999996</v>
      </c>
      <c r="AF690">
        <v>-7374.9579999999996</v>
      </c>
    </row>
    <row r="691" spans="2:32" x14ac:dyDescent="0.25">
      <c r="B691">
        <v>44</v>
      </c>
      <c r="C691">
        <v>1</v>
      </c>
      <c r="D691">
        <v>1</v>
      </c>
      <c r="E691">
        <v>1</v>
      </c>
      <c r="F691">
        <v>1</v>
      </c>
      <c r="G691">
        <v>1</v>
      </c>
      <c r="H691">
        <v>1</v>
      </c>
      <c r="J691">
        <v>44</v>
      </c>
      <c r="K691">
        <v>1</v>
      </c>
      <c r="L691">
        <v>1</v>
      </c>
      <c r="M691">
        <v>1</v>
      </c>
      <c r="N691">
        <v>1</v>
      </c>
      <c r="O691">
        <v>1</v>
      </c>
      <c r="P691">
        <v>1</v>
      </c>
      <c r="R691">
        <v>44</v>
      </c>
      <c r="S691">
        <v>1</v>
      </c>
      <c r="T691">
        <v>1</v>
      </c>
      <c r="U691">
        <v>1</v>
      </c>
      <c r="V691">
        <v>1</v>
      </c>
      <c r="W691">
        <v>1</v>
      </c>
      <c r="X691">
        <v>1</v>
      </c>
      <c r="AA691">
        <v>-7367.2034999999996</v>
      </c>
      <c r="AB691">
        <v>-7367.2034999999996</v>
      </c>
      <c r="AC691">
        <v>-7367.2034999999996</v>
      </c>
      <c r="AD691">
        <v>-7367.2034999999996</v>
      </c>
      <c r="AE691">
        <v>-7367.2034999999996</v>
      </c>
      <c r="AF691">
        <v>-7367.2034999999996</v>
      </c>
    </row>
    <row r="692" spans="2:32" x14ac:dyDescent="0.25">
      <c r="B692">
        <v>45</v>
      </c>
      <c r="C692">
        <v>1</v>
      </c>
      <c r="D692">
        <v>1</v>
      </c>
      <c r="E692">
        <v>1</v>
      </c>
      <c r="F692">
        <v>1</v>
      </c>
      <c r="G692">
        <v>1</v>
      </c>
      <c r="H692">
        <v>1</v>
      </c>
      <c r="J692">
        <v>45</v>
      </c>
      <c r="K692">
        <v>1</v>
      </c>
      <c r="L692">
        <v>1</v>
      </c>
      <c r="M692">
        <v>1</v>
      </c>
      <c r="N692">
        <v>1</v>
      </c>
      <c r="O692">
        <v>1</v>
      </c>
      <c r="P692">
        <v>1</v>
      </c>
      <c r="R692">
        <v>45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AA692">
        <v>-7358.6491999999998</v>
      </c>
      <c r="AB692">
        <v>-7358.6491999999998</v>
      </c>
      <c r="AC692">
        <v>-7358.6491999999998</v>
      </c>
      <c r="AD692">
        <v>-7358.6491999999998</v>
      </c>
      <c r="AE692">
        <v>-7358.6491999999998</v>
      </c>
      <c r="AF692">
        <v>-7358.6491999999998</v>
      </c>
    </row>
    <row r="693" spans="2:32" x14ac:dyDescent="0.25">
      <c r="B693">
        <v>46</v>
      </c>
      <c r="C693">
        <v>1</v>
      </c>
      <c r="D693">
        <v>1</v>
      </c>
      <c r="E693">
        <v>1</v>
      </c>
      <c r="F693">
        <v>1</v>
      </c>
      <c r="G693">
        <v>1</v>
      </c>
      <c r="H693">
        <v>1</v>
      </c>
      <c r="J693">
        <v>46</v>
      </c>
      <c r="K693">
        <v>1</v>
      </c>
      <c r="L693">
        <v>1</v>
      </c>
      <c r="M693">
        <v>1</v>
      </c>
      <c r="N693">
        <v>1</v>
      </c>
      <c r="O693">
        <v>1</v>
      </c>
      <c r="P693">
        <v>1</v>
      </c>
      <c r="R693">
        <v>46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AA693">
        <v>-7349.2232000000004</v>
      </c>
      <c r="AB693">
        <v>-7349.2232000000004</v>
      </c>
      <c r="AC693">
        <v>-7349.2232000000004</v>
      </c>
      <c r="AD693">
        <v>-7349.2232000000004</v>
      </c>
      <c r="AE693">
        <v>-7349.2232000000004</v>
      </c>
      <c r="AF693">
        <v>-7349.2232000000004</v>
      </c>
    </row>
    <row r="694" spans="2:32" x14ac:dyDescent="0.25">
      <c r="B694">
        <v>47</v>
      </c>
      <c r="C694">
        <v>1</v>
      </c>
      <c r="D694">
        <v>1</v>
      </c>
      <c r="E694">
        <v>1</v>
      </c>
      <c r="F694">
        <v>1</v>
      </c>
      <c r="G694">
        <v>1</v>
      </c>
      <c r="H694">
        <v>1</v>
      </c>
      <c r="J694">
        <v>47</v>
      </c>
      <c r="K694">
        <v>1</v>
      </c>
      <c r="L694">
        <v>1</v>
      </c>
      <c r="M694">
        <v>1</v>
      </c>
      <c r="N694">
        <v>1</v>
      </c>
      <c r="O694">
        <v>1</v>
      </c>
      <c r="P694">
        <v>1</v>
      </c>
      <c r="R694">
        <v>47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AA694">
        <v>-7338.8310000000001</v>
      </c>
      <c r="AB694">
        <v>-7338.8310000000001</v>
      </c>
      <c r="AC694">
        <v>-7338.8310000000001</v>
      </c>
      <c r="AD694">
        <v>-7338.8310000000001</v>
      </c>
      <c r="AE694">
        <v>-7338.8310000000001</v>
      </c>
      <c r="AF694">
        <v>-7338.8310000000001</v>
      </c>
    </row>
    <row r="695" spans="2:32" x14ac:dyDescent="0.25">
      <c r="B695">
        <v>48</v>
      </c>
      <c r="C695">
        <v>1</v>
      </c>
      <c r="D695">
        <v>1</v>
      </c>
      <c r="E695">
        <v>1</v>
      </c>
      <c r="F695">
        <v>1</v>
      </c>
      <c r="G695">
        <v>1</v>
      </c>
      <c r="H695">
        <v>1</v>
      </c>
      <c r="J695">
        <v>48</v>
      </c>
      <c r="K695">
        <v>1</v>
      </c>
      <c r="L695">
        <v>1</v>
      </c>
      <c r="M695">
        <v>1</v>
      </c>
      <c r="N695">
        <v>1</v>
      </c>
      <c r="O695">
        <v>1</v>
      </c>
      <c r="P695">
        <v>1</v>
      </c>
      <c r="R695">
        <v>48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AA695">
        <v>-7327.4297999999999</v>
      </c>
      <c r="AB695">
        <v>-7327.4297999999999</v>
      </c>
      <c r="AC695">
        <v>-7327.4297999999999</v>
      </c>
      <c r="AD695">
        <v>-7327.4297999999999</v>
      </c>
      <c r="AE695">
        <v>-7327.4297999999999</v>
      </c>
      <c r="AF695">
        <v>-7327.4297999999999</v>
      </c>
    </row>
    <row r="696" spans="2:32" x14ac:dyDescent="0.25">
      <c r="B696">
        <v>49</v>
      </c>
      <c r="C696">
        <v>1</v>
      </c>
      <c r="D696">
        <v>1</v>
      </c>
      <c r="E696">
        <v>1</v>
      </c>
      <c r="F696">
        <v>1</v>
      </c>
      <c r="G696">
        <v>1</v>
      </c>
      <c r="H696">
        <v>1</v>
      </c>
      <c r="J696">
        <v>49</v>
      </c>
      <c r="K696">
        <v>1</v>
      </c>
      <c r="L696">
        <v>1</v>
      </c>
      <c r="M696">
        <v>1</v>
      </c>
      <c r="N696">
        <v>1</v>
      </c>
      <c r="O696">
        <v>1</v>
      </c>
      <c r="P696">
        <v>1</v>
      </c>
      <c r="R696">
        <v>49</v>
      </c>
      <c r="S696">
        <v>1</v>
      </c>
      <c r="T696">
        <v>1</v>
      </c>
      <c r="U696">
        <v>1</v>
      </c>
      <c r="V696">
        <v>1</v>
      </c>
      <c r="W696">
        <v>1</v>
      </c>
      <c r="X696">
        <v>1</v>
      </c>
      <c r="AA696">
        <v>-7314.951</v>
      </c>
      <c r="AB696">
        <v>-7314.951</v>
      </c>
      <c r="AC696">
        <v>-7314.951</v>
      </c>
      <c r="AD696">
        <v>-7314.951</v>
      </c>
      <c r="AE696">
        <v>-7314.951</v>
      </c>
      <c r="AF696">
        <v>-7314.951</v>
      </c>
    </row>
    <row r="697" spans="2:32" x14ac:dyDescent="0.25">
      <c r="B697">
        <v>50</v>
      </c>
      <c r="C697">
        <v>1</v>
      </c>
      <c r="D697">
        <v>1</v>
      </c>
      <c r="E697">
        <v>1</v>
      </c>
      <c r="F697">
        <v>1</v>
      </c>
      <c r="G697">
        <v>1</v>
      </c>
      <c r="H697">
        <v>1</v>
      </c>
      <c r="J697">
        <v>50</v>
      </c>
      <c r="K697">
        <v>1</v>
      </c>
      <c r="L697">
        <v>1</v>
      </c>
      <c r="M697">
        <v>1</v>
      </c>
      <c r="N697">
        <v>1</v>
      </c>
      <c r="O697">
        <v>1</v>
      </c>
      <c r="P697">
        <v>1</v>
      </c>
      <c r="R697">
        <v>50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AA697">
        <v>-7301.2851000000001</v>
      </c>
      <c r="AB697">
        <v>-7301.2851000000001</v>
      </c>
      <c r="AC697">
        <v>-7301.2851000000001</v>
      </c>
      <c r="AD697">
        <v>-7301.2851000000001</v>
      </c>
      <c r="AE697">
        <v>-7301.2851000000001</v>
      </c>
      <c r="AF697">
        <v>-7301.2851000000001</v>
      </c>
    </row>
    <row r="698" spans="2:32" x14ac:dyDescent="0.25">
      <c r="B698">
        <v>51</v>
      </c>
      <c r="C698">
        <v>1</v>
      </c>
      <c r="D698">
        <v>1</v>
      </c>
      <c r="E698">
        <v>1</v>
      </c>
      <c r="F698">
        <v>1</v>
      </c>
      <c r="G698">
        <v>1</v>
      </c>
      <c r="H698">
        <v>1</v>
      </c>
      <c r="J698">
        <v>51</v>
      </c>
      <c r="K698">
        <v>1</v>
      </c>
      <c r="L698">
        <v>1</v>
      </c>
      <c r="M698">
        <v>1</v>
      </c>
      <c r="N698">
        <v>1</v>
      </c>
      <c r="O698">
        <v>1</v>
      </c>
      <c r="P698">
        <v>1</v>
      </c>
      <c r="R698">
        <v>51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AA698">
        <v>-7286.3271000000004</v>
      </c>
      <c r="AB698">
        <v>-7286.3271000000004</v>
      </c>
      <c r="AC698">
        <v>-7286.3271000000004</v>
      </c>
      <c r="AD698">
        <v>-7286.3271000000004</v>
      </c>
      <c r="AE698">
        <v>-7286.3271000000004</v>
      </c>
      <c r="AF698">
        <v>-7286.3271000000004</v>
      </c>
    </row>
    <row r="699" spans="2:32" x14ac:dyDescent="0.25">
      <c r="B699">
        <v>52</v>
      </c>
      <c r="C699">
        <v>1</v>
      </c>
      <c r="D699">
        <v>1</v>
      </c>
      <c r="E699">
        <v>1</v>
      </c>
      <c r="F699">
        <v>1</v>
      </c>
      <c r="G699">
        <v>1</v>
      </c>
      <c r="H699">
        <v>1</v>
      </c>
      <c r="J699">
        <v>52</v>
      </c>
      <c r="K699">
        <v>1</v>
      </c>
      <c r="L699">
        <v>1</v>
      </c>
      <c r="M699">
        <v>1</v>
      </c>
      <c r="N699">
        <v>1</v>
      </c>
      <c r="O699">
        <v>1</v>
      </c>
      <c r="P699">
        <v>1</v>
      </c>
      <c r="R699">
        <v>52</v>
      </c>
      <c r="S699">
        <v>1</v>
      </c>
      <c r="T699">
        <v>1</v>
      </c>
      <c r="U699">
        <v>1</v>
      </c>
      <c r="V699">
        <v>1</v>
      </c>
      <c r="W699">
        <v>1</v>
      </c>
      <c r="X699">
        <v>1</v>
      </c>
      <c r="AA699">
        <v>-7269.9448000000002</v>
      </c>
      <c r="AB699">
        <v>-7269.9448000000002</v>
      </c>
      <c r="AC699">
        <v>-7269.9448000000002</v>
      </c>
      <c r="AD699">
        <v>-7269.9448000000002</v>
      </c>
      <c r="AE699">
        <v>-7269.9448000000002</v>
      </c>
      <c r="AF699">
        <v>-7269.9448000000002</v>
      </c>
    </row>
    <row r="700" spans="2:32" x14ac:dyDescent="0.25">
      <c r="B700">
        <v>53</v>
      </c>
      <c r="C700">
        <v>1</v>
      </c>
      <c r="D700">
        <v>1</v>
      </c>
      <c r="E700">
        <v>1</v>
      </c>
      <c r="F700">
        <v>1</v>
      </c>
      <c r="G700">
        <v>1</v>
      </c>
      <c r="H700">
        <v>1</v>
      </c>
      <c r="J700">
        <v>53</v>
      </c>
      <c r="K700">
        <v>1</v>
      </c>
      <c r="L700">
        <v>1</v>
      </c>
      <c r="M700">
        <v>1</v>
      </c>
      <c r="N700">
        <v>1</v>
      </c>
      <c r="O700">
        <v>1</v>
      </c>
      <c r="P700">
        <v>1</v>
      </c>
      <c r="R700">
        <v>53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AA700">
        <v>-7252.0574999999999</v>
      </c>
      <c r="AB700">
        <v>-7252.0574999999999</v>
      </c>
      <c r="AC700">
        <v>-7252.0574999999999</v>
      </c>
      <c r="AD700">
        <v>-7252.0574999999999</v>
      </c>
      <c r="AE700">
        <v>-7252.0574999999999</v>
      </c>
      <c r="AF700">
        <v>-7252.0574999999999</v>
      </c>
    </row>
    <row r="701" spans="2:32" x14ac:dyDescent="0.25">
      <c r="B701">
        <v>54</v>
      </c>
      <c r="C701">
        <v>1</v>
      </c>
      <c r="D701">
        <v>1</v>
      </c>
      <c r="E701">
        <v>1</v>
      </c>
      <c r="F701">
        <v>1</v>
      </c>
      <c r="G701">
        <v>1</v>
      </c>
      <c r="H701">
        <v>1</v>
      </c>
      <c r="J701">
        <v>54</v>
      </c>
      <c r="K701">
        <v>1</v>
      </c>
      <c r="L701">
        <v>1</v>
      </c>
      <c r="M701">
        <v>1</v>
      </c>
      <c r="N701">
        <v>1</v>
      </c>
      <c r="O701">
        <v>1</v>
      </c>
      <c r="P701">
        <v>1</v>
      </c>
      <c r="R701">
        <v>54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AA701">
        <v>-7232.5680000000002</v>
      </c>
      <c r="AB701">
        <v>-7232.5680000000002</v>
      </c>
      <c r="AC701">
        <v>-7232.5680000000002</v>
      </c>
      <c r="AD701">
        <v>-7232.5680000000002</v>
      </c>
      <c r="AE701">
        <v>-7232.5680000000002</v>
      </c>
      <c r="AF701">
        <v>-7232.5680000000002</v>
      </c>
    </row>
    <row r="702" spans="2:32" x14ac:dyDescent="0.25">
      <c r="B702">
        <v>55</v>
      </c>
      <c r="C702">
        <v>1</v>
      </c>
      <c r="D702">
        <v>1</v>
      </c>
      <c r="E702">
        <v>1</v>
      </c>
      <c r="F702">
        <v>1</v>
      </c>
      <c r="G702">
        <v>1</v>
      </c>
      <c r="H702">
        <v>1</v>
      </c>
      <c r="J702">
        <v>55</v>
      </c>
      <c r="K702">
        <v>1</v>
      </c>
      <c r="L702">
        <v>1</v>
      </c>
      <c r="M702">
        <v>1</v>
      </c>
      <c r="N702">
        <v>1</v>
      </c>
      <c r="O702">
        <v>1</v>
      </c>
      <c r="P702">
        <v>1</v>
      </c>
      <c r="R702">
        <v>55</v>
      </c>
      <c r="S702">
        <v>1</v>
      </c>
      <c r="T702">
        <v>1</v>
      </c>
      <c r="U702">
        <v>1</v>
      </c>
      <c r="V702">
        <v>1</v>
      </c>
      <c r="W702">
        <v>1</v>
      </c>
      <c r="X702">
        <v>1</v>
      </c>
      <c r="AA702">
        <v>-7211.3207000000002</v>
      </c>
      <c r="AB702">
        <v>-7211.3207000000002</v>
      </c>
      <c r="AC702">
        <v>-7211.3207000000002</v>
      </c>
      <c r="AD702">
        <v>-7211.3207000000002</v>
      </c>
      <c r="AE702">
        <v>-7211.3207000000002</v>
      </c>
      <c r="AF702">
        <v>-7211.3207000000002</v>
      </c>
    </row>
    <row r="705" spans="2:32" x14ac:dyDescent="0.25">
      <c r="B705" t="s">
        <v>46</v>
      </c>
      <c r="C705">
        <v>100000</v>
      </c>
      <c r="D705">
        <v>250000</v>
      </c>
      <c r="E705">
        <v>500000</v>
      </c>
      <c r="F705">
        <v>1000000</v>
      </c>
      <c r="G705">
        <v>2000000</v>
      </c>
      <c r="J705" t="s">
        <v>32</v>
      </c>
      <c r="K705">
        <v>100000</v>
      </c>
      <c r="L705">
        <v>250000</v>
      </c>
      <c r="M705">
        <v>500000</v>
      </c>
      <c r="N705">
        <v>1000000</v>
      </c>
      <c r="O705">
        <v>2000000</v>
      </c>
      <c r="R705" t="s">
        <v>48</v>
      </c>
      <c r="S705">
        <v>100000</v>
      </c>
      <c r="T705">
        <v>250000</v>
      </c>
      <c r="U705">
        <v>500000</v>
      </c>
      <c r="V705">
        <v>1000000</v>
      </c>
      <c r="W705">
        <v>2000000</v>
      </c>
    </row>
    <row r="706" spans="2:32" x14ac:dyDescent="0.25">
      <c r="B706">
        <v>35</v>
      </c>
      <c r="C706">
        <v>1</v>
      </c>
      <c r="D706">
        <v>1</v>
      </c>
      <c r="E706">
        <v>1</v>
      </c>
      <c r="F706">
        <v>1</v>
      </c>
      <c r="G706">
        <v>1</v>
      </c>
      <c r="J706">
        <v>35</v>
      </c>
      <c r="K706">
        <v>1</v>
      </c>
      <c r="L706">
        <v>1</v>
      </c>
      <c r="M706">
        <v>1</v>
      </c>
      <c r="N706">
        <v>1</v>
      </c>
      <c r="O706">
        <v>1</v>
      </c>
      <c r="R706">
        <v>35</v>
      </c>
      <c r="S706">
        <v>1</v>
      </c>
      <c r="T706">
        <v>1</v>
      </c>
      <c r="U706">
        <v>1</v>
      </c>
      <c r="V706">
        <v>1</v>
      </c>
      <c r="W706">
        <v>1</v>
      </c>
      <c r="AA706">
        <v>-11308.6893</v>
      </c>
      <c r="AB706">
        <v>-11308.6893</v>
      </c>
      <c r="AC706">
        <v>-11308.6893</v>
      </c>
      <c r="AD706">
        <v>-11308.6893</v>
      </c>
      <c r="AE706">
        <v>-11308.6893</v>
      </c>
      <c r="AF706">
        <v>-759112.79520000005</v>
      </c>
    </row>
    <row r="707" spans="2:32" x14ac:dyDescent="0.25">
      <c r="B707">
        <f t="shared" ref="B707:B736" si="30">B706+1</f>
        <v>36</v>
      </c>
      <c r="C707">
        <v>1</v>
      </c>
      <c r="D707">
        <v>1</v>
      </c>
      <c r="E707">
        <v>1</v>
      </c>
      <c r="F707">
        <v>1</v>
      </c>
      <c r="G707">
        <v>1</v>
      </c>
      <c r="J707">
        <f t="shared" ref="J707:J736" si="31">J706+1</f>
        <v>36</v>
      </c>
      <c r="K707">
        <v>1</v>
      </c>
      <c r="L707">
        <v>1</v>
      </c>
      <c r="M707">
        <v>1</v>
      </c>
      <c r="N707">
        <v>1</v>
      </c>
      <c r="O707">
        <v>1</v>
      </c>
      <c r="R707">
        <f t="shared" ref="R707:R736" si="32">R706+1</f>
        <v>36</v>
      </c>
      <c r="S707">
        <v>1</v>
      </c>
      <c r="T707">
        <v>1</v>
      </c>
      <c r="U707">
        <v>1</v>
      </c>
      <c r="V707">
        <v>1</v>
      </c>
      <c r="W707">
        <v>1</v>
      </c>
      <c r="AA707">
        <v>-11214.2592</v>
      </c>
      <c r="AB707">
        <v>-11214.2592</v>
      </c>
      <c r="AC707">
        <v>-11214.2592</v>
      </c>
      <c r="AD707">
        <v>-11214.2592</v>
      </c>
      <c r="AE707">
        <v>-11214.2592</v>
      </c>
      <c r="AF707">
        <v>-737070.86179999996</v>
      </c>
    </row>
    <row r="708" spans="2:32" x14ac:dyDescent="0.25">
      <c r="B708">
        <f t="shared" si="30"/>
        <v>37</v>
      </c>
      <c r="C708">
        <v>1</v>
      </c>
      <c r="D708">
        <v>1</v>
      </c>
      <c r="E708">
        <v>1</v>
      </c>
      <c r="F708">
        <v>1</v>
      </c>
      <c r="G708">
        <v>1</v>
      </c>
      <c r="J708">
        <f t="shared" si="31"/>
        <v>37</v>
      </c>
      <c r="K708">
        <v>1</v>
      </c>
      <c r="L708">
        <v>1</v>
      </c>
      <c r="M708">
        <v>1</v>
      </c>
      <c r="N708">
        <v>1</v>
      </c>
      <c r="O708">
        <v>1</v>
      </c>
      <c r="R708">
        <f t="shared" si="32"/>
        <v>37</v>
      </c>
      <c r="S708">
        <v>1</v>
      </c>
      <c r="T708">
        <v>1</v>
      </c>
      <c r="U708">
        <v>1</v>
      </c>
      <c r="V708">
        <v>1</v>
      </c>
      <c r="W708">
        <v>1</v>
      </c>
      <c r="AA708">
        <v>-11117.406199999999</v>
      </c>
      <c r="AB708">
        <v>-11117.406199999999</v>
      </c>
      <c r="AC708">
        <v>-11117.406199999999</v>
      </c>
      <c r="AD708">
        <v>-11117.406199999999</v>
      </c>
      <c r="AE708">
        <v>-11117.406199999999</v>
      </c>
      <c r="AF708">
        <v>-765978.91940000001</v>
      </c>
    </row>
    <row r="709" spans="2:32" x14ac:dyDescent="0.25">
      <c r="B709">
        <f t="shared" si="30"/>
        <v>38</v>
      </c>
      <c r="C709">
        <v>1</v>
      </c>
      <c r="D709">
        <v>1</v>
      </c>
      <c r="E709">
        <v>1</v>
      </c>
      <c r="F709">
        <v>1</v>
      </c>
      <c r="G709">
        <v>1</v>
      </c>
      <c r="J709">
        <f t="shared" si="31"/>
        <v>38</v>
      </c>
      <c r="K709">
        <v>1</v>
      </c>
      <c r="L709">
        <v>1</v>
      </c>
      <c r="M709">
        <v>1</v>
      </c>
      <c r="N709">
        <v>1</v>
      </c>
      <c r="O709">
        <v>1</v>
      </c>
      <c r="R709">
        <f t="shared" si="32"/>
        <v>38</v>
      </c>
      <c r="S709">
        <v>1</v>
      </c>
      <c r="T709">
        <v>1</v>
      </c>
      <c r="U709">
        <v>1</v>
      </c>
      <c r="V709">
        <v>1</v>
      </c>
      <c r="W709">
        <v>1</v>
      </c>
      <c r="AA709">
        <v>-11018.229799999999</v>
      </c>
      <c r="AB709">
        <v>-11018.229799999999</v>
      </c>
      <c r="AC709">
        <v>-11018.229799999999</v>
      </c>
      <c r="AD709">
        <v>-11018.229799999999</v>
      </c>
      <c r="AE709">
        <v>-11018.229799999999</v>
      </c>
      <c r="AF709">
        <v>-783780.576</v>
      </c>
    </row>
    <row r="710" spans="2:32" x14ac:dyDescent="0.25">
      <c r="B710">
        <f t="shared" si="30"/>
        <v>39</v>
      </c>
      <c r="C710">
        <v>1</v>
      </c>
      <c r="D710">
        <v>1</v>
      </c>
      <c r="E710">
        <v>1</v>
      </c>
      <c r="F710">
        <v>1</v>
      </c>
      <c r="G710">
        <v>1</v>
      </c>
      <c r="J710">
        <f t="shared" si="31"/>
        <v>39</v>
      </c>
      <c r="K710">
        <v>1</v>
      </c>
      <c r="L710">
        <v>1</v>
      </c>
      <c r="M710">
        <v>1</v>
      </c>
      <c r="N710">
        <v>1</v>
      </c>
      <c r="O710">
        <v>1</v>
      </c>
      <c r="R710">
        <f t="shared" si="32"/>
        <v>39</v>
      </c>
      <c r="S710">
        <v>1</v>
      </c>
      <c r="T710">
        <v>1</v>
      </c>
      <c r="U710">
        <v>1</v>
      </c>
      <c r="V710">
        <v>1</v>
      </c>
      <c r="W710">
        <v>1</v>
      </c>
      <c r="AA710">
        <v>-10916.737999999999</v>
      </c>
      <c r="AB710">
        <v>-10916.737999999999</v>
      </c>
      <c r="AC710">
        <v>-10916.737999999999</v>
      </c>
      <c r="AD710">
        <v>-10916.737999999999</v>
      </c>
      <c r="AE710">
        <v>-10916.737999999999</v>
      </c>
      <c r="AF710">
        <v>-769662.22069999995</v>
      </c>
    </row>
    <row r="711" spans="2:32" x14ac:dyDescent="0.25">
      <c r="B711">
        <f t="shared" si="30"/>
        <v>40</v>
      </c>
      <c r="C711">
        <v>1</v>
      </c>
      <c r="D711">
        <v>1</v>
      </c>
      <c r="E711">
        <v>1</v>
      </c>
      <c r="F711">
        <v>1</v>
      </c>
      <c r="G711">
        <v>1</v>
      </c>
      <c r="J711">
        <f t="shared" si="31"/>
        <v>40</v>
      </c>
      <c r="K711">
        <v>1</v>
      </c>
      <c r="L711">
        <v>1</v>
      </c>
      <c r="M711">
        <v>1</v>
      </c>
      <c r="N711">
        <v>1</v>
      </c>
      <c r="O711">
        <v>1</v>
      </c>
      <c r="R711">
        <f t="shared" si="32"/>
        <v>40</v>
      </c>
      <c r="S711">
        <v>1</v>
      </c>
      <c r="T711">
        <v>1</v>
      </c>
      <c r="U711">
        <v>1</v>
      </c>
      <c r="V711">
        <v>1</v>
      </c>
      <c r="W711">
        <v>1</v>
      </c>
      <c r="AA711">
        <v>-10812.8714</v>
      </c>
      <c r="AB711">
        <v>-10812.8714</v>
      </c>
      <c r="AC711">
        <v>-10812.8714</v>
      </c>
      <c r="AD711">
        <v>-10812.8714</v>
      </c>
      <c r="AE711">
        <v>-10812.8714</v>
      </c>
      <c r="AF711">
        <v>-798570.41119999997</v>
      </c>
    </row>
    <row r="712" spans="2:32" x14ac:dyDescent="0.25">
      <c r="B712">
        <f t="shared" si="30"/>
        <v>41</v>
      </c>
      <c r="C712">
        <v>1</v>
      </c>
      <c r="D712">
        <v>1</v>
      </c>
      <c r="E712">
        <v>1</v>
      </c>
      <c r="F712">
        <v>1</v>
      </c>
      <c r="G712">
        <v>1</v>
      </c>
      <c r="J712">
        <f t="shared" si="31"/>
        <v>41</v>
      </c>
      <c r="K712">
        <v>1</v>
      </c>
      <c r="L712">
        <v>1</v>
      </c>
      <c r="M712">
        <v>1</v>
      </c>
      <c r="N712">
        <v>1</v>
      </c>
      <c r="O712">
        <v>1</v>
      </c>
      <c r="R712">
        <f t="shared" si="32"/>
        <v>41</v>
      </c>
      <c r="S712">
        <v>1</v>
      </c>
      <c r="T712">
        <v>1</v>
      </c>
      <c r="U712">
        <v>1</v>
      </c>
      <c r="V712">
        <v>1</v>
      </c>
      <c r="W712">
        <v>1</v>
      </c>
      <c r="AA712">
        <v>-10706.559600000001</v>
      </c>
      <c r="AB712">
        <v>-10706.559600000001</v>
      </c>
      <c r="AC712">
        <v>-10706.559600000001</v>
      </c>
      <c r="AD712">
        <v>-10706.559600000001</v>
      </c>
      <c r="AE712">
        <v>-10706.559600000001</v>
      </c>
      <c r="AF712">
        <v>-803549.96459999995</v>
      </c>
    </row>
    <row r="713" spans="2:32" x14ac:dyDescent="0.25">
      <c r="B713">
        <f t="shared" si="30"/>
        <v>42</v>
      </c>
      <c r="C713">
        <v>1</v>
      </c>
      <c r="D713">
        <v>1</v>
      </c>
      <c r="E713">
        <v>1</v>
      </c>
      <c r="F713">
        <v>1</v>
      </c>
      <c r="G713">
        <v>1</v>
      </c>
      <c r="J713">
        <f t="shared" si="31"/>
        <v>42</v>
      </c>
      <c r="K713">
        <v>1</v>
      </c>
      <c r="L713">
        <v>1</v>
      </c>
      <c r="M713">
        <v>1</v>
      </c>
      <c r="N713">
        <v>1</v>
      </c>
      <c r="O713">
        <v>1</v>
      </c>
      <c r="R713">
        <f t="shared" si="32"/>
        <v>42</v>
      </c>
      <c r="S713">
        <v>1</v>
      </c>
      <c r="T713">
        <v>1</v>
      </c>
      <c r="U713">
        <v>1</v>
      </c>
      <c r="V713">
        <v>1</v>
      </c>
      <c r="W713">
        <v>1</v>
      </c>
      <c r="AA713">
        <v>-10597.8485</v>
      </c>
      <c r="AB713">
        <v>-10597.8485</v>
      </c>
      <c r="AC713">
        <v>-10597.8485</v>
      </c>
      <c r="AD713">
        <v>-10597.8485</v>
      </c>
      <c r="AE713">
        <v>-10597.8485</v>
      </c>
      <c r="AF713">
        <v>-833551.75890000002</v>
      </c>
    </row>
    <row r="714" spans="2:32" x14ac:dyDescent="0.25">
      <c r="B714">
        <f t="shared" si="30"/>
        <v>43</v>
      </c>
      <c r="C714">
        <v>1</v>
      </c>
      <c r="D714">
        <v>1</v>
      </c>
      <c r="E714">
        <v>1</v>
      </c>
      <c r="F714">
        <v>1</v>
      </c>
      <c r="G714">
        <v>1</v>
      </c>
      <c r="J714">
        <f t="shared" si="31"/>
        <v>43</v>
      </c>
      <c r="K714">
        <v>1</v>
      </c>
      <c r="L714">
        <v>1</v>
      </c>
      <c r="M714">
        <v>1</v>
      </c>
      <c r="N714">
        <v>1</v>
      </c>
      <c r="O714">
        <v>1</v>
      </c>
      <c r="R714">
        <f t="shared" si="32"/>
        <v>43</v>
      </c>
      <c r="S714">
        <v>1</v>
      </c>
      <c r="T714">
        <v>1</v>
      </c>
      <c r="U714">
        <v>1</v>
      </c>
      <c r="V714">
        <v>1</v>
      </c>
      <c r="W714">
        <v>1</v>
      </c>
      <c r="AA714">
        <v>-10486.615400000001</v>
      </c>
      <c r="AB714">
        <v>-10486.615400000001</v>
      </c>
      <c r="AC714">
        <v>-10486.615400000001</v>
      </c>
      <c r="AD714">
        <v>-10486.615400000001</v>
      </c>
      <c r="AE714">
        <v>-10486.615400000001</v>
      </c>
      <c r="AF714">
        <v>-844950.93949999998</v>
      </c>
    </row>
    <row r="715" spans="2:32" x14ac:dyDescent="0.25">
      <c r="B715">
        <f t="shared" si="30"/>
        <v>44</v>
      </c>
      <c r="C715">
        <v>1</v>
      </c>
      <c r="D715">
        <v>1</v>
      </c>
      <c r="E715">
        <v>1</v>
      </c>
      <c r="F715">
        <v>1</v>
      </c>
      <c r="G715">
        <v>1</v>
      </c>
      <c r="J715">
        <f t="shared" si="31"/>
        <v>44</v>
      </c>
      <c r="K715">
        <v>1</v>
      </c>
      <c r="L715">
        <v>1</v>
      </c>
      <c r="M715">
        <v>1</v>
      </c>
      <c r="N715">
        <v>1</v>
      </c>
      <c r="O715">
        <v>1</v>
      </c>
      <c r="R715">
        <f t="shared" si="32"/>
        <v>44</v>
      </c>
      <c r="S715">
        <v>1</v>
      </c>
      <c r="T715">
        <v>1</v>
      </c>
      <c r="U715">
        <v>1</v>
      </c>
      <c r="V715">
        <v>1</v>
      </c>
      <c r="W715">
        <v>1</v>
      </c>
      <c r="AA715">
        <v>-10372.9005</v>
      </c>
      <c r="AB715">
        <v>-10372.9005</v>
      </c>
      <c r="AC715">
        <v>-10372.9005</v>
      </c>
      <c r="AD715">
        <v>-10372.9005</v>
      </c>
      <c r="AE715">
        <v>-10372.9005</v>
      </c>
      <c r="AF715">
        <v>-844950.93949999998</v>
      </c>
    </row>
    <row r="716" spans="2:32" x14ac:dyDescent="0.25">
      <c r="B716">
        <f t="shared" si="30"/>
        <v>45</v>
      </c>
      <c r="C716">
        <v>1</v>
      </c>
      <c r="D716">
        <v>1</v>
      </c>
      <c r="E716">
        <v>1</v>
      </c>
      <c r="F716">
        <v>1</v>
      </c>
      <c r="G716">
        <v>1</v>
      </c>
      <c r="J716">
        <f t="shared" si="31"/>
        <v>45</v>
      </c>
      <c r="K716">
        <v>1</v>
      </c>
      <c r="L716">
        <v>1</v>
      </c>
      <c r="M716">
        <v>1</v>
      </c>
      <c r="N716">
        <v>1</v>
      </c>
      <c r="O716">
        <v>1</v>
      </c>
      <c r="R716">
        <f t="shared" si="32"/>
        <v>45</v>
      </c>
      <c r="S716">
        <v>1</v>
      </c>
      <c r="T716">
        <v>1</v>
      </c>
      <c r="U716">
        <v>1</v>
      </c>
      <c r="V716">
        <v>1</v>
      </c>
      <c r="W716">
        <v>1</v>
      </c>
      <c r="AA716">
        <v>-10256.650600000001</v>
      </c>
      <c r="AB716">
        <v>-10256.650600000001</v>
      </c>
      <c r="AC716">
        <v>-10256.650600000001</v>
      </c>
      <c r="AD716">
        <v>-10256.650600000001</v>
      </c>
      <c r="AE716">
        <v>-10256.650600000001</v>
      </c>
      <c r="AF716">
        <v>-870649.02139999997</v>
      </c>
    </row>
    <row r="717" spans="2:32" x14ac:dyDescent="0.25">
      <c r="B717">
        <f t="shared" si="30"/>
        <v>46</v>
      </c>
      <c r="C717">
        <v>1</v>
      </c>
      <c r="D717">
        <v>1</v>
      </c>
      <c r="E717">
        <v>1</v>
      </c>
      <c r="F717">
        <v>1</v>
      </c>
      <c r="G717">
        <v>1</v>
      </c>
      <c r="J717">
        <f t="shared" si="31"/>
        <v>46</v>
      </c>
      <c r="K717">
        <v>1</v>
      </c>
      <c r="L717">
        <v>1</v>
      </c>
      <c r="M717">
        <v>1</v>
      </c>
      <c r="N717">
        <v>1</v>
      </c>
      <c r="O717">
        <v>1</v>
      </c>
      <c r="R717">
        <f t="shared" si="32"/>
        <v>46</v>
      </c>
      <c r="S717">
        <v>1</v>
      </c>
      <c r="T717">
        <v>1</v>
      </c>
      <c r="U717">
        <v>1</v>
      </c>
      <c r="V717">
        <v>1</v>
      </c>
      <c r="W717">
        <v>1</v>
      </c>
      <c r="AA717">
        <v>-10137.871499999999</v>
      </c>
      <c r="AB717">
        <v>-10137.871499999999</v>
      </c>
      <c r="AC717">
        <v>-10137.871499999999</v>
      </c>
      <c r="AD717">
        <v>-10137.871499999999</v>
      </c>
      <c r="AE717">
        <v>-10137.871499999999</v>
      </c>
      <c r="AF717">
        <v>-892550.54509999999</v>
      </c>
    </row>
    <row r="718" spans="2:32" x14ac:dyDescent="0.25">
      <c r="B718">
        <f t="shared" si="30"/>
        <v>47</v>
      </c>
      <c r="C718">
        <v>1</v>
      </c>
      <c r="D718">
        <v>1</v>
      </c>
      <c r="E718">
        <v>1</v>
      </c>
      <c r="F718">
        <v>1</v>
      </c>
      <c r="G718">
        <v>1</v>
      </c>
      <c r="J718">
        <f t="shared" si="31"/>
        <v>47</v>
      </c>
      <c r="K718">
        <v>1</v>
      </c>
      <c r="L718">
        <v>1</v>
      </c>
      <c r="M718">
        <v>1</v>
      </c>
      <c r="N718">
        <v>1</v>
      </c>
      <c r="O718">
        <v>1</v>
      </c>
      <c r="R718">
        <f t="shared" si="32"/>
        <v>47</v>
      </c>
      <c r="S718">
        <v>1</v>
      </c>
      <c r="T718">
        <v>1</v>
      </c>
      <c r="U718">
        <v>1</v>
      </c>
      <c r="V718">
        <v>1</v>
      </c>
      <c r="W718">
        <v>1</v>
      </c>
      <c r="AA718">
        <v>-10016.4967</v>
      </c>
      <c r="AB718">
        <v>-10016.4967</v>
      </c>
      <c r="AC718">
        <v>-10016.4967</v>
      </c>
      <c r="AD718">
        <v>-10016.4967</v>
      </c>
      <c r="AE718">
        <v>-10016.4967</v>
      </c>
      <c r="AF718">
        <v>-910915.81969999999</v>
      </c>
    </row>
    <row r="719" spans="2:32" x14ac:dyDescent="0.25">
      <c r="B719">
        <f t="shared" si="30"/>
        <v>48</v>
      </c>
      <c r="C719">
        <v>1</v>
      </c>
      <c r="D719">
        <v>1</v>
      </c>
      <c r="E719">
        <v>1</v>
      </c>
      <c r="F719">
        <v>1</v>
      </c>
      <c r="G719">
        <v>1</v>
      </c>
      <c r="J719">
        <f t="shared" si="31"/>
        <v>48</v>
      </c>
      <c r="K719">
        <v>1</v>
      </c>
      <c r="L719">
        <v>1</v>
      </c>
      <c r="M719">
        <v>1</v>
      </c>
      <c r="N719">
        <v>1</v>
      </c>
      <c r="O719">
        <v>1</v>
      </c>
      <c r="R719">
        <f t="shared" si="32"/>
        <v>48</v>
      </c>
      <c r="S719">
        <v>1</v>
      </c>
      <c r="T719">
        <v>1</v>
      </c>
      <c r="U719">
        <v>1</v>
      </c>
      <c r="V719">
        <v>1</v>
      </c>
      <c r="W719">
        <v>1</v>
      </c>
      <c r="AA719">
        <v>-9892.6355000000003</v>
      </c>
      <c r="AB719">
        <v>-9892.6355000000003</v>
      </c>
      <c r="AC719">
        <v>-9892.6355000000003</v>
      </c>
      <c r="AD719">
        <v>-9892.6355000000003</v>
      </c>
      <c r="AE719">
        <v>-9892.6355000000003</v>
      </c>
      <c r="AF719">
        <v>-917891.87360000005</v>
      </c>
    </row>
    <row r="720" spans="2:32" x14ac:dyDescent="0.25">
      <c r="B720">
        <f t="shared" si="30"/>
        <v>49</v>
      </c>
      <c r="C720">
        <v>1</v>
      </c>
      <c r="D720">
        <v>1</v>
      </c>
      <c r="E720">
        <v>1</v>
      </c>
      <c r="F720">
        <v>1</v>
      </c>
      <c r="G720">
        <v>1</v>
      </c>
      <c r="J720">
        <f t="shared" si="31"/>
        <v>49</v>
      </c>
      <c r="K720">
        <v>1</v>
      </c>
      <c r="L720">
        <v>1</v>
      </c>
      <c r="M720">
        <v>1</v>
      </c>
      <c r="N720">
        <v>1</v>
      </c>
      <c r="O720">
        <v>1</v>
      </c>
      <c r="R720">
        <f t="shared" si="32"/>
        <v>49</v>
      </c>
      <c r="S720">
        <v>1</v>
      </c>
      <c r="T720">
        <v>1</v>
      </c>
      <c r="U720">
        <v>1</v>
      </c>
      <c r="V720">
        <v>1</v>
      </c>
      <c r="W720">
        <v>1</v>
      </c>
      <c r="AA720">
        <v>-9766.3366999999998</v>
      </c>
      <c r="AB720">
        <v>-9766.3366999999998</v>
      </c>
      <c r="AC720">
        <v>-9766.3366999999998</v>
      </c>
      <c r="AD720">
        <v>-9766.3366999999998</v>
      </c>
      <c r="AE720">
        <v>-9766.3366999999998</v>
      </c>
      <c r="AF720">
        <v>-944521.72470000002</v>
      </c>
    </row>
    <row r="721" spans="2:32" x14ac:dyDescent="0.25">
      <c r="B721">
        <f t="shared" si="30"/>
        <v>50</v>
      </c>
      <c r="C721">
        <v>1</v>
      </c>
      <c r="D721">
        <v>1</v>
      </c>
      <c r="E721">
        <v>1</v>
      </c>
      <c r="F721">
        <v>1</v>
      </c>
      <c r="G721">
        <v>1</v>
      </c>
      <c r="J721">
        <f t="shared" si="31"/>
        <v>50</v>
      </c>
      <c r="K721">
        <v>1</v>
      </c>
      <c r="L721">
        <v>1</v>
      </c>
      <c r="M721">
        <v>1</v>
      </c>
      <c r="N721">
        <v>1</v>
      </c>
      <c r="O721">
        <v>1</v>
      </c>
      <c r="R721">
        <f t="shared" si="32"/>
        <v>50</v>
      </c>
      <c r="S721">
        <v>1</v>
      </c>
      <c r="T721">
        <v>1</v>
      </c>
      <c r="U721">
        <v>1</v>
      </c>
      <c r="V721">
        <v>1</v>
      </c>
      <c r="W721">
        <v>1</v>
      </c>
      <c r="AA721">
        <v>-9637.5864000000001</v>
      </c>
      <c r="AB721">
        <v>-9637.5864000000001</v>
      </c>
      <c r="AC721">
        <v>-9637.5864000000001</v>
      </c>
      <c r="AD721">
        <v>-9637.5864000000001</v>
      </c>
      <c r="AE721">
        <v>-9637.5864000000001</v>
      </c>
      <c r="AF721">
        <v>-963257.14989999996</v>
      </c>
    </row>
    <row r="722" spans="2:32" x14ac:dyDescent="0.25">
      <c r="B722">
        <f t="shared" si="30"/>
        <v>51</v>
      </c>
      <c r="C722">
        <v>1</v>
      </c>
      <c r="D722">
        <v>1</v>
      </c>
      <c r="E722">
        <v>1</v>
      </c>
      <c r="F722">
        <v>1</v>
      </c>
      <c r="G722">
        <v>1</v>
      </c>
      <c r="J722">
        <f t="shared" si="31"/>
        <v>51</v>
      </c>
      <c r="K722">
        <v>1</v>
      </c>
      <c r="L722">
        <v>1</v>
      </c>
      <c r="M722">
        <v>1</v>
      </c>
      <c r="N722">
        <v>1</v>
      </c>
      <c r="O722">
        <v>1</v>
      </c>
      <c r="R722">
        <f t="shared" si="32"/>
        <v>51</v>
      </c>
      <c r="S722">
        <v>1</v>
      </c>
      <c r="T722">
        <v>1</v>
      </c>
      <c r="U722">
        <v>1</v>
      </c>
      <c r="V722">
        <v>1</v>
      </c>
      <c r="W722">
        <v>1</v>
      </c>
      <c r="AA722">
        <v>-9506.3734000000004</v>
      </c>
      <c r="AB722">
        <v>-9506.3734000000004</v>
      </c>
      <c r="AC722">
        <v>-9506.3734000000004</v>
      </c>
      <c r="AD722">
        <v>-9506.3734000000004</v>
      </c>
      <c r="AE722">
        <v>-9506.3734000000004</v>
      </c>
      <c r="AF722">
        <v>-981592.90729999996</v>
      </c>
    </row>
    <row r="723" spans="2:32" x14ac:dyDescent="0.25">
      <c r="B723">
        <f t="shared" si="30"/>
        <v>52</v>
      </c>
      <c r="C723">
        <v>1</v>
      </c>
      <c r="D723">
        <v>1</v>
      </c>
      <c r="E723">
        <v>1</v>
      </c>
      <c r="F723">
        <v>1</v>
      </c>
      <c r="G723">
        <v>1</v>
      </c>
      <c r="J723">
        <f t="shared" si="31"/>
        <v>52</v>
      </c>
      <c r="K723">
        <v>1</v>
      </c>
      <c r="L723">
        <v>1</v>
      </c>
      <c r="M723">
        <v>1</v>
      </c>
      <c r="N723">
        <v>1</v>
      </c>
      <c r="O723">
        <v>1</v>
      </c>
      <c r="R723">
        <f t="shared" si="32"/>
        <v>52</v>
      </c>
      <c r="S723">
        <v>1</v>
      </c>
      <c r="T723">
        <v>1</v>
      </c>
      <c r="U723">
        <v>1</v>
      </c>
      <c r="V723">
        <v>1</v>
      </c>
      <c r="W723">
        <v>1</v>
      </c>
      <c r="AA723">
        <v>-9372.7019</v>
      </c>
      <c r="AB723">
        <v>-9372.7019</v>
      </c>
      <c r="AC723">
        <v>-9372.7019</v>
      </c>
      <c r="AD723">
        <v>-9372.7019</v>
      </c>
      <c r="AE723">
        <v>-9372.7019</v>
      </c>
      <c r="AF723">
        <v>-998556.10360000003</v>
      </c>
    </row>
    <row r="724" spans="2:32" x14ac:dyDescent="0.25">
      <c r="B724">
        <f t="shared" si="30"/>
        <v>53</v>
      </c>
      <c r="C724">
        <v>1</v>
      </c>
      <c r="D724">
        <v>1</v>
      </c>
      <c r="E724">
        <v>1</v>
      </c>
      <c r="F724">
        <v>1</v>
      </c>
      <c r="G724">
        <v>1</v>
      </c>
      <c r="J724">
        <f t="shared" si="31"/>
        <v>53</v>
      </c>
      <c r="K724">
        <v>1</v>
      </c>
      <c r="L724">
        <v>1</v>
      </c>
      <c r="M724">
        <v>1</v>
      </c>
      <c r="N724">
        <v>1</v>
      </c>
      <c r="O724">
        <v>1</v>
      </c>
      <c r="R724">
        <f t="shared" si="32"/>
        <v>53</v>
      </c>
      <c r="S724">
        <v>1</v>
      </c>
      <c r="T724">
        <v>1</v>
      </c>
      <c r="U724">
        <v>1</v>
      </c>
      <c r="V724">
        <v>1</v>
      </c>
      <c r="W724">
        <v>1</v>
      </c>
      <c r="AA724">
        <v>-9236.6705000000002</v>
      </c>
      <c r="AB724">
        <v>-9236.6705000000002</v>
      </c>
      <c r="AC724">
        <v>-9236.6705000000002</v>
      </c>
      <c r="AD724">
        <v>-9236.6705000000002</v>
      </c>
      <c r="AE724">
        <v>-9236.6705000000002</v>
      </c>
      <c r="AF724">
        <v>-1015461.3278</v>
      </c>
    </row>
    <row r="725" spans="2:32" x14ac:dyDescent="0.25">
      <c r="B725">
        <f t="shared" si="30"/>
        <v>54</v>
      </c>
      <c r="C725">
        <v>1</v>
      </c>
      <c r="D725">
        <v>1</v>
      </c>
      <c r="E725">
        <v>1</v>
      </c>
      <c r="F725">
        <v>1</v>
      </c>
      <c r="G725">
        <v>1</v>
      </c>
      <c r="J725">
        <f t="shared" si="31"/>
        <v>54</v>
      </c>
      <c r="K725">
        <v>1</v>
      </c>
      <c r="L725">
        <v>1</v>
      </c>
      <c r="M725">
        <v>1</v>
      </c>
      <c r="N725">
        <v>1</v>
      </c>
      <c r="O725">
        <v>1</v>
      </c>
      <c r="R725">
        <f t="shared" si="32"/>
        <v>54</v>
      </c>
      <c r="S725">
        <v>1</v>
      </c>
      <c r="T725">
        <v>1</v>
      </c>
      <c r="U725">
        <v>1</v>
      </c>
      <c r="V725">
        <v>1</v>
      </c>
      <c r="W725">
        <v>1</v>
      </c>
      <c r="AA725">
        <v>-9098.4312000000009</v>
      </c>
      <c r="AB725">
        <v>-9098.4312000000009</v>
      </c>
      <c r="AC725">
        <v>-9098.4312000000009</v>
      </c>
      <c r="AD725">
        <v>-9098.4312000000009</v>
      </c>
      <c r="AE725">
        <v>-9098.4312000000009</v>
      </c>
      <c r="AF725">
        <v>-1033869.6813000001</v>
      </c>
    </row>
    <row r="726" spans="2:32" x14ac:dyDescent="0.25">
      <c r="B726">
        <f t="shared" si="30"/>
        <v>55</v>
      </c>
      <c r="C726">
        <v>1</v>
      </c>
      <c r="D726">
        <v>1</v>
      </c>
      <c r="E726">
        <v>1</v>
      </c>
      <c r="F726">
        <v>1</v>
      </c>
      <c r="G726">
        <v>1</v>
      </c>
      <c r="J726">
        <f t="shared" si="31"/>
        <v>55</v>
      </c>
      <c r="K726">
        <v>1</v>
      </c>
      <c r="L726">
        <v>1</v>
      </c>
      <c r="M726">
        <v>1</v>
      </c>
      <c r="N726">
        <v>1</v>
      </c>
      <c r="O726">
        <v>1</v>
      </c>
      <c r="R726">
        <f t="shared" si="32"/>
        <v>55</v>
      </c>
      <c r="S726">
        <v>1</v>
      </c>
      <c r="T726">
        <v>1</v>
      </c>
      <c r="U726">
        <v>1</v>
      </c>
      <c r="V726">
        <v>1</v>
      </c>
      <c r="W726">
        <v>1</v>
      </c>
      <c r="AA726">
        <v>-8958.0210999999999</v>
      </c>
      <c r="AB726">
        <v>-8958.0210999999999</v>
      </c>
      <c r="AC726">
        <v>-8958.0210999999999</v>
      </c>
      <c r="AD726">
        <v>-8958.0210999999999</v>
      </c>
      <c r="AE726">
        <v>-8958.0210999999999</v>
      </c>
      <c r="AF726">
        <v>-1050810.2549999999</v>
      </c>
    </row>
    <row r="727" spans="2:32" x14ac:dyDescent="0.25">
      <c r="B727">
        <f t="shared" si="30"/>
        <v>56</v>
      </c>
      <c r="C727">
        <v>1</v>
      </c>
      <c r="D727">
        <v>1</v>
      </c>
      <c r="E727">
        <v>1</v>
      </c>
      <c r="F727">
        <v>1</v>
      </c>
      <c r="G727">
        <v>1</v>
      </c>
      <c r="J727">
        <f t="shared" si="31"/>
        <v>56</v>
      </c>
      <c r="K727">
        <v>1</v>
      </c>
      <c r="L727">
        <v>1</v>
      </c>
      <c r="M727">
        <v>1</v>
      </c>
      <c r="N727">
        <v>1</v>
      </c>
      <c r="O727">
        <v>1</v>
      </c>
      <c r="R727">
        <f t="shared" si="32"/>
        <v>56</v>
      </c>
      <c r="S727">
        <v>1</v>
      </c>
      <c r="T727">
        <v>1</v>
      </c>
      <c r="U727">
        <v>1</v>
      </c>
      <c r="V727">
        <v>1</v>
      </c>
      <c r="W727">
        <v>1</v>
      </c>
      <c r="AA727">
        <v>-8815.6316999999999</v>
      </c>
      <c r="AB727">
        <v>-8815.6316999999999</v>
      </c>
      <c r="AC727">
        <v>-8815.6316999999999</v>
      </c>
      <c r="AD727">
        <v>-8815.6316999999999</v>
      </c>
      <c r="AE727">
        <v>-8815.6316999999999</v>
      </c>
      <c r="AF727">
        <v>-1073295.8774000001</v>
      </c>
    </row>
    <row r="728" spans="2:32" x14ac:dyDescent="0.25">
      <c r="B728">
        <f t="shared" si="30"/>
        <v>57</v>
      </c>
      <c r="C728">
        <v>1</v>
      </c>
      <c r="D728">
        <v>1</v>
      </c>
      <c r="E728">
        <v>1</v>
      </c>
      <c r="F728">
        <v>1</v>
      </c>
      <c r="G728">
        <v>1</v>
      </c>
      <c r="J728">
        <f t="shared" si="31"/>
        <v>57</v>
      </c>
      <c r="K728">
        <v>1</v>
      </c>
      <c r="L728">
        <v>1</v>
      </c>
      <c r="M728">
        <v>1</v>
      </c>
      <c r="N728">
        <v>1</v>
      </c>
      <c r="O728">
        <v>1</v>
      </c>
      <c r="R728">
        <f t="shared" si="32"/>
        <v>57</v>
      </c>
      <c r="S728">
        <v>1</v>
      </c>
      <c r="T728">
        <v>1</v>
      </c>
      <c r="U728">
        <v>1</v>
      </c>
      <c r="V728">
        <v>1</v>
      </c>
      <c r="W728">
        <v>1</v>
      </c>
      <c r="AA728">
        <v>-8671.3991999999998</v>
      </c>
      <c r="AB728">
        <v>-8671.3991999999998</v>
      </c>
      <c r="AC728">
        <v>-8671.3991999999998</v>
      </c>
      <c r="AD728">
        <v>-8671.3991999999998</v>
      </c>
      <c r="AE728">
        <v>-8671.3991999999998</v>
      </c>
      <c r="AF728">
        <v>-1093242.6832999999</v>
      </c>
    </row>
    <row r="729" spans="2:32" x14ac:dyDescent="0.25">
      <c r="B729">
        <f t="shared" si="30"/>
        <v>58</v>
      </c>
      <c r="C729">
        <v>1</v>
      </c>
      <c r="D729">
        <v>1</v>
      </c>
      <c r="E729">
        <v>1</v>
      </c>
      <c r="F729">
        <v>1</v>
      </c>
      <c r="G729">
        <v>1</v>
      </c>
      <c r="J729">
        <f t="shared" si="31"/>
        <v>58</v>
      </c>
      <c r="K729">
        <v>1</v>
      </c>
      <c r="L729">
        <v>1</v>
      </c>
      <c r="M729">
        <v>1</v>
      </c>
      <c r="N729">
        <v>1</v>
      </c>
      <c r="O729">
        <v>1</v>
      </c>
      <c r="R729">
        <f t="shared" si="32"/>
        <v>58</v>
      </c>
      <c r="S729">
        <v>1</v>
      </c>
      <c r="T729">
        <v>1</v>
      </c>
      <c r="U729">
        <v>1</v>
      </c>
      <c r="V729">
        <v>1</v>
      </c>
      <c r="W729">
        <v>1</v>
      </c>
      <c r="AA729">
        <v>-8525.2759999999998</v>
      </c>
      <c r="AB729">
        <v>-8525.2759999999998</v>
      </c>
      <c r="AC729">
        <v>-8525.2759999999998</v>
      </c>
      <c r="AD729">
        <v>-8525.2759999999998</v>
      </c>
      <c r="AE729">
        <v>-8525.2759999999998</v>
      </c>
      <c r="AF729">
        <v>-1114366.6444000001</v>
      </c>
    </row>
    <row r="730" spans="2:32" x14ac:dyDescent="0.25">
      <c r="B730">
        <f t="shared" si="30"/>
        <v>59</v>
      </c>
      <c r="C730">
        <v>1</v>
      </c>
      <c r="D730">
        <v>1</v>
      </c>
      <c r="E730">
        <v>1</v>
      </c>
      <c r="F730">
        <v>1</v>
      </c>
      <c r="G730">
        <v>1</v>
      </c>
      <c r="J730">
        <f t="shared" si="31"/>
        <v>59</v>
      </c>
      <c r="K730">
        <v>1</v>
      </c>
      <c r="L730">
        <v>1</v>
      </c>
      <c r="M730">
        <v>1</v>
      </c>
      <c r="N730">
        <v>1</v>
      </c>
      <c r="O730">
        <v>1</v>
      </c>
      <c r="R730">
        <f t="shared" si="32"/>
        <v>59</v>
      </c>
      <c r="S730">
        <v>1</v>
      </c>
      <c r="T730">
        <v>1</v>
      </c>
      <c r="U730">
        <v>1</v>
      </c>
      <c r="V730">
        <v>1</v>
      </c>
      <c r="W730">
        <v>1</v>
      </c>
      <c r="AA730">
        <v>-8377.2351999999992</v>
      </c>
      <c r="AB730">
        <v>-8377.2351999999992</v>
      </c>
      <c r="AC730">
        <v>-8377.2351999999992</v>
      </c>
      <c r="AD730">
        <v>-8377.2351999999992</v>
      </c>
      <c r="AE730">
        <v>-8377.2351999999992</v>
      </c>
      <c r="AF730">
        <v>-1136284.0146999999</v>
      </c>
    </row>
    <row r="731" spans="2:32" x14ac:dyDescent="0.25">
      <c r="B731">
        <f t="shared" si="30"/>
        <v>60</v>
      </c>
      <c r="C731">
        <v>1</v>
      </c>
      <c r="D731">
        <v>1</v>
      </c>
      <c r="E731">
        <v>1</v>
      </c>
      <c r="F731">
        <v>1</v>
      </c>
      <c r="G731">
        <v>1</v>
      </c>
      <c r="J731">
        <f t="shared" si="31"/>
        <v>60</v>
      </c>
      <c r="K731">
        <v>1</v>
      </c>
      <c r="L731">
        <v>1</v>
      </c>
      <c r="M731">
        <v>1</v>
      </c>
      <c r="N731">
        <v>1</v>
      </c>
      <c r="O731">
        <v>1</v>
      </c>
      <c r="R731">
        <f t="shared" si="32"/>
        <v>60</v>
      </c>
      <c r="S731">
        <v>1</v>
      </c>
      <c r="T731">
        <v>1</v>
      </c>
      <c r="U731">
        <v>1</v>
      </c>
      <c r="V731">
        <v>1</v>
      </c>
      <c r="W731">
        <v>1</v>
      </c>
      <c r="AA731">
        <v>-8227.3953999999994</v>
      </c>
      <c r="AB731">
        <v>-8227.3953999999994</v>
      </c>
      <c r="AC731">
        <v>-8227.3953999999994</v>
      </c>
      <c r="AD731">
        <v>-8227.3953999999994</v>
      </c>
      <c r="AE731">
        <v>-8227.3953999999994</v>
      </c>
      <c r="AF731">
        <v>-1157801.6717999999</v>
      </c>
    </row>
    <row r="732" spans="2:32" x14ac:dyDescent="0.25">
      <c r="B732">
        <f t="shared" si="30"/>
        <v>61</v>
      </c>
      <c r="C732">
        <v>1</v>
      </c>
      <c r="D732">
        <v>1</v>
      </c>
      <c r="E732">
        <v>1</v>
      </c>
      <c r="F732">
        <v>1</v>
      </c>
      <c r="G732">
        <v>1</v>
      </c>
      <c r="J732">
        <f t="shared" si="31"/>
        <v>61</v>
      </c>
      <c r="K732">
        <v>1</v>
      </c>
      <c r="L732">
        <v>1</v>
      </c>
      <c r="M732">
        <v>1</v>
      </c>
      <c r="N732">
        <v>1</v>
      </c>
      <c r="O732">
        <v>1</v>
      </c>
      <c r="R732">
        <f t="shared" si="32"/>
        <v>61</v>
      </c>
      <c r="S732">
        <v>1</v>
      </c>
      <c r="T732">
        <v>1</v>
      </c>
      <c r="U732">
        <v>1</v>
      </c>
      <c r="V732">
        <v>1</v>
      </c>
      <c r="W732">
        <v>1</v>
      </c>
      <c r="AA732">
        <v>-8076.1778999999997</v>
      </c>
      <c r="AB732">
        <v>-8076.1778999999997</v>
      </c>
      <c r="AC732">
        <v>-8076.1778999999997</v>
      </c>
      <c r="AD732">
        <v>-8076.1778999999997</v>
      </c>
      <c r="AE732">
        <v>-8076.1778999999997</v>
      </c>
      <c r="AF732">
        <v>-1178581.4038</v>
      </c>
    </row>
    <row r="733" spans="2:32" x14ac:dyDescent="0.25">
      <c r="B733">
        <f t="shared" si="30"/>
        <v>62</v>
      </c>
      <c r="C733">
        <v>1</v>
      </c>
      <c r="D733">
        <v>1</v>
      </c>
      <c r="E733">
        <v>1</v>
      </c>
      <c r="F733">
        <v>1</v>
      </c>
      <c r="G733">
        <v>1</v>
      </c>
      <c r="J733">
        <f t="shared" si="31"/>
        <v>62</v>
      </c>
      <c r="K733">
        <v>1</v>
      </c>
      <c r="L733">
        <v>1</v>
      </c>
      <c r="M733">
        <v>1</v>
      </c>
      <c r="N733">
        <v>1</v>
      </c>
      <c r="O733">
        <v>1</v>
      </c>
      <c r="R733">
        <f t="shared" si="32"/>
        <v>62</v>
      </c>
      <c r="S733">
        <v>1</v>
      </c>
      <c r="T733">
        <v>1</v>
      </c>
      <c r="U733">
        <v>1</v>
      </c>
      <c r="V733">
        <v>1</v>
      </c>
      <c r="W733">
        <v>1</v>
      </c>
      <c r="AA733">
        <v>-7923.5816000000004</v>
      </c>
      <c r="AB733">
        <v>-7923.5816000000004</v>
      </c>
      <c r="AC733">
        <v>-7923.5816000000004</v>
      </c>
      <c r="AD733">
        <v>-7923.5816000000004</v>
      </c>
      <c r="AE733">
        <v>-7923.5816000000004</v>
      </c>
      <c r="AF733">
        <v>-1199521.5327000001</v>
      </c>
    </row>
    <row r="734" spans="2:32" x14ac:dyDescent="0.25">
      <c r="B734">
        <f t="shared" si="30"/>
        <v>63</v>
      </c>
      <c r="C734">
        <v>1</v>
      </c>
      <c r="D734">
        <v>1</v>
      </c>
      <c r="E734">
        <v>1</v>
      </c>
      <c r="F734">
        <v>1</v>
      </c>
      <c r="G734">
        <v>1</v>
      </c>
      <c r="J734">
        <f t="shared" si="31"/>
        <v>63</v>
      </c>
      <c r="K734">
        <v>1</v>
      </c>
      <c r="L734">
        <v>1</v>
      </c>
      <c r="M734">
        <v>1</v>
      </c>
      <c r="N734">
        <v>1</v>
      </c>
      <c r="O734">
        <v>1</v>
      </c>
      <c r="R734">
        <f t="shared" si="32"/>
        <v>63</v>
      </c>
      <c r="S734">
        <v>1</v>
      </c>
      <c r="T734">
        <v>1</v>
      </c>
      <c r="U734">
        <v>1</v>
      </c>
      <c r="V734">
        <v>1</v>
      </c>
      <c r="W734">
        <v>1</v>
      </c>
      <c r="AA734">
        <v>-7769.2775000000001</v>
      </c>
      <c r="AB734">
        <v>-7769.2775000000001</v>
      </c>
      <c r="AC734">
        <v>-7769.2775000000001</v>
      </c>
      <c r="AD734">
        <v>-7769.2775000000001</v>
      </c>
      <c r="AE734">
        <v>-7769.2775000000001</v>
      </c>
      <c r="AF734">
        <v>-1220461.6269</v>
      </c>
    </row>
    <row r="735" spans="2:32" x14ac:dyDescent="0.25">
      <c r="B735">
        <f t="shared" si="30"/>
        <v>64</v>
      </c>
      <c r="C735">
        <v>1</v>
      </c>
      <c r="D735">
        <v>1</v>
      </c>
      <c r="E735">
        <v>1</v>
      </c>
      <c r="F735">
        <v>1</v>
      </c>
      <c r="G735">
        <v>1</v>
      </c>
      <c r="J735">
        <f t="shared" si="31"/>
        <v>64</v>
      </c>
      <c r="K735">
        <v>1</v>
      </c>
      <c r="L735">
        <v>1</v>
      </c>
      <c r="M735">
        <v>1</v>
      </c>
      <c r="N735">
        <v>1</v>
      </c>
      <c r="O735">
        <v>1</v>
      </c>
      <c r="R735">
        <f t="shared" si="32"/>
        <v>64</v>
      </c>
      <c r="S735">
        <v>1</v>
      </c>
      <c r="T735">
        <v>1</v>
      </c>
      <c r="U735">
        <v>1</v>
      </c>
      <c r="V735">
        <v>1</v>
      </c>
      <c r="W735">
        <v>1</v>
      </c>
      <c r="AA735">
        <v>-7613.3999000000003</v>
      </c>
      <c r="AB735">
        <v>-7613.3999000000003</v>
      </c>
      <c r="AC735">
        <v>-7613.3999000000003</v>
      </c>
      <c r="AD735">
        <v>-7613.3999000000003</v>
      </c>
      <c r="AE735">
        <v>-7613.3999000000003</v>
      </c>
      <c r="AF735">
        <v>-1240652.2526</v>
      </c>
    </row>
    <row r="736" spans="2:32" x14ac:dyDescent="0.25">
      <c r="B736">
        <f t="shared" si="30"/>
        <v>65</v>
      </c>
      <c r="C736">
        <v>1</v>
      </c>
      <c r="D736">
        <v>1</v>
      </c>
      <c r="E736">
        <v>1</v>
      </c>
      <c r="F736">
        <v>1</v>
      </c>
      <c r="G736">
        <v>1</v>
      </c>
      <c r="J736">
        <f t="shared" si="31"/>
        <v>65</v>
      </c>
      <c r="K736">
        <v>1</v>
      </c>
      <c r="L736">
        <v>1</v>
      </c>
      <c r="M736">
        <v>1</v>
      </c>
      <c r="N736">
        <v>1</v>
      </c>
      <c r="O736">
        <v>1</v>
      </c>
      <c r="R736">
        <f t="shared" si="32"/>
        <v>65</v>
      </c>
      <c r="S736">
        <v>1</v>
      </c>
      <c r="T736">
        <v>1</v>
      </c>
      <c r="U736">
        <v>1</v>
      </c>
      <c r="V736">
        <v>1</v>
      </c>
      <c r="W736">
        <v>1</v>
      </c>
      <c r="AA736">
        <v>-7455.8590000000004</v>
      </c>
      <c r="AB736">
        <v>-7455.8590000000004</v>
      </c>
      <c r="AC736">
        <v>-7455.8590000000004</v>
      </c>
      <c r="AD736">
        <v>-7455.8590000000004</v>
      </c>
      <c r="AE736">
        <v>-7455.8590000000004</v>
      </c>
      <c r="AF736">
        <v>-1260049.8302</v>
      </c>
    </row>
    <row r="739" spans="2:32" x14ac:dyDescent="0.25">
      <c r="B739" t="s">
        <v>46</v>
      </c>
      <c r="C739">
        <v>50000</v>
      </c>
      <c r="D739">
        <v>100000</v>
      </c>
      <c r="E739">
        <v>250000</v>
      </c>
      <c r="F739">
        <v>500000</v>
      </c>
      <c r="G739">
        <v>1000000</v>
      </c>
      <c r="H739">
        <v>2000000</v>
      </c>
      <c r="J739" t="s">
        <v>47</v>
      </c>
      <c r="K739">
        <v>50000</v>
      </c>
      <c r="L739">
        <v>100000</v>
      </c>
      <c r="M739">
        <v>250000</v>
      </c>
      <c r="N739">
        <v>500000</v>
      </c>
      <c r="O739">
        <v>1000000</v>
      </c>
      <c r="P739">
        <v>2000000</v>
      </c>
      <c r="R739" t="s">
        <v>48</v>
      </c>
      <c r="S739">
        <v>50000</v>
      </c>
      <c r="T739">
        <v>100000</v>
      </c>
      <c r="U739">
        <v>250000</v>
      </c>
      <c r="V739">
        <v>500000</v>
      </c>
      <c r="W739">
        <v>1000000</v>
      </c>
      <c r="X739">
        <v>2000000</v>
      </c>
    </row>
    <row r="740" spans="2:32" x14ac:dyDescent="0.25">
      <c r="B740">
        <v>26</v>
      </c>
      <c r="C740">
        <v>1</v>
      </c>
      <c r="D740">
        <v>1</v>
      </c>
      <c r="E740">
        <v>1</v>
      </c>
      <c r="F740">
        <v>1</v>
      </c>
      <c r="G740">
        <v>1</v>
      </c>
      <c r="H740">
        <v>1</v>
      </c>
      <c r="J740">
        <v>26</v>
      </c>
      <c r="K740">
        <v>1</v>
      </c>
      <c r="L740">
        <v>1</v>
      </c>
      <c r="M740">
        <v>1</v>
      </c>
      <c r="N740">
        <v>1</v>
      </c>
      <c r="O740">
        <v>1</v>
      </c>
      <c r="P740">
        <v>1</v>
      </c>
      <c r="R740">
        <v>26</v>
      </c>
      <c r="S740">
        <v>1</v>
      </c>
      <c r="T740">
        <v>1</v>
      </c>
      <c r="U740">
        <v>1</v>
      </c>
      <c r="V740">
        <v>1</v>
      </c>
      <c r="W740">
        <v>1</v>
      </c>
      <c r="X740">
        <v>1</v>
      </c>
      <c r="AA740">
        <v>-7435.5060999999996</v>
      </c>
      <c r="AB740">
        <v>-7435.5060999999996</v>
      </c>
      <c r="AC740">
        <v>-7435.5060999999996</v>
      </c>
      <c r="AD740">
        <v>-7435.5060999999996</v>
      </c>
      <c r="AE740">
        <v>-7435.5060999999996</v>
      </c>
      <c r="AF740">
        <v>-7435.5060999999996</v>
      </c>
    </row>
    <row r="741" spans="2:32" x14ac:dyDescent="0.25">
      <c r="B741">
        <v>27</v>
      </c>
      <c r="C741">
        <v>1</v>
      </c>
      <c r="D741">
        <v>1</v>
      </c>
      <c r="E741">
        <v>1</v>
      </c>
      <c r="F741">
        <v>1</v>
      </c>
      <c r="G741">
        <v>1</v>
      </c>
      <c r="H741">
        <v>1</v>
      </c>
      <c r="J741">
        <v>27</v>
      </c>
      <c r="K741">
        <v>1</v>
      </c>
      <c r="L741">
        <v>1</v>
      </c>
      <c r="M741">
        <v>1</v>
      </c>
      <c r="N741">
        <v>1</v>
      </c>
      <c r="O741">
        <v>1</v>
      </c>
      <c r="P741">
        <v>1</v>
      </c>
      <c r="R741">
        <v>27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AA741">
        <v>-7434.2619000000004</v>
      </c>
      <c r="AB741">
        <v>-7434.2619000000004</v>
      </c>
      <c r="AC741">
        <v>-7434.2619000000004</v>
      </c>
      <c r="AD741">
        <v>-7434.2619000000004</v>
      </c>
      <c r="AE741">
        <v>-7434.2619000000004</v>
      </c>
      <c r="AF741">
        <v>-7434.2619000000004</v>
      </c>
    </row>
    <row r="742" spans="2:32" x14ac:dyDescent="0.25">
      <c r="B742">
        <v>28</v>
      </c>
      <c r="C742">
        <v>1</v>
      </c>
      <c r="D742">
        <v>1</v>
      </c>
      <c r="E742">
        <v>1</v>
      </c>
      <c r="F742">
        <v>1</v>
      </c>
      <c r="G742">
        <v>1</v>
      </c>
      <c r="H742">
        <v>1</v>
      </c>
      <c r="J742">
        <v>28</v>
      </c>
      <c r="K742">
        <v>1</v>
      </c>
      <c r="L742">
        <v>1</v>
      </c>
      <c r="M742">
        <v>1</v>
      </c>
      <c r="N742">
        <v>1</v>
      </c>
      <c r="O742">
        <v>1</v>
      </c>
      <c r="P742">
        <v>1</v>
      </c>
      <c r="R742">
        <v>28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AA742">
        <v>-7432.8334999999997</v>
      </c>
      <c r="AB742">
        <v>-7432.8334999999997</v>
      </c>
      <c r="AC742">
        <v>-7432.8334999999997</v>
      </c>
      <c r="AD742">
        <v>-7432.8334999999997</v>
      </c>
      <c r="AE742">
        <v>-7432.8334999999997</v>
      </c>
      <c r="AF742">
        <v>-7432.8334999999997</v>
      </c>
    </row>
    <row r="743" spans="2:32" x14ac:dyDescent="0.25">
      <c r="B743">
        <v>29</v>
      </c>
      <c r="C743">
        <v>1</v>
      </c>
      <c r="D743">
        <v>1</v>
      </c>
      <c r="E743">
        <v>1</v>
      </c>
      <c r="F743">
        <v>1</v>
      </c>
      <c r="G743">
        <v>1</v>
      </c>
      <c r="H743">
        <v>1</v>
      </c>
      <c r="J743">
        <v>29</v>
      </c>
      <c r="K743">
        <v>1</v>
      </c>
      <c r="L743">
        <v>1</v>
      </c>
      <c r="M743">
        <v>1</v>
      </c>
      <c r="N743">
        <v>1</v>
      </c>
      <c r="O743">
        <v>1</v>
      </c>
      <c r="P743">
        <v>1</v>
      </c>
      <c r="R743">
        <v>29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1</v>
      </c>
      <c r="AA743">
        <v>-7431.2058999999999</v>
      </c>
      <c r="AB743">
        <v>-7431.2058999999999</v>
      </c>
      <c r="AC743">
        <v>-7431.2058999999999</v>
      </c>
      <c r="AD743">
        <v>-7431.2058999999999</v>
      </c>
      <c r="AE743">
        <v>-7431.2058999999999</v>
      </c>
      <c r="AF743">
        <v>-7431.2058999999999</v>
      </c>
    </row>
    <row r="744" spans="2:32" x14ac:dyDescent="0.25">
      <c r="B744">
        <v>30</v>
      </c>
      <c r="C744">
        <v>1</v>
      </c>
      <c r="D744">
        <v>1</v>
      </c>
      <c r="E744">
        <v>1</v>
      </c>
      <c r="F744">
        <v>1</v>
      </c>
      <c r="G744">
        <v>1</v>
      </c>
      <c r="H744">
        <v>1</v>
      </c>
      <c r="J744">
        <v>30</v>
      </c>
      <c r="K744">
        <v>1</v>
      </c>
      <c r="L744">
        <v>1</v>
      </c>
      <c r="M744">
        <v>1</v>
      </c>
      <c r="N744">
        <v>1</v>
      </c>
      <c r="O744">
        <v>1</v>
      </c>
      <c r="P744">
        <v>1</v>
      </c>
      <c r="R744">
        <v>30</v>
      </c>
      <c r="S744">
        <v>1</v>
      </c>
      <c r="T744">
        <v>1</v>
      </c>
      <c r="U744">
        <v>1</v>
      </c>
      <c r="V744">
        <v>1</v>
      </c>
      <c r="W744">
        <v>1</v>
      </c>
      <c r="X744">
        <v>1</v>
      </c>
      <c r="AA744">
        <v>-7429.3476000000001</v>
      </c>
      <c r="AB744">
        <v>-7429.3476000000001</v>
      </c>
      <c r="AC744">
        <v>-7429.3476000000001</v>
      </c>
      <c r="AD744">
        <v>-7429.3476000000001</v>
      </c>
      <c r="AE744">
        <v>-7429.3476000000001</v>
      </c>
      <c r="AF744">
        <v>-7429.3476000000001</v>
      </c>
    </row>
    <row r="745" spans="2:32" x14ac:dyDescent="0.25">
      <c r="B745">
        <v>31</v>
      </c>
      <c r="C745">
        <v>1</v>
      </c>
      <c r="D745">
        <v>1</v>
      </c>
      <c r="E745">
        <v>1</v>
      </c>
      <c r="F745">
        <v>1</v>
      </c>
      <c r="G745">
        <v>1</v>
      </c>
      <c r="H745">
        <v>1</v>
      </c>
      <c r="J745">
        <v>31</v>
      </c>
      <c r="K745">
        <v>1</v>
      </c>
      <c r="L745">
        <v>1</v>
      </c>
      <c r="M745">
        <v>1</v>
      </c>
      <c r="N745">
        <v>1</v>
      </c>
      <c r="O745">
        <v>1</v>
      </c>
      <c r="P745">
        <v>1</v>
      </c>
      <c r="R745">
        <v>31</v>
      </c>
      <c r="S745">
        <v>1</v>
      </c>
      <c r="T745">
        <v>1</v>
      </c>
      <c r="U745">
        <v>1</v>
      </c>
      <c r="V745">
        <v>1</v>
      </c>
      <c r="W745">
        <v>1</v>
      </c>
      <c r="X745">
        <v>1</v>
      </c>
      <c r="AA745">
        <v>-7427.2446</v>
      </c>
      <c r="AB745">
        <v>-7427.2446</v>
      </c>
      <c r="AC745">
        <v>-7427.2446</v>
      </c>
      <c r="AD745">
        <v>-7427.2446</v>
      </c>
      <c r="AE745">
        <v>-7427.2446</v>
      </c>
      <c r="AF745">
        <v>-7427.2446</v>
      </c>
    </row>
    <row r="746" spans="2:32" x14ac:dyDescent="0.25">
      <c r="B746">
        <v>32</v>
      </c>
      <c r="C746">
        <v>1</v>
      </c>
      <c r="D746">
        <v>1</v>
      </c>
      <c r="E746">
        <v>1</v>
      </c>
      <c r="F746">
        <v>1</v>
      </c>
      <c r="G746">
        <v>1</v>
      </c>
      <c r="H746">
        <v>1</v>
      </c>
      <c r="J746">
        <v>32</v>
      </c>
      <c r="K746">
        <v>1</v>
      </c>
      <c r="L746">
        <v>1</v>
      </c>
      <c r="M746">
        <v>1</v>
      </c>
      <c r="N746">
        <v>1</v>
      </c>
      <c r="O746">
        <v>1</v>
      </c>
      <c r="P746">
        <v>1</v>
      </c>
      <c r="R746">
        <v>32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AA746">
        <v>-7424.8944000000001</v>
      </c>
      <c r="AB746">
        <v>-7424.8944000000001</v>
      </c>
      <c r="AC746">
        <v>-7424.8944000000001</v>
      </c>
      <c r="AD746">
        <v>-7424.8944000000001</v>
      </c>
      <c r="AE746">
        <v>-7424.8944000000001</v>
      </c>
      <c r="AF746">
        <v>-7424.8944000000001</v>
      </c>
    </row>
    <row r="747" spans="2:32" x14ac:dyDescent="0.25">
      <c r="B747">
        <v>33</v>
      </c>
      <c r="C747">
        <v>1</v>
      </c>
      <c r="D747">
        <v>1</v>
      </c>
      <c r="E747">
        <v>1</v>
      </c>
      <c r="F747">
        <v>1</v>
      </c>
      <c r="G747">
        <v>1</v>
      </c>
      <c r="H747">
        <v>1</v>
      </c>
      <c r="J747">
        <v>33</v>
      </c>
      <c r="K747">
        <v>1</v>
      </c>
      <c r="L747">
        <v>1</v>
      </c>
      <c r="M747">
        <v>1</v>
      </c>
      <c r="N747">
        <v>1</v>
      </c>
      <c r="O747">
        <v>1</v>
      </c>
      <c r="P747">
        <v>1</v>
      </c>
      <c r="R747">
        <v>33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AA747">
        <v>-7422.2834000000003</v>
      </c>
      <c r="AB747">
        <v>-7422.2834000000003</v>
      </c>
      <c r="AC747">
        <v>-7422.2834000000003</v>
      </c>
      <c r="AD747">
        <v>-7422.2834000000003</v>
      </c>
      <c r="AE747">
        <v>-7422.2834000000003</v>
      </c>
      <c r="AF747">
        <v>-7422.2834000000003</v>
      </c>
    </row>
    <row r="748" spans="2:32" x14ac:dyDescent="0.25">
      <c r="B748">
        <v>34</v>
      </c>
      <c r="C748">
        <v>1</v>
      </c>
      <c r="D748">
        <v>1</v>
      </c>
      <c r="E748">
        <v>1</v>
      </c>
      <c r="F748">
        <v>1</v>
      </c>
      <c r="G748">
        <v>1</v>
      </c>
      <c r="H748">
        <v>1</v>
      </c>
      <c r="J748">
        <v>34</v>
      </c>
      <c r="K748">
        <v>1</v>
      </c>
      <c r="L748">
        <v>1</v>
      </c>
      <c r="M748">
        <v>1</v>
      </c>
      <c r="N748">
        <v>1</v>
      </c>
      <c r="O748">
        <v>1</v>
      </c>
      <c r="P748">
        <v>1</v>
      </c>
      <c r="R748">
        <v>34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AA748">
        <v>-7419.3683000000001</v>
      </c>
      <c r="AB748">
        <v>-7419.3683000000001</v>
      </c>
      <c r="AC748">
        <v>-7419.3683000000001</v>
      </c>
      <c r="AD748">
        <v>-7419.3683000000001</v>
      </c>
      <c r="AE748">
        <v>-7419.3683000000001</v>
      </c>
      <c r="AF748">
        <v>-7419.3683000000001</v>
      </c>
    </row>
    <row r="749" spans="2:32" x14ac:dyDescent="0.25">
      <c r="B749">
        <v>35</v>
      </c>
      <c r="C749">
        <v>1</v>
      </c>
      <c r="D749">
        <v>1</v>
      </c>
      <c r="E749">
        <v>1</v>
      </c>
      <c r="F749">
        <v>1</v>
      </c>
      <c r="G749">
        <v>1</v>
      </c>
      <c r="H749">
        <v>1</v>
      </c>
      <c r="J749">
        <v>35</v>
      </c>
      <c r="K749">
        <v>1</v>
      </c>
      <c r="L749">
        <v>1</v>
      </c>
      <c r="M749">
        <v>1</v>
      </c>
      <c r="N749">
        <v>1</v>
      </c>
      <c r="O749">
        <v>1</v>
      </c>
      <c r="P749">
        <v>1</v>
      </c>
      <c r="R749">
        <v>35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AA749">
        <v>-7416.1363000000001</v>
      </c>
      <c r="AB749">
        <v>-7416.1363000000001</v>
      </c>
      <c r="AC749">
        <v>-7416.1363000000001</v>
      </c>
      <c r="AD749">
        <v>-7416.1363000000001</v>
      </c>
      <c r="AE749">
        <v>-7416.1363000000001</v>
      </c>
      <c r="AF749">
        <v>-7416.1363000000001</v>
      </c>
    </row>
    <row r="750" spans="2:32" x14ac:dyDescent="0.25">
      <c r="B750">
        <v>36</v>
      </c>
      <c r="C750">
        <v>1</v>
      </c>
      <c r="D750">
        <v>1</v>
      </c>
      <c r="E750">
        <v>1</v>
      </c>
      <c r="F750">
        <v>1</v>
      </c>
      <c r="G750">
        <v>1</v>
      </c>
      <c r="H750">
        <v>1</v>
      </c>
      <c r="J750">
        <v>36</v>
      </c>
      <c r="K750">
        <v>1</v>
      </c>
      <c r="L750">
        <v>1</v>
      </c>
      <c r="M750">
        <v>1</v>
      </c>
      <c r="N750">
        <v>1</v>
      </c>
      <c r="O750">
        <v>1</v>
      </c>
      <c r="P750">
        <v>1</v>
      </c>
      <c r="R750">
        <v>36</v>
      </c>
      <c r="S750">
        <v>1</v>
      </c>
      <c r="T750">
        <v>1</v>
      </c>
      <c r="U750">
        <v>1</v>
      </c>
      <c r="V750">
        <v>1</v>
      </c>
      <c r="W750">
        <v>1</v>
      </c>
      <c r="X750">
        <v>1</v>
      </c>
      <c r="AA750">
        <v>-7412.5378000000001</v>
      </c>
      <c r="AB750">
        <v>-7412.5378000000001</v>
      </c>
      <c r="AC750">
        <v>-7412.5378000000001</v>
      </c>
      <c r="AD750">
        <v>-7412.5378000000001</v>
      </c>
      <c r="AE750">
        <v>-7412.5378000000001</v>
      </c>
      <c r="AF750">
        <v>-7412.5378000000001</v>
      </c>
    </row>
    <row r="751" spans="2:32" x14ac:dyDescent="0.25">
      <c r="B751">
        <v>37</v>
      </c>
      <c r="C751">
        <v>1</v>
      </c>
      <c r="D751">
        <v>1</v>
      </c>
      <c r="E751">
        <v>1</v>
      </c>
      <c r="F751">
        <v>1</v>
      </c>
      <c r="G751">
        <v>1</v>
      </c>
      <c r="H751">
        <v>1</v>
      </c>
      <c r="J751">
        <v>37</v>
      </c>
      <c r="K751">
        <v>1</v>
      </c>
      <c r="L751">
        <v>1</v>
      </c>
      <c r="M751">
        <v>1</v>
      </c>
      <c r="N751">
        <v>1</v>
      </c>
      <c r="O751">
        <v>1</v>
      </c>
      <c r="P751">
        <v>1</v>
      </c>
      <c r="R751">
        <v>37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AA751">
        <v>-7408.55</v>
      </c>
      <c r="AB751">
        <v>-7408.55</v>
      </c>
      <c r="AC751">
        <v>-7408.55</v>
      </c>
      <c r="AD751">
        <v>-7408.55</v>
      </c>
      <c r="AE751">
        <v>-7408.55</v>
      </c>
      <c r="AF751">
        <v>-7408.55</v>
      </c>
    </row>
    <row r="752" spans="2:32" x14ac:dyDescent="0.25">
      <c r="B752">
        <v>38</v>
      </c>
      <c r="C752">
        <v>1</v>
      </c>
      <c r="D752">
        <v>1</v>
      </c>
      <c r="E752">
        <v>1</v>
      </c>
      <c r="F752">
        <v>1</v>
      </c>
      <c r="G752">
        <v>1</v>
      </c>
      <c r="H752">
        <v>1</v>
      </c>
      <c r="J752">
        <v>38</v>
      </c>
      <c r="K752">
        <v>1</v>
      </c>
      <c r="L752">
        <v>1</v>
      </c>
      <c r="M752">
        <v>1</v>
      </c>
      <c r="N752">
        <v>1</v>
      </c>
      <c r="O752">
        <v>1</v>
      </c>
      <c r="P752">
        <v>1</v>
      </c>
      <c r="R752">
        <v>38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AA752">
        <v>-7404.1752999999999</v>
      </c>
      <c r="AB752">
        <v>-7404.1752999999999</v>
      </c>
      <c r="AC752">
        <v>-7404.1752999999999</v>
      </c>
      <c r="AD752">
        <v>-7404.1752999999999</v>
      </c>
      <c r="AE752">
        <v>-7404.1752999999999</v>
      </c>
      <c r="AF752">
        <v>-7404.1752999999999</v>
      </c>
    </row>
    <row r="753" spans="2:32" x14ac:dyDescent="0.25">
      <c r="B753">
        <v>39</v>
      </c>
      <c r="C753">
        <v>1</v>
      </c>
      <c r="D753">
        <v>1</v>
      </c>
      <c r="E753">
        <v>1</v>
      </c>
      <c r="F753">
        <v>1</v>
      </c>
      <c r="G753">
        <v>1</v>
      </c>
      <c r="H753">
        <v>1</v>
      </c>
      <c r="J753">
        <v>39</v>
      </c>
      <c r="K753">
        <v>1</v>
      </c>
      <c r="L753">
        <v>1</v>
      </c>
      <c r="M753">
        <v>1</v>
      </c>
      <c r="N753">
        <v>1</v>
      </c>
      <c r="O753">
        <v>1</v>
      </c>
      <c r="P753">
        <v>1</v>
      </c>
      <c r="R753">
        <v>39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AA753">
        <v>-7399.3923999999997</v>
      </c>
      <c r="AB753">
        <v>-7399.3923999999997</v>
      </c>
      <c r="AC753">
        <v>-7399.3923999999997</v>
      </c>
      <c r="AD753">
        <v>-7399.3923999999997</v>
      </c>
      <c r="AE753">
        <v>-7399.3923999999997</v>
      </c>
      <c r="AF753">
        <v>-7399.3923999999997</v>
      </c>
    </row>
    <row r="754" spans="2:32" x14ac:dyDescent="0.25">
      <c r="B754">
        <v>40</v>
      </c>
      <c r="C754">
        <v>1</v>
      </c>
      <c r="D754">
        <v>1</v>
      </c>
      <c r="E754">
        <v>1</v>
      </c>
      <c r="F754">
        <v>1</v>
      </c>
      <c r="G754">
        <v>1</v>
      </c>
      <c r="H754">
        <v>1</v>
      </c>
      <c r="J754">
        <v>40</v>
      </c>
      <c r="K754">
        <v>1</v>
      </c>
      <c r="L754">
        <v>1</v>
      </c>
      <c r="M754">
        <v>1</v>
      </c>
      <c r="N754">
        <v>1</v>
      </c>
      <c r="O754">
        <v>1</v>
      </c>
      <c r="P754">
        <v>1</v>
      </c>
      <c r="R754">
        <v>40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AA754">
        <v>-7394.1365999999998</v>
      </c>
      <c r="AB754">
        <v>-7394.1365999999998</v>
      </c>
      <c r="AC754">
        <v>-7394.1365999999998</v>
      </c>
      <c r="AD754">
        <v>-7394.1365999999998</v>
      </c>
      <c r="AE754">
        <v>-7394.1365999999998</v>
      </c>
      <c r="AF754">
        <v>-7394.1365999999998</v>
      </c>
    </row>
    <row r="755" spans="2:32" x14ac:dyDescent="0.25">
      <c r="B755">
        <v>41</v>
      </c>
      <c r="C755">
        <v>1</v>
      </c>
      <c r="D755">
        <v>1</v>
      </c>
      <c r="E755">
        <v>1</v>
      </c>
      <c r="F755">
        <v>1</v>
      </c>
      <c r="G755">
        <v>1</v>
      </c>
      <c r="H755">
        <v>1</v>
      </c>
      <c r="J755">
        <v>41</v>
      </c>
      <c r="K755">
        <v>1</v>
      </c>
      <c r="L755">
        <v>1</v>
      </c>
      <c r="M755">
        <v>1</v>
      </c>
      <c r="N755">
        <v>1</v>
      </c>
      <c r="O755">
        <v>1</v>
      </c>
      <c r="P755">
        <v>1</v>
      </c>
      <c r="R755">
        <v>41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AA755">
        <v>-7388.3469999999998</v>
      </c>
      <c r="AB755">
        <v>-7388.3469999999998</v>
      </c>
      <c r="AC755">
        <v>-7388.3469999999998</v>
      </c>
      <c r="AD755">
        <v>-7388.3469999999998</v>
      </c>
      <c r="AE755">
        <v>-7388.3469999999998</v>
      </c>
      <c r="AF755">
        <v>-7388.3469999999998</v>
      </c>
    </row>
    <row r="756" spans="2:32" x14ac:dyDescent="0.25">
      <c r="B756">
        <v>42</v>
      </c>
      <c r="C756">
        <v>1</v>
      </c>
      <c r="D756">
        <v>1</v>
      </c>
      <c r="E756">
        <v>1</v>
      </c>
      <c r="F756">
        <v>1</v>
      </c>
      <c r="G756">
        <v>1</v>
      </c>
      <c r="H756">
        <v>1</v>
      </c>
      <c r="J756">
        <v>42</v>
      </c>
      <c r="K756">
        <v>1</v>
      </c>
      <c r="L756">
        <v>1</v>
      </c>
      <c r="M756">
        <v>1</v>
      </c>
      <c r="N756">
        <v>1</v>
      </c>
      <c r="O756">
        <v>1</v>
      </c>
      <c r="P756">
        <v>1</v>
      </c>
      <c r="R756">
        <v>42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AA756">
        <v>-7381.9919</v>
      </c>
      <c r="AB756">
        <v>-7381.9919</v>
      </c>
      <c r="AC756">
        <v>-7381.9919</v>
      </c>
      <c r="AD756">
        <v>-7381.9919</v>
      </c>
      <c r="AE756">
        <v>-7381.9919</v>
      </c>
      <c r="AF756">
        <v>-7381.9919</v>
      </c>
    </row>
    <row r="757" spans="2:32" x14ac:dyDescent="0.25">
      <c r="B757">
        <v>43</v>
      </c>
      <c r="C757">
        <v>1</v>
      </c>
      <c r="D757">
        <v>1</v>
      </c>
      <c r="E757">
        <v>1</v>
      </c>
      <c r="F757">
        <v>1</v>
      </c>
      <c r="G757">
        <v>1</v>
      </c>
      <c r="H757">
        <v>1</v>
      </c>
      <c r="J757">
        <v>43</v>
      </c>
      <c r="K757">
        <v>1</v>
      </c>
      <c r="L757">
        <v>1</v>
      </c>
      <c r="M757">
        <v>1</v>
      </c>
      <c r="N757">
        <v>1</v>
      </c>
      <c r="O757">
        <v>1</v>
      </c>
      <c r="P757">
        <v>1</v>
      </c>
      <c r="R757">
        <v>43</v>
      </c>
      <c r="S757">
        <v>1</v>
      </c>
      <c r="T757">
        <v>1</v>
      </c>
      <c r="U757">
        <v>1</v>
      </c>
      <c r="V757">
        <v>1</v>
      </c>
      <c r="W757">
        <v>1</v>
      </c>
      <c r="X757">
        <v>1</v>
      </c>
      <c r="AA757">
        <v>-7374.9579999999996</v>
      </c>
      <c r="AB757">
        <v>-7374.9579999999996</v>
      </c>
      <c r="AC757">
        <v>-7374.9579999999996</v>
      </c>
      <c r="AD757">
        <v>-7374.9579999999996</v>
      </c>
      <c r="AE757">
        <v>-7374.9579999999996</v>
      </c>
      <c r="AF757">
        <v>-7374.9579999999996</v>
      </c>
    </row>
    <row r="758" spans="2:32" x14ac:dyDescent="0.25">
      <c r="B758">
        <v>44</v>
      </c>
      <c r="C758">
        <v>1</v>
      </c>
      <c r="D758">
        <v>1</v>
      </c>
      <c r="E758">
        <v>1</v>
      </c>
      <c r="F758">
        <v>1</v>
      </c>
      <c r="G758">
        <v>1</v>
      </c>
      <c r="H758">
        <v>1</v>
      </c>
      <c r="J758">
        <v>44</v>
      </c>
      <c r="K758">
        <v>1</v>
      </c>
      <c r="L758">
        <v>1</v>
      </c>
      <c r="M758">
        <v>1</v>
      </c>
      <c r="N758">
        <v>1</v>
      </c>
      <c r="O758">
        <v>1</v>
      </c>
      <c r="P758">
        <v>1</v>
      </c>
      <c r="R758">
        <v>44</v>
      </c>
      <c r="S758">
        <v>1</v>
      </c>
      <c r="T758">
        <v>1</v>
      </c>
      <c r="U758">
        <v>1</v>
      </c>
      <c r="V758">
        <v>1</v>
      </c>
      <c r="W758">
        <v>1</v>
      </c>
      <c r="X758">
        <v>1</v>
      </c>
      <c r="AA758">
        <v>-7367.2034999999996</v>
      </c>
      <c r="AB758">
        <v>-7367.2034999999996</v>
      </c>
      <c r="AC758">
        <v>-7367.2034999999996</v>
      </c>
      <c r="AD758">
        <v>-7367.2034999999996</v>
      </c>
      <c r="AE758">
        <v>-7367.2034999999996</v>
      </c>
      <c r="AF758">
        <v>-7367.2034999999996</v>
      </c>
    </row>
    <row r="759" spans="2:32" x14ac:dyDescent="0.25">
      <c r="B759">
        <v>45</v>
      </c>
      <c r="C759">
        <v>1</v>
      </c>
      <c r="D759">
        <v>1</v>
      </c>
      <c r="E759">
        <v>1</v>
      </c>
      <c r="F759">
        <v>1</v>
      </c>
      <c r="G759">
        <v>1</v>
      </c>
      <c r="H759">
        <v>1</v>
      </c>
      <c r="J759">
        <v>45</v>
      </c>
      <c r="K759">
        <v>1</v>
      </c>
      <c r="L759">
        <v>1</v>
      </c>
      <c r="M759">
        <v>1</v>
      </c>
      <c r="N759">
        <v>1</v>
      </c>
      <c r="O759">
        <v>1</v>
      </c>
      <c r="P759">
        <v>1</v>
      </c>
      <c r="R759">
        <v>45</v>
      </c>
      <c r="S759">
        <v>1</v>
      </c>
      <c r="T759">
        <v>1</v>
      </c>
      <c r="U759">
        <v>1</v>
      </c>
      <c r="V759">
        <v>1</v>
      </c>
      <c r="W759">
        <v>1</v>
      </c>
      <c r="X759">
        <v>1</v>
      </c>
      <c r="AA759">
        <v>-7358.6491999999998</v>
      </c>
      <c r="AB759">
        <v>-7358.6491999999998</v>
      </c>
      <c r="AC759">
        <v>-7358.6491999999998</v>
      </c>
      <c r="AD759">
        <v>-7358.6491999999998</v>
      </c>
      <c r="AE759">
        <v>-7358.6491999999998</v>
      </c>
      <c r="AF759">
        <v>-7358.6491999999998</v>
      </c>
    </row>
    <row r="760" spans="2:32" x14ac:dyDescent="0.25">
      <c r="B760">
        <v>46</v>
      </c>
      <c r="C760">
        <v>1</v>
      </c>
      <c r="D760">
        <v>1</v>
      </c>
      <c r="E760">
        <v>1</v>
      </c>
      <c r="F760">
        <v>1</v>
      </c>
      <c r="G760">
        <v>1</v>
      </c>
      <c r="H760">
        <v>1</v>
      </c>
      <c r="J760">
        <v>46</v>
      </c>
      <c r="K760">
        <v>1</v>
      </c>
      <c r="L760">
        <v>1</v>
      </c>
      <c r="M760">
        <v>1</v>
      </c>
      <c r="N760">
        <v>1</v>
      </c>
      <c r="O760">
        <v>1</v>
      </c>
      <c r="P760">
        <v>1</v>
      </c>
      <c r="R760">
        <v>46</v>
      </c>
      <c r="S760">
        <v>1</v>
      </c>
      <c r="T760">
        <v>1</v>
      </c>
      <c r="U760">
        <v>1</v>
      </c>
      <c r="V760">
        <v>1</v>
      </c>
      <c r="W760">
        <v>1</v>
      </c>
      <c r="X760">
        <v>1</v>
      </c>
      <c r="AA760">
        <v>-7349.2232000000004</v>
      </c>
      <c r="AB760">
        <v>-7349.2232000000004</v>
      </c>
      <c r="AC760">
        <v>-7349.2232000000004</v>
      </c>
      <c r="AD760">
        <v>-7349.2232000000004</v>
      </c>
      <c r="AE760">
        <v>-7349.2232000000004</v>
      </c>
      <c r="AF760">
        <v>-7349.2232000000004</v>
      </c>
    </row>
    <row r="761" spans="2:32" x14ac:dyDescent="0.25">
      <c r="B761">
        <v>47</v>
      </c>
      <c r="C761">
        <v>1</v>
      </c>
      <c r="D761">
        <v>1</v>
      </c>
      <c r="E761">
        <v>1</v>
      </c>
      <c r="F761">
        <v>1</v>
      </c>
      <c r="G761">
        <v>1</v>
      </c>
      <c r="H761">
        <v>1</v>
      </c>
      <c r="J761">
        <v>47</v>
      </c>
      <c r="K761">
        <v>1</v>
      </c>
      <c r="L761">
        <v>1</v>
      </c>
      <c r="M761">
        <v>1</v>
      </c>
      <c r="N761">
        <v>1</v>
      </c>
      <c r="O761">
        <v>1</v>
      </c>
      <c r="P761">
        <v>1</v>
      </c>
      <c r="R761">
        <v>47</v>
      </c>
      <c r="S761">
        <v>1</v>
      </c>
      <c r="T761">
        <v>1</v>
      </c>
      <c r="U761">
        <v>1</v>
      </c>
      <c r="V761">
        <v>1</v>
      </c>
      <c r="W761">
        <v>1</v>
      </c>
      <c r="X761">
        <v>1</v>
      </c>
      <c r="AA761">
        <v>-7338.8310000000001</v>
      </c>
      <c r="AB761">
        <v>-7338.8310000000001</v>
      </c>
      <c r="AC761">
        <v>-7338.8310000000001</v>
      </c>
      <c r="AD761">
        <v>-7338.8310000000001</v>
      </c>
      <c r="AE761">
        <v>-7338.8310000000001</v>
      </c>
      <c r="AF761">
        <v>-7338.8310000000001</v>
      </c>
    </row>
    <row r="762" spans="2:32" x14ac:dyDescent="0.25">
      <c r="B762">
        <v>48</v>
      </c>
      <c r="C762">
        <v>1</v>
      </c>
      <c r="D762">
        <v>1</v>
      </c>
      <c r="E762">
        <v>1</v>
      </c>
      <c r="F762">
        <v>1</v>
      </c>
      <c r="G762">
        <v>1</v>
      </c>
      <c r="H762">
        <v>1</v>
      </c>
      <c r="J762">
        <v>48</v>
      </c>
      <c r="K762">
        <v>1</v>
      </c>
      <c r="L762">
        <v>1</v>
      </c>
      <c r="M762">
        <v>1</v>
      </c>
      <c r="N762">
        <v>1</v>
      </c>
      <c r="O762">
        <v>1</v>
      </c>
      <c r="P762">
        <v>1</v>
      </c>
      <c r="R762">
        <v>48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1</v>
      </c>
      <c r="AA762">
        <v>-7327.4297999999999</v>
      </c>
      <c r="AB762">
        <v>-7327.4297999999999</v>
      </c>
      <c r="AC762">
        <v>-7327.4297999999999</v>
      </c>
      <c r="AD762">
        <v>-7327.4297999999999</v>
      </c>
      <c r="AE762">
        <v>-7327.4297999999999</v>
      </c>
      <c r="AF762">
        <v>-7327.4297999999999</v>
      </c>
    </row>
    <row r="763" spans="2:32" x14ac:dyDescent="0.25">
      <c r="B763">
        <v>49</v>
      </c>
      <c r="C763">
        <v>1</v>
      </c>
      <c r="D763">
        <v>1</v>
      </c>
      <c r="E763">
        <v>1</v>
      </c>
      <c r="F763">
        <v>1</v>
      </c>
      <c r="G763">
        <v>1</v>
      </c>
      <c r="H763">
        <v>1</v>
      </c>
      <c r="J763">
        <v>49</v>
      </c>
      <c r="K763">
        <v>1</v>
      </c>
      <c r="L763">
        <v>1</v>
      </c>
      <c r="M763">
        <v>1</v>
      </c>
      <c r="N763">
        <v>1</v>
      </c>
      <c r="O763">
        <v>1</v>
      </c>
      <c r="P763">
        <v>1</v>
      </c>
      <c r="R763">
        <v>49</v>
      </c>
      <c r="S763">
        <v>1</v>
      </c>
      <c r="T763">
        <v>1</v>
      </c>
      <c r="U763">
        <v>1</v>
      </c>
      <c r="V763">
        <v>1</v>
      </c>
      <c r="W763">
        <v>1</v>
      </c>
      <c r="X763">
        <v>1</v>
      </c>
      <c r="AA763">
        <v>-7314.951</v>
      </c>
      <c r="AB763">
        <v>-7314.951</v>
      </c>
      <c r="AC763">
        <v>-7314.951</v>
      </c>
      <c r="AD763">
        <v>-7314.951</v>
      </c>
      <c r="AE763">
        <v>-7314.951</v>
      </c>
      <c r="AF763">
        <v>-7314.951</v>
      </c>
    </row>
    <row r="764" spans="2:32" x14ac:dyDescent="0.25">
      <c r="B764">
        <v>50</v>
      </c>
      <c r="C764">
        <v>1</v>
      </c>
      <c r="D764">
        <v>1</v>
      </c>
      <c r="E764">
        <v>1</v>
      </c>
      <c r="F764">
        <v>1</v>
      </c>
      <c r="G764">
        <v>1</v>
      </c>
      <c r="H764">
        <v>1</v>
      </c>
      <c r="J764">
        <v>50</v>
      </c>
      <c r="K764">
        <v>1</v>
      </c>
      <c r="L764">
        <v>1</v>
      </c>
      <c r="M764">
        <v>1</v>
      </c>
      <c r="N764">
        <v>1</v>
      </c>
      <c r="O764">
        <v>1</v>
      </c>
      <c r="P764">
        <v>1</v>
      </c>
      <c r="R764">
        <v>50</v>
      </c>
      <c r="S764">
        <v>1</v>
      </c>
      <c r="T764">
        <v>1</v>
      </c>
      <c r="U764">
        <v>1</v>
      </c>
      <c r="V764">
        <v>1</v>
      </c>
      <c r="W764">
        <v>1</v>
      </c>
      <c r="X764">
        <v>1</v>
      </c>
      <c r="AA764">
        <v>-7301.2851000000001</v>
      </c>
      <c r="AB764">
        <v>-7301.2851000000001</v>
      </c>
      <c r="AC764">
        <v>-7301.2851000000001</v>
      </c>
      <c r="AD764">
        <v>-7301.2851000000001</v>
      </c>
      <c r="AE764">
        <v>-7301.2851000000001</v>
      </c>
      <c r="AF764">
        <v>-7301.2851000000001</v>
      </c>
    </row>
    <row r="765" spans="2:32" x14ac:dyDescent="0.25">
      <c r="B765">
        <v>51</v>
      </c>
      <c r="C765">
        <v>1</v>
      </c>
      <c r="D765">
        <v>1</v>
      </c>
      <c r="E765">
        <v>1</v>
      </c>
      <c r="F765">
        <v>1</v>
      </c>
      <c r="G765">
        <v>1</v>
      </c>
      <c r="H765">
        <v>1</v>
      </c>
      <c r="J765">
        <v>51</v>
      </c>
      <c r="K765">
        <v>1</v>
      </c>
      <c r="L765">
        <v>1</v>
      </c>
      <c r="M765">
        <v>1</v>
      </c>
      <c r="N765">
        <v>1</v>
      </c>
      <c r="O765">
        <v>1</v>
      </c>
      <c r="P765">
        <v>1</v>
      </c>
      <c r="R765">
        <v>51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AA765">
        <v>-7286.3271000000004</v>
      </c>
      <c r="AB765">
        <v>-7286.3271000000004</v>
      </c>
      <c r="AC765">
        <v>-7286.3271000000004</v>
      </c>
      <c r="AD765">
        <v>-7286.3271000000004</v>
      </c>
      <c r="AE765">
        <v>-7286.3271000000004</v>
      </c>
      <c r="AF765">
        <v>-7286.3271000000004</v>
      </c>
    </row>
    <row r="766" spans="2:32" x14ac:dyDescent="0.25">
      <c r="B766">
        <v>52</v>
      </c>
      <c r="C766">
        <v>1</v>
      </c>
      <c r="D766">
        <v>1</v>
      </c>
      <c r="E766">
        <v>1</v>
      </c>
      <c r="F766">
        <v>1</v>
      </c>
      <c r="G766">
        <v>1</v>
      </c>
      <c r="H766">
        <v>1</v>
      </c>
      <c r="J766">
        <v>52</v>
      </c>
      <c r="K766">
        <v>1</v>
      </c>
      <c r="L766">
        <v>1</v>
      </c>
      <c r="M766">
        <v>1</v>
      </c>
      <c r="N766">
        <v>1</v>
      </c>
      <c r="O766">
        <v>1</v>
      </c>
      <c r="P766">
        <v>1</v>
      </c>
      <c r="R766">
        <v>52</v>
      </c>
      <c r="S766">
        <v>1</v>
      </c>
      <c r="T766">
        <v>1</v>
      </c>
      <c r="U766">
        <v>1</v>
      </c>
      <c r="V766">
        <v>1</v>
      </c>
      <c r="W766">
        <v>1</v>
      </c>
      <c r="X766">
        <v>1</v>
      </c>
      <c r="AA766">
        <v>-7269.9448000000002</v>
      </c>
      <c r="AB766">
        <v>-7269.9448000000002</v>
      </c>
      <c r="AC766">
        <v>-7269.9448000000002</v>
      </c>
      <c r="AD766">
        <v>-7269.9448000000002</v>
      </c>
      <c r="AE766">
        <v>-7269.9448000000002</v>
      </c>
      <c r="AF766">
        <v>-7269.9448000000002</v>
      </c>
    </row>
    <row r="767" spans="2:32" x14ac:dyDescent="0.25">
      <c r="B767">
        <v>53</v>
      </c>
      <c r="C767">
        <v>1</v>
      </c>
      <c r="D767">
        <v>1</v>
      </c>
      <c r="E767">
        <v>1</v>
      </c>
      <c r="F767">
        <v>1</v>
      </c>
      <c r="G767">
        <v>1</v>
      </c>
      <c r="H767">
        <v>1</v>
      </c>
      <c r="J767">
        <v>53</v>
      </c>
      <c r="K767">
        <v>1</v>
      </c>
      <c r="L767">
        <v>1</v>
      </c>
      <c r="M767">
        <v>1</v>
      </c>
      <c r="N767">
        <v>1</v>
      </c>
      <c r="O767">
        <v>1</v>
      </c>
      <c r="P767">
        <v>1</v>
      </c>
      <c r="R767">
        <v>53</v>
      </c>
      <c r="S767">
        <v>1</v>
      </c>
      <c r="T767">
        <v>1</v>
      </c>
      <c r="U767">
        <v>1</v>
      </c>
      <c r="V767">
        <v>1</v>
      </c>
      <c r="W767">
        <v>1</v>
      </c>
      <c r="X767">
        <v>1</v>
      </c>
      <c r="AA767">
        <v>-7252.0574999999999</v>
      </c>
      <c r="AB767">
        <v>-7252.0574999999999</v>
      </c>
      <c r="AC767">
        <v>-7252.0574999999999</v>
      </c>
      <c r="AD767">
        <v>-7252.0574999999999</v>
      </c>
      <c r="AE767">
        <v>-7252.0574999999999</v>
      </c>
      <c r="AF767">
        <v>-7252.0574999999999</v>
      </c>
    </row>
    <row r="768" spans="2:32" x14ac:dyDescent="0.25">
      <c r="B768">
        <v>54</v>
      </c>
      <c r="C768">
        <v>1</v>
      </c>
      <c r="D768">
        <v>1</v>
      </c>
      <c r="E768">
        <v>1</v>
      </c>
      <c r="F768">
        <v>1</v>
      </c>
      <c r="G768">
        <v>1</v>
      </c>
      <c r="H768">
        <v>1</v>
      </c>
      <c r="J768">
        <v>54</v>
      </c>
      <c r="K768">
        <v>1</v>
      </c>
      <c r="L768">
        <v>1</v>
      </c>
      <c r="M768">
        <v>1</v>
      </c>
      <c r="N768">
        <v>1</v>
      </c>
      <c r="O768">
        <v>1</v>
      </c>
      <c r="P768">
        <v>1</v>
      </c>
      <c r="R768">
        <v>54</v>
      </c>
      <c r="S768">
        <v>1</v>
      </c>
      <c r="T768">
        <v>1</v>
      </c>
      <c r="U768">
        <v>1</v>
      </c>
      <c r="V768">
        <v>1</v>
      </c>
      <c r="W768">
        <v>1</v>
      </c>
      <c r="X768">
        <v>1</v>
      </c>
      <c r="AA768">
        <v>-7232.5680000000002</v>
      </c>
      <c r="AB768">
        <v>-7232.5680000000002</v>
      </c>
      <c r="AC768">
        <v>-7232.5680000000002</v>
      </c>
      <c r="AD768">
        <v>-7232.5680000000002</v>
      </c>
      <c r="AE768">
        <v>-7232.5680000000002</v>
      </c>
      <c r="AF768">
        <v>-7232.5680000000002</v>
      </c>
    </row>
    <row r="769" spans="2:32" x14ac:dyDescent="0.25">
      <c r="B769">
        <v>55</v>
      </c>
      <c r="C769">
        <v>1</v>
      </c>
      <c r="D769">
        <v>1</v>
      </c>
      <c r="E769">
        <v>1</v>
      </c>
      <c r="F769">
        <v>1</v>
      </c>
      <c r="G769">
        <v>1</v>
      </c>
      <c r="H769">
        <v>1</v>
      </c>
      <c r="J769">
        <v>55</v>
      </c>
      <c r="K769">
        <v>1</v>
      </c>
      <c r="L769">
        <v>1</v>
      </c>
      <c r="M769">
        <v>1</v>
      </c>
      <c r="N769">
        <v>1</v>
      </c>
      <c r="O769">
        <v>1</v>
      </c>
      <c r="P769">
        <v>1</v>
      </c>
      <c r="R769">
        <v>55</v>
      </c>
      <c r="S769">
        <v>1</v>
      </c>
      <c r="T769">
        <v>1</v>
      </c>
      <c r="U769">
        <v>1</v>
      </c>
      <c r="V769">
        <v>1</v>
      </c>
      <c r="W769">
        <v>1</v>
      </c>
      <c r="X769">
        <v>1</v>
      </c>
      <c r="AA769">
        <v>-7211.3207000000002</v>
      </c>
      <c r="AB769">
        <v>-7211.3207000000002</v>
      </c>
      <c r="AC769">
        <v>-7211.3207000000002</v>
      </c>
      <c r="AD769">
        <v>-7211.3207000000002</v>
      </c>
      <c r="AE769">
        <v>-7211.3207000000002</v>
      </c>
      <c r="AF769">
        <v>-7211.3207000000002</v>
      </c>
    </row>
    <row r="772" spans="2:32" x14ac:dyDescent="0.25">
      <c r="B772" t="s">
        <v>46</v>
      </c>
      <c r="C772">
        <v>100000</v>
      </c>
      <c r="D772">
        <v>250000</v>
      </c>
      <c r="E772">
        <v>500000</v>
      </c>
      <c r="F772">
        <v>1000000</v>
      </c>
      <c r="G772">
        <v>2000000</v>
      </c>
      <c r="J772" t="s">
        <v>32</v>
      </c>
      <c r="K772">
        <v>100000</v>
      </c>
      <c r="L772">
        <v>250000</v>
      </c>
      <c r="M772">
        <v>500000</v>
      </c>
      <c r="N772">
        <v>1000000</v>
      </c>
      <c r="O772">
        <v>2000000</v>
      </c>
      <c r="R772" t="s">
        <v>48</v>
      </c>
      <c r="S772">
        <v>100000</v>
      </c>
      <c r="T772">
        <v>250000</v>
      </c>
      <c r="U772">
        <v>500000</v>
      </c>
      <c r="V772">
        <v>1000000</v>
      </c>
      <c r="W772">
        <v>2000000</v>
      </c>
    </row>
    <row r="773" spans="2:32" x14ac:dyDescent="0.25">
      <c r="B773">
        <v>35</v>
      </c>
      <c r="C773">
        <v>1</v>
      </c>
      <c r="D773">
        <v>1</v>
      </c>
      <c r="E773">
        <v>1</v>
      </c>
      <c r="F773">
        <v>1</v>
      </c>
      <c r="G773">
        <v>1</v>
      </c>
      <c r="J773">
        <v>35</v>
      </c>
      <c r="K773">
        <v>1</v>
      </c>
      <c r="L773">
        <v>1</v>
      </c>
      <c r="M773">
        <v>1</v>
      </c>
      <c r="N773">
        <v>1</v>
      </c>
      <c r="O773">
        <v>1</v>
      </c>
      <c r="R773">
        <v>35</v>
      </c>
      <c r="S773">
        <v>1</v>
      </c>
      <c r="T773">
        <v>1</v>
      </c>
      <c r="U773">
        <v>1</v>
      </c>
      <c r="V773">
        <v>1</v>
      </c>
      <c r="W773">
        <v>1</v>
      </c>
      <c r="AA773">
        <v>-11308.6893</v>
      </c>
      <c r="AB773">
        <v>-11308.6893</v>
      </c>
      <c r="AC773">
        <v>-11308.6893</v>
      </c>
      <c r="AD773">
        <v>-11308.6893</v>
      </c>
      <c r="AE773">
        <v>-11308.6893</v>
      </c>
      <c r="AF773">
        <v>-759112.79520000005</v>
      </c>
    </row>
    <row r="774" spans="2:32" x14ac:dyDescent="0.25">
      <c r="B774">
        <f t="shared" ref="B774:B803" si="33">B773+1</f>
        <v>36</v>
      </c>
      <c r="C774">
        <v>1</v>
      </c>
      <c r="D774">
        <v>1</v>
      </c>
      <c r="E774">
        <v>1</v>
      </c>
      <c r="F774">
        <v>1</v>
      </c>
      <c r="G774">
        <v>1</v>
      </c>
      <c r="J774">
        <f t="shared" ref="J774:J803" si="34">J773+1</f>
        <v>36</v>
      </c>
      <c r="K774">
        <v>1</v>
      </c>
      <c r="L774">
        <v>1</v>
      </c>
      <c r="M774">
        <v>1</v>
      </c>
      <c r="N774">
        <v>1</v>
      </c>
      <c r="O774">
        <v>1</v>
      </c>
      <c r="R774">
        <f t="shared" ref="R774:R803" si="35">R773+1</f>
        <v>36</v>
      </c>
      <c r="S774">
        <v>1</v>
      </c>
      <c r="T774">
        <v>1</v>
      </c>
      <c r="U774">
        <v>1</v>
      </c>
      <c r="V774">
        <v>1</v>
      </c>
      <c r="W774">
        <v>1</v>
      </c>
      <c r="AA774">
        <v>-11214.2592</v>
      </c>
      <c r="AB774">
        <v>-11214.2592</v>
      </c>
      <c r="AC774">
        <v>-11214.2592</v>
      </c>
      <c r="AD774">
        <v>-11214.2592</v>
      </c>
      <c r="AE774">
        <v>-11214.2592</v>
      </c>
      <c r="AF774">
        <v>-737070.86179999996</v>
      </c>
    </row>
    <row r="775" spans="2:32" x14ac:dyDescent="0.25">
      <c r="B775">
        <f t="shared" si="33"/>
        <v>37</v>
      </c>
      <c r="C775">
        <v>1</v>
      </c>
      <c r="D775">
        <v>1</v>
      </c>
      <c r="E775">
        <v>1</v>
      </c>
      <c r="F775">
        <v>1</v>
      </c>
      <c r="G775">
        <v>1</v>
      </c>
      <c r="J775">
        <f t="shared" si="34"/>
        <v>37</v>
      </c>
      <c r="K775">
        <v>1</v>
      </c>
      <c r="L775">
        <v>1</v>
      </c>
      <c r="M775">
        <v>1</v>
      </c>
      <c r="N775">
        <v>1</v>
      </c>
      <c r="O775">
        <v>1</v>
      </c>
      <c r="R775">
        <f t="shared" si="35"/>
        <v>37</v>
      </c>
      <c r="S775">
        <v>1</v>
      </c>
      <c r="T775">
        <v>1</v>
      </c>
      <c r="U775">
        <v>1</v>
      </c>
      <c r="V775">
        <v>1</v>
      </c>
      <c r="W775">
        <v>1</v>
      </c>
      <c r="AA775">
        <v>-11117.406199999999</v>
      </c>
      <c r="AB775">
        <v>-11117.406199999999</v>
      </c>
      <c r="AC775">
        <v>-11117.406199999999</v>
      </c>
      <c r="AD775">
        <v>-11117.406199999999</v>
      </c>
      <c r="AE775">
        <v>-11117.406199999999</v>
      </c>
      <c r="AF775">
        <v>-765978.91940000001</v>
      </c>
    </row>
    <row r="776" spans="2:32" x14ac:dyDescent="0.25">
      <c r="B776">
        <f t="shared" si="33"/>
        <v>38</v>
      </c>
      <c r="C776">
        <v>1</v>
      </c>
      <c r="D776">
        <v>1</v>
      </c>
      <c r="E776">
        <v>1</v>
      </c>
      <c r="F776">
        <v>1</v>
      </c>
      <c r="G776">
        <v>1</v>
      </c>
      <c r="J776">
        <f t="shared" si="34"/>
        <v>38</v>
      </c>
      <c r="K776">
        <v>1</v>
      </c>
      <c r="L776">
        <v>1</v>
      </c>
      <c r="M776">
        <v>1</v>
      </c>
      <c r="N776">
        <v>1</v>
      </c>
      <c r="O776">
        <v>1</v>
      </c>
      <c r="R776">
        <f t="shared" si="35"/>
        <v>38</v>
      </c>
      <c r="S776">
        <v>1</v>
      </c>
      <c r="T776">
        <v>1</v>
      </c>
      <c r="U776">
        <v>1</v>
      </c>
      <c r="V776">
        <v>1</v>
      </c>
      <c r="W776">
        <v>1</v>
      </c>
      <c r="AA776">
        <v>-11018.229799999999</v>
      </c>
      <c r="AB776">
        <v>-11018.229799999999</v>
      </c>
      <c r="AC776">
        <v>-11018.229799999999</v>
      </c>
      <c r="AD776">
        <v>-11018.229799999999</v>
      </c>
      <c r="AE776">
        <v>-11018.229799999999</v>
      </c>
      <c r="AF776">
        <v>-783780.576</v>
      </c>
    </row>
    <row r="777" spans="2:32" x14ac:dyDescent="0.25">
      <c r="B777">
        <f t="shared" si="33"/>
        <v>39</v>
      </c>
      <c r="C777">
        <v>1</v>
      </c>
      <c r="D777">
        <v>1</v>
      </c>
      <c r="E777">
        <v>1</v>
      </c>
      <c r="F777">
        <v>1</v>
      </c>
      <c r="G777">
        <v>1</v>
      </c>
      <c r="J777">
        <f t="shared" si="34"/>
        <v>39</v>
      </c>
      <c r="K777">
        <v>1</v>
      </c>
      <c r="L777">
        <v>1</v>
      </c>
      <c r="M777">
        <v>1</v>
      </c>
      <c r="N777">
        <v>1</v>
      </c>
      <c r="O777">
        <v>1</v>
      </c>
      <c r="R777">
        <f t="shared" si="35"/>
        <v>39</v>
      </c>
      <c r="S777">
        <v>1</v>
      </c>
      <c r="T777">
        <v>1</v>
      </c>
      <c r="U777">
        <v>1</v>
      </c>
      <c r="V777">
        <v>1</v>
      </c>
      <c r="W777">
        <v>1</v>
      </c>
      <c r="AA777">
        <v>-10916.737999999999</v>
      </c>
      <c r="AB777">
        <v>-10916.737999999999</v>
      </c>
      <c r="AC777">
        <v>-10916.737999999999</v>
      </c>
      <c r="AD777">
        <v>-10916.737999999999</v>
      </c>
      <c r="AE777">
        <v>-10916.737999999999</v>
      </c>
      <c r="AF777">
        <v>-769662.22069999995</v>
      </c>
    </row>
    <row r="778" spans="2:32" x14ac:dyDescent="0.25">
      <c r="B778">
        <f t="shared" si="33"/>
        <v>40</v>
      </c>
      <c r="C778">
        <v>1</v>
      </c>
      <c r="D778">
        <v>1</v>
      </c>
      <c r="E778">
        <v>1</v>
      </c>
      <c r="F778">
        <v>1</v>
      </c>
      <c r="G778">
        <v>1</v>
      </c>
      <c r="J778">
        <f t="shared" si="34"/>
        <v>40</v>
      </c>
      <c r="K778">
        <v>1</v>
      </c>
      <c r="L778">
        <v>1</v>
      </c>
      <c r="M778">
        <v>1</v>
      </c>
      <c r="N778">
        <v>1</v>
      </c>
      <c r="O778">
        <v>1</v>
      </c>
      <c r="R778">
        <f t="shared" si="35"/>
        <v>40</v>
      </c>
      <c r="S778">
        <v>1</v>
      </c>
      <c r="T778">
        <v>1</v>
      </c>
      <c r="U778">
        <v>1</v>
      </c>
      <c r="V778">
        <v>1</v>
      </c>
      <c r="W778">
        <v>1</v>
      </c>
      <c r="AA778">
        <v>-10812.8714</v>
      </c>
      <c r="AB778">
        <v>-10812.8714</v>
      </c>
      <c r="AC778">
        <v>-10812.8714</v>
      </c>
      <c r="AD778">
        <v>-10812.8714</v>
      </c>
      <c r="AE778">
        <v>-10812.8714</v>
      </c>
      <c r="AF778">
        <v>-798570.41119999997</v>
      </c>
    </row>
    <row r="779" spans="2:32" x14ac:dyDescent="0.25">
      <c r="B779">
        <f t="shared" si="33"/>
        <v>41</v>
      </c>
      <c r="C779">
        <v>1</v>
      </c>
      <c r="D779">
        <v>1</v>
      </c>
      <c r="E779">
        <v>1</v>
      </c>
      <c r="F779">
        <v>1</v>
      </c>
      <c r="G779">
        <v>1</v>
      </c>
      <c r="J779">
        <f t="shared" si="34"/>
        <v>41</v>
      </c>
      <c r="K779">
        <v>1</v>
      </c>
      <c r="L779">
        <v>1</v>
      </c>
      <c r="M779">
        <v>1</v>
      </c>
      <c r="N779">
        <v>1</v>
      </c>
      <c r="O779">
        <v>1</v>
      </c>
      <c r="R779">
        <f t="shared" si="35"/>
        <v>41</v>
      </c>
      <c r="S779">
        <v>1</v>
      </c>
      <c r="T779">
        <v>1</v>
      </c>
      <c r="U779">
        <v>1</v>
      </c>
      <c r="V779">
        <v>1</v>
      </c>
      <c r="W779">
        <v>1</v>
      </c>
      <c r="AA779">
        <v>-10706.559600000001</v>
      </c>
      <c r="AB779">
        <v>-10706.559600000001</v>
      </c>
      <c r="AC779">
        <v>-10706.559600000001</v>
      </c>
      <c r="AD779">
        <v>-10706.559600000001</v>
      </c>
      <c r="AE779">
        <v>-10706.559600000001</v>
      </c>
      <c r="AF779">
        <v>-803549.96459999995</v>
      </c>
    </row>
    <row r="780" spans="2:32" x14ac:dyDescent="0.25">
      <c r="B780">
        <f t="shared" si="33"/>
        <v>42</v>
      </c>
      <c r="C780">
        <v>1</v>
      </c>
      <c r="D780">
        <v>1</v>
      </c>
      <c r="E780">
        <v>1</v>
      </c>
      <c r="F780">
        <v>1</v>
      </c>
      <c r="G780">
        <v>1</v>
      </c>
      <c r="J780">
        <f t="shared" si="34"/>
        <v>42</v>
      </c>
      <c r="K780">
        <v>1</v>
      </c>
      <c r="L780">
        <v>1</v>
      </c>
      <c r="M780">
        <v>1</v>
      </c>
      <c r="N780">
        <v>1</v>
      </c>
      <c r="O780">
        <v>1</v>
      </c>
      <c r="R780">
        <f t="shared" si="35"/>
        <v>42</v>
      </c>
      <c r="S780">
        <v>1</v>
      </c>
      <c r="T780">
        <v>1</v>
      </c>
      <c r="U780">
        <v>1</v>
      </c>
      <c r="V780">
        <v>1</v>
      </c>
      <c r="W780">
        <v>1</v>
      </c>
      <c r="AA780">
        <v>-10597.8485</v>
      </c>
      <c r="AB780">
        <v>-10597.8485</v>
      </c>
      <c r="AC780">
        <v>-10597.8485</v>
      </c>
      <c r="AD780">
        <v>-10597.8485</v>
      </c>
      <c r="AE780">
        <v>-10597.8485</v>
      </c>
      <c r="AF780">
        <v>-833551.75890000002</v>
      </c>
    </row>
    <row r="781" spans="2:32" x14ac:dyDescent="0.25">
      <c r="B781">
        <f t="shared" si="33"/>
        <v>43</v>
      </c>
      <c r="C781">
        <v>1</v>
      </c>
      <c r="D781">
        <v>1</v>
      </c>
      <c r="E781">
        <v>1</v>
      </c>
      <c r="F781">
        <v>1</v>
      </c>
      <c r="G781">
        <v>1</v>
      </c>
      <c r="J781">
        <f t="shared" si="34"/>
        <v>43</v>
      </c>
      <c r="K781">
        <v>1</v>
      </c>
      <c r="L781">
        <v>1</v>
      </c>
      <c r="M781">
        <v>1</v>
      </c>
      <c r="N781">
        <v>1</v>
      </c>
      <c r="O781">
        <v>1</v>
      </c>
      <c r="R781">
        <f t="shared" si="35"/>
        <v>43</v>
      </c>
      <c r="S781">
        <v>1</v>
      </c>
      <c r="T781">
        <v>1</v>
      </c>
      <c r="U781">
        <v>1</v>
      </c>
      <c r="V781">
        <v>1</v>
      </c>
      <c r="W781">
        <v>1</v>
      </c>
      <c r="AA781">
        <v>-10486.615400000001</v>
      </c>
      <c r="AB781">
        <v>-10486.615400000001</v>
      </c>
      <c r="AC781">
        <v>-10486.615400000001</v>
      </c>
      <c r="AD781">
        <v>-10486.615400000001</v>
      </c>
      <c r="AE781">
        <v>-10486.615400000001</v>
      </c>
      <c r="AF781">
        <v>-844950.93949999998</v>
      </c>
    </row>
    <row r="782" spans="2:32" x14ac:dyDescent="0.25">
      <c r="B782">
        <f t="shared" si="33"/>
        <v>44</v>
      </c>
      <c r="C782">
        <v>1</v>
      </c>
      <c r="D782">
        <v>1</v>
      </c>
      <c r="E782">
        <v>1</v>
      </c>
      <c r="F782">
        <v>1</v>
      </c>
      <c r="G782">
        <v>1</v>
      </c>
      <c r="J782">
        <f t="shared" si="34"/>
        <v>44</v>
      </c>
      <c r="K782">
        <v>1</v>
      </c>
      <c r="L782">
        <v>1</v>
      </c>
      <c r="M782">
        <v>1</v>
      </c>
      <c r="N782">
        <v>1</v>
      </c>
      <c r="O782">
        <v>1</v>
      </c>
      <c r="R782">
        <f t="shared" si="35"/>
        <v>44</v>
      </c>
      <c r="S782">
        <v>1</v>
      </c>
      <c r="T782">
        <v>1</v>
      </c>
      <c r="U782">
        <v>1</v>
      </c>
      <c r="V782">
        <v>1</v>
      </c>
      <c r="W782">
        <v>1</v>
      </c>
      <c r="AA782">
        <v>-10372.9005</v>
      </c>
      <c r="AB782">
        <v>-10372.9005</v>
      </c>
      <c r="AC782">
        <v>-10372.9005</v>
      </c>
      <c r="AD782">
        <v>-10372.9005</v>
      </c>
      <c r="AE782">
        <v>-10372.9005</v>
      </c>
      <c r="AF782">
        <v>-851265.64670000004</v>
      </c>
    </row>
    <row r="783" spans="2:32" x14ac:dyDescent="0.25">
      <c r="B783">
        <f t="shared" si="33"/>
        <v>45</v>
      </c>
      <c r="C783">
        <v>1</v>
      </c>
      <c r="D783">
        <v>1</v>
      </c>
      <c r="E783">
        <v>1</v>
      </c>
      <c r="F783">
        <v>1</v>
      </c>
      <c r="G783">
        <v>1</v>
      </c>
      <c r="J783">
        <f t="shared" si="34"/>
        <v>45</v>
      </c>
      <c r="K783">
        <v>1</v>
      </c>
      <c r="L783">
        <v>1</v>
      </c>
      <c r="M783">
        <v>1</v>
      </c>
      <c r="N783">
        <v>1</v>
      </c>
      <c r="O783">
        <v>1</v>
      </c>
      <c r="R783">
        <f t="shared" si="35"/>
        <v>45</v>
      </c>
      <c r="S783">
        <v>1</v>
      </c>
      <c r="T783">
        <v>1</v>
      </c>
      <c r="U783">
        <v>1</v>
      </c>
      <c r="V783">
        <v>1</v>
      </c>
      <c r="W783">
        <v>1</v>
      </c>
      <c r="AA783">
        <v>-10256.650600000001</v>
      </c>
      <c r="AB783">
        <v>-10256.650600000001</v>
      </c>
      <c r="AC783">
        <v>-10256.650600000001</v>
      </c>
      <c r="AD783">
        <v>-10256.650600000001</v>
      </c>
      <c r="AE783">
        <v>-10256.650600000001</v>
      </c>
      <c r="AF783">
        <v>-870649.02139999997</v>
      </c>
    </row>
    <row r="784" spans="2:32" x14ac:dyDescent="0.25">
      <c r="B784">
        <f t="shared" si="33"/>
        <v>46</v>
      </c>
      <c r="C784">
        <v>1</v>
      </c>
      <c r="D784">
        <v>1</v>
      </c>
      <c r="E784">
        <v>1</v>
      </c>
      <c r="F784">
        <v>1</v>
      </c>
      <c r="G784">
        <v>1</v>
      </c>
      <c r="J784">
        <f t="shared" si="34"/>
        <v>46</v>
      </c>
      <c r="K784">
        <v>1</v>
      </c>
      <c r="L784">
        <v>1</v>
      </c>
      <c r="M784">
        <v>1</v>
      </c>
      <c r="N784">
        <v>1</v>
      </c>
      <c r="O784">
        <v>1</v>
      </c>
      <c r="R784">
        <f t="shared" si="35"/>
        <v>46</v>
      </c>
      <c r="S784">
        <v>1</v>
      </c>
      <c r="T784">
        <v>1</v>
      </c>
      <c r="U784">
        <v>1</v>
      </c>
      <c r="V784">
        <v>1</v>
      </c>
      <c r="W784">
        <v>1</v>
      </c>
      <c r="AA784">
        <v>-10137.871499999999</v>
      </c>
      <c r="AB784">
        <v>-10137.871499999999</v>
      </c>
      <c r="AC784">
        <v>-10137.871499999999</v>
      </c>
      <c r="AD784">
        <v>-10137.871499999999</v>
      </c>
      <c r="AE784">
        <v>-10137.871499999999</v>
      </c>
      <c r="AF784">
        <v>-892550.54509999999</v>
      </c>
    </row>
    <row r="785" spans="2:32" x14ac:dyDescent="0.25">
      <c r="B785">
        <f t="shared" si="33"/>
        <v>47</v>
      </c>
      <c r="C785">
        <v>1</v>
      </c>
      <c r="D785">
        <v>1</v>
      </c>
      <c r="E785">
        <v>1</v>
      </c>
      <c r="F785">
        <v>1</v>
      </c>
      <c r="G785">
        <v>1</v>
      </c>
      <c r="J785">
        <f t="shared" si="34"/>
        <v>47</v>
      </c>
      <c r="K785">
        <v>1</v>
      </c>
      <c r="L785">
        <v>1</v>
      </c>
      <c r="M785">
        <v>1</v>
      </c>
      <c r="N785">
        <v>1</v>
      </c>
      <c r="O785">
        <v>1</v>
      </c>
      <c r="R785">
        <f t="shared" si="35"/>
        <v>47</v>
      </c>
      <c r="S785">
        <v>1</v>
      </c>
      <c r="T785">
        <v>1</v>
      </c>
      <c r="U785">
        <v>1</v>
      </c>
      <c r="V785">
        <v>1</v>
      </c>
      <c r="W785">
        <v>1</v>
      </c>
      <c r="AA785">
        <v>-10016.4967</v>
      </c>
      <c r="AB785">
        <v>-10016.4967</v>
      </c>
      <c r="AC785">
        <v>-10016.4967</v>
      </c>
      <c r="AD785">
        <v>-10016.4967</v>
      </c>
      <c r="AE785">
        <v>-10016.4967</v>
      </c>
      <c r="AF785">
        <v>-910915.81969999999</v>
      </c>
    </row>
    <row r="786" spans="2:32" x14ac:dyDescent="0.25">
      <c r="B786">
        <f t="shared" si="33"/>
        <v>48</v>
      </c>
      <c r="C786">
        <v>1</v>
      </c>
      <c r="D786">
        <v>1</v>
      </c>
      <c r="E786">
        <v>1</v>
      </c>
      <c r="F786">
        <v>1</v>
      </c>
      <c r="G786">
        <v>1</v>
      </c>
      <c r="J786">
        <f t="shared" si="34"/>
        <v>48</v>
      </c>
      <c r="K786">
        <v>1</v>
      </c>
      <c r="L786">
        <v>1</v>
      </c>
      <c r="M786">
        <v>1</v>
      </c>
      <c r="N786">
        <v>1</v>
      </c>
      <c r="O786">
        <v>1</v>
      </c>
      <c r="R786">
        <f t="shared" si="35"/>
        <v>48</v>
      </c>
      <c r="S786">
        <v>1</v>
      </c>
      <c r="T786">
        <v>1</v>
      </c>
      <c r="U786">
        <v>1</v>
      </c>
      <c r="V786">
        <v>1</v>
      </c>
      <c r="W786">
        <v>1</v>
      </c>
      <c r="AA786">
        <v>-9892.6355000000003</v>
      </c>
      <c r="AB786">
        <v>-9892.6355000000003</v>
      </c>
      <c r="AC786">
        <v>-9892.6355000000003</v>
      </c>
      <c r="AD786">
        <v>-9892.6355000000003</v>
      </c>
      <c r="AE786">
        <v>-9892.6355000000003</v>
      </c>
      <c r="AF786">
        <v>-917891.87360000005</v>
      </c>
    </row>
    <row r="787" spans="2:32" x14ac:dyDescent="0.25">
      <c r="B787">
        <f t="shared" si="33"/>
        <v>49</v>
      </c>
      <c r="C787">
        <v>1</v>
      </c>
      <c r="D787">
        <v>1</v>
      </c>
      <c r="E787">
        <v>1</v>
      </c>
      <c r="F787">
        <v>1</v>
      </c>
      <c r="G787">
        <v>1</v>
      </c>
      <c r="J787">
        <f t="shared" si="34"/>
        <v>49</v>
      </c>
      <c r="K787">
        <v>1</v>
      </c>
      <c r="L787">
        <v>1</v>
      </c>
      <c r="M787">
        <v>1</v>
      </c>
      <c r="N787">
        <v>1</v>
      </c>
      <c r="O787">
        <v>1</v>
      </c>
      <c r="R787">
        <f t="shared" si="35"/>
        <v>49</v>
      </c>
      <c r="S787">
        <v>1</v>
      </c>
      <c r="T787">
        <v>1</v>
      </c>
      <c r="U787">
        <v>1</v>
      </c>
      <c r="V787">
        <v>1</v>
      </c>
      <c r="W787">
        <v>1</v>
      </c>
      <c r="AA787">
        <v>-9766.3366999999998</v>
      </c>
      <c r="AB787">
        <v>-9766.3366999999998</v>
      </c>
      <c r="AC787">
        <v>-9766.3366999999998</v>
      </c>
      <c r="AD787">
        <v>-9766.3366999999998</v>
      </c>
      <c r="AE787">
        <v>-9766.3366999999998</v>
      </c>
      <c r="AF787">
        <v>-944521.72470000002</v>
      </c>
    </row>
    <row r="788" spans="2:32" x14ac:dyDescent="0.25">
      <c r="B788">
        <f t="shared" si="33"/>
        <v>50</v>
      </c>
      <c r="C788">
        <v>1</v>
      </c>
      <c r="D788">
        <v>1</v>
      </c>
      <c r="E788">
        <v>1</v>
      </c>
      <c r="F788">
        <v>1</v>
      </c>
      <c r="G788">
        <v>1</v>
      </c>
      <c r="J788">
        <f t="shared" si="34"/>
        <v>50</v>
      </c>
      <c r="K788">
        <v>1</v>
      </c>
      <c r="L788">
        <v>1</v>
      </c>
      <c r="M788">
        <v>1</v>
      </c>
      <c r="N788">
        <v>1</v>
      </c>
      <c r="O788">
        <v>1</v>
      </c>
      <c r="R788">
        <f t="shared" si="35"/>
        <v>50</v>
      </c>
      <c r="S788">
        <v>1</v>
      </c>
      <c r="T788">
        <v>1</v>
      </c>
      <c r="U788">
        <v>1</v>
      </c>
      <c r="V788">
        <v>1</v>
      </c>
      <c r="W788">
        <v>1</v>
      </c>
      <c r="AA788">
        <v>-9637.5864000000001</v>
      </c>
      <c r="AB788">
        <v>-9637.5864000000001</v>
      </c>
      <c r="AC788">
        <v>-9637.5864000000001</v>
      </c>
      <c r="AD788">
        <v>-9637.5864000000001</v>
      </c>
      <c r="AE788">
        <v>-9637.5864000000001</v>
      </c>
      <c r="AF788">
        <v>-963257.14989999996</v>
      </c>
    </row>
    <row r="789" spans="2:32" x14ac:dyDescent="0.25">
      <c r="B789">
        <f t="shared" si="33"/>
        <v>51</v>
      </c>
      <c r="C789">
        <v>1</v>
      </c>
      <c r="D789">
        <v>1</v>
      </c>
      <c r="E789">
        <v>1</v>
      </c>
      <c r="F789">
        <v>1</v>
      </c>
      <c r="G789">
        <v>1</v>
      </c>
      <c r="J789">
        <f t="shared" si="34"/>
        <v>51</v>
      </c>
      <c r="K789">
        <v>1</v>
      </c>
      <c r="L789">
        <v>1</v>
      </c>
      <c r="M789">
        <v>1</v>
      </c>
      <c r="N789">
        <v>1</v>
      </c>
      <c r="O789">
        <v>1</v>
      </c>
      <c r="R789">
        <f t="shared" si="35"/>
        <v>51</v>
      </c>
      <c r="S789">
        <v>1</v>
      </c>
      <c r="T789">
        <v>1</v>
      </c>
      <c r="U789">
        <v>1</v>
      </c>
      <c r="V789">
        <v>1</v>
      </c>
      <c r="W789">
        <v>1</v>
      </c>
      <c r="AA789">
        <v>-9506.3734000000004</v>
      </c>
      <c r="AB789">
        <v>-9506.3734000000004</v>
      </c>
      <c r="AC789">
        <v>-9506.3734000000004</v>
      </c>
      <c r="AD789">
        <v>-9506.3734000000004</v>
      </c>
      <c r="AE789">
        <v>-9506.3734000000004</v>
      </c>
      <c r="AF789">
        <v>-981592.90729999996</v>
      </c>
    </row>
    <row r="790" spans="2:32" x14ac:dyDescent="0.25">
      <c r="B790">
        <f t="shared" si="33"/>
        <v>52</v>
      </c>
      <c r="C790">
        <v>1</v>
      </c>
      <c r="D790">
        <v>1</v>
      </c>
      <c r="E790">
        <v>1</v>
      </c>
      <c r="F790">
        <v>1</v>
      </c>
      <c r="G790">
        <v>1</v>
      </c>
      <c r="J790">
        <f t="shared" si="34"/>
        <v>52</v>
      </c>
      <c r="K790">
        <v>1</v>
      </c>
      <c r="L790">
        <v>1</v>
      </c>
      <c r="M790">
        <v>1</v>
      </c>
      <c r="N790">
        <v>1</v>
      </c>
      <c r="O790">
        <v>1</v>
      </c>
      <c r="R790">
        <f t="shared" si="35"/>
        <v>52</v>
      </c>
      <c r="S790">
        <v>1</v>
      </c>
      <c r="T790">
        <v>1</v>
      </c>
      <c r="U790">
        <v>1</v>
      </c>
      <c r="V790">
        <v>1</v>
      </c>
      <c r="W790">
        <v>1</v>
      </c>
      <c r="AA790">
        <v>-9372.7019</v>
      </c>
      <c r="AB790">
        <v>-9372.7019</v>
      </c>
      <c r="AC790">
        <v>-9372.7019</v>
      </c>
      <c r="AD790">
        <v>-9372.7019</v>
      </c>
      <c r="AE790">
        <v>-9372.7019</v>
      </c>
      <c r="AF790">
        <v>-998556.10360000003</v>
      </c>
    </row>
    <row r="791" spans="2:32" x14ac:dyDescent="0.25">
      <c r="B791">
        <f t="shared" si="33"/>
        <v>53</v>
      </c>
      <c r="C791">
        <v>1</v>
      </c>
      <c r="D791">
        <v>1</v>
      </c>
      <c r="E791">
        <v>1</v>
      </c>
      <c r="F791">
        <v>1</v>
      </c>
      <c r="G791">
        <v>1</v>
      </c>
      <c r="J791">
        <f t="shared" si="34"/>
        <v>53</v>
      </c>
      <c r="K791">
        <v>1</v>
      </c>
      <c r="L791">
        <v>1</v>
      </c>
      <c r="M791">
        <v>1</v>
      </c>
      <c r="N791">
        <v>1</v>
      </c>
      <c r="O791">
        <v>1</v>
      </c>
      <c r="R791">
        <f t="shared" si="35"/>
        <v>53</v>
      </c>
      <c r="S791">
        <v>1</v>
      </c>
      <c r="T791">
        <v>1</v>
      </c>
      <c r="U791">
        <v>1</v>
      </c>
      <c r="V791">
        <v>1</v>
      </c>
      <c r="W791">
        <v>1</v>
      </c>
      <c r="AA791">
        <v>-9236.6705000000002</v>
      </c>
      <c r="AB791">
        <v>-9236.6705000000002</v>
      </c>
      <c r="AC791">
        <v>-9236.6705000000002</v>
      </c>
      <c r="AD791">
        <v>-9236.6705000000002</v>
      </c>
      <c r="AE791">
        <v>-9236.6705000000002</v>
      </c>
      <c r="AF791">
        <v>-1015461.3278</v>
      </c>
    </row>
    <row r="792" spans="2:32" x14ac:dyDescent="0.25">
      <c r="B792">
        <f t="shared" si="33"/>
        <v>54</v>
      </c>
      <c r="C792">
        <v>1</v>
      </c>
      <c r="D792">
        <v>1</v>
      </c>
      <c r="E792">
        <v>1</v>
      </c>
      <c r="F792">
        <v>1</v>
      </c>
      <c r="G792">
        <v>1</v>
      </c>
      <c r="J792">
        <f t="shared" si="34"/>
        <v>54</v>
      </c>
      <c r="K792">
        <v>1</v>
      </c>
      <c r="L792">
        <v>1</v>
      </c>
      <c r="M792">
        <v>1</v>
      </c>
      <c r="N792">
        <v>1</v>
      </c>
      <c r="O792">
        <v>1</v>
      </c>
      <c r="R792">
        <f t="shared" si="35"/>
        <v>54</v>
      </c>
      <c r="S792">
        <v>1</v>
      </c>
      <c r="T792">
        <v>1</v>
      </c>
      <c r="U792">
        <v>1</v>
      </c>
      <c r="V792">
        <v>1</v>
      </c>
      <c r="W792">
        <v>1</v>
      </c>
      <c r="AA792">
        <v>-9098.4312000000009</v>
      </c>
      <c r="AB792">
        <v>-9098.4312000000009</v>
      </c>
      <c r="AC792">
        <v>-9098.4312000000009</v>
      </c>
      <c r="AD792">
        <v>-9098.4312000000009</v>
      </c>
      <c r="AE792">
        <v>-9098.4312000000009</v>
      </c>
      <c r="AF792">
        <v>-1033869.6813000001</v>
      </c>
    </row>
    <row r="793" spans="2:32" x14ac:dyDescent="0.25">
      <c r="B793">
        <f t="shared" si="33"/>
        <v>55</v>
      </c>
      <c r="C793">
        <v>1</v>
      </c>
      <c r="D793">
        <v>1</v>
      </c>
      <c r="E793">
        <v>1</v>
      </c>
      <c r="F793">
        <v>1</v>
      </c>
      <c r="G793">
        <v>1</v>
      </c>
      <c r="J793">
        <f t="shared" si="34"/>
        <v>55</v>
      </c>
      <c r="K793">
        <v>1</v>
      </c>
      <c r="L793">
        <v>1</v>
      </c>
      <c r="M793">
        <v>1</v>
      </c>
      <c r="N793">
        <v>1</v>
      </c>
      <c r="O793">
        <v>1</v>
      </c>
      <c r="R793">
        <f t="shared" si="35"/>
        <v>55</v>
      </c>
      <c r="S793">
        <v>1</v>
      </c>
      <c r="T793">
        <v>1</v>
      </c>
      <c r="U793">
        <v>1</v>
      </c>
      <c r="V793">
        <v>1</v>
      </c>
      <c r="W793">
        <v>1</v>
      </c>
      <c r="AA793">
        <v>-8958.0210999999999</v>
      </c>
      <c r="AB793">
        <v>-8958.0210999999999</v>
      </c>
      <c r="AC793">
        <v>-8958.0210999999999</v>
      </c>
      <c r="AD793">
        <v>-8958.0210999999999</v>
      </c>
      <c r="AE793">
        <v>-8958.0210999999999</v>
      </c>
      <c r="AF793">
        <v>-1050810.2549999999</v>
      </c>
    </row>
    <row r="794" spans="2:32" x14ac:dyDescent="0.25">
      <c r="B794">
        <f t="shared" si="33"/>
        <v>56</v>
      </c>
      <c r="C794">
        <v>1</v>
      </c>
      <c r="D794">
        <v>1</v>
      </c>
      <c r="E794">
        <v>1</v>
      </c>
      <c r="F794">
        <v>1</v>
      </c>
      <c r="G794">
        <v>1</v>
      </c>
      <c r="J794">
        <f t="shared" si="34"/>
        <v>56</v>
      </c>
      <c r="K794">
        <v>1</v>
      </c>
      <c r="L794">
        <v>1</v>
      </c>
      <c r="M794">
        <v>1</v>
      </c>
      <c r="N794">
        <v>1</v>
      </c>
      <c r="O794">
        <v>1</v>
      </c>
      <c r="R794">
        <f t="shared" si="35"/>
        <v>56</v>
      </c>
      <c r="S794">
        <v>1</v>
      </c>
      <c r="T794">
        <v>1</v>
      </c>
      <c r="U794">
        <v>1</v>
      </c>
      <c r="V794">
        <v>1</v>
      </c>
      <c r="W794">
        <v>1</v>
      </c>
      <c r="AA794">
        <v>-8815.6316999999999</v>
      </c>
      <c r="AB794">
        <v>-8815.6316999999999</v>
      </c>
      <c r="AC794">
        <v>-8815.6316999999999</v>
      </c>
      <c r="AD794">
        <v>-8815.6316999999999</v>
      </c>
      <c r="AE794">
        <v>-8815.6316999999999</v>
      </c>
      <c r="AF794">
        <v>-1073295.8774000001</v>
      </c>
    </row>
    <row r="795" spans="2:32" x14ac:dyDescent="0.25">
      <c r="B795">
        <f t="shared" si="33"/>
        <v>57</v>
      </c>
      <c r="C795">
        <v>1</v>
      </c>
      <c r="D795">
        <v>1</v>
      </c>
      <c r="E795">
        <v>1</v>
      </c>
      <c r="F795">
        <v>1</v>
      </c>
      <c r="G795">
        <v>1</v>
      </c>
      <c r="J795">
        <f t="shared" si="34"/>
        <v>57</v>
      </c>
      <c r="K795">
        <v>1</v>
      </c>
      <c r="L795">
        <v>1</v>
      </c>
      <c r="M795">
        <v>1</v>
      </c>
      <c r="N795">
        <v>1</v>
      </c>
      <c r="O795">
        <v>1</v>
      </c>
      <c r="R795">
        <f t="shared" si="35"/>
        <v>57</v>
      </c>
      <c r="S795">
        <v>1</v>
      </c>
      <c r="T795">
        <v>1</v>
      </c>
      <c r="U795">
        <v>1</v>
      </c>
      <c r="V795">
        <v>1</v>
      </c>
      <c r="W795">
        <v>1</v>
      </c>
      <c r="AA795">
        <v>-8671.3991999999998</v>
      </c>
      <c r="AB795">
        <v>-8671.3991999999998</v>
      </c>
      <c r="AC795">
        <v>-8671.3991999999998</v>
      </c>
      <c r="AD795">
        <v>-8671.3991999999998</v>
      </c>
      <c r="AE795">
        <v>-8671.3991999999998</v>
      </c>
      <c r="AF795">
        <v>-1093242.6832999999</v>
      </c>
    </row>
    <row r="796" spans="2:32" x14ac:dyDescent="0.25">
      <c r="B796">
        <f t="shared" si="33"/>
        <v>58</v>
      </c>
      <c r="C796">
        <v>1</v>
      </c>
      <c r="D796">
        <v>1</v>
      </c>
      <c r="E796">
        <v>1</v>
      </c>
      <c r="F796">
        <v>1</v>
      </c>
      <c r="G796">
        <v>1</v>
      </c>
      <c r="J796">
        <f t="shared" si="34"/>
        <v>58</v>
      </c>
      <c r="K796">
        <v>1</v>
      </c>
      <c r="L796">
        <v>1</v>
      </c>
      <c r="M796">
        <v>1</v>
      </c>
      <c r="N796">
        <v>1</v>
      </c>
      <c r="O796">
        <v>1</v>
      </c>
      <c r="R796">
        <f t="shared" si="35"/>
        <v>58</v>
      </c>
      <c r="S796">
        <v>1</v>
      </c>
      <c r="T796">
        <v>1</v>
      </c>
      <c r="U796">
        <v>1</v>
      </c>
      <c r="V796">
        <v>1</v>
      </c>
      <c r="W796">
        <v>1</v>
      </c>
      <c r="AA796">
        <v>-8525.2759999999998</v>
      </c>
      <c r="AB796">
        <v>-8525.2759999999998</v>
      </c>
      <c r="AC796">
        <v>-8525.2759999999998</v>
      </c>
      <c r="AD796">
        <v>-8525.2759999999998</v>
      </c>
      <c r="AE796">
        <v>-8525.2759999999998</v>
      </c>
      <c r="AF796">
        <v>-1114366.6444000001</v>
      </c>
    </row>
    <row r="797" spans="2:32" x14ac:dyDescent="0.25">
      <c r="B797">
        <f t="shared" si="33"/>
        <v>59</v>
      </c>
      <c r="C797">
        <v>1</v>
      </c>
      <c r="D797">
        <v>1</v>
      </c>
      <c r="E797">
        <v>1</v>
      </c>
      <c r="F797">
        <v>1</v>
      </c>
      <c r="G797">
        <v>1</v>
      </c>
      <c r="J797">
        <f t="shared" si="34"/>
        <v>59</v>
      </c>
      <c r="K797">
        <v>1</v>
      </c>
      <c r="L797">
        <v>1</v>
      </c>
      <c r="M797">
        <v>1</v>
      </c>
      <c r="N797">
        <v>1</v>
      </c>
      <c r="O797">
        <v>1</v>
      </c>
      <c r="R797">
        <f t="shared" si="35"/>
        <v>59</v>
      </c>
      <c r="S797">
        <v>1</v>
      </c>
      <c r="T797">
        <v>1</v>
      </c>
      <c r="U797">
        <v>1</v>
      </c>
      <c r="V797">
        <v>1</v>
      </c>
      <c r="W797">
        <v>1</v>
      </c>
      <c r="AA797">
        <v>-8377.2351999999992</v>
      </c>
      <c r="AB797">
        <v>-8377.2351999999992</v>
      </c>
      <c r="AC797">
        <v>-8377.2351999999992</v>
      </c>
      <c r="AD797">
        <v>-8377.2351999999992</v>
      </c>
      <c r="AE797">
        <v>-8377.2351999999992</v>
      </c>
      <c r="AF797">
        <v>-1136284.0146999999</v>
      </c>
    </row>
    <row r="798" spans="2:32" x14ac:dyDescent="0.25">
      <c r="B798">
        <f t="shared" si="33"/>
        <v>60</v>
      </c>
      <c r="C798">
        <v>1</v>
      </c>
      <c r="D798">
        <v>1</v>
      </c>
      <c r="E798">
        <v>1</v>
      </c>
      <c r="F798">
        <v>1</v>
      </c>
      <c r="G798">
        <v>1</v>
      </c>
      <c r="J798">
        <f t="shared" si="34"/>
        <v>60</v>
      </c>
      <c r="K798">
        <v>1</v>
      </c>
      <c r="L798">
        <v>1</v>
      </c>
      <c r="M798">
        <v>1</v>
      </c>
      <c r="N798">
        <v>1</v>
      </c>
      <c r="O798">
        <v>1</v>
      </c>
      <c r="R798">
        <f t="shared" si="35"/>
        <v>60</v>
      </c>
      <c r="S798">
        <v>1</v>
      </c>
      <c r="T798">
        <v>1</v>
      </c>
      <c r="U798">
        <v>1</v>
      </c>
      <c r="V798">
        <v>1</v>
      </c>
      <c r="W798">
        <v>1</v>
      </c>
      <c r="AA798">
        <v>-8227.3953999999994</v>
      </c>
      <c r="AB798">
        <v>-8227.3953999999994</v>
      </c>
      <c r="AC798">
        <v>-8227.3953999999994</v>
      </c>
      <c r="AD798">
        <v>-8227.3953999999994</v>
      </c>
      <c r="AE798">
        <v>-8227.3953999999994</v>
      </c>
      <c r="AF798">
        <v>-1157801.6717999999</v>
      </c>
    </row>
    <row r="799" spans="2:32" x14ac:dyDescent="0.25">
      <c r="B799">
        <f t="shared" si="33"/>
        <v>61</v>
      </c>
      <c r="C799">
        <v>1</v>
      </c>
      <c r="D799">
        <v>1</v>
      </c>
      <c r="E799">
        <v>1</v>
      </c>
      <c r="F799">
        <v>1</v>
      </c>
      <c r="G799">
        <v>1</v>
      </c>
      <c r="J799">
        <f t="shared" si="34"/>
        <v>61</v>
      </c>
      <c r="K799">
        <v>1</v>
      </c>
      <c r="L799">
        <v>1</v>
      </c>
      <c r="M799">
        <v>1</v>
      </c>
      <c r="N799">
        <v>1</v>
      </c>
      <c r="O799">
        <v>1</v>
      </c>
      <c r="R799">
        <f t="shared" si="35"/>
        <v>61</v>
      </c>
      <c r="S799">
        <v>1</v>
      </c>
      <c r="T799">
        <v>1</v>
      </c>
      <c r="U799">
        <v>1</v>
      </c>
      <c r="V799">
        <v>1</v>
      </c>
      <c r="W799">
        <v>1</v>
      </c>
      <c r="AA799">
        <v>-8076.1778999999997</v>
      </c>
      <c r="AB799">
        <v>-8076.1778999999997</v>
      </c>
      <c r="AC799">
        <v>-8076.1778999999997</v>
      </c>
      <c r="AD799">
        <v>-8076.1778999999997</v>
      </c>
      <c r="AE799">
        <v>-8076.1778999999997</v>
      </c>
      <c r="AF799">
        <v>-1178581.4038</v>
      </c>
    </row>
    <row r="800" spans="2:32" x14ac:dyDescent="0.25">
      <c r="B800">
        <f t="shared" si="33"/>
        <v>62</v>
      </c>
      <c r="C800">
        <v>1</v>
      </c>
      <c r="D800">
        <v>1</v>
      </c>
      <c r="E800">
        <v>1</v>
      </c>
      <c r="F800">
        <v>1</v>
      </c>
      <c r="G800">
        <v>1</v>
      </c>
      <c r="J800">
        <f t="shared" si="34"/>
        <v>62</v>
      </c>
      <c r="K800">
        <v>1</v>
      </c>
      <c r="L800">
        <v>1</v>
      </c>
      <c r="M800">
        <v>1</v>
      </c>
      <c r="N800">
        <v>1</v>
      </c>
      <c r="O800">
        <v>1</v>
      </c>
      <c r="R800">
        <f t="shared" si="35"/>
        <v>62</v>
      </c>
      <c r="S800">
        <v>1</v>
      </c>
      <c r="T800">
        <v>1</v>
      </c>
      <c r="U800">
        <v>1</v>
      </c>
      <c r="V800">
        <v>1</v>
      </c>
      <c r="W800">
        <v>1</v>
      </c>
      <c r="AA800">
        <v>-7923.5816000000004</v>
      </c>
      <c r="AB800">
        <v>-7923.5816000000004</v>
      </c>
      <c r="AC800">
        <v>-7923.5816000000004</v>
      </c>
      <c r="AD800">
        <v>-7923.5816000000004</v>
      </c>
      <c r="AE800">
        <v>-7923.5816000000004</v>
      </c>
      <c r="AF800">
        <v>-1199521.5327000001</v>
      </c>
    </row>
    <row r="801" spans="2:32" x14ac:dyDescent="0.25">
      <c r="B801">
        <f t="shared" si="33"/>
        <v>63</v>
      </c>
      <c r="C801">
        <v>1</v>
      </c>
      <c r="D801">
        <v>1</v>
      </c>
      <c r="E801">
        <v>1</v>
      </c>
      <c r="F801">
        <v>1</v>
      </c>
      <c r="G801">
        <v>1</v>
      </c>
      <c r="J801">
        <f t="shared" si="34"/>
        <v>63</v>
      </c>
      <c r="K801">
        <v>1</v>
      </c>
      <c r="L801">
        <v>1</v>
      </c>
      <c r="M801">
        <v>1</v>
      </c>
      <c r="N801">
        <v>1</v>
      </c>
      <c r="O801">
        <v>1</v>
      </c>
      <c r="R801">
        <f t="shared" si="35"/>
        <v>63</v>
      </c>
      <c r="S801">
        <v>1</v>
      </c>
      <c r="T801">
        <v>1</v>
      </c>
      <c r="U801">
        <v>1</v>
      </c>
      <c r="V801">
        <v>1</v>
      </c>
      <c r="W801">
        <v>1</v>
      </c>
      <c r="AA801">
        <v>-7769.2775000000001</v>
      </c>
      <c r="AB801">
        <v>-7769.2775000000001</v>
      </c>
      <c r="AC801">
        <v>-7769.2775000000001</v>
      </c>
      <c r="AD801">
        <v>-7769.2775000000001</v>
      </c>
      <c r="AE801">
        <v>-7769.2775000000001</v>
      </c>
      <c r="AF801">
        <v>-1220461.6269</v>
      </c>
    </row>
    <row r="802" spans="2:32" x14ac:dyDescent="0.25">
      <c r="B802">
        <f t="shared" si="33"/>
        <v>64</v>
      </c>
      <c r="C802">
        <v>1</v>
      </c>
      <c r="D802">
        <v>1</v>
      </c>
      <c r="E802">
        <v>1</v>
      </c>
      <c r="F802">
        <v>1</v>
      </c>
      <c r="G802">
        <v>1</v>
      </c>
      <c r="J802">
        <f t="shared" si="34"/>
        <v>64</v>
      </c>
      <c r="K802">
        <v>1</v>
      </c>
      <c r="L802">
        <v>1</v>
      </c>
      <c r="M802">
        <v>1</v>
      </c>
      <c r="N802">
        <v>1</v>
      </c>
      <c r="O802">
        <v>1</v>
      </c>
      <c r="R802">
        <f t="shared" si="35"/>
        <v>64</v>
      </c>
      <c r="S802">
        <v>1</v>
      </c>
      <c r="T802">
        <v>1</v>
      </c>
      <c r="U802">
        <v>1</v>
      </c>
      <c r="V802">
        <v>1</v>
      </c>
      <c r="W802">
        <v>1</v>
      </c>
      <c r="AA802">
        <v>-7613.3999000000003</v>
      </c>
      <c r="AB802">
        <v>-7613.3999000000003</v>
      </c>
      <c r="AC802">
        <v>-7613.3999000000003</v>
      </c>
      <c r="AD802">
        <v>-7613.3999000000003</v>
      </c>
      <c r="AE802">
        <v>-7613.3999000000003</v>
      </c>
      <c r="AF802">
        <v>-1240652.2526</v>
      </c>
    </row>
    <row r="803" spans="2:32" x14ac:dyDescent="0.25">
      <c r="B803">
        <f t="shared" si="33"/>
        <v>65</v>
      </c>
      <c r="C803">
        <v>1</v>
      </c>
      <c r="D803">
        <v>1</v>
      </c>
      <c r="E803">
        <v>1</v>
      </c>
      <c r="F803">
        <v>1</v>
      </c>
      <c r="G803">
        <v>1</v>
      </c>
      <c r="J803">
        <f t="shared" si="34"/>
        <v>65</v>
      </c>
      <c r="K803">
        <v>1</v>
      </c>
      <c r="L803">
        <v>1</v>
      </c>
      <c r="M803">
        <v>1</v>
      </c>
      <c r="N803">
        <v>1</v>
      </c>
      <c r="O803">
        <v>1</v>
      </c>
      <c r="R803">
        <f t="shared" si="35"/>
        <v>65</v>
      </c>
      <c r="S803">
        <v>1</v>
      </c>
      <c r="T803">
        <v>1</v>
      </c>
      <c r="U803">
        <v>1</v>
      </c>
      <c r="V803">
        <v>1</v>
      </c>
      <c r="W803">
        <v>1</v>
      </c>
      <c r="AA803">
        <v>-7455.8590000000004</v>
      </c>
      <c r="AB803">
        <v>-7455.8590000000004</v>
      </c>
      <c r="AC803">
        <v>-7455.8590000000004</v>
      </c>
      <c r="AD803">
        <v>-7455.8590000000004</v>
      </c>
      <c r="AE803">
        <v>-7455.8590000000004</v>
      </c>
      <c r="AF803">
        <v>-1260049.8302</v>
      </c>
    </row>
    <row r="806" spans="2:32" x14ac:dyDescent="0.25">
      <c r="B806" t="s">
        <v>46</v>
      </c>
      <c r="C806">
        <v>50000</v>
      </c>
      <c r="D806">
        <v>100000</v>
      </c>
      <c r="E806">
        <v>250000</v>
      </c>
      <c r="F806">
        <v>500000</v>
      </c>
      <c r="G806">
        <v>1000000</v>
      </c>
      <c r="H806">
        <v>2000000</v>
      </c>
      <c r="J806" t="s">
        <v>47</v>
      </c>
      <c r="K806">
        <v>50000</v>
      </c>
      <c r="L806">
        <v>100000</v>
      </c>
      <c r="M806">
        <v>250000</v>
      </c>
      <c r="N806">
        <v>500000</v>
      </c>
      <c r="O806">
        <v>1000000</v>
      </c>
      <c r="P806">
        <v>2000000</v>
      </c>
      <c r="R806" t="s">
        <v>48</v>
      </c>
      <c r="S806">
        <v>50000</v>
      </c>
      <c r="T806">
        <v>100000</v>
      </c>
      <c r="U806">
        <v>250000</v>
      </c>
      <c r="V806">
        <v>500000</v>
      </c>
      <c r="W806">
        <v>1000000</v>
      </c>
      <c r="X806">
        <v>2000000</v>
      </c>
    </row>
    <row r="807" spans="2:32" x14ac:dyDescent="0.25">
      <c r="B807">
        <v>26</v>
      </c>
      <c r="C807">
        <v>1</v>
      </c>
      <c r="D807">
        <v>1</v>
      </c>
      <c r="E807">
        <v>1</v>
      </c>
      <c r="F807">
        <v>1</v>
      </c>
      <c r="G807">
        <v>1</v>
      </c>
      <c r="H807">
        <v>1</v>
      </c>
      <c r="J807">
        <v>26</v>
      </c>
      <c r="K807">
        <v>1</v>
      </c>
      <c r="L807">
        <v>1</v>
      </c>
      <c r="M807">
        <v>1</v>
      </c>
      <c r="N807">
        <v>1</v>
      </c>
      <c r="O807">
        <v>1</v>
      </c>
      <c r="P807">
        <v>1</v>
      </c>
      <c r="R807">
        <v>26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AA807">
        <v>-7435.5060999999996</v>
      </c>
      <c r="AB807">
        <v>-7435.5060999999996</v>
      </c>
      <c r="AC807">
        <v>-7435.5060999999996</v>
      </c>
      <c r="AD807">
        <v>-7435.5060999999996</v>
      </c>
      <c r="AE807">
        <v>-7435.5060999999996</v>
      </c>
      <c r="AF807">
        <v>-7435.5060999999996</v>
      </c>
    </row>
    <row r="808" spans="2:32" x14ac:dyDescent="0.25">
      <c r="B808">
        <v>27</v>
      </c>
      <c r="C808">
        <v>1</v>
      </c>
      <c r="D808">
        <v>1</v>
      </c>
      <c r="E808">
        <v>1</v>
      </c>
      <c r="F808">
        <v>1</v>
      </c>
      <c r="G808">
        <v>1</v>
      </c>
      <c r="H808">
        <v>1</v>
      </c>
      <c r="J808">
        <v>27</v>
      </c>
      <c r="K808">
        <v>1</v>
      </c>
      <c r="L808">
        <v>1</v>
      </c>
      <c r="M808">
        <v>1</v>
      </c>
      <c r="N808">
        <v>1</v>
      </c>
      <c r="O808">
        <v>1</v>
      </c>
      <c r="P808">
        <v>1</v>
      </c>
      <c r="R808">
        <v>27</v>
      </c>
      <c r="S808">
        <v>1</v>
      </c>
      <c r="T808">
        <v>1</v>
      </c>
      <c r="U808">
        <v>1</v>
      </c>
      <c r="V808">
        <v>1</v>
      </c>
      <c r="W808">
        <v>1</v>
      </c>
      <c r="X808">
        <v>1</v>
      </c>
      <c r="AA808">
        <v>-7434.2619000000004</v>
      </c>
      <c r="AB808">
        <v>-7434.2619000000004</v>
      </c>
      <c r="AC808">
        <v>-7434.2619000000004</v>
      </c>
      <c r="AD808">
        <v>-7434.2619000000004</v>
      </c>
      <c r="AE808">
        <v>-7434.2619000000004</v>
      </c>
      <c r="AF808">
        <v>-7434.2619000000004</v>
      </c>
    </row>
    <row r="809" spans="2:32" x14ac:dyDescent="0.25">
      <c r="B809">
        <v>28</v>
      </c>
      <c r="C809">
        <v>1</v>
      </c>
      <c r="D809">
        <v>1</v>
      </c>
      <c r="E809">
        <v>1</v>
      </c>
      <c r="F809">
        <v>1</v>
      </c>
      <c r="G809">
        <v>1</v>
      </c>
      <c r="H809">
        <v>1</v>
      </c>
      <c r="J809">
        <v>28</v>
      </c>
      <c r="K809">
        <v>1</v>
      </c>
      <c r="L809">
        <v>1</v>
      </c>
      <c r="M809">
        <v>1</v>
      </c>
      <c r="N809">
        <v>1</v>
      </c>
      <c r="O809">
        <v>1</v>
      </c>
      <c r="P809">
        <v>1</v>
      </c>
      <c r="R809">
        <v>28</v>
      </c>
      <c r="S809">
        <v>1</v>
      </c>
      <c r="T809">
        <v>1</v>
      </c>
      <c r="U809">
        <v>1</v>
      </c>
      <c r="V809">
        <v>1</v>
      </c>
      <c r="W809">
        <v>1</v>
      </c>
      <c r="X809">
        <v>1</v>
      </c>
      <c r="AA809">
        <v>-7432.8334999999997</v>
      </c>
      <c r="AB809">
        <v>-7432.8334999999997</v>
      </c>
      <c r="AC809">
        <v>-7432.8334999999997</v>
      </c>
      <c r="AD809">
        <v>-7432.8334999999997</v>
      </c>
      <c r="AE809">
        <v>-7432.8334999999997</v>
      </c>
      <c r="AF809">
        <v>-7432.8334999999997</v>
      </c>
    </row>
    <row r="810" spans="2:32" x14ac:dyDescent="0.25">
      <c r="B810">
        <v>29</v>
      </c>
      <c r="C810">
        <v>1</v>
      </c>
      <c r="D810">
        <v>1</v>
      </c>
      <c r="E810">
        <v>1</v>
      </c>
      <c r="F810">
        <v>1</v>
      </c>
      <c r="G810">
        <v>1</v>
      </c>
      <c r="H810">
        <v>1</v>
      </c>
      <c r="J810">
        <v>29</v>
      </c>
      <c r="K810">
        <v>1</v>
      </c>
      <c r="L810">
        <v>1</v>
      </c>
      <c r="M810">
        <v>1</v>
      </c>
      <c r="N810">
        <v>1</v>
      </c>
      <c r="O810">
        <v>1</v>
      </c>
      <c r="P810">
        <v>1</v>
      </c>
      <c r="R810">
        <v>29</v>
      </c>
      <c r="S810">
        <v>1</v>
      </c>
      <c r="T810">
        <v>1</v>
      </c>
      <c r="U810">
        <v>1</v>
      </c>
      <c r="V810">
        <v>1</v>
      </c>
      <c r="W810">
        <v>1</v>
      </c>
      <c r="X810">
        <v>1</v>
      </c>
      <c r="AA810">
        <v>-7431.2058999999999</v>
      </c>
      <c r="AB810">
        <v>-7431.2058999999999</v>
      </c>
      <c r="AC810">
        <v>-7431.2058999999999</v>
      </c>
      <c r="AD810">
        <v>-7431.2058999999999</v>
      </c>
      <c r="AE810">
        <v>-7431.2058999999999</v>
      </c>
      <c r="AF810">
        <v>-7431.2058999999999</v>
      </c>
    </row>
    <row r="811" spans="2:32" x14ac:dyDescent="0.25">
      <c r="B811">
        <v>30</v>
      </c>
      <c r="C811">
        <v>1</v>
      </c>
      <c r="D811">
        <v>1</v>
      </c>
      <c r="E811">
        <v>1</v>
      </c>
      <c r="F811">
        <v>1</v>
      </c>
      <c r="G811">
        <v>1</v>
      </c>
      <c r="H811">
        <v>1</v>
      </c>
      <c r="J811">
        <v>30</v>
      </c>
      <c r="K811">
        <v>1</v>
      </c>
      <c r="L811">
        <v>1</v>
      </c>
      <c r="M811">
        <v>1</v>
      </c>
      <c r="N811">
        <v>1</v>
      </c>
      <c r="O811">
        <v>1</v>
      </c>
      <c r="P811">
        <v>1</v>
      </c>
      <c r="R811">
        <v>30</v>
      </c>
      <c r="S811">
        <v>1</v>
      </c>
      <c r="T811">
        <v>1</v>
      </c>
      <c r="U811">
        <v>1</v>
      </c>
      <c r="V811">
        <v>1</v>
      </c>
      <c r="W811">
        <v>1</v>
      </c>
      <c r="X811">
        <v>1</v>
      </c>
      <c r="AA811">
        <v>-7429.3476000000001</v>
      </c>
      <c r="AB811">
        <v>-7429.3476000000001</v>
      </c>
      <c r="AC811">
        <v>-7429.3476000000001</v>
      </c>
      <c r="AD811">
        <v>-7429.3476000000001</v>
      </c>
      <c r="AE811">
        <v>-7429.3476000000001</v>
      </c>
      <c r="AF811">
        <v>-7429.3476000000001</v>
      </c>
    </row>
    <row r="812" spans="2:32" x14ac:dyDescent="0.25">
      <c r="B812">
        <v>31</v>
      </c>
      <c r="C812">
        <v>1</v>
      </c>
      <c r="D812">
        <v>1</v>
      </c>
      <c r="E812">
        <v>1</v>
      </c>
      <c r="F812">
        <v>1</v>
      </c>
      <c r="G812">
        <v>1</v>
      </c>
      <c r="H812">
        <v>1</v>
      </c>
      <c r="J812">
        <v>31</v>
      </c>
      <c r="K812">
        <v>1</v>
      </c>
      <c r="L812">
        <v>1</v>
      </c>
      <c r="M812">
        <v>1</v>
      </c>
      <c r="N812">
        <v>1</v>
      </c>
      <c r="O812">
        <v>1</v>
      </c>
      <c r="P812">
        <v>1</v>
      </c>
      <c r="R812">
        <v>31</v>
      </c>
      <c r="S812">
        <v>1</v>
      </c>
      <c r="T812">
        <v>1</v>
      </c>
      <c r="U812">
        <v>1</v>
      </c>
      <c r="V812">
        <v>1</v>
      </c>
      <c r="W812">
        <v>1</v>
      </c>
      <c r="X812">
        <v>1</v>
      </c>
      <c r="AA812">
        <v>-7427.2446</v>
      </c>
      <c r="AB812">
        <v>-7427.2446</v>
      </c>
      <c r="AC812">
        <v>-7427.2446</v>
      </c>
      <c r="AD812">
        <v>-7427.2446</v>
      </c>
      <c r="AE812">
        <v>-7427.2446</v>
      </c>
      <c r="AF812">
        <v>-7427.2446</v>
      </c>
    </row>
    <row r="813" spans="2:32" x14ac:dyDescent="0.25">
      <c r="B813">
        <v>32</v>
      </c>
      <c r="C813">
        <v>1</v>
      </c>
      <c r="D813">
        <v>1</v>
      </c>
      <c r="E813">
        <v>1</v>
      </c>
      <c r="F813">
        <v>1</v>
      </c>
      <c r="G813">
        <v>1</v>
      </c>
      <c r="H813">
        <v>1</v>
      </c>
      <c r="J813">
        <v>32</v>
      </c>
      <c r="K813">
        <v>1</v>
      </c>
      <c r="L813">
        <v>1</v>
      </c>
      <c r="M813">
        <v>1</v>
      </c>
      <c r="N813">
        <v>1</v>
      </c>
      <c r="O813">
        <v>1</v>
      </c>
      <c r="P813">
        <v>1</v>
      </c>
      <c r="R813">
        <v>32</v>
      </c>
      <c r="S813">
        <v>1</v>
      </c>
      <c r="T813">
        <v>1</v>
      </c>
      <c r="U813">
        <v>1</v>
      </c>
      <c r="V813">
        <v>1</v>
      </c>
      <c r="W813">
        <v>1</v>
      </c>
      <c r="X813">
        <v>1</v>
      </c>
      <c r="AA813">
        <v>-7424.8944000000001</v>
      </c>
      <c r="AB813">
        <v>-7424.8944000000001</v>
      </c>
      <c r="AC813">
        <v>-7424.8944000000001</v>
      </c>
      <c r="AD813">
        <v>-7424.8944000000001</v>
      </c>
      <c r="AE813">
        <v>-7424.8944000000001</v>
      </c>
      <c r="AF813">
        <v>-7424.8944000000001</v>
      </c>
    </row>
    <row r="814" spans="2:32" x14ac:dyDescent="0.25">
      <c r="B814">
        <v>33</v>
      </c>
      <c r="C814">
        <v>1</v>
      </c>
      <c r="D814">
        <v>1</v>
      </c>
      <c r="E814">
        <v>1</v>
      </c>
      <c r="F814">
        <v>1</v>
      </c>
      <c r="G814">
        <v>1</v>
      </c>
      <c r="H814">
        <v>1</v>
      </c>
      <c r="J814">
        <v>33</v>
      </c>
      <c r="K814">
        <v>1</v>
      </c>
      <c r="L814">
        <v>1</v>
      </c>
      <c r="M814">
        <v>1</v>
      </c>
      <c r="N814">
        <v>1</v>
      </c>
      <c r="O814">
        <v>1</v>
      </c>
      <c r="P814">
        <v>1</v>
      </c>
      <c r="R814">
        <v>33</v>
      </c>
      <c r="S814">
        <v>1</v>
      </c>
      <c r="T814">
        <v>1</v>
      </c>
      <c r="U814">
        <v>1</v>
      </c>
      <c r="V814">
        <v>1</v>
      </c>
      <c r="W814">
        <v>1</v>
      </c>
      <c r="X814">
        <v>1</v>
      </c>
      <c r="AA814">
        <v>-7422.2834000000003</v>
      </c>
      <c r="AB814">
        <v>-7422.2834000000003</v>
      </c>
      <c r="AC814">
        <v>-7422.2834000000003</v>
      </c>
      <c r="AD814">
        <v>-7422.2834000000003</v>
      </c>
      <c r="AE814">
        <v>-7422.2834000000003</v>
      </c>
      <c r="AF814">
        <v>-7422.2834000000003</v>
      </c>
    </row>
    <row r="815" spans="2:32" x14ac:dyDescent="0.25">
      <c r="B815">
        <v>34</v>
      </c>
      <c r="C815">
        <v>1</v>
      </c>
      <c r="D815">
        <v>1</v>
      </c>
      <c r="E815">
        <v>1</v>
      </c>
      <c r="F815">
        <v>1</v>
      </c>
      <c r="G815">
        <v>1</v>
      </c>
      <c r="H815">
        <v>1</v>
      </c>
      <c r="J815">
        <v>34</v>
      </c>
      <c r="K815">
        <v>1</v>
      </c>
      <c r="L815">
        <v>1</v>
      </c>
      <c r="M815">
        <v>1</v>
      </c>
      <c r="N815">
        <v>1</v>
      </c>
      <c r="O815">
        <v>1</v>
      </c>
      <c r="P815">
        <v>1</v>
      </c>
      <c r="R815">
        <v>34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AA815">
        <v>-7419.3683000000001</v>
      </c>
      <c r="AB815">
        <v>-7419.3683000000001</v>
      </c>
      <c r="AC815">
        <v>-7419.3683000000001</v>
      </c>
      <c r="AD815">
        <v>-7419.3683000000001</v>
      </c>
      <c r="AE815">
        <v>-7419.3683000000001</v>
      </c>
      <c r="AF815">
        <v>-7419.3683000000001</v>
      </c>
    </row>
    <row r="816" spans="2:32" x14ac:dyDescent="0.25">
      <c r="B816">
        <v>35</v>
      </c>
      <c r="C816">
        <v>1</v>
      </c>
      <c r="D816">
        <v>1</v>
      </c>
      <c r="E816">
        <v>1</v>
      </c>
      <c r="F816">
        <v>1</v>
      </c>
      <c r="G816">
        <v>1</v>
      </c>
      <c r="H816">
        <v>1</v>
      </c>
      <c r="J816">
        <v>35</v>
      </c>
      <c r="K816">
        <v>1</v>
      </c>
      <c r="L816">
        <v>1</v>
      </c>
      <c r="M816">
        <v>1</v>
      </c>
      <c r="N816">
        <v>1</v>
      </c>
      <c r="O816">
        <v>1</v>
      </c>
      <c r="P816">
        <v>1</v>
      </c>
      <c r="R816">
        <v>35</v>
      </c>
      <c r="S816">
        <v>1</v>
      </c>
      <c r="T816">
        <v>1</v>
      </c>
      <c r="U816">
        <v>1</v>
      </c>
      <c r="V816">
        <v>1</v>
      </c>
      <c r="W816">
        <v>1</v>
      </c>
      <c r="X816">
        <v>1</v>
      </c>
      <c r="AA816">
        <v>-7416.1363000000001</v>
      </c>
      <c r="AB816">
        <v>-7416.1363000000001</v>
      </c>
      <c r="AC816">
        <v>-7416.1363000000001</v>
      </c>
      <c r="AD816">
        <v>-7416.1363000000001</v>
      </c>
      <c r="AE816">
        <v>-7416.1363000000001</v>
      </c>
      <c r="AF816">
        <v>-7416.1363000000001</v>
      </c>
    </row>
    <row r="817" spans="2:32" x14ac:dyDescent="0.25">
      <c r="B817">
        <v>36</v>
      </c>
      <c r="C817">
        <v>1</v>
      </c>
      <c r="D817">
        <v>1</v>
      </c>
      <c r="E817">
        <v>1</v>
      </c>
      <c r="F817">
        <v>1</v>
      </c>
      <c r="G817">
        <v>1</v>
      </c>
      <c r="H817">
        <v>1</v>
      </c>
      <c r="J817">
        <v>36</v>
      </c>
      <c r="K817">
        <v>1</v>
      </c>
      <c r="L817">
        <v>1</v>
      </c>
      <c r="M817">
        <v>1</v>
      </c>
      <c r="N817">
        <v>1</v>
      </c>
      <c r="O817">
        <v>1</v>
      </c>
      <c r="P817">
        <v>1</v>
      </c>
      <c r="R817">
        <v>36</v>
      </c>
      <c r="S817">
        <v>1</v>
      </c>
      <c r="T817">
        <v>1</v>
      </c>
      <c r="U817">
        <v>1</v>
      </c>
      <c r="V817">
        <v>1</v>
      </c>
      <c r="W817">
        <v>1</v>
      </c>
      <c r="X817">
        <v>1</v>
      </c>
      <c r="AA817">
        <v>-7412.5378000000001</v>
      </c>
      <c r="AB817">
        <v>-7412.5378000000001</v>
      </c>
      <c r="AC817">
        <v>-7412.5378000000001</v>
      </c>
      <c r="AD817">
        <v>-7412.5378000000001</v>
      </c>
      <c r="AE817">
        <v>-7412.5378000000001</v>
      </c>
      <c r="AF817">
        <v>-7412.5378000000001</v>
      </c>
    </row>
    <row r="818" spans="2:32" x14ac:dyDescent="0.25">
      <c r="B818">
        <v>37</v>
      </c>
      <c r="C818">
        <v>1</v>
      </c>
      <c r="D818">
        <v>1</v>
      </c>
      <c r="E818">
        <v>1</v>
      </c>
      <c r="F818">
        <v>1</v>
      </c>
      <c r="G818">
        <v>1</v>
      </c>
      <c r="H818">
        <v>1</v>
      </c>
      <c r="J818">
        <v>37</v>
      </c>
      <c r="K818">
        <v>1</v>
      </c>
      <c r="L818">
        <v>1</v>
      </c>
      <c r="M818">
        <v>1</v>
      </c>
      <c r="N818">
        <v>1</v>
      </c>
      <c r="O818">
        <v>1</v>
      </c>
      <c r="P818">
        <v>1</v>
      </c>
      <c r="R818">
        <v>37</v>
      </c>
      <c r="S818">
        <v>1</v>
      </c>
      <c r="T818">
        <v>1</v>
      </c>
      <c r="U818">
        <v>1</v>
      </c>
      <c r="V818">
        <v>1</v>
      </c>
      <c r="W818">
        <v>1</v>
      </c>
      <c r="X818">
        <v>1</v>
      </c>
      <c r="AA818">
        <v>-7408.55</v>
      </c>
      <c r="AB818">
        <v>-7408.55</v>
      </c>
      <c r="AC818">
        <v>-7408.55</v>
      </c>
      <c r="AD818">
        <v>-7408.55</v>
      </c>
      <c r="AE818">
        <v>-7408.55</v>
      </c>
      <c r="AF818">
        <v>-7408.55</v>
      </c>
    </row>
    <row r="819" spans="2:32" x14ac:dyDescent="0.25">
      <c r="B819">
        <v>38</v>
      </c>
      <c r="C819">
        <v>1</v>
      </c>
      <c r="D819">
        <v>1</v>
      </c>
      <c r="E819">
        <v>1</v>
      </c>
      <c r="F819">
        <v>1</v>
      </c>
      <c r="G819">
        <v>1</v>
      </c>
      <c r="H819">
        <v>1</v>
      </c>
      <c r="J819">
        <v>38</v>
      </c>
      <c r="K819">
        <v>1</v>
      </c>
      <c r="L819">
        <v>1</v>
      </c>
      <c r="M819">
        <v>1</v>
      </c>
      <c r="N819">
        <v>1</v>
      </c>
      <c r="O819">
        <v>1</v>
      </c>
      <c r="P819">
        <v>1</v>
      </c>
      <c r="R819">
        <v>38</v>
      </c>
      <c r="S819">
        <v>1</v>
      </c>
      <c r="T819">
        <v>1</v>
      </c>
      <c r="U819">
        <v>1</v>
      </c>
      <c r="V819">
        <v>1</v>
      </c>
      <c r="W819">
        <v>1</v>
      </c>
      <c r="X819">
        <v>1</v>
      </c>
      <c r="AA819">
        <v>-7404.1752999999999</v>
      </c>
      <c r="AB819">
        <v>-7404.1752999999999</v>
      </c>
      <c r="AC819">
        <v>-7404.1752999999999</v>
      </c>
      <c r="AD819">
        <v>-7404.1752999999999</v>
      </c>
      <c r="AE819">
        <v>-7404.1752999999999</v>
      </c>
      <c r="AF819">
        <v>-7404.1752999999999</v>
      </c>
    </row>
    <row r="820" spans="2:32" x14ac:dyDescent="0.25">
      <c r="B820">
        <v>39</v>
      </c>
      <c r="C820">
        <v>1</v>
      </c>
      <c r="D820">
        <v>1</v>
      </c>
      <c r="E820">
        <v>1</v>
      </c>
      <c r="F820">
        <v>1</v>
      </c>
      <c r="G820">
        <v>1</v>
      </c>
      <c r="H820">
        <v>1</v>
      </c>
      <c r="J820">
        <v>39</v>
      </c>
      <c r="K820">
        <v>1</v>
      </c>
      <c r="L820">
        <v>1</v>
      </c>
      <c r="M820">
        <v>1</v>
      </c>
      <c r="N820">
        <v>1</v>
      </c>
      <c r="O820">
        <v>1</v>
      </c>
      <c r="P820">
        <v>1</v>
      </c>
      <c r="R820">
        <v>39</v>
      </c>
      <c r="S820">
        <v>1</v>
      </c>
      <c r="T820">
        <v>1</v>
      </c>
      <c r="U820">
        <v>1</v>
      </c>
      <c r="V820">
        <v>1</v>
      </c>
      <c r="W820">
        <v>1</v>
      </c>
      <c r="X820">
        <v>1</v>
      </c>
      <c r="AA820">
        <v>-7399.3923999999997</v>
      </c>
      <c r="AB820">
        <v>-7399.3923999999997</v>
      </c>
      <c r="AC820">
        <v>-7399.3923999999997</v>
      </c>
      <c r="AD820">
        <v>-7399.3923999999997</v>
      </c>
      <c r="AE820">
        <v>-7399.3923999999997</v>
      </c>
      <c r="AF820">
        <v>-7399.3923999999997</v>
      </c>
    </row>
    <row r="821" spans="2:32" x14ac:dyDescent="0.25">
      <c r="B821">
        <v>40</v>
      </c>
      <c r="C821">
        <v>1</v>
      </c>
      <c r="D821">
        <v>1</v>
      </c>
      <c r="E821">
        <v>1</v>
      </c>
      <c r="F821">
        <v>1</v>
      </c>
      <c r="G821">
        <v>1</v>
      </c>
      <c r="H821">
        <v>1</v>
      </c>
      <c r="J821">
        <v>40</v>
      </c>
      <c r="K821">
        <v>1</v>
      </c>
      <c r="L821">
        <v>1</v>
      </c>
      <c r="M821">
        <v>1</v>
      </c>
      <c r="N821">
        <v>1</v>
      </c>
      <c r="O821">
        <v>1</v>
      </c>
      <c r="P821">
        <v>1</v>
      </c>
      <c r="R821">
        <v>40</v>
      </c>
      <c r="S821">
        <v>1</v>
      </c>
      <c r="T821">
        <v>1</v>
      </c>
      <c r="U821">
        <v>1</v>
      </c>
      <c r="V821">
        <v>1</v>
      </c>
      <c r="W821">
        <v>1</v>
      </c>
      <c r="X821">
        <v>1</v>
      </c>
      <c r="AA821">
        <v>-7394.1365999999998</v>
      </c>
      <c r="AB821">
        <v>-7394.1365999999998</v>
      </c>
      <c r="AC821">
        <v>-7394.1365999999998</v>
      </c>
      <c r="AD821">
        <v>-7394.1365999999998</v>
      </c>
      <c r="AE821">
        <v>-7394.1365999999998</v>
      </c>
      <c r="AF821">
        <v>-7394.1365999999998</v>
      </c>
    </row>
    <row r="822" spans="2:32" x14ac:dyDescent="0.25">
      <c r="B822">
        <v>41</v>
      </c>
      <c r="C822">
        <v>1</v>
      </c>
      <c r="D822">
        <v>1</v>
      </c>
      <c r="E822">
        <v>1</v>
      </c>
      <c r="F822">
        <v>1</v>
      </c>
      <c r="G822">
        <v>1</v>
      </c>
      <c r="H822">
        <v>1</v>
      </c>
      <c r="J822">
        <v>41</v>
      </c>
      <c r="K822">
        <v>1</v>
      </c>
      <c r="L822">
        <v>1</v>
      </c>
      <c r="M822">
        <v>1</v>
      </c>
      <c r="N822">
        <v>1</v>
      </c>
      <c r="O822">
        <v>1</v>
      </c>
      <c r="P822">
        <v>1</v>
      </c>
      <c r="R822">
        <v>41</v>
      </c>
      <c r="S822">
        <v>1</v>
      </c>
      <c r="T822">
        <v>1</v>
      </c>
      <c r="U822">
        <v>1</v>
      </c>
      <c r="V822">
        <v>1</v>
      </c>
      <c r="W822">
        <v>1</v>
      </c>
      <c r="X822">
        <v>1</v>
      </c>
      <c r="AA822">
        <v>-7388.3469999999998</v>
      </c>
      <c r="AB822">
        <v>-7388.3469999999998</v>
      </c>
      <c r="AC822">
        <v>-7388.3469999999998</v>
      </c>
      <c r="AD822">
        <v>-7388.3469999999998</v>
      </c>
      <c r="AE822">
        <v>-7388.3469999999998</v>
      </c>
      <c r="AF822">
        <v>-7388.3469999999998</v>
      </c>
    </row>
    <row r="823" spans="2:32" x14ac:dyDescent="0.25">
      <c r="B823">
        <v>42</v>
      </c>
      <c r="C823">
        <v>1</v>
      </c>
      <c r="D823">
        <v>1</v>
      </c>
      <c r="E823">
        <v>1</v>
      </c>
      <c r="F823">
        <v>1</v>
      </c>
      <c r="G823">
        <v>1</v>
      </c>
      <c r="H823">
        <v>1</v>
      </c>
      <c r="J823">
        <v>42</v>
      </c>
      <c r="K823">
        <v>1</v>
      </c>
      <c r="L823">
        <v>1</v>
      </c>
      <c r="M823">
        <v>1</v>
      </c>
      <c r="N823">
        <v>1</v>
      </c>
      <c r="O823">
        <v>1</v>
      </c>
      <c r="P823">
        <v>1</v>
      </c>
      <c r="R823">
        <v>42</v>
      </c>
      <c r="S823">
        <v>1</v>
      </c>
      <c r="T823">
        <v>1</v>
      </c>
      <c r="U823">
        <v>1</v>
      </c>
      <c r="V823">
        <v>1</v>
      </c>
      <c r="W823">
        <v>1</v>
      </c>
      <c r="X823">
        <v>1</v>
      </c>
      <c r="AA823">
        <v>-7381.9919</v>
      </c>
      <c r="AB823">
        <v>-7381.9919</v>
      </c>
      <c r="AC823">
        <v>-7381.9919</v>
      </c>
      <c r="AD823">
        <v>-7381.9919</v>
      </c>
      <c r="AE823">
        <v>-7381.9919</v>
      </c>
      <c r="AF823">
        <v>-7381.9919</v>
      </c>
    </row>
    <row r="824" spans="2:32" x14ac:dyDescent="0.25">
      <c r="B824">
        <v>43</v>
      </c>
      <c r="C824">
        <v>1</v>
      </c>
      <c r="D824">
        <v>1</v>
      </c>
      <c r="E824">
        <v>1</v>
      </c>
      <c r="F824">
        <v>1</v>
      </c>
      <c r="G824">
        <v>1</v>
      </c>
      <c r="H824">
        <v>1</v>
      </c>
      <c r="J824">
        <v>43</v>
      </c>
      <c r="K824">
        <v>1</v>
      </c>
      <c r="L824">
        <v>1</v>
      </c>
      <c r="M824">
        <v>1</v>
      </c>
      <c r="N824">
        <v>1</v>
      </c>
      <c r="O824">
        <v>1</v>
      </c>
      <c r="P824">
        <v>1</v>
      </c>
      <c r="R824">
        <v>43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AA824">
        <v>-7374.9579999999996</v>
      </c>
      <c r="AB824">
        <v>-7374.9579999999996</v>
      </c>
      <c r="AC824">
        <v>-7374.9579999999996</v>
      </c>
      <c r="AD824">
        <v>-7374.9579999999996</v>
      </c>
      <c r="AE824">
        <v>-7374.9579999999996</v>
      </c>
      <c r="AF824">
        <v>-7374.9579999999996</v>
      </c>
    </row>
    <row r="825" spans="2:32" x14ac:dyDescent="0.25">
      <c r="B825">
        <v>44</v>
      </c>
      <c r="C825">
        <v>1</v>
      </c>
      <c r="D825">
        <v>1</v>
      </c>
      <c r="E825">
        <v>1</v>
      </c>
      <c r="F825">
        <v>1</v>
      </c>
      <c r="G825">
        <v>1</v>
      </c>
      <c r="H825">
        <v>1</v>
      </c>
      <c r="J825">
        <v>44</v>
      </c>
      <c r="K825">
        <v>1</v>
      </c>
      <c r="L825">
        <v>1</v>
      </c>
      <c r="M825">
        <v>1</v>
      </c>
      <c r="N825">
        <v>1</v>
      </c>
      <c r="O825">
        <v>1</v>
      </c>
      <c r="P825">
        <v>1</v>
      </c>
      <c r="R825">
        <v>44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AA825">
        <v>-7367.2034999999996</v>
      </c>
      <c r="AB825">
        <v>-7367.2034999999996</v>
      </c>
      <c r="AC825">
        <v>-7367.2034999999996</v>
      </c>
      <c r="AD825">
        <v>-7367.2034999999996</v>
      </c>
      <c r="AE825">
        <v>-7367.2034999999996</v>
      </c>
      <c r="AF825">
        <v>-7367.2034999999996</v>
      </c>
    </row>
    <row r="826" spans="2:32" x14ac:dyDescent="0.25">
      <c r="B826">
        <v>45</v>
      </c>
      <c r="C826">
        <v>1</v>
      </c>
      <c r="D826">
        <v>1</v>
      </c>
      <c r="E826">
        <v>1</v>
      </c>
      <c r="F826">
        <v>1</v>
      </c>
      <c r="G826">
        <v>1</v>
      </c>
      <c r="H826">
        <v>1</v>
      </c>
      <c r="J826">
        <v>45</v>
      </c>
      <c r="K826">
        <v>1</v>
      </c>
      <c r="L826">
        <v>1</v>
      </c>
      <c r="M826">
        <v>1</v>
      </c>
      <c r="N826">
        <v>1</v>
      </c>
      <c r="O826">
        <v>1</v>
      </c>
      <c r="P826">
        <v>1</v>
      </c>
      <c r="R826">
        <v>45</v>
      </c>
      <c r="S826">
        <v>1</v>
      </c>
      <c r="T826">
        <v>1</v>
      </c>
      <c r="U826">
        <v>1</v>
      </c>
      <c r="V826">
        <v>1</v>
      </c>
      <c r="W826">
        <v>1</v>
      </c>
      <c r="X826">
        <v>1</v>
      </c>
      <c r="AA826">
        <v>-7358.6491999999998</v>
      </c>
      <c r="AB826">
        <v>-7358.6491999999998</v>
      </c>
      <c r="AC826">
        <v>-7358.6491999999998</v>
      </c>
      <c r="AD826">
        <v>-7358.6491999999998</v>
      </c>
      <c r="AE826">
        <v>-7358.6491999999998</v>
      </c>
      <c r="AF826">
        <v>-7358.6491999999998</v>
      </c>
    </row>
    <row r="827" spans="2:32" x14ac:dyDescent="0.25">
      <c r="B827">
        <v>46</v>
      </c>
      <c r="C827">
        <v>1</v>
      </c>
      <c r="D827">
        <v>1</v>
      </c>
      <c r="E827">
        <v>1</v>
      </c>
      <c r="F827">
        <v>1</v>
      </c>
      <c r="G827">
        <v>1</v>
      </c>
      <c r="H827">
        <v>1</v>
      </c>
      <c r="J827">
        <v>46</v>
      </c>
      <c r="K827">
        <v>1</v>
      </c>
      <c r="L827">
        <v>1</v>
      </c>
      <c r="M827">
        <v>1</v>
      </c>
      <c r="N827">
        <v>1</v>
      </c>
      <c r="O827">
        <v>1</v>
      </c>
      <c r="P827">
        <v>1</v>
      </c>
      <c r="R827">
        <v>46</v>
      </c>
      <c r="S827">
        <v>1</v>
      </c>
      <c r="T827">
        <v>1</v>
      </c>
      <c r="U827">
        <v>1</v>
      </c>
      <c r="V827">
        <v>1</v>
      </c>
      <c r="W827">
        <v>1</v>
      </c>
      <c r="X827">
        <v>1</v>
      </c>
      <c r="AA827">
        <v>-7349.2232000000004</v>
      </c>
      <c r="AB827">
        <v>-7349.2232000000004</v>
      </c>
      <c r="AC827">
        <v>-7349.2232000000004</v>
      </c>
      <c r="AD827">
        <v>-7349.2232000000004</v>
      </c>
      <c r="AE827">
        <v>-7349.2232000000004</v>
      </c>
      <c r="AF827">
        <v>-7349.2232000000004</v>
      </c>
    </row>
    <row r="828" spans="2:32" x14ac:dyDescent="0.25">
      <c r="B828">
        <v>47</v>
      </c>
      <c r="C828">
        <v>1</v>
      </c>
      <c r="D828">
        <v>1</v>
      </c>
      <c r="E828">
        <v>1</v>
      </c>
      <c r="F828">
        <v>1</v>
      </c>
      <c r="G828">
        <v>1</v>
      </c>
      <c r="H828">
        <v>1</v>
      </c>
      <c r="J828">
        <v>47</v>
      </c>
      <c r="K828">
        <v>1</v>
      </c>
      <c r="L828">
        <v>1</v>
      </c>
      <c r="M828">
        <v>1</v>
      </c>
      <c r="N828">
        <v>1</v>
      </c>
      <c r="O828">
        <v>1</v>
      </c>
      <c r="P828">
        <v>1</v>
      </c>
      <c r="R828">
        <v>47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AA828">
        <v>-7338.8310000000001</v>
      </c>
      <c r="AB828">
        <v>-7338.8310000000001</v>
      </c>
      <c r="AC828">
        <v>-7338.8310000000001</v>
      </c>
      <c r="AD828">
        <v>-7338.8310000000001</v>
      </c>
      <c r="AE828">
        <v>-7338.8310000000001</v>
      </c>
      <c r="AF828">
        <v>-7338.8310000000001</v>
      </c>
    </row>
    <row r="829" spans="2:32" x14ac:dyDescent="0.25">
      <c r="B829">
        <v>48</v>
      </c>
      <c r="C829">
        <v>1</v>
      </c>
      <c r="D829">
        <v>1</v>
      </c>
      <c r="E829">
        <v>1</v>
      </c>
      <c r="F829">
        <v>1</v>
      </c>
      <c r="G829">
        <v>1</v>
      </c>
      <c r="H829">
        <v>1</v>
      </c>
      <c r="J829">
        <v>48</v>
      </c>
      <c r="K829">
        <v>1</v>
      </c>
      <c r="L829">
        <v>1</v>
      </c>
      <c r="M829">
        <v>1</v>
      </c>
      <c r="N829">
        <v>1</v>
      </c>
      <c r="O829">
        <v>1</v>
      </c>
      <c r="P829">
        <v>1</v>
      </c>
      <c r="R829">
        <v>48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AA829">
        <v>-7327.4297999999999</v>
      </c>
      <c r="AB829">
        <v>-7327.4297999999999</v>
      </c>
      <c r="AC829">
        <v>-7327.4297999999999</v>
      </c>
      <c r="AD829">
        <v>-7327.4297999999999</v>
      </c>
      <c r="AE829">
        <v>-7327.4297999999999</v>
      </c>
      <c r="AF829">
        <v>-7327.4297999999999</v>
      </c>
    </row>
    <row r="830" spans="2:32" x14ac:dyDescent="0.25">
      <c r="B830">
        <v>49</v>
      </c>
      <c r="C830">
        <v>1</v>
      </c>
      <c r="D830">
        <v>1</v>
      </c>
      <c r="E830">
        <v>1</v>
      </c>
      <c r="F830">
        <v>1</v>
      </c>
      <c r="G830">
        <v>1</v>
      </c>
      <c r="H830">
        <v>1</v>
      </c>
      <c r="J830">
        <v>49</v>
      </c>
      <c r="K830">
        <v>1</v>
      </c>
      <c r="L830">
        <v>1</v>
      </c>
      <c r="M830">
        <v>1</v>
      </c>
      <c r="N830">
        <v>1</v>
      </c>
      <c r="O830">
        <v>1</v>
      </c>
      <c r="P830">
        <v>1</v>
      </c>
      <c r="R830">
        <v>49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AA830">
        <v>-7314.951</v>
      </c>
      <c r="AB830">
        <v>-7314.951</v>
      </c>
      <c r="AC830">
        <v>-7314.951</v>
      </c>
      <c r="AD830">
        <v>-7314.951</v>
      </c>
      <c r="AE830">
        <v>-7314.951</v>
      </c>
      <c r="AF830">
        <v>-7314.951</v>
      </c>
    </row>
    <row r="831" spans="2:32" x14ac:dyDescent="0.25">
      <c r="B831">
        <v>50</v>
      </c>
      <c r="C831">
        <v>1</v>
      </c>
      <c r="D831">
        <v>1</v>
      </c>
      <c r="E831">
        <v>1</v>
      </c>
      <c r="F831">
        <v>1</v>
      </c>
      <c r="G831">
        <v>1</v>
      </c>
      <c r="H831">
        <v>1</v>
      </c>
      <c r="J831">
        <v>50</v>
      </c>
      <c r="K831">
        <v>1</v>
      </c>
      <c r="L831">
        <v>1</v>
      </c>
      <c r="M831">
        <v>1</v>
      </c>
      <c r="N831">
        <v>1</v>
      </c>
      <c r="O831">
        <v>1</v>
      </c>
      <c r="P831">
        <v>1</v>
      </c>
      <c r="R831">
        <v>50</v>
      </c>
      <c r="S831">
        <v>1</v>
      </c>
      <c r="T831">
        <v>1</v>
      </c>
      <c r="U831">
        <v>1</v>
      </c>
      <c r="V831">
        <v>1</v>
      </c>
      <c r="W831">
        <v>1</v>
      </c>
      <c r="X831">
        <v>1</v>
      </c>
      <c r="AA831">
        <v>-7301.2851000000001</v>
      </c>
      <c r="AB831">
        <v>-7301.2851000000001</v>
      </c>
      <c r="AC831">
        <v>-7301.2851000000001</v>
      </c>
      <c r="AD831">
        <v>-7301.2851000000001</v>
      </c>
      <c r="AE831">
        <v>-7301.2851000000001</v>
      </c>
      <c r="AF831">
        <v>-7301.2851000000001</v>
      </c>
    </row>
    <row r="832" spans="2:32" x14ac:dyDescent="0.25">
      <c r="B832">
        <v>51</v>
      </c>
      <c r="C832">
        <v>1</v>
      </c>
      <c r="D832">
        <v>1</v>
      </c>
      <c r="E832">
        <v>1</v>
      </c>
      <c r="F832">
        <v>1</v>
      </c>
      <c r="G832">
        <v>1</v>
      </c>
      <c r="H832">
        <v>1</v>
      </c>
      <c r="J832">
        <v>51</v>
      </c>
      <c r="K832">
        <v>1</v>
      </c>
      <c r="L832">
        <v>1</v>
      </c>
      <c r="M832">
        <v>1</v>
      </c>
      <c r="N832">
        <v>1</v>
      </c>
      <c r="O832">
        <v>1</v>
      </c>
      <c r="P832">
        <v>1</v>
      </c>
      <c r="R832">
        <v>51</v>
      </c>
      <c r="S832">
        <v>1</v>
      </c>
      <c r="T832">
        <v>1</v>
      </c>
      <c r="U832">
        <v>1</v>
      </c>
      <c r="V832">
        <v>1</v>
      </c>
      <c r="W832">
        <v>1</v>
      </c>
      <c r="X832">
        <v>1</v>
      </c>
      <c r="AA832">
        <v>-7286.3271000000004</v>
      </c>
      <c r="AB832">
        <v>-7286.3271000000004</v>
      </c>
      <c r="AC832">
        <v>-7286.3271000000004</v>
      </c>
      <c r="AD832">
        <v>-7286.3271000000004</v>
      </c>
      <c r="AE832">
        <v>-7286.3271000000004</v>
      </c>
      <c r="AF832">
        <v>-7286.3271000000004</v>
      </c>
    </row>
    <row r="833" spans="2:32" x14ac:dyDescent="0.25">
      <c r="B833">
        <v>52</v>
      </c>
      <c r="C833">
        <v>1</v>
      </c>
      <c r="D833">
        <v>1</v>
      </c>
      <c r="E833">
        <v>1</v>
      </c>
      <c r="F833">
        <v>1</v>
      </c>
      <c r="G833">
        <v>1</v>
      </c>
      <c r="H833">
        <v>1</v>
      </c>
      <c r="J833">
        <v>52</v>
      </c>
      <c r="K833">
        <v>1</v>
      </c>
      <c r="L833">
        <v>1</v>
      </c>
      <c r="M833">
        <v>1</v>
      </c>
      <c r="N833">
        <v>1</v>
      </c>
      <c r="O833">
        <v>1</v>
      </c>
      <c r="P833">
        <v>1</v>
      </c>
      <c r="R833">
        <v>52</v>
      </c>
      <c r="S833">
        <v>1</v>
      </c>
      <c r="T833">
        <v>1</v>
      </c>
      <c r="U833">
        <v>1</v>
      </c>
      <c r="V833">
        <v>1</v>
      </c>
      <c r="W833">
        <v>1</v>
      </c>
      <c r="X833">
        <v>1</v>
      </c>
      <c r="AA833">
        <v>-7269.9448000000002</v>
      </c>
      <c r="AB833">
        <v>-7269.9448000000002</v>
      </c>
      <c r="AC833">
        <v>-7269.9448000000002</v>
      </c>
      <c r="AD833">
        <v>-7269.9448000000002</v>
      </c>
      <c r="AE833">
        <v>-7269.9448000000002</v>
      </c>
      <c r="AF833">
        <v>-7269.9448000000002</v>
      </c>
    </row>
    <row r="834" spans="2:32" x14ac:dyDescent="0.25">
      <c r="B834">
        <v>53</v>
      </c>
      <c r="C834">
        <v>1</v>
      </c>
      <c r="D834">
        <v>1</v>
      </c>
      <c r="E834">
        <v>1</v>
      </c>
      <c r="F834">
        <v>1</v>
      </c>
      <c r="G834">
        <v>1</v>
      </c>
      <c r="H834">
        <v>1</v>
      </c>
      <c r="J834">
        <v>53</v>
      </c>
      <c r="K834">
        <v>1</v>
      </c>
      <c r="L834">
        <v>1</v>
      </c>
      <c r="M834">
        <v>1</v>
      </c>
      <c r="N834">
        <v>1</v>
      </c>
      <c r="O834">
        <v>1</v>
      </c>
      <c r="P834">
        <v>1</v>
      </c>
      <c r="R834">
        <v>53</v>
      </c>
      <c r="S834">
        <v>1</v>
      </c>
      <c r="T834">
        <v>1</v>
      </c>
      <c r="U834">
        <v>1</v>
      </c>
      <c r="V834">
        <v>1</v>
      </c>
      <c r="W834">
        <v>1</v>
      </c>
      <c r="X834">
        <v>1</v>
      </c>
      <c r="AA834">
        <v>-7252.0574999999999</v>
      </c>
      <c r="AB834">
        <v>-7252.0574999999999</v>
      </c>
      <c r="AC834">
        <v>-7252.0574999999999</v>
      </c>
      <c r="AD834">
        <v>-7252.0574999999999</v>
      </c>
      <c r="AE834">
        <v>-7252.0574999999999</v>
      </c>
      <c r="AF834">
        <v>-7252.0574999999999</v>
      </c>
    </row>
    <row r="835" spans="2:32" x14ac:dyDescent="0.25">
      <c r="B835">
        <v>54</v>
      </c>
      <c r="C835">
        <v>1</v>
      </c>
      <c r="D835">
        <v>1</v>
      </c>
      <c r="E835">
        <v>1</v>
      </c>
      <c r="F835">
        <v>1</v>
      </c>
      <c r="G835">
        <v>1</v>
      </c>
      <c r="H835">
        <v>1</v>
      </c>
      <c r="J835">
        <v>54</v>
      </c>
      <c r="K835">
        <v>1</v>
      </c>
      <c r="L835">
        <v>1</v>
      </c>
      <c r="M835">
        <v>1</v>
      </c>
      <c r="N835">
        <v>1</v>
      </c>
      <c r="O835">
        <v>1</v>
      </c>
      <c r="P835">
        <v>1</v>
      </c>
      <c r="R835">
        <v>54</v>
      </c>
      <c r="S835">
        <v>1</v>
      </c>
      <c r="T835">
        <v>1</v>
      </c>
      <c r="U835">
        <v>1</v>
      </c>
      <c r="V835">
        <v>1</v>
      </c>
      <c r="W835">
        <v>1</v>
      </c>
      <c r="X835">
        <v>1</v>
      </c>
      <c r="AA835">
        <v>-7232.5680000000002</v>
      </c>
      <c r="AB835">
        <v>-7232.5680000000002</v>
      </c>
      <c r="AC835">
        <v>-7232.5680000000002</v>
      </c>
      <c r="AD835">
        <v>-7232.5680000000002</v>
      </c>
      <c r="AE835">
        <v>-7232.5680000000002</v>
      </c>
      <c r="AF835">
        <v>-7232.5680000000002</v>
      </c>
    </row>
    <row r="836" spans="2:32" x14ac:dyDescent="0.25">
      <c r="B836">
        <v>55</v>
      </c>
      <c r="C836">
        <v>1</v>
      </c>
      <c r="D836">
        <v>1</v>
      </c>
      <c r="E836">
        <v>1</v>
      </c>
      <c r="F836">
        <v>1</v>
      </c>
      <c r="G836">
        <v>1</v>
      </c>
      <c r="H836">
        <v>1</v>
      </c>
      <c r="J836">
        <v>55</v>
      </c>
      <c r="K836">
        <v>1</v>
      </c>
      <c r="L836">
        <v>1</v>
      </c>
      <c r="M836">
        <v>1</v>
      </c>
      <c r="N836">
        <v>1</v>
      </c>
      <c r="O836">
        <v>1</v>
      </c>
      <c r="P836">
        <v>1</v>
      </c>
      <c r="R836">
        <v>55</v>
      </c>
      <c r="S836">
        <v>1</v>
      </c>
      <c r="T836">
        <v>1</v>
      </c>
      <c r="U836">
        <v>1</v>
      </c>
      <c r="V836">
        <v>1</v>
      </c>
      <c r="W836">
        <v>1</v>
      </c>
      <c r="X836">
        <v>1</v>
      </c>
      <c r="AA836">
        <v>-7211.3207000000002</v>
      </c>
      <c r="AB836">
        <v>-7211.3207000000002</v>
      </c>
      <c r="AC836">
        <v>-7211.3207000000002</v>
      </c>
      <c r="AD836">
        <v>-7211.3207000000002</v>
      </c>
      <c r="AE836">
        <v>-7211.3207000000002</v>
      </c>
      <c r="AF836">
        <v>-7211.3207000000002</v>
      </c>
    </row>
    <row r="839" spans="2:32" x14ac:dyDescent="0.25">
      <c r="B839" t="s">
        <v>46</v>
      </c>
      <c r="C839">
        <v>100000</v>
      </c>
      <c r="D839">
        <v>250000</v>
      </c>
      <c r="E839">
        <v>500000</v>
      </c>
      <c r="F839">
        <v>1000000</v>
      </c>
      <c r="G839">
        <v>2000000</v>
      </c>
      <c r="J839" t="s">
        <v>32</v>
      </c>
      <c r="K839">
        <v>100000</v>
      </c>
      <c r="L839">
        <v>250000</v>
      </c>
      <c r="M839">
        <v>500000</v>
      </c>
      <c r="N839">
        <v>1000000</v>
      </c>
      <c r="O839">
        <v>2000000</v>
      </c>
      <c r="R839" t="s">
        <v>48</v>
      </c>
      <c r="S839">
        <v>100000</v>
      </c>
      <c r="T839">
        <v>250000</v>
      </c>
      <c r="U839">
        <v>500000</v>
      </c>
      <c r="V839">
        <v>1000000</v>
      </c>
      <c r="W839">
        <v>2000000</v>
      </c>
    </row>
    <row r="840" spans="2:32" x14ac:dyDescent="0.25">
      <c r="B840">
        <v>35</v>
      </c>
      <c r="C840">
        <v>1</v>
      </c>
      <c r="D840">
        <v>1</v>
      </c>
      <c r="E840">
        <v>1</v>
      </c>
      <c r="F840">
        <v>1</v>
      </c>
      <c r="G840">
        <v>1</v>
      </c>
      <c r="J840">
        <v>35</v>
      </c>
      <c r="K840">
        <v>1</v>
      </c>
      <c r="L840">
        <v>1</v>
      </c>
      <c r="M840">
        <v>1</v>
      </c>
      <c r="N840">
        <v>1</v>
      </c>
      <c r="O840">
        <v>1</v>
      </c>
      <c r="R840">
        <v>35</v>
      </c>
      <c r="S840">
        <v>1</v>
      </c>
      <c r="T840">
        <v>1</v>
      </c>
      <c r="U840">
        <v>1</v>
      </c>
      <c r="V840">
        <v>1</v>
      </c>
      <c r="W840">
        <v>1</v>
      </c>
      <c r="AA840">
        <v>-11308.6893</v>
      </c>
      <c r="AB840">
        <v>-11308.6893</v>
      </c>
      <c r="AC840">
        <v>-11308.6893</v>
      </c>
      <c r="AD840">
        <v>-11308.6893</v>
      </c>
      <c r="AE840">
        <v>-11308.6893</v>
      </c>
      <c r="AF840">
        <v>-1260049.8302</v>
      </c>
    </row>
    <row r="841" spans="2:32" x14ac:dyDescent="0.25">
      <c r="B841">
        <f t="shared" ref="B841:B870" si="36">B840+1</f>
        <v>36</v>
      </c>
      <c r="C841">
        <v>1</v>
      </c>
      <c r="D841">
        <v>1</v>
      </c>
      <c r="E841">
        <v>1</v>
      </c>
      <c r="F841">
        <v>1</v>
      </c>
      <c r="G841">
        <v>1</v>
      </c>
      <c r="J841">
        <f t="shared" ref="J841:J870" si="37">J840+1</f>
        <v>36</v>
      </c>
      <c r="K841">
        <v>1</v>
      </c>
      <c r="L841">
        <v>1</v>
      </c>
      <c r="M841">
        <v>1</v>
      </c>
      <c r="N841">
        <v>1</v>
      </c>
      <c r="O841">
        <v>1</v>
      </c>
      <c r="R841">
        <f t="shared" ref="R841:R870" si="38">R840+1</f>
        <v>36</v>
      </c>
      <c r="S841">
        <v>1</v>
      </c>
      <c r="T841">
        <v>1</v>
      </c>
      <c r="U841">
        <v>1</v>
      </c>
      <c r="V841">
        <v>1</v>
      </c>
      <c r="W841">
        <v>1</v>
      </c>
      <c r="AA841">
        <v>-11214.2592</v>
      </c>
      <c r="AB841">
        <v>-11214.2592</v>
      </c>
      <c r="AC841">
        <v>-11214.2592</v>
      </c>
      <c r="AD841">
        <v>-11214.2592</v>
      </c>
      <c r="AE841">
        <v>-11214.2592</v>
      </c>
      <c r="AF841">
        <v>-737070.86179999996</v>
      </c>
    </row>
    <row r="842" spans="2:32" x14ac:dyDescent="0.25">
      <c r="B842">
        <f t="shared" si="36"/>
        <v>37</v>
      </c>
      <c r="C842">
        <v>1</v>
      </c>
      <c r="D842">
        <v>1</v>
      </c>
      <c r="E842">
        <v>1</v>
      </c>
      <c r="F842">
        <v>1</v>
      </c>
      <c r="G842">
        <v>1</v>
      </c>
      <c r="J842">
        <f t="shared" si="37"/>
        <v>37</v>
      </c>
      <c r="K842">
        <v>1</v>
      </c>
      <c r="L842">
        <v>1</v>
      </c>
      <c r="M842">
        <v>1</v>
      </c>
      <c r="N842">
        <v>1</v>
      </c>
      <c r="O842">
        <v>1</v>
      </c>
      <c r="R842">
        <f t="shared" si="38"/>
        <v>37</v>
      </c>
      <c r="S842">
        <v>1</v>
      </c>
      <c r="T842">
        <v>1</v>
      </c>
      <c r="U842">
        <v>1</v>
      </c>
      <c r="V842">
        <v>1</v>
      </c>
      <c r="W842">
        <v>1</v>
      </c>
      <c r="AA842">
        <v>-11117.406199999999</v>
      </c>
      <c r="AB842">
        <v>-11117.406199999999</v>
      </c>
      <c r="AC842">
        <v>-11117.406199999999</v>
      </c>
      <c r="AD842">
        <v>-11117.406199999999</v>
      </c>
      <c r="AE842">
        <v>-11117.406199999999</v>
      </c>
      <c r="AF842">
        <v>-765978.91940000001</v>
      </c>
    </row>
    <row r="843" spans="2:32" x14ac:dyDescent="0.25">
      <c r="B843">
        <f t="shared" si="36"/>
        <v>38</v>
      </c>
      <c r="C843">
        <v>1</v>
      </c>
      <c r="D843">
        <v>1</v>
      </c>
      <c r="E843">
        <v>1</v>
      </c>
      <c r="F843">
        <v>1</v>
      </c>
      <c r="G843">
        <v>1</v>
      </c>
      <c r="J843">
        <f t="shared" si="37"/>
        <v>38</v>
      </c>
      <c r="K843">
        <v>1</v>
      </c>
      <c r="L843">
        <v>1</v>
      </c>
      <c r="M843">
        <v>1</v>
      </c>
      <c r="N843">
        <v>1</v>
      </c>
      <c r="O843">
        <v>1</v>
      </c>
      <c r="R843">
        <f t="shared" si="38"/>
        <v>38</v>
      </c>
      <c r="S843">
        <v>1</v>
      </c>
      <c r="T843">
        <v>1</v>
      </c>
      <c r="U843">
        <v>1</v>
      </c>
      <c r="V843">
        <v>1</v>
      </c>
      <c r="W843">
        <v>1</v>
      </c>
      <c r="AA843">
        <v>-11018.229799999999</v>
      </c>
      <c r="AB843">
        <v>-11018.229799999999</v>
      </c>
      <c r="AC843">
        <v>-11018.229799999999</v>
      </c>
      <c r="AD843">
        <v>-11018.229799999999</v>
      </c>
      <c r="AE843">
        <v>-11018.229799999999</v>
      </c>
      <c r="AF843">
        <v>-783780.576</v>
      </c>
    </row>
    <row r="844" spans="2:32" x14ac:dyDescent="0.25">
      <c r="B844">
        <f t="shared" si="36"/>
        <v>39</v>
      </c>
      <c r="C844">
        <v>1</v>
      </c>
      <c r="D844">
        <v>1</v>
      </c>
      <c r="E844">
        <v>1</v>
      </c>
      <c r="F844">
        <v>1</v>
      </c>
      <c r="G844">
        <v>1</v>
      </c>
      <c r="J844">
        <f t="shared" si="37"/>
        <v>39</v>
      </c>
      <c r="K844">
        <v>1</v>
      </c>
      <c r="L844">
        <v>1</v>
      </c>
      <c r="M844">
        <v>1</v>
      </c>
      <c r="N844">
        <v>1</v>
      </c>
      <c r="O844">
        <v>1</v>
      </c>
      <c r="R844">
        <f t="shared" si="38"/>
        <v>39</v>
      </c>
      <c r="S844">
        <v>1</v>
      </c>
      <c r="T844">
        <v>1</v>
      </c>
      <c r="U844">
        <v>1</v>
      </c>
      <c r="V844">
        <v>1</v>
      </c>
      <c r="W844">
        <v>1</v>
      </c>
      <c r="AA844">
        <v>-10916.737999999999</v>
      </c>
      <c r="AB844">
        <v>-10916.737999999999</v>
      </c>
      <c r="AC844">
        <v>-10916.737999999999</v>
      </c>
      <c r="AD844">
        <v>-10916.737999999999</v>
      </c>
      <c r="AE844">
        <v>-10916.737999999999</v>
      </c>
      <c r="AF844">
        <v>-769662.22069999995</v>
      </c>
    </row>
    <row r="845" spans="2:32" x14ac:dyDescent="0.25">
      <c r="B845">
        <f t="shared" si="36"/>
        <v>40</v>
      </c>
      <c r="C845">
        <v>1</v>
      </c>
      <c r="D845">
        <v>1</v>
      </c>
      <c r="E845">
        <v>1</v>
      </c>
      <c r="F845">
        <v>1</v>
      </c>
      <c r="G845">
        <v>1</v>
      </c>
      <c r="J845">
        <f t="shared" si="37"/>
        <v>40</v>
      </c>
      <c r="K845">
        <v>1</v>
      </c>
      <c r="L845">
        <v>1</v>
      </c>
      <c r="M845">
        <v>1</v>
      </c>
      <c r="N845">
        <v>1</v>
      </c>
      <c r="O845">
        <v>1</v>
      </c>
      <c r="R845">
        <f t="shared" si="38"/>
        <v>40</v>
      </c>
      <c r="S845">
        <v>1</v>
      </c>
      <c r="T845">
        <v>1</v>
      </c>
      <c r="U845">
        <v>1</v>
      </c>
      <c r="V845">
        <v>1</v>
      </c>
      <c r="W845">
        <v>1</v>
      </c>
      <c r="AA845">
        <v>-10812.8714</v>
      </c>
      <c r="AB845">
        <v>-10812.8714</v>
      </c>
      <c r="AC845">
        <v>-10812.8714</v>
      </c>
      <c r="AD845">
        <v>-10812.8714</v>
      </c>
      <c r="AE845">
        <v>-10812.8714</v>
      </c>
      <c r="AF845">
        <v>-798570.41119999997</v>
      </c>
    </row>
    <row r="846" spans="2:32" x14ac:dyDescent="0.25">
      <c r="B846">
        <f t="shared" si="36"/>
        <v>41</v>
      </c>
      <c r="C846">
        <v>1</v>
      </c>
      <c r="D846">
        <v>1</v>
      </c>
      <c r="E846">
        <v>1</v>
      </c>
      <c r="F846">
        <v>1</v>
      </c>
      <c r="G846">
        <v>1</v>
      </c>
      <c r="J846">
        <f t="shared" si="37"/>
        <v>41</v>
      </c>
      <c r="K846">
        <v>1</v>
      </c>
      <c r="L846">
        <v>1</v>
      </c>
      <c r="M846">
        <v>1</v>
      </c>
      <c r="N846">
        <v>1</v>
      </c>
      <c r="O846">
        <v>1</v>
      </c>
      <c r="R846">
        <f t="shared" si="38"/>
        <v>41</v>
      </c>
      <c r="S846">
        <v>1</v>
      </c>
      <c r="T846">
        <v>1</v>
      </c>
      <c r="U846">
        <v>1</v>
      </c>
      <c r="V846">
        <v>1</v>
      </c>
      <c r="W846">
        <v>1</v>
      </c>
      <c r="AA846">
        <v>-10706.559600000001</v>
      </c>
      <c r="AB846">
        <v>-10706.559600000001</v>
      </c>
      <c r="AC846">
        <v>-10706.559600000001</v>
      </c>
      <c r="AD846">
        <v>-10706.559600000001</v>
      </c>
      <c r="AE846">
        <v>-10706.559600000001</v>
      </c>
      <c r="AF846">
        <v>-803549.96459999995</v>
      </c>
    </row>
    <row r="847" spans="2:32" x14ac:dyDescent="0.25">
      <c r="B847">
        <f t="shared" si="36"/>
        <v>42</v>
      </c>
      <c r="C847">
        <v>1</v>
      </c>
      <c r="D847">
        <v>1</v>
      </c>
      <c r="E847">
        <v>1</v>
      </c>
      <c r="F847">
        <v>1</v>
      </c>
      <c r="G847">
        <v>1</v>
      </c>
      <c r="J847">
        <f t="shared" si="37"/>
        <v>42</v>
      </c>
      <c r="K847">
        <v>1</v>
      </c>
      <c r="L847">
        <v>1</v>
      </c>
      <c r="M847">
        <v>1</v>
      </c>
      <c r="N847">
        <v>1</v>
      </c>
      <c r="O847">
        <v>1</v>
      </c>
      <c r="R847">
        <f t="shared" si="38"/>
        <v>42</v>
      </c>
      <c r="S847">
        <v>1</v>
      </c>
      <c r="T847">
        <v>1</v>
      </c>
      <c r="U847">
        <v>1</v>
      </c>
      <c r="V847">
        <v>1</v>
      </c>
      <c r="W847">
        <v>1</v>
      </c>
      <c r="AA847">
        <v>-10597.8485</v>
      </c>
      <c r="AB847">
        <v>-10597.8485</v>
      </c>
      <c r="AC847">
        <v>-10597.8485</v>
      </c>
      <c r="AD847">
        <v>-10597.8485</v>
      </c>
      <c r="AE847">
        <v>-10597.8485</v>
      </c>
      <c r="AF847">
        <v>-833551.75890000002</v>
      </c>
    </row>
    <row r="848" spans="2:32" x14ac:dyDescent="0.25">
      <c r="B848">
        <f t="shared" si="36"/>
        <v>43</v>
      </c>
      <c r="C848">
        <v>1</v>
      </c>
      <c r="D848">
        <v>1</v>
      </c>
      <c r="E848">
        <v>1</v>
      </c>
      <c r="F848">
        <v>1</v>
      </c>
      <c r="G848">
        <v>1</v>
      </c>
      <c r="J848">
        <f t="shared" si="37"/>
        <v>43</v>
      </c>
      <c r="K848">
        <v>1</v>
      </c>
      <c r="L848">
        <v>1</v>
      </c>
      <c r="M848">
        <v>1</v>
      </c>
      <c r="N848">
        <v>1</v>
      </c>
      <c r="O848">
        <v>1</v>
      </c>
      <c r="R848">
        <f t="shared" si="38"/>
        <v>43</v>
      </c>
      <c r="S848">
        <v>1</v>
      </c>
      <c r="T848">
        <v>1</v>
      </c>
      <c r="U848">
        <v>1</v>
      </c>
      <c r="V848">
        <v>1</v>
      </c>
      <c r="W848">
        <v>1</v>
      </c>
      <c r="AA848">
        <v>-10486.615400000001</v>
      </c>
      <c r="AB848">
        <v>-10486.615400000001</v>
      </c>
      <c r="AC848">
        <v>-10486.615400000001</v>
      </c>
      <c r="AD848">
        <v>-10486.615400000001</v>
      </c>
      <c r="AE848">
        <v>-10486.615400000001</v>
      </c>
      <c r="AF848">
        <v>-844950.93949999998</v>
      </c>
    </row>
    <row r="849" spans="2:32" x14ac:dyDescent="0.25">
      <c r="B849">
        <f t="shared" si="36"/>
        <v>44</v>
      </c>
      <c r="C849">
        <v>1</v>
      </c>
      <c r="D849">
        <v>1</v>
      </c>
      <c r="E849">
        <v>1</v>
      </c>
      <c r="F849">
        <v>1</v>
      </c>
      <c r="G849">
        <v>1</v>
      </c>
      <c r="J849">
        <f t="shared" si="37"/>
        <v>44</v>
      </c>
      <c r="K849">
        <v>1</v>
      </c>
      <c r="L849">
        <v>1</v>
      </c>
      <c r="M849">
        <v>1</v>
      </c>
      <c r="N849">
        <v>1</v>
      </c>
      <c r="O849">
        <v>1</v>
      </c>
      <c r="R849">
        <f t="shared" si="38"/>
        <v>44</v>
      </c>
      <c r="S849">
        <v>1</v>
      </c>
      <c r="T849">
        <v>1</v>
      </c>
      <c r="U849">
        <v>1</v>
      </c>
      <c r="V849">
        <v>1</v>
      </c>
      <c r="W849">
        <v>1</v>
      </c>
      <c r="AA849">
        <v>-10372.9005</v>
      </c>
      <c r="AB849">
        <v>-10372.9005</v>
      </c>
      <c r="AC849">
        <v>-10372.9005</v>
      </c>
      <c r="AD849">
        <v>-10372.9005</v>
      </c>
      <c r="AE849">
        <v>-10372.9005</v>
      </c>
      <c r="AF849">
        <v>-851265.64670000004</v>
      </c>
    </row>
    <row r="850" spans="2:32" x14ac:dyDescent="0.25">
      <c r="B850">
        <f t="shared" si="36"/>
        <v>45</v>
      </c>
      <c r="C850">
        <v>1</v>
      </c>
      <c r="D850">
        <v>1</v>
      </c>
      <c r="E850">
        <v>1</v>
      </c>
      <c r="F850">
        <v>1</v>
      </c>
      <c r="G850">
        <v>1</v>
      </c>
      <c r="J850">
        <f t="shared" si="37"/>
        <v>45</v>
      </c>
      <c r="K850">
        <v>1</v>
      </c>
      <c r="L850">
        <v>1</v>
      </c>
      <c r="M850">
        <v>1</v>
      </c>
      <c r="N850">
        <v>1</v>
      </c>
      <c r="O850">
        <v>1</v>
      </c>
      <c r="R850">
        <f t="shared" si="38"/>
        <v>45</v>
      </c>
      <c r="S850">
        <v>1</v>
      </c>
      <c r="T850">
        <v>1</v>
      </c>
      <c r="U850">
        <v>1</v>
      </c>
      <c r="V850">
        <v>1</v>
      </c>
      <c r="W850">
        <v>1</v>
      </c>
      <c r="AA850">
        <v>-10256.650600000001</v>
      </c>
      <c r="AB850">
        <v>-10256.650600000001</v>
      </c>
      <c r="AC850">
        <v>-10256.650600000001</v>
      </c>
      <c r="AD850">
        <v>-10256.650600000001</v>
      </c>
      <c r="AE850">
        <v>-10256.650600000001</v>
      </c>
      <c r="AF850">
        <v>-870649.02139999997</v>
      </c>
    </row>
    <row r="851" spans="2:32" x14ac:dyDescent="0.25">
      <c r="B851">
        <f t="shared" si="36"/>
        <v>46</v>
      </c>
      <c r="C851">
        <v>1</v>
      </c>
      <c r="D851">
        <v>1</v>
      </c>
      <c r="E851">
        <v>1</v>
      </c>
      <c r="F851">
        <v>1</v>
      </c>
      <c r="G851">
        <v>1</v>
      </c>
      <c r="J851">
        <f t="shared" si="37"/>
        <v>46</v>
      </c>
      <c r="K851">
        <v>1</v>
      </c>
      <c r="L851">
        <v>1</v>
      </c>
      <c r="M851">
        <v>1</v>
      </c>
      <c r="N851">
        <v>1</v>
      </c>
      <c r="O851">
        <v>1</v>
      </c>
      <c r="R851">
        <f t="shared" si="38"/>
        <v>46</v>
      </c>
      <c r="S851">
        <v>1</v>
      </c>
      <c r="T851">
        <v>1</v>
      </c>
      <c r="U851">
        <v>1</v>
      </c>
      <c r="V851">
        <v>1</v>
      </c>
      <c r="W851">
        <v>1</v>
      </c>
      <c r="AA851">
        <v>-10137.871499999999</v>
      </c>
      <c r="AB851">
        <v>-10137.871499999999</v>
      </c>
      <c r="AC851">
        <v>-10137.871499999999</v>
      </c>
      <c r="AD851">
        <v>-10137.871499999999</v>
      </c>
      <c r="AE851">
        <v>-10137.871499999999</v>
      </c>
      <c r="AF851">
        <v>-892550.54509999999</v>
      </c>
    </row>
    <row r="852" spans="2:32" x14ac:dyDescent="0.25">
      <c r="B852">
        <f t="shared" si="36"/>
        <v>47</v>
      </c>
      <c r="C852">
        <v>1</v>
      </c>
      <c r="D852">
        <v>1</v>
      </c>
      <c r="E852">
        <v>1</v>
      </c>
      <c r="F852">
        <v>1</v>
      </c>
      <c r="G852">
        <v>1</v>
      </c>
      <c r="J852">
        <f t="shared" si="37"/>
        <v>47</v>
      </c>
      <c r="K852">
        <v>1</v>
      </c>
      <c r="L852">
        <v>1</v>
      </c>
      <c r="M852">
        <v>1</v>
      </c>
      <c r="N852">
        <v>1</v>
      </c>
      <c r="O852">
        <v>1</v>
      </c>
      <c r="R852">
        <f t="shared" si="38"/>
        <v>47</v>
      </c>
      <c r="S852">
        <v>1</v>
      </c>
      <c r="T852">
        <v>1</v>
      </c>
      <c r="U852">
        <v>1</v>
      </c>
      <c r="V852">
        <v>1</v>
      </c>
      <c r="W852">
        <v>1</v>
      </c>
      <c r="AA852">
        <v>-10016.4967</v>
      </c>
      <c r="AB852">
        <v>-10016.4967</v>
      </c>
      <c r="AC852">
        <v>-10016.4967</v>
      </c>
      <c r="AD852">
        <v>-10016.4967</v>
      </c>
      <c r="AE852">
        <v>-10016.4967</v>
      </c>
      <c r="AF852">
        <v>-910915.81969999999</v>
      </c>
    </row>
    <row r="853" spans="2:32" x14ac:dyDescent="0.25">
      <c r="B853">
        <f t="shared" si="36"/>
        <v>48</v>
      </c>
      <c r="C853">
        <v>1</v>
      </c>
      <c r="D853">
        <v>1</v>
      </c>
      <c r="E853">
        <v>1</v>
      </c>
      <c r="F853">
        <v>1</v>
      </c>
      <c r="G853">
        <v>1</v>
      </c>
      <c r="J853">
        <f t="shared" si="37"/>
        <v>48</v>
      </c>
      <c r="K853">
        <v>1</v>
      </c>
      <c r="L853">
        <v>1</v>
      </c>
      <c r="M853">
        <v>1</v>
      </c>
      <c r="N853">
        <v>1</v>
      </c>
      <c r="O853">
        <v>1</v>
      </c>
      <c r="R853">
        <f t="shared" si="38"/>
        <v>48</v>
      </c>
      <c r="S853">
        <v>1</v>
      </c>
      <c r="T853">
        <v>1</v>
      </c>
      <c r="U853">
        <v>1</v>
      </c>
      <c r="V853">
        <v>1</v>
      </c>
      <c r="W853">
        <v>1</v>
      </c>
      <c r="AA853">
        <v>-9892.6355000000003</v>
      </c>
      <c r="AB853">
        <v>-9892.6355000000003</v>
      </c>
      <c r="AC853">
        <v>-9892.6355000000003</v>
      </c>
      <c r="AD853">
        <v>-9892.6355000000003</v>
      </c>
      <c r="AE853">
        <v>-9892.6355000000003</v>
      </c>
      <c r="AF853">
        <v>-917891.87360000005</v>
      </c>
    </row>
    <row r="854" spans="2:32" x14ac:dyDescent="0.25">
      <c r="B854">
        <f t="shared" si="36"/>
        <v>49</v>
      </c>
      <c r="C854">
        <v>1</v>
      </c>
      <c r="D854">
        <v>1</v>
      </c>
      <c r="E854">
        <v>1</v>
      </c>
      <c r="F854">
        <v>1</v>
      </c>
      <c r="G854">
        <v>1</v>
      </c>
      <c r="J854">
        <f t="shared" si="37"/>
        <v>49</v>
      </c>
      <c r="K854">
        <v>1</v>
      </c>
      <c r="L854">
        <v>1</v>
      </c>
      <c r="M854">
        <v>1</v>
      </c>
      <c r="N854">
        <v>1</v>
      </c>
      <c r="O854">
        <v>1</v>
      </c>
      <c r="R854">
        <f t="shared" si="38"/>
        <v>49</v>
      </c>
      <c r="S854">
        <v>1</v>
      </c>
      <c r="T854">
        <v>1</v>
      </c>
      <c r="U854">
        <v>1</v>
      </c>
      <c r="V854">
        <v>1</v>
      </c>
      <c r="W854">
        <v>1</v>
      </c>
      <c r="AA854">
        <v>-9766.3366999999998</v>
      </c>
      <c r="AB854">
        <v>-9766.3366999999998</v>
      </c>
      <c r="AC854">
        <v>-9766.3366999999998</v>
      </c>
      <c r="AD854">
        <v>-9766.3366999999998</v>
      </c>
      <c r="AE854">
        <v>-9766.3366999999998</v>
      </c>
      <c r="AF854">
        <v>-944521.72470000002</v>
      </c>
    </row>
    <row r="855" spans="2:32" x14ac:dyDescent="0.25">
      <c r="B855">
        <f t="shared" si="36"/>
        <v>50</v>
      </c>
      <c r="C855">
        <v>1</v>
      </c>
      <c r="D855">
        <v>1</v>
      </c>
      <c r="E855">
        <v>1</v>
      </c>
      <c r="F855">
        <v>1</v>
      </c>
      <c r="G855">
        <v>1</v>
      </c>
      <c r="J855">
        <f t="shared" si="37"/>
        <v>50</v>
      </c>
      <c r="K855">
        <v>1</v>
      </c>
      <c r="L855">
        <v>1</v>
      </c>
      <c r="M855">
        <v>1</v>
      </c>
      <c r="N855">
        <v>1</v>
      </c>
      <c r="O855">
        <v>1</v>
      </c>
      <c r="R855">
        <f t="shared" si="38"/>
        <v>50</v>
      </c>
      <c r="S855">
        <v>1</v>
      </c>
      <c r="T855">
        <v>1</v>
      </c>
      <c r="U855">
        <v>1</v>
      </c>
      <c r="V855">
        <v>1</v>
      </c>
      <c r="W855">
        <v>1</v>
      </c>
      <c r="AA855">
        <v>-9637.5864000000001</v>
      </c>
      <c r="AB855">
        <v>-9637.5864000000001</v>
      </c>
      <c r="AC855">
        <v>-9637.5864000000001</v>
      </c>
      <c r="AD855">
        <v>-9637.5864000000001</v>
      </c>
      <c r="AE855">
        <v>-9637.5864000000001</v>
      </c>
      <c r="AF855">
        <v>-963257.14989999996</v>
      </c>
    </row>
    <row r="856" spans="2:32" x14ac:dyDescent="0.25">
      <c r="B856">
        <f t="shared" si="36"/>
        <v>51</v>
      </c>
      <c r="C856">
        <v>1</v>
      </c>
      <c r="D856">
        <v>1</v>
      </c>
      <c r="E856">
        <v>1</v>
      </c>
      <c r="F856">
        <v>1</v>
      </c>
      <c r="G856">
        <v>1</v>
      </c>
      <c r="J856">
        <f t="shared" si="37"/>
        <v>51</v>
      </c>
      <c r="K856">
        <v>1</v>
      </c>
      <c r="L856">
        <v>1</v>
      </c>
      <c r="M856">
        <v>1</v>
      </c>
      <c r="N856">
        <v>1</v>
      </c>
      <c r="O856">
        <v>1</v>
      </c>
      <c r="R856">
        <f t="shared" si="38"/>
        <v>51</v>
      </c>
      <c r="S856">
        <v>1</v>
      </c>
      <c r="T856">
        <v>1</v>
      </c>
      <c r="U856">
        <v>1</v>
      </c>
      <c r="V856">
        <v>1</v>
      </c>
      <c r="W856">
        <v>1</v>
      </c>
      <c r="AA856">
        <v>-9506.3734000000004</v>
      </c>
      <c r="AB856">
        <v>-9506.3734000000004</v>
      </c>
      <c r="AC856">
        <v>-9506.3734000000004</v>
      </c>
      <c r="AD856">
        <v>-9506.3734000000004</v>
      </c>
      <c r="AE856">
        <v>-9506.3734000000004</v>
      </c>
      <c r="AF856">
        <v>-981592.90729999996</v>
      </c>
    </row>
    <row r="857" spans="2:32" x14ac:dyDescent="0.25">
      <c r="B857">
        <f t="shared" si="36"/>
        <v>52</v>
      </c>
      <c r="C857">
        <v>1</v>
      </c>
      <c r="D857">
        <v>1</v>
      </c>
      <c r="E857">
        <v>1</v>
      </c>
      <c r="F857">
        <v>1</v>
      </c>
      <c r="G857">
        <v>1</v>
      </c>
      <c r="J857">
        <f t="shared" si="37"/>
        <v>52</v>
      </c>
      <c r="K857">
        <v>1</v>
      </c>
      <c r="L857">
        <v>1</v>
      </c>
      <c r="M857">
        <v>1</v>
      </c>
      <c r="N857">
        <v>1</v>
      </c>
      <c r="O857">
        <v>1</v>
      </c>
      <c r="R857">
        <f t="shared" si="38"/>
        <v>52</v>
      </c>
      <c r="S857">
        <v>1</v>
      </c>
      <c r="T857">
        <v>1</v>
      </c>
      <c r="U857">
        <v>1</v>
      </c>
      <c r="V857">
        <v>1</v>
      </c>
      <c r="W857">
        <v>1</v>
      </c>
      <c r="AA857">
        <v>-9372.7019</v>
      </c>
      <c r="AB857">
        <v>-9372.7019</v>
      </c>
      <c r="AC857">
        <v>-9372.7019</v>
      </c>
      <c r="AD857">
        <v>-9372.7019</v>
      </c>
      <c r="AE857">
        <v>-9372.7019</v>
      </c>
      <c r="AF857">
        <v>-981592.90729999996</v>
      </c>
    </row>
    <row r="858" spans="2:32" x14ac:dyDescent="0.25">
      <c r="B858">
        <f t="shared" si="36"/>
        <v>53</v>
      </c>
      <c r="C858">
        <v>1</v>
      </c>
      <c r="D858">
        <v>1</v>
      </c>
      <c r="E858">
        <v>1</v>
      </c>
      <c r="F858">
        <v>1</v>
      </c>
      <c r="G858">
        <v>1</v>
      </c>
      <c r="J858">
        <f t="shared" si="37"/>
        <v>53</v>
      </c>
      <c r="K858">
        <v>1</v>
      </c>
      <c r="L858">
        <v>1</v>
      </c>
      <c r="M858">
        <v>1</v>
      </c>
      <c r="N858">
        <v>1</v>
      </c>
      <c r="O858">
        <v>1</v>
      </c>
      <c r="R858">
        <f t="shared" si="38"/>
        <v>53</v>
      </c>
      <c r="S858">
        <v>1</v>
      </c>
      <c r="T858">
        <v>1</v>
      </c>
      <c r="U858">
        <v>1</v>
      </c>
      <c r="V858">
        <v>1</v>
      </c>
      <c r="W858">
        <v>1</v>
      </c>
      <c r="AA858">
        <v>-9236.6705000000002</v>
      </c>
      <c r="AB858">
        <v>-9236.6705000000002</v>
      </c>
      <c r="AC858">
        <v>-9236.6705000000002</v>
      </c>
      <c r="AD858">
        <v>-9236.6705000000002</v>
      </c>
      <c r="AE858">
        <v>-9236.6705000000002</v>
      </c>
      <c r="AF858">
        <v>-1015461.3278</v>
      </c>
    </row>
    <row r="859" spans="2:32" x14ac:dyDescent="0.25">
      <c r="B859">
        <f t="shared" si="36"/>
        <v>54</v>
      </c>
      <c r="C859">
        <v>1</v>
      </c>
      <c r="D859">
        <v>1</v>
      </c>
      <c r="E859">
        <v>1</v>
      </c>
      <c r="F859">
        <v>1</v>
      </c>
      <c r="G859">
        <v>1</v>
      </c>
      <c r="J859">
        <f t="shared" si="37"/>
        <v>54</v>
      </c>
      <c r="K859">
        <v>1</v>
      </c>
      <c r="L859">
        <v>1</v>
      </c>
      <c r="M859">
        <v>1</v>
      </c>
      <c r="N859">
        <v>1</v>
      </c>
      <c r="O859">
        <v>1</v>
      </c>
      <c r="R859">
        <f t="shared" si="38"/>
        <v>54</v>
      </c>
      <c r="S859">
        <v>1</v>
      </c>
      <c r="T859">
        <v>1</v>
      </c>
      <c r="U859">
        <v>1</v>
      </c>
      <c r="V859">
        <v>1</v>
      </c>
      <c r="W859">
        <v>1</v>
      </c>
      <c r="AA859">
        <v>-9098.4312000000009</v>
      </c>
      <c r="AB859">
        <v>-9098.4312000000009</v>
      </c>
      <c r="AC859">
        <v>-9098.4312000000009</v>
      </c>
      <c r="AD859">
        <v>-9098.4312000000009</v>
      </c>
      <c r="AE859">
        <v>-9098.4312000000009</v>
      </c>
      <c r="AF859">
        <v>-1033869.6813000001</v>
      </c>
    </row>
    <row r="860" spans="2:32" x14ac:dyDescent="0.25">
      <c r="B860">
        <f t="shared" si="36"/>
        <v>55</v>
      </c>
      <c r="C860">
        <v>1</v>
      </c>
      <c r="D860">
        <v>1</v>
      </c>
      <c r="E860">
        <v>1</v>
      </c>
      <c r="F860">
        <v>1</v>
      </c>
      <c r="G860">
        <v>1</v>
      </c>
      <c r="J860">
        <f t="shared" si="37"/>
        <v>55</v>
      </c>
      <c r="K860">
        <v>1</v>
      </c>
      <c r="L860">
        <v>1</v>
      </c>
      <c r="M860">
        <v>1</v>
      </c>
      <c r="N860">
        <v>1</v>
      </c>
      <c r="O860">
        <v>1</v>
      </c>
      <c r="R860">
        <f t="shared" si="38"/>
        <v>55</v>
      </c>
      <c r="S860">
        <v>1</v>
      </c>
      <c r="T860">
        <v>1</v>
      </c>
      <c r="U860">
        <v>1</v>
      </c>
      <c r="V860">
        <v>1</v>
      </c>
      <c r="W860">
        <v>1</v>
      </c>
      <c r="AA860">
        <v>-8958.0210999999999</v>
      </c>
      <c r="AB860">
        <v>-8958.0210999999999</v>
      </c>
      <c r="AC860">
        <v>-8958.0210999999999</v>
      </c>
      <c r="AD860">
        <v>-8958.0210999999999</v>
      </c>
      <c r="AE860">
        <v>-8958.0210999999999</v>
      </c>
      <c r="AF860">
        <v>-1050810.2549999999</v>
      </c>
    </row>
    <row r="861" spans="2:32" x14ac:dyDescent="0.25">
      <c r="B861">
        <f t="shared" si="36"/>
        <v>56</v>
      </c>
      <c r="C861">
        <v>1</v>
      </c>
      <c r="D861">
        <v>1</v>
      </c>
      <c r="E861">
        <v>1</v>
      </c>
      <c r="F861">
        <v>1</v>
      </c>
      <c r="G861">
        <v>1</v>
      </c>
      <c r="J861">
        <f t="shared" si="37"/>
        <v>56</v>
      </c>
      <c r="K861">
        <v>1</v>
      </c>
      <c r="L861">
        <v>1</v>
      </c>
      <c r="M861">
        <v>1</v>
      </c>
      <c r="N861">
        <v>1</v>
      </c>
      <c r="O861">
        <v>1</v>
      </c>
      <c r="R861">
        <f t="shared" si="38"/>
        <v>56</v>
      </c>
      <c r="S861">
        <v>1</v>
      </c>
      <c r="T861">
        <v>1</v>
      </c>
      <c r="U861">
        <v>1</v>
      </c>
      <c r="V861">
        <v>1</v>
      </c>
      <c r="W861">
        <v>1</v>
      </c>
      <c r="AA861">
        <v>-8815.6316999999999</v>
      </c>
      <c r="AB861">
        <v>-8815.6316999999999</v>
      </c>
      <c r="AC861">
        <v>-8815.6316999999999</v>
      </c>
      <c r="AD861">
        <v>-8815.6316999999999</v>
      </c>
      <c r="AE861">
        <v>-8815.6316999999999</v>
      </c>
      <c r="AF861">
        <v>-1073295.8774000001</v>
      </c>
    </row>
    <row r="862" spans="2:32" x14ac:dyDescent="0.25">
      <c r="B862">
        <f t="shared" si="36"/>
        <v>57</v>
      </c>
      <c r="C862">
        <v>1</v>
      </c>
      <c r="D862">
        <v>1</v>
      </c>
      <c r="E862">
        <v>1</v>
      </c>
      <c r="F862">
        <v>1</v>
      </c>
      <c r="G862">
        <v>1</v>
      </c>
      <c r="J862">
        <f t="shared" si="37"/>
        <v>57</v>
      </c>
      <c r="K862">
        <v>1</v>
      </c>
      <c r="L862">
        <v>1</v>
      </c>
      <c r="M862">
        <v>1</v>
      </c>
      <c r="N862">
        <v>1</v>
      </c>
      <c r="O862">
        <v>1</v>
      </c>
      <c r="R862">
        <f t="shared" si="38"/>
        <v>57</v>
      </c>
      <c r="S862">
        <v>1</v>
      </c>
      <c r="T862">
        <v>1</v>
      </c>
      <c r="U862">
        <v>1</v>
      </c>
      <c r="V862">
        <v>1</v>
      </c>
      <c r="W862">
        <v>1</v>
      </c>
      <c r="AA862">
        <v>-8671.3991999999998</v>
      </c>
      <c r="AB862">
        <v>-8671.3991999999998</v>
      </c>
      <c r="AC862">
        <v>-8671.3991999999998</v>
      </c>
      <c r="AD862">
        <v>-8671.3991999999998</v>
      </c>
      <c r="AE862">
        <v>-8671.3991999999998</v>
      </c>
      <c r="AF862">
        <v>-1093242.6832999999</v>
      </c>
    </row>
    <row r="863" spans="2:32" x14ac:dyDescent="0.25">
      <c r="B863">
        <f t="shared" si="36"/>
        <v>58</v>
      </c>
      <c r="C863">
        <v>1</v>
      </c>
      <c r="D863">
        <v>1</v>
      </c>
      <c r="E863">
        <v>1</v>
      </c>
      <c r="F863">
        <v>1</v>
      </c>
      <c r="G863">
        <v>1</v>
      </c>
      <c r="J863">
        <f t="shared" si="37"/>
        <v>58</v>
      </c>
      <c r="K863">
        <v>1</v>
      </c>
      <c r="L863">
        <v>1</v>
      </c>
      <c r="M863">
        <v>1</v>
      </c>
      <c r="N863">
        <v>1</v>
      </c>
      <c r="O863">
        <v>1</v>
      </c>
      <c r="R863">
        <f t="shared" si="38"/>
        <v>58</v>
      </c>
      <c r="S863">
        <v>1</v>
      </c>
      <c r="T863">
        <v>1</v>
      </c>
      <c r="U863">
        <v>1</v>
      </c>
      <c r="V863">
        <v>1</v>
      </c>
      <c r="W863">
        <v>1</v>
      </c>
      <c r="AA863">
        <v>-8525.2759999999998</v>
      </c>
      <c r="AB863">
        <v>-8525.2759999999998</v>
      </c>
      <c r="AC863">
        <v>-8525.2759999999998</v>
      </c>
      <c r="AD863">
        <v>-8525.2759999999998</v>
      </c>
      <c r="AE863">
        <v>-8525.2759999999998</v>
      </c>
      <c r="AF863">
        <v>-1114366.6444000001</v>
      </c>
    </row>
    <row r="864" spans="2:32" x14ac:dyDescent="0.25">
      <c r="B864">
        <f t="shared" si="36"/>
        <v>59</v>
      </c>
      <c r="C864">
        <v>1</v>
      </c>
      <c r="D864">
        <v>1</v>
      </c>
      <c r="E864">
        <v>1</v>
      </c>
      <c r="F864">
        <v>1</v>
      </c>
      <c r="G864">
        <v>1</v>
      </c>
      <c r="J864">
        <f t="shared" si="37"/>
        <v>59</v>
      </c>
      <c r="K864">
        <v>1</v>
      </c>
      <c r="L864">
        <v>1</v>
      </c>
      <c r="M864">
        <v>1</v>
      </c>
      <c r="N864">
        <v>1</v>
      </c>
      <c r="O864">
        <v>1</v>
      </c>
      <c r="R864">
        <f t="shared" si="38"/>
        <v>59</v>
      </c>
      <c r="S864">
        <v>1</v>
      </c>
      <c r="T864">
        <v>1</v>
      </c>
      <c r="U864">
        <v>1</v>
      </c>
      <c r="V864">
        <v>1</v>
      </c>
      <c r="W864">
        <v>1</v>
      </c>
      <c r="AA864">
        <v>-8377.2351999999992</v>
      </c>
      <c r="AB864">
        <v>-8377.2351999999992</v>
      </c>
      <c r="AC864">
        <v>-8377.2351999999992</v>
      </c>
      <c r="AD864">
        <v>-8377.2351999999992</v>
      </c>
      <c r="AE864">
        <v>-8377.2351999999992</v>
      </c>
      <c r="AF864">
        <v>-1114366.6444000001</v>
      </c>
    </row>
    <row r="865" spans="2:32" x14ac:dyDescent="0.25">
      <c r="B865">
        <f t="shared" si="36"/>
        <v>60</v>
      </c>
      <c r="C865">
        <v>1</v>
      </c>
      <c r="D865">
        <v>1</v>
      </c>
      <c r="E865">
        <v>1</v>
      </c>
      <c r="F865">
        <v>1</v>
      </c>
      <c r="G865">
        <v>1</v>
      </c>
      <c r="J865">
        <f t="shared" si="37"/>
        <v>60</v>
      </c>
      <c r="K865">
        <v>1</v>
      </c>
      <c r="L865">
        <v>1</v>
      </c>
      <c r="M865">
        <v>1</v>
      </c>
      <c r="N865">
        <v>1</v>
      </c>
      <c r="O865">
        <v>1</v>
      </c>
      <c r="R865">
        <f t="shared" si="38"/>
        <v>60</v>
      </c>
      <c r="S865">
        <v>1</v>
      </c>
      <c r="T865">
        <v>1</v>
      </c>
      <c r="U865">
        <v>1</v>
      </c>
      <c r="V865">
        <v>1</v>
      </c>
      <c r="W865">
        <v>1</v>
      </c>
      <c r="AA865">
        <v>-8227.3953999999994</v>
      </c>
      <c r="AB865">
        <v>-8227.3953999999994</v>
      </c>
      <c r="AC865">
        <v>-8227.3953999999994</v>
      </c>
      <c r="AD865">
        <v>-8227.3953999999994</v>
      </c>
      <c r="AE865">
        <v>-8227.3953999999994</v>
      </c>
      <c r="AF865">
        <v>-1157801.6717999999</v>
      </c>
    </row>
    <row r="866" spans="2:32" x14ac:dyDescent="0.25">
      <c r="B866">
        <f t="shared" si="36"/>
        <v>61</v>
      </c>
      <c r="C866">
        <v>1</v>
      </c>
      <c r="D866">
        <v>1</v>
      </c>
      <c r="E866">
        <v>1</v>
      </c>
      <c r="F866">
        <v>1</v>
      </c>
      <c r="G866">
        <v>1</v>
      </c>
      <c r="J866">
        <f t="shared" si="37"/>
        <v>61</v>
      </c>
      <c r="K866">
        <v>1</v>
      </c>
      <c r="L866">
        <v>1</v>
      </c>
      <c r="M866">
        <v>1</v>
      </c>
      <c r="N866">
        <v>1</v>
      </c>
      <c r="O866">
        <v>1</v>
      </c>
      <c r="R866">
        <f t="shared" si="38"/>
        <v>61</v>
      </c>
      <c r="S866">
        <v>1</v>
      </c>
      <c r="T866">
        <v>1</v>
      </c>
      <c r="U866">
        <v>1</v>
      </c>
      <c r="V866">
        <v>1</v>
      </c>
      <c r="W866">
        <v>1</v>
      </c>
      <c r="AA866">
        <v>-8076.1778999999997</v>
      </c>
      <c r="AB866">
        <v>-8076.1778999999997</v>
      </c>
      <c r="AC866">
        <v>-8076.1778999999997</v>
      </c>
      <c r="AD866">
        <v>-8076.1778999999997</v>
      </c>
      <c r="AE866">
        <v>-8076.1778999999997</v>
      </c>
      <c r="AF866">
        <v>-1178581.4038</v>
      </c>
    </row>
    <row r="867" spans="2:32" x14ac:dyDescent="0.25">
      <c r="B867">
        <f t="shared" si="36"/>
        <v>62</v>
      </c>
      <c r="C867">
        <v>1</v>
      </c>
      <c r="D867">
        <v>1</v>
      </c>
      <c r="E867">
        <v>1</v>
      </c>
      <c r="F867">
        <v>1</v>
      </c>
      <c r="G867">
        <v>1</v>
      </c>
      <c r="J867">
        <f t="shared" si="37"/>
        <v>62</v>
      </c>
      <c r="K867">
        <v>1</v>
      </c>
      <c r="L867">
        <v>1</v>
      </c>
      <c r="M867">
        <v>1</v>
      </c>
      <c r="N867">
        <v>1</v>
      </c>
      <c r="O867">
        <v>1</v>
      </c>
      <c r="R867">
        <f t="shared" si="38"/>
        <v>62</v>
      </c>
      <c r="S867">
        <v>1</v>
      </c>
      <c r="T867">
        <v>1</v>
      </c>
      <c r="U867">
        <v>1</v>
      </c>
      <c r="V867">
        <v>1</v>
      </c>
      <c r="W867">
        <v>1</v>
      </c>
      <c r="AA867">
        <v>-7923.5816000000004</v>
      </c>
      <c r="AB867">
        <v>-7923.5816000000004</v>
      </c>
      <c r="AC867">
        <v>-7923.5816000000004</v>
      </c>
      <c r="AD867">
        <v>-7923.5816000000004</v>
      </c>
      <c r="AE867">
        <v>-7923.5816000000004</v>
      </c>
      <c r="AF867">
        <v>-1199521.5327000001</v>
      </c>
    </row>
    <row r="868" spans="2:32" x14ac:dyDescent="0.25">
      <c r="B868">
        <f t="shared" si="36"/>
        <v>63</v>
      </c>
      <c r="C868">
        <v>1</v>
      </c>
      <c r="D868">
        <v>1</v>
      </c>
      <c r="E868">
        <v>1</v>
      </c>
      <c r="F868">
        <v>1</v>
      </c>
      <c r="G868">
        <v>1</v>
      </c>
      <c r="J868">
        <f t="shared" si="37"/>
        <v>63</v>
      </c>
      <c r="K868">
        <v>1</v>
      </c>
      <c r="L868">
        <v>1</v>
      </c>
      <c r="M868">
        <v>1</v>
      </c>
      <c r="N868">
        <v>1</v>
      </c>
      <c r="O868">
        <v>1</v>
      </c>
      <c r="R868">
        <f t="shared" si="38"/>
        <v>63</v>
      </c>
      <c r="S868">
        <v>1</v>
      </c>
      <c r="T868">
        <v>1</v>
      </c>
      <c r="U868">
        <v>1</v>
      </c>
      <c r="V868">
        <v>1</v>
      </c>
      <c r="W868">
        <v>1</v>
      </c>
      <c r="AA868">
        <v>-7769.2775000000001</v>
      </c>
      <c r="AB868">
        <v>-7769.2775000000001</v>
      </c>
      <c r="AC868">
        <v>-7769.2775000000001</v>
      </c>
      <c r="AD868">
        <v>-7769.2775000000001</v>
      </c>
      <c r="AE868">
        <v>-7769.2775000000001</v>
      </c>
      <c r="AF868">
        <v>-1220461.6269</v>
      </c>
    </row>
    <row r="869" spans="2:32" x14ac:dyDescent="0.25">
      <c r="B869">
        <f t="shared" si="36"/>
        <v>64</v>
      </c>
      <c r="C869">
        <v>1</v>
      </c>
      <c r="D869">
        <v>1</v>
      </c>
      <c r="E869">
        <v>1</v>
      </c>
      <c r="F869">
        <v>1</v>
      </c>
      <c r="G869">
        <v>1</v>
      </c>
      <c r="J869">
        <f t="shared" si="37"/>
        <v>64</v>
      </c>
      <c r="K869">
        <v>1</v>
      </c>
      <c r="L869">
        <v>1</v>
      </c>
      <c r="M869">
        <v>1</v>
      </c>
      <c r="N869">
        <v>1</v>
      </c>
      <c r="O869">
        <v>1</v>
      </c>
      <c r="R869">
        <f t="shared" si="38"/>
        <v>64</v>
      </c>
      <c r="S869">
        <v>1</v>
      </c>
      <c r="T869">
        <v>1</v>
      </c>
      <c r="U869">
        <v>1</v>
      </c>
      <c r="V869">
        <v>1</v>
      </c>
      <c r="W869">
        <v>1</v>
      </c>
      <c r="AA869">
        <v>-7613.3999000000003</v>
      </c>
      <c r="AB869">
        <v>-7613.3999000000003</v>
      </c>
      <c r="AC869">
        <v>-7613.3999000000003</v>
      </c>
      <c r="AD869">
        <v>-7613.3999000000003</v>
      </c>
      <c r="AE869">
        <v>-7613.3999000000003</v>
      </c>
      <c r="AF869">
        <v>-1240652.2526</v>
      </c>
    </row>
    <row r="870" spans="2:32" x14ac:dyDescent="0.25">
      <c r="B870">
        <f t="shared" si="36"/>
        <v>65</v>
      </c>
      <c r="C870">
        <v>1</v>
      </c>
      <c r="D870">
        <v>1</v>
      </c>
      <c r="E870">
        <v>1</v>
      </c>
      <c r="F870">
        <v>1</v>
      </c>
      <c r="G870">
        <v>1</v>
      </c>
      <c r="J870">
        <f t="shared" si="37"/>
        <v>65</v>
      </c>
      <c r="K870">
        <v>1</v>
      </c>
      <c r="L870">
        <v>1</v>
      </c>
      <c r="M870">
        <v>1</v>
      </c>
      <c r="N870">
        <v>1</v>
      </c>
      <c r="O870">
        <v>1</v>
      </c>
      <c r="R870">
        <f t="shared" si="38"/>
        <v>65</v>
      </c>
      <c r="S870">
        <v>1</v>
      </c>
      <c r="T870">
        <v>1</v>
      </c>
      <c r="U870">
        <v>1</v>
      </c>
      <c r="V870">
        <v>1</v>
      </c>
      <c r="W870">
        <v>1</v>
      </c>
      <c r="AA870">
        <v>-7455.8590000000004</v>
      </c>
      <c r="AB870">
        <v>-7455.8590000000004</v>
      </c>
      <c r="AC870">
        <v>-7455.8590000000004</v>
      </c>
      <c r="AD870">
        <v>-7455.8590000000004</v>
      </c>
      <c r="AE870">
        <v>-7455.8590000000004</v>
      </c>
      <c r="AF870">
        <v>-1260049.8302</v>
      </c>
    </row>
    <row r="873" spans="2:32" x14ac:dyDescent="0.25">
      <c r="B873" t="s">
        <v>46</v>
      </c>
      <c r="C873">
        <v>50000</v>
      </c>
      <c r="D873">
        <v>100000</v>
      </c>
      <c r="E873">
        <v>250000</v>
      </c>
      <c r="F873">
        <v>500000</v>
      </c>
      <c r="G873">
        <v>1000000</v>
      </c>
      <c r="H873">
        <v>2000000</v>
      </c>
      <c r="J873" t="s">
        <v>47</v>
      </c>
      <c r="K873">
        <v>50000</v>
      </c>
      <c r="L873">
        <v>100000</v>
      </c>
      <c r="M873">
        <v>250000</v>
      </c>
      <c r="N873">
        <v>500000</v>
      </c>
      <c r="O873">
        <v>1000000</v>
      </c>
      <c r="P873">
        <v>2000000</v>
      </c>
      <c r="R873" t="s">
        <v>48</v>
      </c>
      <c r="S873">
        <v>50000</v>
      </c>
      <c r="T873">
        <v>100000</v>
      </c>
      <c r="U873">
        <v>250000</v>
      </c>
      <c r="V873">
        <v>500000</v>
      </c>
      <c r="W873">
        <v>1000000</v>
      </c>
      <c r="X873">
        <v>2000000</v>
      </c>
    </row>
    <row r="874" spans="2:32" x14ac:dyDescent="0.25">
      <c r="B874">
        <v>26</v>
      </c>
      <c r="C874">
        <v>1</v>
      </c>
      <c r="D874">
        <v>1</v>
      </c>
      <c r="E874">
        <v>1</v>
      </c>
      <c r="F874">
        <v>1</v>
      </c>
      <c r="G874">
        <v>1</v>
      </c>
      <c r="H874">
        <v>1</v>
      </c>
      <c r="J874">
        <v>26</v>
      </c>
      <c r="K874">
        <v>1</v>
      </c>
      <c r="L874">
        <v>1</v>
      </c>
      <c r="M874">
        <v>1</v>
      </c>
      <c r="N874">
        <v>1</v>
      </c>
      <c r="O874">
        <v>1</v>
      </c>
      <c r="P874">
        <v>1</v>
      </c>
      <c r="R874">
        <v>26</v>
      </c>
      <c r="S874">
        <v>1</v>
      </c>
      <c r="T874">
        <v>1</v>
      </c>
      <c r="U874">
        <v>1</v>
      </c>
      <c r="V874">
        <v>1</v>
      </c>
      <c r="W874">
        <v>1</v>
      </c>
      <c r="X874">
        <v>1</v>
      </c>
      <c r="AA874">
        <v>-7435.5060999999996</v>
      </c>
      <c r="AB874">
        <v>-7435.5060999999996</v>
      </c>
      <c r="AC874">
        <v>-7435.5060999999996</v>
      </c>
      <c r="AD874">
        <v>-7435.5060999999996</v>
      </c>
      <c r="AE874">
        <v>-7435.5060999999996</v>
      </c>
      <c r="AF874">
        <v>-7435.5060999999996</v>
      </c>
    </row>
    <row r="875" spans="2:32" x14ac:dyDescent="0.25">
      <c r="B875">
        <v>27</v>
      </c>
      <c r="C875">
        <v>1</v>
      </c>
      <c r="D875">
        <v>1</v>
      </c>
      <c r="E875">
        <v>1</v>
      </c>
      <c r="F875">
        <v>1</v>
      </c>
      <c r="G875">
        <v>1</v>
      </c>
      <c r="H875">
        <v>1</v>
      </c>
      <c r="J875">
        <v>27</v>
      </c>
      <c r="K875">
        <v>1</v>
      </c>
      <c r="L875">
        <v>1</v>
      </c>
      <c r="M875">
        <v>1</v>
      </c>
      <c r="N875">
        <v>1</v>
      </c>
      <c r="O875">
        <v>1</v>
      </c>
      <c r="P875">
        <v>1</v>
      </c>
      <c r="R875">
        <v>27</v>
      </c>
      <c r="S875">
        <v>1</v>
      </c>
      <c r="T875">
        <v>1</v>
      </c>
      <c r="U875">
        <v>1</v>
      </c>
      <c r="V875">
        <v>1</v>
      </c>
      <c r="W875">
        <v>1</v>
      </c>
      <c r="X875">
        <v>1</v>
      </c>
      <c r="AA875">
        <v>-7434.2619000000004</v>
      </c>
      <c r="AB875">
        <v>-7434.2619000000004</v>
      </c>
      <c r="AC875">
        <v>-7434.2619000000004</v>
      </c>
      <c r="AD875">
        <v>-7434.2619000000004</v>
      </c>
      <c r="AE875">
        <v>-7434.2619000000004</v>
      </c>
      <c r="AF875">
        <v>-7434.2619000000004</v>
      </c>
    </row>
    <row r="876" spans="2:32" x14ac:dyDescent="0.25">
      <c r="B876">
        <v>28</v>
      </c>
      <c r="C876">
        <v>1</v>
      </c>
      <c r="D876">
        <v>1</v>
      </c>
      <c r="E876">
        <v>1</v>
      </c>
      <c r="F876">
        <v>1</v>
      </c>
      <c r="G876">
        <v>1</v>
      </c>
      <c r="H876">
        <v>1</v>
      </c>
      <c r="J876">
        <v>28</v>
      </c>
      <c r="K876">
        <v>1</v>
      </c>
      <c r="L876">
        <v>1</v>
      </c>
      <c r="M876">
        <v>1</v>
      </c>
      <c r="N876">
        <v>1</v>
      </c>
      <c r="O876">
        <v>1</v>
      </c>
      <c r="P876">
        <v>1</v>
      </c>
      <c r="R876">
        <v>28</v>
      </c>
      <c r="S876">
        <v>1</v>
      </c>
      <c r="T876">
        <v>1</v>
      </c>
      <c r="U876">
        <v>1</v>
      </c>
      <c r="V876">
        <v>1</v>
      </c>
      <c r="W876">
        <v>1</v>
      </c>
      <c r="X876">
        <v>1</v>
      </c>
      <c r="AA876">
        <v>-7432.8334999999997</v>
      </c>
      <c r="AB876">
        <v>-7432.8334999999997</v>
      </c>
      <c r="AC876">
        <v>-7432.8334999999997</v>
      </c>
      <c r="AD876">
        <v>-7432.8334999999997</v>
      </c>
      <c r="AE876">
        <v>-7432.8334999999997</v>
      </c>
      <c r="AF876">
        <v>-7432.8334999999997</v>
      </c>
    </row>
    <row r="877" spans="2:32" x14ac:dyDescent="0.25">
      <c r="B877">
        <v>29</v>
      </c>
      <c r="C877">
        <v>1</v>
      </c>
      <c r="D877">
        <v>1</v>
      </c>
      <c r="E877">
        <v>1</v>
      </c>
      <c r="F877">
        <v>1</v>
      </c>
      <c r="G877">
        <v>1</v>
      </c>
      <c r="H877">
        <v>1</v>
      </c>
      <c r="J877">
        <v>29</v>
      </c>
      <c r="K877">
        <v>1</v>
      </c>
      <c r="L877">
        <v>1</v>
      </c>
      <c r="M877">
        <v>1</v>
      </c>
      <c r="N877">
        <v>1</v>
      </c>
      <c r="O877">
        <v>1</v>
      </c>
      <c r="P877">
        <v>1</v>
      </c>
      <c r="R877">
        <v>29</v>
      </c>
      <c r="S877">
        <v>1</v>
      </c>
      <c r="T877">
        <v>1</v>
      </c>
      <c r="U877">
        <v>1</v>
      </c>
      <c r="V877">
        <v>1</v>
      </c>
      <c r="W877">
        <v>1</v>
      </c>
      <c r="X877">
        <v>1</v>
      </c>
      <c r="AA877">
        <v>-7431.2058999999999</v>
      </c>
      <c r="AB877">
        <v>-7431.2058999999999</v>
      </c>
      <c r="AC877">
        <v>-7431.2058999999999</v>
      </c>
      <c r="AD877">
        <v>-7431.2058999999999</v>
      </c>
      <c r="AE877">
        <v>-7431.2058999999999</v>
      </c>
      <c r="AF877">
        <v>-7431.2058999999999</v>
      </c>
    </row>
    <row r="878" spans="2:32" x14ac:dyDescent="0.25">
      <c r="B878">
        <v>30</v>
      </c>
      <c r="C878">
        <v>1</v>
      </c>
      <c r="D878">
        <v>1</v>
      </c>
      <c r="E878">
        <v>1</v>
      </c>
      <c r="F878">
        <v>1</v>
      </c>
      <c r="G878">
        <v>1</v>
      </c>
      <c r="H878">
        <v>1</v>
      </c>
      <c r="J878">
        <v>30</v>
      </c>
      <c r="K878">
        <v>1</v>
      </c>
      <c r="L878">
        <v>1</v>
      </c>
      <c r="M878">
        <v>1</v>
      </c>
      <c r="N878">
        <v>1</v>
      </c>
      <c r="O878">
        <v>1</v>
      </c>
      <c r="P878">
        <v>1</v>
      </c>
      <c r="R878">
        <v>30</v>
      </c>
      <c r="S878">
        <v>1</v>
      </c>
      <c r="T878">
        <v>1</v>
      </c>
      <c r="U878">
        <v>1</v>
      </c>
      <c r="V878">
        <v>1</v>
      </c>
      <c r="W878">
        <v>1</v>
      </c>
      <c r="X878">
        <v>1</v>
      </c>
      <c r="AA878">
        <v>-7429.3476000000001</v>
      </c>
      <c r="AB878">
        <v>-7429.3476000000001</v>
      </c>
      <c r="AC878">
        <v>-7429.3476000000001</v>
      </c>
      <c r="AD878">
        <v>-7429.3476000000001</v>
      </c>
      <c r="AE878">
        <v>-7429.3476000000001</v>
      </c>
      <c r="AF878">
        <v>-7429.3476000000001</v>
      </c>
    </row>
    <row r="879" spans="2:32" x14ac:dyDescent="0.25">
      <c r="B879">
        <v>31</v>
      </c>
      <c r="C879">
        <v>1</v>
      </c>
      <c r="D879">
        <v>1</v>
      </c>
      <c r="E879">
        <v>1</v>
      </c>
      <c r="F879">
        <v>1</v>
      </c>
      <c r="G879">
        <v>1</v>
      </c>
      <c r="H879">
        <v>1</v>
      </c>
      <c r="J879">
        <v>31</v>
      </c>
      <c r="K879">
        <v>1</v>
      </c>
      <c r="L879">
        <v>1</v>
      </c>
      <c r="M879">
        <v>1</v>
      </c>
      <c r="N879">
        <v>1</v>
      </c>
      <c r="O879">
        <v>1</v>
      </c>
      <c r="P879">
        <v>1</v>
      </c>
      <c r="R879">
        <v>31</v>
      </c>
      <c r="S879">
        <v>1</v>
      </c>
      <c r="T879">
        <v>1</v>
      </c>
      <c r="U879">
        <v>1</v>
      </c>
      <c r="V879">
        <v>1</v>
      </c>
      <c r="W879">
        <v>1</v>
      </c>
      <c r="X879">
        <v>1</v>
      </c>
      <c r="AA879">
        <v>-7427.2446</v>
      </c>
      <c r="AB879">
        <v>-7427.2446</v>
      </c>
      <c r="AC879">
        <v>-7427.2446</v>
      </c>
      <c r="AD879">
        <v>-7427.2446</v>
      </c>
      <c r="AE879">
        <v>-7427.2446</v>
      </c>
      <c r="AF879">
        <v>-7427.2446</v>
      </c>
    </row>
    <row r="880" spans="2:32" x14ac:dyDescent="0.25">
      <c r="B880">
        <v>32</v>
      </c>
      <c r="C880">
        <v>1</v>
      </c>
      <c r="D880">
        <v>1</v>
      </c>
      <c r="E880">
        <v>1</v>
      </c>
      <c r="F880">
        <v>1</v>
      </c>
      <c r="G880">
        <v>1</v>
      </c>
      <c r="H880">
        <v>1</v>
      </c>
      <c r="J880">
        <v>32</v>
      </c>
      <c r="K880">
        <v>1</v>
      </c>
      <c r="L880">
        <v>1</v>
      </c>
      <c r="M880">
        <v>1</v>
      </c>
      <c r="N880">
        <v>1</v>
      </c>
      <c r="O880">
        <v>1</v>
      </c>
      <c r="P880">
        <v>1</v>
      </c>
      <c r="R880">
        <v>32</v>
      </c>
      <c r="S880">
        <v>1</v>
      </c>
      <c r="T880">
        <v>1</v>
      </c>
      <c r="U880">
        <v>1</v>
      </c>
      <c r="V880">
        <v>1</v>
      </c>
      <c r="W880">
        <v>1</v>
      </c>
      <c r="X880">
        <v>1</v>
      </c>
      <c r="AA880">
        <v>-7424.8944000000001</v>
      </c>
      <c r="AB880">
        <v>-7424.8944000000001</v>
      </c>
      <c r="AC880">
        <v>-7424.8944000000001</v>
      </c>
      <c r="AD880">
        <v>-7424.8944000000001</v>
      </c>
      <c r="AE880">
        <v>-7424.8944000000001</v>
      </c>
      <c r="AF880">
        <v>-7424.8944000000001</v>
      </c>
    </row>
    <row r="881" spans="2:32" x14ac:dyDescent="0.25">
      <c r="B881">
        <v>33</v>
      </c>
      <c r="C881">
        <v>1</v>
      </c>
      <c r="D881">
        <v>1</v>
      </c>
      <c r="E881">
        <v>1</v>
      </c>
      <c r="F881">
        <v>1</v>
      </c>
      <c r="G881">
        <v>1</v>
      </c>
      <c r="H881">
        <v>1</v>
      </c>
      <c r="J881">
        <v>33</v>
      </c>
      <c r="K881">
        <v>1</v>
      </c>
      <c r="L881">
        <v>1</v>
      </c>
      <c r="M881">
        <v>1</v>
      </c>
      <c r="N881">
        <v>1</v>
      </c>
      <c r="O881">
        <v>1</v>
      </c>
      <c r="P881">
        <v>1</v>
      </c>
      <c r="R881">
        <v>33</v>
      </c>
      <c r="S881">
        <v>1</v>
      </c>
      <c r="T881">
        <v>1</v>
      </c>
      <c r="U881">
        <v>1</v>
      </c>
      <c r="V881">
        <v>1</v>
      </c>
      <c r="W881">
        <v>1</v>
      </c>
      <c r="X881">
        <v>1</v>
      </c>
      <c r="AA881">
        <v>-7422.2834000000003</v>
      </c>
      <c r="AB881">
        <v>-7422.2834000000003</v>
      </c>
      <c r="AC881">
        <v>-7422.2834000000003</v>
      </c>
      <c r="AD881">
        <v>-7422.2834000000003</v>
      </c>
      <c r="AE881">
        <v>-7422.2834000000003</v>
      </c>
      <c r="AF881">
        <v>-7422.2834000000003</v>
      </c>
    </row>
    <row r="882" spans="2:32" x14ac:dyDescent="0.25">
      <c r="B882">
        <v>34</v>
      </c>
      <c r="C882">
        <v>1</v>
      </c>
      <c r="D882">
        <v>1</v>
      </c>
      <c r="E882">
        <v>1</v>
      </c>
      <c r="F882">
        <v>1</v>
      </c>
      <c r="G882">
        <v>1</v>
      </c>
      <c r="H882">
        <v>1</v>
      </c>
      <c r="J882">
        <v>34</v>
      </c>
      <c r="K882">
        <v>1</v>
      </c>
      <c r="L882">
        <v>1</v>
      </c>
      <c r="M882">
        <v>1</v>
      </c>
      <c r="N882">
        <v>1</v>
      </c>
      <c r="O882">
        <v>1</v>
      </c>
      <c r="P882">
        <v>1</v>
      </c>
      <c r="R882">
        <v>34</v>
      </c>
      <c r="S882">
        <v>1</v>
      </c>
      <c r="T882">
        <v>1</v>
      </c>
      <c r="U882">
        <v>1</v>
      </c>
      <c r="V882">
        <v>1</v>
      </c>
      <c r="W882">
        <v>1</v>
      </c>
      <c r="X882">
        <v>1</v>
      </c>
      <c r="AA882">
        <v>-7419.3683000000001</v>
      </c>
      <c r="AB882">
        <v>-7419.3683000000001</v>
      </c>
      <c r="AC882">
        <v>-7419.3683000000001</v>
      </c>
      <c r="AD882">
        <v>-7419.3683000000001</v>
      </c>
      <c r="AE882">
        <v>-7419.3683000000001</v>
      </c>
      <c r="AF882">
        <v>-7419.3683000000001</v>
      </c>
    </row>
    <row r="883" spans="2:32" x14ac:dyDescent="0.25">
      <c r="B883">
        <v>35</v>
      </c>
      <c r="C883">
        <v>1</v>
      </c>
      <c r="D883">
        <v>1</v>
      </c>
      <c r="E883">
        <v>1</v>
      </c>
      <c r="F883">
        <v>1</v>
      </c>
      <c r="G883">
        <v>1</v>
      </c>
      <c r="H883">
        <v>1</v>
      </c>
      <c r="J883">
        <v>35</v>
      </c>
      <c r="K883">
        <v>1</v>
      </c>
      <c r="L883">
        <v>1</v>
      </c>
      <c r="M883">
        <v>1</v>
      </c>
      <c r="N883">
        <v>1</v>
      </c>
      <c r="O883">
        <v>1</v>
      </c>
      <c r="P883">
        <v>1</v>
      </c>
      <c r="R883">
        <v>35</v>
      </c>
      <c r="S883">
        <v>1</v>
      </c>
      <c r="T883">
        <v>1</v>
      </c>
      <c r="U883">
        <v>1</v>
      </c>
      <c r="V883">
        <v>1</v>
      </c>
      <c r="W883">
        <v>1</v>
      </c>
      <c r="X883">
        <v>1</v>
      </c>
      <c r="AA883">
        <v>-7416.1363000000001</v>
      </c>
      <c r="AB883">
        <v>-7416.1363000000001</v>
      </c>
      <c r="AC883">
        <v>-7416.1363000000001</v>
      </c>
      <c r="AD883">
        <v>-7416.1363000000001</v>
      </c>
      <c r="AE883">
        <v>-7416.1363000000001</v>
      </c>
      <c r="AF883">
        <v>-7416.1363000000001</v>
      </c>
    </row>
    <row r="884" spans="2:32" x14ac:dyDescent="0.25">
      <c r="B884">
        <v>36</v>
      </c>
      <c r="C884">
        <v>1</v>
      </c>
      <c r="D884">
        <v>1</v>
      </c>
      <c r="E884">
        <v>1</v>
      </c>
      <c r="F884">
        <v>1</v>
      </c>
      <c r="G884">
        <v>1</v>
      </c>
      <c r="H884">
        <v>1</v>
      </c>
      <c r="J884">
        <v>36</v>
      </c>
      <c r="K884">
        <v>1</v>
      </c>
      <c r="L884">
        <v>1</v>
      </c>
      <c r="M884">
        <v>1</v>
      </c>
      <c r="N884">
        <v>1</v>
      </c>
      <c r="O884">
        <v>1</v>
      </c>
      <c r="P884">
        <v>1</v>
      </c>
      <c r="R884">
        <v>36</v>
      </c>
      <c r="S884">
        <v>1</v>
      </c>
      <c r="T884">
        <v>1</v>
      </c>
      <c r="U884">
        <v>1</v>
      </c>
      <c r="V884">
        <v>1</v>
      </c>
      <c r="W884">
        <v>1</v>
      </c>
      <c r="X884">
        <v>1</v>
      </c>
      <c r="AA884">
        <v>-7412.5378000000001</v>
      </c>
      <c r="AB884">
        <v>-7412.5378000000001</v>
      </c>
      <c r="AC884">
        <v>-7412.5378000000001</v>
      </c>
      <c r="AD884">
        <v>-7412.5378000000001</v>
      </c>
      <c r="AE884">
        <v>-7412.5378000000001</v>
      </c>
      <c r="AF884">
        <v>-7412.5378000000001</v>
      </c>
    </row>
    <row r="885" spans="2:32" x14ac:dyDescent="0.25">
      <c r="B885">
        <v>37</v>
      </c>
      <c r="C885">
        <v>1</v>
      </c>
      <c r="D885">
        <v>1</v>
      </c>
      <c r="E885">
        <v>1</v>
      </c>
      <c r="F885">
        <v>1</v>
      </c>
      <c r="G885">
        <v>1</v>
      </c>
      <c r="H885">
        <v>1</v>
      </c>
      <c r="J885">
        <v>37</v>
      </c>
      <c r="K885">
        <v>1</v>
      </c>
      <c r="L885">
        <v>1</v>
      </c>
      <c r="M885">
        <v>1</v>
      </c>
      <c r="N885">
        <v>1</v>
      </c>
      <c r="O885">
        <v>1</v>
      </c>
      <c r="P885">
        <v>1</v>
      </c>
      <c r="R885">
        <v>37</v>
      </c>
      <c r="S885">
        <v>1</v>
      </c>
      <c r="T885">
        <v>1</v>
      </c>
      <c r="U885">
        <v>1</v>
      </c>
      <c r="V885">
        <v>1</v>
      </c>
      <c r="W885">
        <v>1</v>
      </c>
      <c r="X885">
        <v>1</v>
      </c>
      <c r="AA885">
        <v>-7408.55</v>
      </c>
      <c r="AB885">
        <v>-7408.55</v>
      </c>
      <c r="AC885">
        <v>-7408.55</v>
      </c>
      <c r="AD885">
        <v>-7408.55</v>
      </c>
      <c r="AE885">
        <v>-7408.55</v>
      </c>
      <c r="AF885">
        <v>-7408.55</v>
      </c>
    </row>
    <row r="886" spans="2:32" x14ac:dyDescent="0.25">
      <c r="B886">
        <v>38</v>
      </c>
      <c r="C886">
        <v>1</v>
      </c>
      <c r="D886">
        <v>1</v>
      </c>
      <c r="E886">
        <v>1</v>
      </c>
      <c r="F886">
        <v>1</v>
      </c>
      <c r="G886">
        <v>1</v>
      </c>
      <c r="H886">
        <v>1</v>
      </c>
      <c r="J886">
        <v>38</v>
      </c>
      <c r="K886">
        <v>1</v>
      </c>
      <c r="L886">
        <v>1</v>
      </c>
      <c r="M886">
        <v>1</v>
      </c>
      <c r="N886">
        <v>1</v>
      </c>
      <c r="O886">
        <v>1</v>
      </c>
      <c r="P886">
        <v>1</v>
      </c>
      <c r="R886">
        <v>38</v>
      </c>
      <c r="S886">
        <v>1</v>
      </c>
      <c r="T886">
        <v>1</v>
      </c>
      <c r="U886">
        <v>1</v>
      </c>
      <c r="V886">
        <v>1</v>
      </c>
      <c r="W886">
        <v>1</v>
      </c>
      <c r="X886">
        <v>1</v>
      </c>
      <c r="AA886">
        <v>-7404.1752999999999</v>
      </c>
      <c r="AB886">
        <v>-7404.1752999999999</v>
      </c>
      <c r="AC886">
        <v>-7404.1752999999999</v>
      </c>
      <c r="AD886">
        <v>-7404.1752999999999</v>
      </c>
      <c r="AE886">
        <v>-7404.1752999999999</v>
      </c>
      <c r="AF886">
        <v>-7404.1752999999999</v>
      </c>
    </row>
    <row r="887" spans="2:32" x14ac:dyDescent="0.25">
      <c r="B887">
        <v>39</v>
      </c>
      <c r="C887">
        <v>1</v>
      </c>
      <c r="D887">
        <v>1</v>
      </c>
      <c r="E887">
        <v>1</v>
      </c>
      <c r="F887">
        <v>1</v>
      </c>
      <c r="G887">
        <v>1</v>
      </c>
      <c r="H887">
        <v>1</v>
      </c>
      <c r="J887">
        <v>39</v>
      </c>
      <c r="K887">
        <v>1</v>
      </c>
      <c r="L887">
        <v>1</v>
      </c>
      <c r="M887">
        <v>1</v>
      </c>
      <c r="N887">
        <v>1</v>
      </c>
      <c r="O887">
        <v>1</v>
      </c>
      <c r="P887">
        <v>1</v>
      </c>
      <c r="R887">
        <v>39</v>
      </c>
      <c r="S887">
        <v>1</v>
      </c>
      <c r="T887">
        <v>1</v>
      </c>
      <c r="U887">
        <v>1</v>
      </c>
      <c r="V887">
        <v>1</v>
      </c>
      <c r="W887">
        <v>1</v>
      </c>
      <c r="X887">
        <v>1</v>
      </c>
      <c r="AA887">
        <v>-7399.3923999999997</v>
      </c>
      <c r="AB887">
        <v>-7399.3923999999997</v>
      </c>
      <c r="AC887">
        <v>-7399.3923999999997</v>
      </c>
      <c r="AD887">
        <v>-7399.3923999999997</v>
      </c>
      <c r="AE887">
        <v>-7399.3923999999997</v>
      </c>
      <c r="AF887">
        <v>-7399.3923999999997</v>
      </c>
    </row>
    <row r="888" spans="2:32" x14ac:dyDescent="0.25">
      <c r="B888">
        <v>40</v>
      </c>
      <c r="C888">
        <v>1</v>
      </c>
      <c r="D888">
        <v>1</v>
      </c>
      <c r="E888">
        <v>1</v>
      </c>
      <c r="F888">
        <v>1</v>
      </c>
      <c r="G888">
        <v>1</v>
      </c>
      <c r="H888">
        <v>1</v>
      </c>
      <c r="J888">
        <v>40</v>
      </c>
      <c r="K888">
        <v>1</v>
      </c>
      <c r="L888">
        <v>1</v>
      </c>
      <c r="M888">
        <v>1</v>
      </c>
      <c r="N888">
        <v>1</v>
      </c>
      <c r="O888">
        <v>1</v>
      </c>
      <c r="P888">
        <v>1</v>
      </c>
      <c r="R888">
        <v>40</v>
      </c>
      <c r="S888">
        <v>1</v>
      </c>
      <c r="T888">
        <v>1</v>
      </c>
      <c r="U888">
        <v>1</v>
      </c>
      <c r="V888">
        <v>1</v>
      </c>
      <c r="W888">
        <v>1</v>
      </c>
      <c r="X888">
        <v>1</v>
      </c>
      <c r="AA888">
        <v>-7394.1365999999998</v>
      </c>
      <c r="AB888">
        <v>-7394.1365999999998</v>
      </c>
      <c r="AC888">
        <v>-7394.1365999999998</v>
      </c>
      <c r="AD888">
        <v>-7394.1365999999998</v>
      </c>
      <c r="AE888">
        <v>-7394.1365999999998</v>
      </c>
      <c r="AF888">
        <v>-7394.1365999999998</v>
      </c>
    </row>
    <row r="889" spans="2:32" x14ac:dyDescent="0.25">
      <c r="B889">
        <v>41</v>
      </c>
      <c r="C889">
        <v>1</v>
      </c>
      <c r="D889">
        <v>1</v>
      </c>
      <c r="E889">
        <v>1</v>
      </c>
      <c r="F889">
        <v>1</v>
      </c>
      <c r="G889">
        <v>1</v>
      </c>
      <c r="H889">
        <v>1</v>
      </c>
      <c r="J889">
        <v>41</v>
      </c>
      <c r="K889">
        <v>1</v>
      </c>
      <c r="L889">
        <v>1</v>
      </c>
      <c r="M889">
        <v>1</v>
      </c>
      <c r="N889">
        <v>1</v>
      </c>
      <c r="O889">
        <v>1</v>
      </c>
      <c r="P889">
        <v>1</v>
      </c>
      <c r="R889">
        <v>41</v>
      </c>
      <c r="S889">
        <v>1</v>
      </c>
      <c r="T889">
        <v>1</v>
      </c>
      <c r="U889">
        <v>1</v>
      </c>
      <c r="V889">
        <v>1</v>
      </c>
      <c r="W889">
        <v>1</v>
      </c>
      <c r="X889">
        <v>1</v>
      </c>
      <c r="AA889">
        <v>-7388.3469999999998</v>
      </c>
      <c r="AB889">
        <v>-7388.3469999999998</v>
      </c>
      <c r="AC889">
        <v>-7388.3469999999998</v>
      </c>
      <c r="AD889">
        <v>-7388.3469999999998</v>
      </c>
      <c r="AE889">
        <v>-7388.3469999999998</v>
      </c>
      <c r="AF889">
        <v>-7388.3469999999998</v>
      </c>
    </row>
    <row r="890" spans="2:32" x14ac:dyDescent="0.25">
      <c r="B890">
        <v>42</v>
      </c>
      <c r="C890">
        <v>1</v>
      </c>
      <c r="D890">
        <v>1</v>
      </c>
      <c r="E890">
        <v>1</v>
      </c>
      <c r="F890">
        <v>1</v>
      </c>
      <c r="G890">
        <v>1</v>
      </c>
      <c r="H890">
        <v>1</v>
      </c>
      <c r="J890">
        <v>42</v>
      </c>
      <c r="K890">
        <v>1</v>
      </c>
      <c r="L890">
        <v>1</v>
      </c>
      <c r="M890">
        <v>1</v>
      </c>
      <c r="N890">
        <v>1</v>
      </c>
      <c r="O890">
        <v>1</v>
      </c>
      <c r="P890">
        <v>1</v>
      </c>
      <c r="R890">
        <v>42</v>
      </c>
      <c r="S890">
        <v>1</v>
      </c>
      <c r="T890">
        <v>1</v>
      </c>
      <c r="U890">
        <v>1</v>
      </c>
      <c r="V890">
        <v>1</v>
      </c>
      <c r="W890">
        <v>1</v>
      </c>
      <c r="X890">
        <v>1</v>
      </c>
      <c r="AA890">
        <v>-7381.9919</v>
      </c>
      <c r="AB890">
        <v>-7381.9919</v>
      </c>
      <c r="AC890">
        <v>-7381.9919</v>
      </c>
      <c r="AD890">
        <v>-7381.9919</v>
      </c>
      <c r="AE890">
        <v>-7381.9919</v>
      </c>
      <c r="AF890">
        <v>-7381.9919</v>
      </c>
    </row>
    <row r="891" spans="2:32" x14ac:dyDescent="0.25">
      <c r="B891">
        <v>43</v>
      </c>
      <c r="C891">
        <v>1</v>
      </c>
      <c r="D891">
        <v>1</v>
      </c>
      <c r="E891">
        <v>1</v>
      </c>
      <c r="F891">
        <v>1</v>
      </c>
      <c r="G891">
        <v>1</v>
      </c>
      <c r="H891">
        <v>1</v>
      </c>
      <c r="J891">
        <v>43</v>
      </c>
      <c r="K891">
        <v>1</v>
      </c>
      <c r="L891">
        <v>1</v>
      </c>
      <c r="M891">
        <v>1</v>
      </c>
      <c r="N891">
        <v>1</v>
      </c>
      <c r="O891">
        <v>1</v>
      </c>
      <c r="P891">
        <v>1</v>
      </c>
      <c r="R891">
        <v>43</v>
      </c>
      <c r="S891">
        <v>1</v>
      </c>
      <c r="T891">
        <v>1</v>
      </c>
      <c r="U891">
        <v>1</v>
      </c>
      <c r="V891">
        <v>1</v>
      </c>
      <c r="W891">
        <v>1</v>
      </c>
      <c r="X891">
        <v>1</v>
      </c>
      <c r="AA891">
        <v>-7374.9579999999996</v>
      </c>
      <c r="AB891">
        <v>-7374.9579999999996</v>
      </c>
      <c r="AC891">
        <v>-7374.9579999999996</v>
      </c>
      <c r="AD891">
        <v>-7374.9579999999996</v>
      </c>
      <c r="AE891">
        <v>-7374.9579999999996</v>
      </c>
      <c r="AF891">
        <v>-7374.9579999999996</v>
      </c>
    </row>
    <row r="892" spans="2:32" x14ac:dyDescent="0.25">
      <c r="B892">
        <v>44</v>
      </c>
      <c r="C892">
        <v>1</v>
      </c>
      <c r="D892">
        <v>1</v>
      </c>
      <c r="E892">
        <v>1</v>
      </c>
      <c r="F892">
        <v>1</v>
      </c>
      <c r="G892">
        <v>1</v>
      </c>
      <c r="H892">
        <v>1</v>
      </c>
      <c r="J892">
        <v>44</v>
      </c>
      <c r="K892">
        <v>1</v>
      </c>
      <c r="L892">
        <v>1</v>
      </c>
      <c r="M892">
        <v>1</v>
      </c>
      <c r="N892">
        <v>1</v>
      </c>
      <c r="O892">
        <v>1</v>
      </c>
      <c r="P892">
        <v>1</v>
      </c>
      <c r="R892">
        <v>44</v>
      </c>
      <c r="S892">
        <v>1</v>
      </c>
      <c r="T892">
        <v>1</v>
      </c>
      <c r="U892">
        <v>1</v>
      </c>
      <c r="V892">
        <v>1</v>
      </c>
      <c r="W892">
        <v>1</v>
      </c>
      <c r="X892">
        <v>1</v>
      </c>
      <c r="AA892">
        <v>-7367.2034999999996</v>
      </c>
      <c r="AB892">
        <v>-7367.2034999999996</v>
      </c>
      <c r="AC892">
        <v>-7367.2034999999996</v>
      </c>
      <c r="AD892">
        <v>-7367.2034999999996</v>
      </c>
      <c r="AE892">
        <v>-7367.2034999999996</v>
      </c>
      <c r="AF892">
        <v>-7367.2034999999996</v>
      </c>
    </row>
    <row r="893" spans="2:32" x14ac:dyDescent="0.25">
      <c r="B893">
        <v>45</v>
      </c>
      <c r="C893">
        <v>1</v>
      </c>
      <c r="D893">
        <v>1</v>
      </c>
      <c r="E893">
        <v>1</v>
      </c>
      <c r="F893">
        <v>1</v>
      </c>
      <c r="G893">
        <v>1</v>
      </c>
      <c r="H893">
        <v>1</v>
      </c>
      <c r="J893">
        <v>45</v>
      </c>
      <c r="K893">
        <v>1</v>
      </c>
      <c r="L893">
        <v>1</v>
      </c>
      <c r="M893">
        <v>1</v>
      </c>
      <c r="N893">
        <v>1</v>
      </c>
      <c r="O893">
        <v>1</v>
      </c>
      <c r="P893">
        <v>1</v>
      </c>
      <c r="R893">
        <v>45</v>
      </c>
      <c r="S893">
        <v>1</v>
      </c>
      <c r="T893">
        <v>1</v>
      </c>
      <c r="U893">
        <v>1</v>
      </c>
      <c r="V893">
        <v>1</v>
      </c>
      <c r="W893">
        <v>1</v>
      </c>
      <c r="X893">
        <v>1</v>
      </c>
      <c r="AA893">
        <v>-7358.6491999999998</v>
      </c>
      <c r="AB893">
        <v>-7358.6491999999998</v>
      </c>
      <c r="AC893">
        <v>-7358.6491999999998</v>
      </c>
      <c r="AD893">
        <v>-7358.6491999999998</v>
      </c>
      <c r="AE893">
        <v>-7358.6491999999998</v>
      </c>
      <c r="AF893">
        <v>-7358.6491999999998</v>
      </c>
    </row>
    <row r="894" spans="2:32" x14ac:dyDescent="0.25">
      <c r="B894">
        <v>46</v>
      </c>
      <c r="C894">
        <v>1</v>
      </c>
      <c r="D894">
        <v>1</v>
      </c>
      <c r="E894">
        <v>1</v>
      </c>
      <c r="F894">
        <v>1</v>
      </c>
      <c r="G894">
        <v>1</v>
      </c>
      <c r="H894">
        <v>1</v>
      </c>
      <c r="J894">
        <v>46</v>
      </c>
      <c r="K894">
        <v>1</v>
      </c>
      <c r="L894">
        <v>1</v>
      </c>
      <c r="M894">
        <v>1</v>
      </c>
      <c r="N894">
        <v>1</v>
      </c>
      <c r="O894">
        <v>1</v>
      </c>
      <c r="P894">
        <v>1</v>
      </c>
      <c r="R894">
        <v>46</v>
      </c>
      <c r="S894">
        <v>1</v>
      </c>
      <c r="T894">
        <v>1</v>
      </c>
      <c r="U894">
        <v>1</v>
      </c>
      <c r="V894">
        <v>1</v>
      </c>
      <c r="W894">
        <v>1</v>
      </c>
      <c r="X894">
        <v>1</v>
      </c>
      <c r="AA894">
        <v>-7349.2232000000004</v>
      </c>
      <c r="AB894">
        <v>-7349.2232000000004</v>
      </c>
      <c r="AC894">
        <v>-7349.2232000000004</v>
      </c>
      <c r="AD894">
        <v>-7349.2232000000004</v>
      </c>
      <c r="AE894">
        <v>-7349.2232000000004</v>
      </c>
      <c r="AF894">
        <v>-7349.2232000000004</v>
      </c>
    </row>
    <row r="895" spans="2:32" x14ac:dyDescent="0.25">
      <c r="B895">
        <v>47</v>
      </c>
      <c r="C895">
        <v>1</v>
      </c>
      <c r="D895">
        <v>1</v>
      </c>
      <c r="E895">
        <v>1</v>
      </c>
      <c r="F895">
        <v>1</v>
      </c>
      <c r="G895">
        <v>1</v>
      </c>
      <c r="H895">
        <v>1</v>
      </c>
      <c r="J895">
        <v>47</v>
      </c>
      <c r="K895">
        <v>1</v>
      </c>
      <c r="L895">
        <v>1</v>
      </c>
      <c r="M895">
        <v>1</v>
      </c>
      <c r="N895">
        <v>1</v>
      </c>
      <c r="O895">
        <v>1</v>
      </c>
      <c r="P895">
        <v>1</v>
      </c>
      <c r="R895">
        <v>47</v>
      </c>
      <c r="S895">
        <v>1</v>
      </c>
      <c r="T895">
        <v>1</v>
      </c>
      <c r="U895">
        <v>1</v>
      </c>
      <c r="V895">
        <v>1</v>
      </c>
      <c r="W895">
        <v>1</v>
      </c>
      <c r="X895">
        <v>1</v>
      </c>
      <c r="AA895">
        <v>-7338.8310000000001</v>
      </c>
      <c r="AB895">
        <v>-7338.8310000000001</v>
      </c>
      <c r="AC895">
        <v>-7338.8310000000001</v>
      </c>
      <c r="AD895">
        <v>-7338.8310000000001</v>
      </c>
      <c r="AE895">
        <v>-7338.8310000000001</v>
      </c>
      <c r="AF895">
        <v>-7338.8310000000001</v>
      </c>
    </row>
    <row r="896" spans="2:32" x14ac:dyDescent="0.25">
      <c r="B896">
        <v>48</v>
      </c>
      <c r="C896">
        <v>1</v>
      </c>
      <c r="D896">
        <v>1</v>
      </c>
      <c r="E896">
        <v>1</v>
      </c>
      <c r="F896">
        <v>1</v>
      </c>
      <c r="G896">
        <v>1</v>
      </c>
      <c r="H896">
        <v>1</v>
      </c>
      <c r="J896">
        <v>48</v>
      </c>
      <c r="K896">
        <v>1</v>
      </c>
      <c r="L896">
        <v>1</v>
      </c>
      <c r="M896">
        <v>1</v>
      </c>
      <c r="N896">
        <v>1</v>
      </c>
      <c r="O896">
        <v>1</v>
      </c>
      <c r="P896">
        <v>1</v>
      </c>
      <c r="R896">
        <v>48</v>
      </c>
      <c r="S896">
        <v>1</v>
      </c>
      <c r="T896">
        <v>1</v>
      </c>
      <c r="U896">
        <v>1</v>
      </c>
      <c r="V896">
        <v>1</v>
      </c>
      <c r="W896">
        <v>1</v>
      </c>
      <c r="X896">
        <v>1</v>
      </c>
      <c r="AA896">
        <v>-7327.4297999999999</v>
      </c>
      <c r="AB896">
        <v>-7327.4297999999999</v>
      </c>
      <c r="AC896">
        <v>-7327.4297999999999</v>
      </c>
      <c r="AD896">
        <v>-7327.4297999999999</v>
      </c>
      <c r="AE896">
        <v>-7327.4297999999999</v>
      </c>
      <c r="AF896">
        <v>-7327.4297999999999</v>
      </c>
    </row>
    <row r="897" spans="2:32" x14ac:dyDescent="0.25">
      <c r="B897">
        <v>49</v>
      </c>
      <c r="C897">
        <v>1</v>
      </c>
      <c r="D897">
        <v>1</v>
      </c>
      <c r="E897">
        <v>1</v>
      </c>
      <c r="F897">
        <v>1</v>
      </c>
      <c r="G897">
        <v>1</v>
      </c>
      <c r="H897">
        <v>1</v>
      </c>
      <c r="J897">
        <v>49</v>
      </c>
      <c r="K897">
        <v>1</v>
      </c>
      <c r="L897">
        <v>1</v>
      </c>
      <c r="M897">
        <v>1</v>
      </c>
      <c r="N897">
        <v>1</v>
      </c>
      <c r="O897">
        <v>1</v>
      </c>
      <c r="P897">
        <v>1</v>
      </c>
      <c r="R897">
        <v>49</v>
      </c>
      <c r="S897">
        <v>1</v>
      </c>
      <c r="T897">
        <v>1</v>
      </c>
      <c r="U897">
        <v>1</v>
      </c>
      <c r="V897">
        <v>1</v>
      </c>
      <c r="W897">
        <v>1</v>
      </c>
      <c r="X897">
        <v>1</v>
      </c>
      <c r="AA897">
        <v>-7314.951</v>
      </c>
      <c r="AB897">
        <v>-7314.951</v>
      </c>
      <c r="AC897">
        <v>-7314.951</v>
      </c>
      <c r="AD897">
        <v>-7314.951</v>
      </c>
      <c r="AE897">
        <v>-7314.951</v>
      </c>
      <c r="AF897">
        <v>-7314.951</v>
      </c>
    </row>
    <row r="898" spans="2:32" x14ac:dyDescent="0.25">
      <c r="B898">
        <v>50</v>
      </c>
      <c r="C898">
        <v>1</v>
      </c>
      <c r="D898">
        <v>1</v>
      </c>
      <c r="E898">
        <v>1</v>
      </c>
      <c r="F898">
        <v>1</v>
      </c>
      <c r="G898">
        <v>1</v>
      </c>
      <c r="H898">
        <v>1</v>
      </c>
      <c r="J898">
        <v>50</v>
      </c>
      <c r="K898">
        <v>1</v>
      </c>
      <c r="L898">
        <v>1</v>
      </c>
      <c r="M898">
        <v>1</v>
      </c>
      <c r="N898">
        <v>1</v>
      </c>
      <c r="O898">
        <v>1</v>
      </c>
      <c r="P898">
        <v>1</v>
      </c>
      <c r="R898">
        <v>50</v>
      </c>
      <c r="S898">
        <v>1</v>
      </c>
      <c r="T898">
        <v>1</v>
      </c>
      <c r="U898">
        <v>1</v>
      </c>
      <c r="V898">
        <v>1</v>
      </c>
      <c r="W898">
        <v>1</v>
      </c>
      <c r="X898">
        <v>1</v>
      </c>
      <c r="AA898">
        <v>-7301.2851000000001</v>
      </c>
      <c r="AB898">
        <v>-7301.2851000000001</v>
      </c>
      <c r="AC898">
        <v>-7301.2851000000001</v>
      </c>
      <c r="AD898">
        <v>-7301.2851000000001</v>
      </c>
      <c r="AE898">
        <v>-7301.2851000000001</v>
      </c>
      <c r="AF898">
        <v>-7301.2851000000001</v>
      </c>
    </row>
    <row r="899" spans="2:32" x14ac:dyDescent="0.25">
      <c r="B899">
        <v>51</v>
      </c>
      <c r="C899">
        <v>1</v>
      </c>
      <c r="D899">
        <v>1</v>
      </c>
      <c r="E899">
        <v>1</v>
      </c>
      <c r="F899">
        <v>1</v>
      </c>
      <c r="G899">
        <v>1</v>
      </c>
      <c r="H899">
        <v>1</v>
      </c>
      <c r="J899">
        <v>51</v>
      </c>
      <c r="K899">
        <v>1</v>
      </c>
      <c r="L899">
        <v>1</v>
      </c>
      <c r="M899">
        <v>1</v>
      </c>
      <c r="N899">
        <v>1</v>
      </c>
      <c r="O899">
        <v>1</v>
      </c>
      <c r="P899">
        <v>1</v>
      </c>
      <c r="R899">
        <v>51</v>
      </c>
      <c r="S899">
        <v>1</v>
      </c>
      <c r="T899">
        <v>1</v>
      </c>
      <c r="U899">
        <v>1</v>
      </c>
      <c r="V899">
        <v>1</v>
      </c>
      <c r="W899">
        <v>1</v>
      </c>
      <c r="X899">
        <v>1</v>
      </c>
      <c r="AA899">
        <v>-7286.3271000000004</v>
      </c>
      <c r="AB899">
        <v>-7286.3271000000004</v>
      </c>
      <c r="AC899">
        <v>-7286.3271000000004</v>
      </c>
      <c r="AD899">
        <v>-7286.3271000000004</v>
      </c>
      <c r="AE899">
        <v>-7286.3271000000004</v>
      </c>
      <c r="AF899">
        <v>-7286.3271000000004</v>
      </c>
    </row>
    <row r="900" spans="2:32" x14ac:dyDescent="0.25">
      <c r="B900">
        <v>52</v>
      </c>
      <c r="C900">
        <v>1</v>
      </c>
      <c r="D900">
        <v>1</v>
      </c>
      <c r="E900">
        <v>1</v>
      </c>
      <c r="F900">
        <v>1</v>
      </c>
      <c r="G900">
        <v>1</v>
      </c>
      <c r="H900">
        <v>1</v>
      </c>
      <c r="J900">
        <v>52</v>
      </c>
      <c r="K900">
        <v>1</v>
      </c>
      <c r="L900">
        <v>1</v>
      </c>
      <c r="M900">
        <v>1</v>
      </c>
      <c r="N900">
        <v>1</v>
      </c>
      <c r="O900">
        <v>1</v>
      </c>
      <c r="P900">
        <v>1</v>
      </c>
      <c r="R900">
        <v>52</v>
      </c>
      <c r="S900">
        <v>1</v>
      </c>
      <c r="T900">
        <v>1</v>
      </c>
      <c r="U900">
        <v>1</v>
      </c>
      <c r="V900">
        <v>1</v>
      </c>
      <c r="W900">
        <v>1</v>
      </c>
      <c r="X900">
        <v>1</v>
      </c>
      <c r="AA900">
        <v>-7269.9448000000002</v>
      </c>
      <c r="AB900">
        <v>-7269.9448000000002</v>
      </c>
      <c r="AC900">
        <v>-7269.9448000000002</v>
      </c>
      <c r="AD900">
        <v>-7269.9448000000002</v>
      </c>
      <c r="AE900">
        <v>-7269.9448000000002</v>
      </c>
      <c r="AF900">
        <v>-7269.9448000000002</v>
      </c>
    </row>
    <row r="901" spans="2:32" x14ac:dyDescent="0.25">
      <c r="B901">
        <v>53</v>
      </c>
      <c r="C901">
        <v>1</v>
      </c>
      <c r="D901">
        <v>1</v>
      </c>
      <c r="E901">
        <v>1</v>
      </c>
      <c r="F901">
        <v>1</v>
      </c>
      <c r="G901">
        <v>1</v>
      </c>
      <c r="H901">
        <v>1</v>
      </c>
      <c r="J901">
        <v>53</v>
      </c>
      <c r="K901">
        <v>1</v>
      </c>
      <c r="L901">
        <v>1</v>
      </c>
      <c r="M901">
        <v>1</v>
      </c>
      <c r="N901">
        <v>1</v>
      </c>
      <c r="O901">
        <v>1</v>
      </c>
      <c r="P901">
        <v>1</v>
      </c>
      <c r="R901">
        <v>53</v>
      </c>
      <c r="S901">
        <v>1</v>
      </c>
      <c r="T901">
        <v>1</v>
      </c>
      <c r="U901">
        <v>1</v>
      </c>
      <c r="V901">
        <v>1</v>
      </c>
      <c r="W901">
        <v>1</v>
      </c>
      <c r="X901">
        <v>1</v>
      </c>
      <c r="AA901">
        <v>-7252.0574999999999</v>
      </c>
      <c r="AB901">
        <v>-7252.0574999999999</v>
      </c>
      <c r="AC901">
        <v>-7252.0574999999999</v>
      </c>
      <c r="AD901">
        <v>-7252.0574999999999</v>
      </c>
      <c r="AE901">
        <v>-7252.0574999999999</v>
      </c>
      <c r="AF901">
        <v>-7252.0574999999999</v>
      </c>
    </row>
    <row r="902" spans="2:32" x14ac:dyDescent="0.25">
      <c r="B902">
        <v>54</v>
      </c>
      <c r="C902">
        <v>1</v>
      </c>
      <c r="D902">
        <v>1</v>
      </c>
      <c r="E902">
        <v>1</v>
      </c>
      <c r="F902">
        <v>1</v>
      </c>
      <c r="G902">
        <v>1</v>
      </c>
      <c r="H902">
        <v>1</v>
      </c>
      <c r="J902">
        <v>54</v>
      </c>
      <c r="K902">
        <v>1</v>
      </c>
      <c r="L902">
        <v>1</v>
      </c>
      <c r="M902">
        <v>1</v>
      </c>
      <c r="N902">
        <v>1</v>
      </c>
      <c r="O902">
        <v>1</v>
      </c>
      <c r="P902">
        <v>1</v>
      </c>
      <c r="R902">
        <v>54</v>
      </c>
      <c r="S902">
        <v>1</v>
      </c>
      <c r="T902">
        <v>1</v>
      </c>
      <c r="U902">
        <v>1</v>
      </c>
      <c r="V902">
        <v>1</v>
      </c>
      <c r="W902">
        <v>1</v>
      </c>
      <c r="X902">
        <v>1</v>
      </c>
      <c r="AA902">
        <v>-7232.5680000000002</v>
      </c>
      <c r="AB902">
        <v>-7232.5680000000002</v>
      </c>
      <c r="AC902">
        <v>-7232.5680000000002</v>
      </c>
      <c r="AD902">
        <v>-7232.5680000000002</v>
      </c>
      <c r="AE902">
        <v>-7232.5680000000002</v>
      </c>
      <c r="AF902">
        <v>-7232.5680000000002</v>
      </c>
    </row>
    <row r="903" spans="2:32" x14ac:dyDescent="0.25">
      <c r="B903">
        <v>55</v>
      </c>
      <c r="C903">
        <v>1</v>
      </c>
      <c r="D903">
        <v>1</v>
      </c>
      <c r="E903">
        <v>1</v>
      </c>
      <c r="F903">
        <v>1</v>
      </c>
      <c r="G903">
        <v>1</v>
      </c>
      <c r="H903">
        <v>1</v>
      </c>
      <c r="J903">
        <v>55</v>
      </c>
      <c r="K903">
        <v>1</v>
      </c>
      <c r="L903">
        <v>1</v>
      </c>
      <c r="M903">
        <v>1</v>
      </c>
      <c r="N903">
        <v>1</v>
      </c>
      <c r="O903">
        <v>1</v>
      </c>
      <c r="P903">
        <v>1</v>
      </c>
      <c r="R903">
        <v>55</v>
      </c>
      <c r="S903">
        <v>1</v>
      </c>
      <c r="T903">
        <v>1</v>
      </c>
      <c r="U903">
        <v>1</v>
      </c>
      <c r="V903">
        <v>1</v>
      </c>
      <c r="W903">
        <v>1</v>
      </c>
      <c r="X903">
        <v>1</v>
      </c>
      <c r="AA903">
        <v>-7211.3207000000002</v>
      </c>
      <c r="AB903">
        <v>-7211.3207000000002</v>
      </c>
      <c r="AC903">
        <v>-7211.3207000000002</v>
      </c>
      <c r="AD903">
        <v>-7211.3207000000002</v>
      </c>
      <c r="AE903">
        <v>-7211.3207000000002</v>
      </c>
      <c r="AF903">
        <v>-7211.3207000000002</v>
      </c>
    </row>
    <row r="906" spans="2:32" x14ac:dyDescent="0.25">
      <c r="B906" t="s">
        <v>46</v>
      </c>
      <c r="C906">
        <v>100000</v>
      </c>
      <c r="D906">
        <v>250000</v>
      </c>
      <c r="E906">
        <v>500000</v>
      </c>
      <c r="F906">
        <v>1000000</v>
      </c>
      <c r="G906">
        <v>2000000</v>
      </c>
      <c r="J906" t="s">
        <v>32</v>
      </c>
      <c r="K906">
        <v>100000</v>
      </c>
      <c r="L906">
        <v>250000</v>
      </c>
      <c r="M906">
        <v>500000</v>
      </c>
      <c r="N906">
        <v>1000000</v>
      </c>
      <c r="O906">
        <v>2000000</v>
      </c>
      <c r="R906" t="s">
        <v>48</v>
      </c>
      <c r="S906">
        <v>100000</v>
      </c>
      <c r="T906">
        <v>250000</v>
      </c>
      <c r="U906">
        <v>500000</v>
      </c>
      <c r="V906">
        <v>1000000</v>
      </c>
      <c r="W906">
        <v>2000000</v>
      </c>
    </row>
    <row r="907" spans="2:32" x14ac:dyDescent="0.25">
      <c r="B907">
        <v>35</v>
      </c>
      <c r="C907">
        <v>1</v>
      </c>
      <c r="D907">
        <v>1</v>
      </c>
      <c r="E907">
        <v>1</v>
      </c>
      <c r="F907">
        <v>1</v>
      </c>
      <c r="G907">
        <v>1</v>
      </c>
      <c r="J907">
        <v>35</v>
      </c>
      <c r="K907">
        <v>1</v>
      </c>
      <c r="L907">
        <v>1</v>
      </c>
      <c r="M907">
        <v>1</v>
      </c>
      <c r="N907">
        <v>1</v>
      </c>
      <c r="O907">
        <v>1</v>
      </c>
      <c r="R907">
        <v>35</v>
      </c>
      <c r="S907">
        <v>1</v>
      </c>
      <c r="T907">
        <v>1</v>
      </c>
      <c r="U907">
        <v>1</v>
      </c>
      <c r="V907">
        <v>1</v>
      </c>
      <c r="W907">
        <v>1</v>
      </c>
      <c r="AA907">
        <v>-11308.6893</v>
      </c>
      <c r="AB907">
        <v>-11308.6893</v>
      </c>
      <c r="AC907">
        <v>-11308.6893</v>
      </c>
      <c r="AD907">
        <v>-11308.6893</v>
      </c>
      <c r="AE907">
        <v>-11308.6893</v>
      </c>
      <c r="AF907">
        <v>-759112.79520000005</v>
      </c>
    </row>
    <row r="908" spans="2:32" x14ac:dyDescent="0.25">
      <c r="B908">
        <f t="shared" ref="B908:B937" si="39">B907+1</f>
        <v>36</v>
      </c>
      <c r="C908">
        <v>1</v>
      </c>
      <c r="D908">
        <v>1</v>
      </c>
      <c r="E908">
        <v>1</v>
      </c>
      <c r="F908">
        <v>1</v>
      </c>
      <c r="G908">
        <v>1</v>
      </c>
      <c r="J908">
        <f t="shared" ref="J908:J937" si="40">J907+1</f>
        <v>36</v>
      </c>
      <c r="K908">
        <v>1</v>
      </c>
      <c r="L908">
        <v>1</v>
      </c>
      <c r="M908">
        <v>1</v>
      </c>
      <c r="N908">
        <v>1</v>
      </c>
      <c r="O908">
        <v>1</v>
      </c>
      <c r="R908">
        <f t="shared" ref="R908:R937" si="41">R907+1</f>
        <v>36</v>
      </c>
      <c r="S908">
        <v>1</v>
      </c>
      <c r="T908">
        <v>1</v>
      </c>
      <c r="U908">
        <v>1</v>
      </c>
      <c r="V908">
        <v>1</v>
      </c>
      <c r="W908">
        <v>1</v>
      </c>
      <c r="AA908">
        <v>-11214.2592</v>
      </c>
      <c r="AB908">
        <v>-11214.2592</v>
      </c>
      <c r="AC908">
        <v>-11214.2592</v>
      </c>
      <c r="AD908">
        <v>-11214.2592</v>
      </c>
      <c r="AE908">
        <v>-11214.2592</v>
      </c>
      <c r="AF908">
        <v>-737070.86179999996</v>
      </c>
    </row>
    <row r="909" spans="2:32" x14ac:dyDescent="0.25">
      <c r="B909">
        <f t="shared" si="39"/>
        <v>37</v>
      </c>
      <c r="C909">
        <v>1</v>
      </c>
      <c r="D909">
        <v>1</v>
      </c>
      <c r="E909">
        <v>1</v>
      </c>
      <c r="F909">
        <v>1</v>
      </c>
      <c r="G909">
        <v>1</v>
      </c>
      <c r="J909">
        <f t="shared" si="40"/>
        <v>37</v>
      </c>
      <c r="K909">
        <v>1</v>
      </c>
      <c r="L909">
        <v>1</v>
      </c>
      <c r="M909">
        <v>1</v>
      </c>
      <c r="N909">
        <v>1</v>
      </c>
      <c r="O909">
        <v>1</v>
      </c>
      <c r="R909">
        <f t="shared" si="41"/>
        <v>37</v>
      </c>
      <c r="S909">
        <v>1</v>
      </c>
      <c r="T909">
        <v>1</v>
      </c>
      <c r="U909">
        <v>1</v>
      </c>
      <c r="V909">
        <v>1</v>
      </c>
      <c r="W909">
        <v>1</v>
      </c>
      <c r="AA909">
        <v>-11117.406199999999</v>
      </c>
      <c r="AB909">
        <v>-11117.406199999999</v>
      </c>
      <c r="AC909">
        <v>-11117.406199999999</v>
      </c>
      <c r="AD909">
        <v>-11117.406199999999</v>
      </c>
      <c r="AE909">
        <v>-11117.406199999999</v>
      </c>
      <c r="AF909">
        <v>-765978.91940000001</v>
      </c>
    </row>
    <row r="910" spans="2:32" x14ac:dyDescent="0.25">
      <c r="B910">
        <f t="shared" si="39"/>
        <v>38</v>
      </c>
      <c r="C910">
        <v>1</v>
      </c>
      <c r="D910">
        <v>1</v>
      </c>
      <c r="E910">
        <v>1</v>
      </c>
      <c r="F910">
        <v>1</v>
      </c>
      <c r="G910">
        <v>1</v>
      </c>
      <c r="J910">
        <f t="shared" si="40"/>
        <v>38</v>
      </c>
      <c r="K910">
        <v>1</v>
      </c>
      <c r="L910">
        <v>1</v>
      </c>
      <c r="M910">
        <v>1</v>
      </c>
      <c r="N910">
        <v>1</v>
      </c>
      <c r="O910">
        <v>1</v>
      </c>
      <c r="R910">
        <f t="shared" si="41"/>
        <v>38</v>
      </c>
      <c r="S910">
        <v>1</v>
      </c>
      <c r="T910">
        <v>1</v>
      </c>
      <c r="U910">
        <v>1</v>
      </c>
      <c r="V910">
        <v>1</v>
      </c>
      <c r="W910">
        <v>1</v>
      </c>
      <c r="AA910">
        <v>-11018.229799999999</v>
      </c>
      <c r="AB910">
        <v>-11018.229799999999</v>
      </c>
      <c r="AC910">
        <v>-11018.229799999999</v>
      </c>
      <c r="AD910">
        <v>-11018.229799999999</v>
      </c>
      <c r="AE910">
        <v>-11018.229799999999</v>
      </c>
      <c r="AF910">
        <v>-783780.576</v>
      </c>
    </row>
    <row r="911" spans="2:32" x14ac:dyDescent="0.25">
      <c r="B911">
        <f t="shared" si="39"/>
        <v>39</v>
      </c>
      <c r="C911">
        <v>1</v>
      </c>
      <c r="D911">
        <v>1</v>
      </c>
      <c r="E911">
        <v>1</v>
      </c>
      <c r="F911">
        <v>1</v>
      </c>
      <c r="G911">
        <v>1</v>
      </c>
      <c r="J911">
        <f t="shared" si="40"/>
        <v>39</v>
      </c>
      <c r="K911">
        <v>1</v>
      </c>
      <c r="L911">
        <v>1</v>
      </c>
      <c r="M911">
        <v>1</v>
      </c>
      <c r="N911">
        <v>1</v>
      </c>
      <c r="O911">
        <v>1</v>
      </c>
      <c r="R911">
        <f t="shared" si="41"/>
        <v>39</v>
      </c>
      <c r="S911">
        <v>1</v>
      </c>
      <c r="T911">
        <v>1</v>
      </c>
      <c r="U911">
        <v>1</v>
      </c>
      <c r="V911">
        <v>1</v>
      </c>
      <c r="W911">
        <v>1</v>
      </c>
      <c r="AA911">
        <v>-10916.737999999999</v>
      </c>
      <c r="AB911">
        <v>-10916.737999999999</v>
      </c>
      <c r="AC911">
        <v>-10916.737999999999</v>
      </c>
      <c r="AD911">
        <v>-10916.737999999999</v>
      </c>
      <c r="AE911">
        <v>-10916.737999999999</v>
      </c>
      <c r="AF911">
        <v>-769662.22069999995</v>
      </c>
    </row>
    <row r="912" spans="2:32" x14ac:dyDescent="0.25">
      <c r="B912">
        <f t="shared" si="39"/>
        <v>40</v>
      </c>
      <c r="C912">
        <v>1</v>
      </c>
      <c r="D912">
        <v>1</v>
      </c>
      <c r="E912">
        <v>1</v>
      </c>
      <c r="F912">
        <v>1</v>
      </c>
      <c r="G912">
        <v>1</v>
      </c>
      <c r="J912">
        <f t="shared" si="40"/>
        <v>40</v>
      </c>
      <c r="K912">
        <v>1</v>
      </c>
      <c r="L912">
        <v>1</v>
      </c>
      <c r="M912">
        <v>1</v>
      </c>
      <c r="N912">
        <v>1</v>
      </c>
      <c r="O912">
        <v>1</v>
      </c>
      <c r="R912">
        <f t="shared" si="41"/>
        <v>40</v>
      </c>
      <c r="S912">
        <v>1</v>
      </c>
      <c r="T912">
        <v>1</v>
      </c>
      <c r="U912">
        <v>1</v>
      </c>
      <c r="V912">
        <v>1</v>
      </c>
      <c r="W912">
        <v>1</v>
      </c>
      <c r="AA912">
        <v>-10812.8714</v>
      </c>
      <c r="AB912">
        <v>-10812.8714</v>
      </c>
      <c r="AC912">
        <v>-10812.8714</v>
      </c>
      <c r="AD912">
        <v>-10812.8714</v>
      </c>
      <c r="AE912">
        <v>-10812.8714</v>
      </c>
      <c r="AF912">
        <v>-798570.41119999997</v>
      </c>
    </row>
    <row r="913" spans="2:32" x14ac:dyDescent="0.25">
      <c r="B913">
        <f t="shared" si="39"/>
        <v>41</v>
      </c>
      <c r="C913">
        <v>1</v>
      </c>
      <c r="D913">
        <v>1</v>
      </c>
      <c r="E913">
        <v>1</v>
      </c>
      <c r="F913">
        <v>1</v>
      </c>
      <c r="G913">
        <v>1</v>
      </c>
      <c r="J913">
        <f t="shared" si="40"/>
        <v>41</v>
      </c>
      <c r="K913">
        <v>1</v>
      </c>
      <c r="L913">
        <v>1</v>
      </c>
      <c r="M913">
        <v>1</v>
      </c>
      <c r="N913">
        <v>1</v>
      </c>
      <c r="O913">
        <v>1</v>
      </c>
      <c r="R913">
        <f t="shared" si="41"/>
        <v>41</v>
      </c>
      <c r="S913">
        <v>1</v>
      </c>
      <c r="T913">
        <v>1</v>
      </c>
      <c r="U913">
        <v>1</v>
      </c>
      <c r="V913">
        <v>1</v>
      </c>
      <c r="W913">
        <v>1</v>
      </c>
      <c r="AA913">
        <v>-10706.559600000001</v>
      </c>
      <c r="AB913">
        <v>-10706.559600000001</v>
      </c>
      <c r="AC913">
        <v>-10706.559600000001</v>
      </c>
      <c r="AD913">
        <v>-10706.559600000001</v>
      </c>
      <c r="AE913">
        <v>-10706.559600000001</v>
      </c>
      <c r="AF913">
        <v>-803549.96459999995</v>
      </c>
    </row>
    <row r="914" spans="2:32" x14ac:dyDescent="0.25">
      <c r="B914">
        <f t="shared" si="39"/>
        <v>42</v>
      </c>
      <c r="C914">
        <v>1</v>
      </c>
      <c r="D914">
        <v>1</v>
      </c>
      <c r="E914">
        <v>1</v>
      </c>
      <c r="F914">
        <v>1</v>
      </c>
      <c r="G914">
        <v>1</v>
      </c>
      <c r="J914">
        <f t="shared" si="40"/>
        <v>42</v>
      </c>
      <c r="K914">
        <v>1</v>
      </c>
      <c r="L914">
        <v>1</v>
      </c>
      <c r="M914">
        <v>1</v>
      </c>
      <c r="N914">
        <v>1</v>
      </c>
      <c r="O914">
        <v>1</v>
      </c>
      <c r="R914">
        <f t="shared" si="41"/>
        <v>42</v>
      </c>
      <c r="S914">
        <v>1</v>
      </c>
      <c r="T914">
        <v>1</v>
      </c>
      <c r="U914">
        <v>1</v>
      </c>
      <c r="V914">
        <v>1</v>
      </c>
      <c r="W914">
        <v>1</v>
      </c>
      <c r="AA914">
        <v>-10597.8485</v>
      </c>
      <c r="AB914">
        <v>-10597.8485</v>
      </c>
      <c r="AC914">
        <v>-10597.8485</v>
      </c>
      <c r="AD914">
        <v>-10597.8485</v>
      </c>
      <c r="AE914">
        <v>-10597.8485</v>
      </c>
      <c r="AF914">
        <v>-833551.75890000002</v>
      </c>
    </row>
    <row r="915" spans="2:32" x14ac:dyDescent="0.25">
      <c r="B915">
        <f t="shared" si="39"/>
        <v>43</v>
      </c>
      <c r="C915">
        <v>1</v>
      </c>
      <c r="D915">
        <v>1</v>
      </c>
      <c r="E915">
        <v>1</v>
      </c>
      <c r="F915">
        <v>1</v>
      </c>
      <c r="G915">
        <v>1</v>
      </c>
      <c r="J915">
        <f t="shared" si="40"/>
        <v>43</v>
      </c>
      <c r="K915">
        <v>1</v>
      </c>
      <c r="L915">
        <v>1</v>
      </c>
      <c r="M915">
        <v>1</v>
      </c>
      <c r="N915">
        <v>1</v>
      </c>
      <c r="O915">
        <v>1</v>
      </c>
      <c r="R915">
        <f t="shared" si="41"/>
        <v>43</v>
      </c>
      <c r="S915">
        <v>1</v>
      </c>
      <c r="T915">
        <v>1</v>
      </c>
      <c r="U915">
        <v>1</v>
      </c>
      <c r="V915">
        <v>1</v>
      </c>
      <c r="W915">
        <v>1</v>
      </c>
      <c r="AA915">
        <v>-10486.615400000001</v>
      </c>
      <c r="AB915">
        <v>-10486.615400000001</v>
      </c>
      <c r="AC915">
        <v>-10486.615400000001</v>
      </c>
      <c r="AD915">
        <v>-10486.615400000001</v>
      </c>
      <c r="AE915">
        <v>-10486.615400000001</v>
      </c>
      <c r="AF915">
        <v>-844950.93949999998</v>
      </c>
    </row>
    <row r="916" spans="2:32" x14ac:dyDescent="0.25">
      <c r="B916">
        <f t="shared" si="39"/>
        <v>44</v>
      </c>
      <c r="C916">
        <v>1</v>
      </c>
      <c r="D916">
        <v>1</v>
      </c>
      <c r="E916">
        <v>1</v>
      </c>
      <c r="F916">
        <v>1</v>
      </c>
      <c r="G916">
        <v>1</v>
      </c>
      <c r="J916">
        <f t="shared" si="40"/>
        <v>44</v>
      </c>
      <c r="K916">
        <v>1</v>
      </c>
      <c r="L916">
        <v>1</v>
      </c>
      <c r="M916">
        <v>1</v>
      </c>
      <c r="N916">
        <v>1</v>
      </c>
      <c r="O916">
        <v>1</v>
      </c>
      <c r="R916">
        <f t="shared" si="41"/>
        <v>44</v>
      </c>
      <c r="S916">
        <v>1</v>
      </c>
      <c r="T916">
        <v>1</v>
      </c>
      <c r="U916">
        <v>1</v>
      </c>
      <c r="V916">
        <v>1</v>
      </c>
      <c r="W916">
        <v>1</v>
      </c>
      <c r="AA916">
        <v>-10372.9005</v>
      </c>
      <c r="AB916">
        <v>-10372.9005</v>
      </c>
      <c r="AC916">
        <v>-10372.9005</v>
      </c>
      <c r="AD916">
        <v>-10372.9005</v>
      </c>
      <c r="AE916">
        <v>-10372.9005</v>
      </c>
      <c r="AF916">
        <v>-851265.64670000004</v>
      </c>
    </row>
    <row r="917" spans="2:32" x14ac:dyDescent="0.25">
      <c r="B917">
        <f t="shared" si="39"/>
        <v>45</v>
      </c>
      <c r="C917">
        <v>1</v>
      </c>
      <c r="D917">
        <v>1</v>
      </c>
      <c r="E917">
        <v>1</v>
      </c>
      <c r="F917">
        <v>1</v>
      </c>
      <c r="G917">
        <v>1</v>
      </c>
      <c r="J917">
        <f t="shared" si="40"/>
        <v>45</v>
      </c>
      <c r="K917">
        <v>1</v>
      </c>
      <c r="L917">
        <v>1</v>
      </c>
      <c r="M917">
        <v>1</v>
      </c>
      <c r="N917">
        <v>1</v>
      </c>
      <c r="O917">
        <v>1</v>
      </c>
      <c r="R917">
        <f t="shared" si="41"/>
        <v>45</v>
      </c>
      <c r="S917">
        <v>1</v>
      </c>
      <c r="T917">
        <v>1</v>
      </c>
      <c r="U917">
        <v>1</v>
      </c>
      <c r="V917">
        <v>1</v>
      </c>
      <c r="W917">
        <v>1</v>
      </c>
      <c r="AA917">
        <v>-10256.650600000001</v>
      </c>
      <c r="AB917">
        <v>-10256.650600000001</v>
      </c>
      <c r="AC917">
        <v>-10256.650600000001</v>
      </c>
      <c r="AD917">
        <v>-10256.650600000001</v>
      </c>
      <c r="AE917">
        <v>-10256.650600000001</v>
      </c>
      <c r="AF917">
        <v>-870649.02139999997</v>
      </c>
    </row>
    <row r="918" spans="2:32" x14ac:dyDescent="0.25">
      <c r="B918">
        <f t="shared" si="39"/>
        <v>46</v>
      </c>
      <c r="C918">
        <v>1</v>
      </c>
      <c r="D918">
        <v>1</v>
      </c>
      <c r="E918">
        <v>1</v>
      </c>
      <c r="F918">
        <v>1</v>
      </c>
      <c r="G918">
        <v>1</v>
      </c>
      <c r="J918">
        <f t="shared" si="40"/>
        <v>46</v>
      </c>
      <c r="K918">
        <v>1</v>
      </c>
      <c r="L918">
        <v>1</v>
      </c>
      <c r="M918">
        <v>1</v>
      </c>
      <c r="N918">
        <v>1</v>
      </c>
      <c r="O918">
        <v>1</v>
      </c>
      <c r="R918">
        <f t="shared" si="41"/>
        <v>46</v>
      </c>
      <c r="S918">
        <v>1</v>
      </c>
      <c r="T918">
        <v>1</v>
      </c>
      <c r="U918">
        <v>1</v>
      </c>
      <c r="V918">
        <v>1</v>
      </c>
      <c r="W918">
        <v>1</v>
      </c>
      <c r="AA918">
        <v>-10137.871499999999</v>
      </c>
      <c r="AB918">
        <v>-10137.871499999999</v>
      </c>
      <c r="AC918">
        <v>-10137.871499999999</v>
      </c>
      <c r="AD918">
        <v>-10137.871499999999</v>
      </c>
      <c r="AE918">
        <v>-10137.871499999999</v>
      </c>
      <c r="AF918">
        <v>-892550.54509999999</v>
      </c>
    </row>
    <row r="919" spans="2:32" x14ac:dyDescent="0.25">
      <c r="B919">
        <f t="shared" si="39"/>
        <v>47</v>
      </c>
      <c r="C919">
        <v>1</v>
      </c>
      <c r="D919">
        <v>1</v>
      </c>
      <c r="E919">
        <v>1</v>
      </c>
      <c r="F919">
        <v>1</v>
      </c>
      <c r="G919">
        <v>1</v>
      </c>
      <c r="J919">
        <f t="shared" si="40"/>
        <v>47</v>
      </c>
      <c r="K919">
        <v>1</v>
      </c>
      <c r="L919">
        <v>1</v>
      </c>
      <c r="M919">
        <v>1</v>
      </c>
      <c r="N919">
        <v>1</v>
      </c>
      <c r="O919">
        <v>1</v>
      </c>
      <c r="R919">
        <f t="shared" si="41"/>
        <v>47</v>
      </c>
      <c r="S919">
        <v>1</v>
      </c>
      <c r="T919">
        <v>1</v>
      </c>
      <c r="U919">
        <v>1</v>
      </c>
      <c r="V919">
        <v>1</v>
      </c>
      <c r="W919">
        <v>1</v>
      </c>
      <c r="AA919">
        <v>-10016.4967</v>
      </c>
      <c r="AB919">
        <v>-10016.4967</v>
      </c>
      <c r="AC919">
        <v>-10016.4967</v>
      </c>
      <c r="AD919">
        <v>-10016.4967</v>
      </c>
      <c r="AE919">
        <v>-10016.4967</v>
      </c>
      <c r="AF919">
        <v>-910915.81969999999</v>
      </c>
    </row>
    <row r="920" spans="2:32" x14ac:dyDescent="0.25">
      <c r="B920">
        <f t="shared" si="39"/>
        <v>48</v>
      </c>
      <c r="C920">
        <v>1</v>
      </c>
      <c r="D920">
        <v>1</v>
      </c>
      <c r="E920">
        <v>1</v>
      </c>
      <c r="F920">
        <v>1</v>
      </c>
      <c r="G920">
        <v>1</v>
      </c>
      <c r="J920">
        <f t="shared" si="40"/>
        <v>48</v>
      </c>
      <c r="K920">
        <v>1</v>
      </c>
      <c r="L920">
        <v>1</v>
      </c>
      <c r="M920">
        <v>1</v>
      </c>
      <c r="N920">
        <v>1</v>
      </c>
      <c r="O920">
        <v>1</v>
      </c>
      <c r="R920">
        <f t="shared" si="41"/>
        <v>48</v>
      </c>
      <c r="S920">
        <v>1</v>
      </c>
      <c r="T920">
        <v>1</v>
      </c>
      <c r="U920">
        <v>1</v>
      </c>
      <c r="V920">
        <v>1</v>
      </c>
      <c r="W920">
        <v>1</v>
      </c>
      <c r="AA920">
        <v>-9892.6355000000003</v>
      </c>
      <c r="AB920">
        <v>-9892.6355000000003</v>
      </c>
      <c r="AC920">
        <v>-9892.6355000000003</v>
      </c>
      <c r="AD920">
        <v>-9892.6355000000003</v>
      </c>
      <c r="AE920">
        <v>-9892.6355000000003</v>
      </c>
      <c r="AF920">
        <v>-910915.81969999999</v>
      </c>
    </row>
    <row r="921" spans="2:32" x14ac:dyDescent="0.25">
      <c r="B921">
        <f t="shared" si="39"/>
        <v>49</v>
      </c>
      <c r="C921">
        <v>1</v>
      </c>
      <c r="D921">
        <v>1</v>
      </c>
      <c r="E921">
        <v>1</v>
      </c>
      <c r="F921">
        <v>1</v>
      </c>
      <c r="G921">
        <v>1</v>
      </c>
      <c r="J921">
        <f t="shared" si="40"/>
        <v>49</v>
      </c>
      <c r="K921">
        <v>1</v>
      </c>
      <c r="L921">
        <v>1</v>
      </c>
      <c r="M921">
        <v>1</v>
      </c>
      <c r="N921">
        <v>1</v>
      </c>
      <c r="O921">
        <v>1</v>
      </c>
      <c r="R921">
        <f t="shared" si="41"/>
        <v>49</v>
      </c>
      <c r="S921">
        <v>1</v>
      </c>
      <c r="T921">
        <v>1</v>
      </c>
      <c r="U921">
        <v>1</v>
      </c>
      <c r="V921">
        <v>1</v>
      </c>
      <c r="W921">
        <v>1</v>
      </c>
      <c r="AA921">
        <v>-9766.3366999999998</v>
      </c>
      <c r="AB921">
        <v>-9766.3366999999998</v>
      </c>
      <c r="AC921">
        <v>-9766.3366999999998</v>
      </c>
      <c r="AD921">
        <v>-9766.3366999999998</v>
      </c>
      <c r="AE921">
        <v>-9766.3366999999998</v>
      </c>
      <c r="AF921">
        <v>-944521.72470000002</v>
      </c>
    </row>
    <row r="922" spans="2:32" x14ac:dyDescent="0.25">
      <c r="B922">
        <f t="shared" si="39"/>
        <v>50</v>
      </c>
      <c r="C922">
        <v>1</v>
      </c>
      <c r="D922">
        <v>1</v>
      </c>
      <c r="E922">
        <v>1</v>
      </c>
      <c r="F922">
        <v>1</v>
      </c>
      <c r="G922">
        <v>1</v>
      </c>
      <c r="J922">
        <f t="shared" si="40"/>
        <v>50</v>
      </c>
      <c r="K922">
        <v>1</v>
      </c>
      <c r="L922">
        <v>1</v>
      </c>
      <c r="M922">
        <v>1</v>
      </c>
      <c r="N922">
        <v>1</v>
      </c>
      <c r="O922">
        <v>1</v>
      </c>
      <c r="R922">
        <f t="shared" si="41"/>
        <v>50</v>
      </c>
      <c r="S922">
        <v>1</v>
      </c>
      <c r="T922">
        <v>1</v>
      </c>
      <c r="U922">
        <v>1</v>
      </c>
      <c r="V922">
        <v>1</v>
      </c>
      <c r="W922">
        <v>1</v>
      </c>
      <c r="AA922">
        <v>-9637.5864000000001</v>
      </c>
      <c r="AB922">
        <v>-9637.5864000000001</v>
      </c>
      <c r="AC922">
        <v>-9637.5864000000001</v>
      </c>
      <c r="AD922">
        <v>-9637.5864000000001</v>
      </c>
      <c r="AE922">
        <v>-9637.5864000000001</v>
      </c>
      <c r="AF922">
        <v>-963257.14989999996</v>
      </c>
    </row>
    <row r="923" spans="2:32" x14ac:dyDescent="0.25">
      <c r="B923">
        <f t="shared" si="39"/>
        <v>51</v>
      </c>
      <c r="C923">
        <v>1</v>
      </c>
      <c r="D923">
        <v>1</v>
      </c>
      <c r="E923">
        <v>1</v>
      </c>
      <c r="F923">
        <v>1</v>
      </c>
      <c r="G923">
        <v>1</v>
      </c>
      <c r="J923">
        <f t="shared" si="40"/>
        <v>51</v>
      </c>
      <c r="K923">
        <v>1</v>
      </c>
      <c r="L923">
        <v>1</v>
      </c>
      <c r="M923">
        <v>1</v>
      </c>
      <c r="N923">
        <v>1</v>
      </c>
      <c r="O923">
        <v>1</v>
      </c>
      <c r="R923">
        <f t="shared" si="41"/>
        <v>51</v>
      </c>
      <c r="S923">
        <v>1</v>
      </c>
      <c r="T923">
        <v>1</v>
      </c>
      <c r="U923">
        <v>1</v>
      </c>
      <c r="V923">
        <v>1</v>
      </c>
      <c r="W923">
        <v>1</v>
      </c>
      <c r="AA923">
        <v>-9506.3734000000004</v>
      </c>
      <c r="AB923">
        <v>-9506.3734000000004</v>
      </c>
      <c r="AC923">
        <v>-9506.3734000000004</v>
      </c>
      <c r="AD923">
        <v>-9506.3734000000004</v>
      </c>
      <c r="AE923">
        <v>-9506.3734000000004</v>
      </c>
      <c r="AF923">
        <v>-981592.90729999996</v>
      </c>
    </row>
    <row r="924" spans="2:32" x14ac:dyDescent="0.25">
      <c r="B924">
        <f t="shared" si="39"/>
        <v>52</v>
      </c>
      <c r="C924">
        <v>1</v>
      </c>
      <c r="D924">
        <v>1</v>
      </c>
      <c r="E924">
        <v>1</v>
      </c>
      <c r="F924">
        <v>1</v>
      </c>
      <c r="G924">
        <v>1</v>
      </c>
      <c r="J924">
        <f t="shared" si="40"/>
        <v>52</v>
      </c>
      <c r="K924">
        <v>1</v>
      </c>
      <c r="L924">
        <v>1</v>
      </c>
      <c r="M924">
        <v>1</v>
      </c>
      <c r="N924">
        <v>1</v>
      </c>
      <c r="O924">
        <v>1</v>
      </c>
      <c r="R924">
        <f t="shared" si="41"/>
        <v>52</v>
      </c>
      <c r="S924">
        <v>1</v>
      </c>
      <c r="T924">
        <v>1</v>
      </c>
      <c r="U924">
        <v>1</v>
      </c>
      <c r="V924">
        <v>1</v>
      </c>
      <c r="W924">
        <v>1</v>
      </c>
      <c r="AA924">
        <v>-9372.7019</v>
      </c>
      <c r="AB924">
        <v>-9372.7019</v>
      </c>
      <c r="AC924">
        <v>-9372.7019</v>
      </c>
      <c r="AD924">
        <v>-9372.7019</v>
      </c>
      <c r="AE924">
        <v>-9372.7019</v>
      </c>
      <c r="AF924">
        <v>-998556.10360000003</v>
      </c>
    </row>
    <row r="925" spans="2:32" x14ac:dyDescent="0.25">
      <c r="B925">
        <f t="shared" si="39"/>
        <v>53</v>
      </c>
      <c r="C925">
        <v>1</v>
      </c>
      <c r="D925">
        <v>1</v>
      </c>
      <c r="E925">
        <v>1</v>
      </c>
      <c r="F925">
        <v>1</v>
      </c>
      <c r="G925">
        <v>1</v>
      </c>
      <c r="J925">
        <f t="shared" si="40"/>
        <v>53</v>
      </c>
      <c r="K925">
        <v>1</v>
      </c>
      <c r="L925">
        <v>1</v>
      </c>
      <c r="M925">
        <v>1</v>
      </c>
      <c r="N925">
        <v>1</v>
      </c>
      <c r="O925">
        <v>1</v>
      </c>
      <c r="R925">
        <f t="shared" si="41"/>
        <v>53</v>
      </c>
      <c r="S925">
        <v>1</v>
      </c>
      <c r="T925">
        <v>1</v>
      </c>
      <c r="U925">
        <v>1</v>
      </c>
      <c r="V925">
        <v>1</v>
      </c>
      <c r="W925">
        <v>1</v>
      </c>
      <c r="AA925">
        <v>-9236.6705000000002</v>
      </c>
      <c r="AB925">
        <v>-9236.6705000000002</v>
      </c>
      <c r="AC925">
        <v>-9236.6705000000002</v>
      </c>
      <c r="AD925">
        <v>-9236.6705000000002</v>
      </c>
      <c r="AE925">
        <v>-9236.6705000000002</v>
      </c>
      <c r="AF925">
        <v>-1015461.3278</v>
      </c>
    </row>
    <row r="926" spans="2:32" x14ac:dyDescent="0.25">
      <c r="B926">
        <f t="shared" si="39"/>
        <v>54</v>
      </c>
      <c r="C926">
        <v>1</v>
      </c>
      <c r="D926">
        <v>1</v>
      </c>
      <c r="E926">
        <v>1</v>
      </c>
      <c r="F926">
        <v>1</v>
      </c>
      <c r="G926">
        <v>1</v>
      </c>
      <c r="J926">
        <f t="shared" si="40"/>
        <v>54</v>
      </c>
      <c r="K926">
        <v>1</v>
      </c>
      <c r="L926">
        <v>1</v>
      </c>
      <c r="M926">
        <v>1</v>
      </c>
      <c r="N926">
        <v>1</v>
      </c>
      <c r="O926">
        <v>1</v>
      </c>
      <c r="R926">
        <f t="shared" si="41"/>
        <v>54</v>
      </c>
      <c r="S926">
        <v>1</v>
      </c>
      <c r="T926">
        <v>1</v>
      </c>
      <c r="U926">
        <v>1</v>
      </c>
      <c r="V926">
        <v>1</v>
      </c>
      <c r="W926">
        <v>1</v>
      </c>
      <c r="AA926">
        <v>-9098.4312000000009</v>
      </c>
      <c r="AB926">
        <v>-9098.4312000000009</v>
      </c>
      <c r="AC926">
        <v>-9098.4312000000009</v>
      </c>
      <c r="AD926">
        <v>-9098.4312000000009</v>
      </c>
      <c r="AE926">
        <v>-9098.4312000000009</v>
      </c>
      <c r="AF926">
        <v>-1033869.6813000001</v>
      </c>
    </row>
    <row r="927" spans="2:32" x14ac:dyDescent="0.25">
      <c r="B927">
        <f t="shared" si="39"/>
        <v>55</v>
      </c>
      <c r="C927">
        <v>1</v>
      </c>
      <c r="D927">
        <v>1</v>
      </c>
      <c r="E927">
        <v>1</v>
      </c>
      <c r="F927">
        <v>1</v>
      </c>
      <c r="G927">
        <v>1</v>
      </c>
      <c r="J927">
        <f t="shared" si="40"/>
        <v>55</v>
      </c>
      <c r="K927">
        <v>1</v>
      </c>
      <c r="L927">
        <v>1</v>
      </c>
      <c r="M927">
        <v>1</v>
      </c>
      <c r="N927">
        <v>1</v>
      </c>
      <c r="O927">
        <v>1</v>
      </c>
      <c r="R927">
        <f t="shared" si="41"/>
        <v>55</v>
      </c>
      <c r="S927">
        <v>1</v>
      </c>
      <c r="T927">
        <v>1</v>
      </c>
      <c r="U927">
        <v>1</v>
      </c>
      <c r="V927">
        <v>1</v>
      </c>
      <c r="W927">
        <v>1</v>
      </c>
      <c r="AA927">
        <v>-8958.0210999999999</v>
      </c>
      <c r="AB927">
        <v>-8958.0210999999999</v>
      </c>
      <c r="AC927">
        <v>-8958.0210999999999</v>
      </c>
      <c r="AD927">
        <v>-8958.0210999999999</v>
      </c>
      <c r="AE927">
        <v>-8958.0210999999999</v>
      </c>
      <c r="AF927">
        <v>-1050810.2549999999</v>
      </c>
    </row>
    <row r="928" spans="2:32" x14ac:dyDescent="0.25">
      <c r="B928">
        <f t="shared" si="39"/>
        <v>56</v>
      </c>
      <c r="C928">
        <v>1</v>
      </c>
      <c r="D928">
        <v>1</v>
      </c>
      <c r="E928">
        <v>1</v>
      </c>
      <c r="F928">
        <v>1</v>
      </c>
      <c r="G928">
        <v>1</v>
      </c>
      <c r="J928">
        <f t="shared" si="40"/>
        <v>56</v>
      </c>
      <c r="K928">
        <v>1</v>
      </c>
      <c r="L928">
        <v>1</v>
      </c>
      <c r="M928">
        <v>1</v>
      </c>
      <c r="N928">
        <v>1</v>
      </c>
      <c r="O928">
        <v>1</v>
      </c>
      <c r="R928">
        <f t="shared" si="41"/>
        <v>56</v>
      </c>
      <c r="S928">
        <v>1</v>
      </c>
      <c r="T928">
        <v>1</v>
      </c>
      <c r="U928">
        <v>1</v>
      </c>
      <c r="V928">
        <v>1</v>
      </c>
      <c r="W928">
        <v>1</v>
      </c>
      <c r="AA928">
        <v>-8815.6316999999999</v>
      </c>
      <c r="AB928">
        <v>-8815.6316999999999</v>
      </c>
      <c r="AC928">
        <v>-8815.6316999999999</v>
      </c>
      <c r="AD928">
        <v>-8815.6316999999999</v>
      </c>
      <c r="AE928">
        <v>-8815.6316999999999</v>
      </c>
      <c r="AF928">
        <v>-1050810.2549999999</v>
      </c>
    </row>
    <row r="929" spans="2:32" x14ac:dyDescent="0.25">
      <c r="B929">
        <f t="shared" si="39"/>
        <v>57</v>
      </c>
      <c r="C929">
        <v>1</v>
      </c>
      <c r="D929">
        <v>1</v>
      </c>
      <c r="E929">
        <v>1</v>
      </c>
      <c r="F929">
        <v>1</v>
      </c>
      <c r="G929">
        <v>1</v>
      </c>
      <c r="J929">
        <f t="shared" si="40"/>
        <v>57</v>
      </c>
      <c r="K929">
        <v>1</v>
      </c>
      <c r="L929">
        <v>1</v>
      </c>
      <c r="M929">
        <v>1</v>
      </c>
      <c r="N929">
        <v>1</v>
      </c>
      <c r="O929">
        <v>1</v>
      </c>
      <c r="R929">
        <f t="shared" si="41"/>
        <v>57</v>
      </c>
      <c r="S929">
        <v>1</v>
      </c>
      <c r="T929">
        <v>1</v>
      </c>
      <c r="U929">
        <v>1</v>
      </c>
      <c r="V929">
        <v>1</v>
      </c>
      <c r="W929">
        <v>1</v>
      </c>
      <c r="AA929">
        <v>-8671.3991999999998</v>
      </c>
      <c r="AB929">
        <v>-8671.3991999999998</v>
      </c>
      <c r="AC929">
        <v>-8671.3991999999998</v>
      </c>
      <c r="AD929">
        <v>-8671.3991999999998</v>
      </c>
      <c r="AE929">
        <v>-8671.3991999999998</v>
      </c>
      <c r="AF929">
        <v>-1093242.6832999999</v>
      </c>
    </row>
    <row r="930" spans="2:32" x14ac:dyDescent="0.25">
      <c r="B930">
        <f t="shared" si="39"/>
        <v>58</v>
      </c>
      <c r="C930">
        <v>1</v>
      </c>
      <c r="D930">
        <v>1</v>
      </c>
      <c r="E930">
        <v>1</v>
      </c>
      <c r="F930">
        <v>1</v>
      </c>
      <c r="G930">
        <v>1</v>
      </c>
      <c r="J930">
        <f t="shared" si="40"/>
        <v>58</v>
      </c>
      <c r="K930">
        <v>1</v>
      </c>
      <c r="L930">
        <v>1</v>
      </c>
      <c r="M930">
        <v>1</v>
      </c>
      <c r="N930">
        <v>1</v>
      </c>
      <c r="O930">
        <v>1</v>
      </c>
      <c r="R930">
        <f t="shared" si="41"/>
        <v>58</v>
      </c>
      <c r="S930">
        <v>1</v>
      </c>
      <c r="T930">
        <v>1</v>
      </c>
      <c r="U930">
        <v>1</v>
      </c>
      <c r="V930">
        <v>1</v>
      </c>
      <c r="W930">
        <v>1</v>
      </c>
      <c r="AA930">
        <v>-8525.2759999999998</v>
      </c>
      <c r="AB930">
        <v>-8525.2759999999998</v>
      </c>
      <c r="AC930">
        <v>-8525.2759999999998</v>
      </c>
      <c r="AD930">
        <v>-8525.2759999999998</v>
      </c>
      <c r="AE930">
        <v>-8525.2759999999998</v>
      </c>
      <c r="AF930">
        <v>-1114366.6444000001</v>
      </c>
    </row>
    <row r="931" spans="2:32" x14ac:dyDescent="0.25">
      <c r="B931">
        <f t="shared" si="39"/>
        <v>59</v>
      </c>
      <c r="C931">
        <v>1</v>
      </c>
      <c r="D931">
        <v>1</v>
      </c>
      <c r="E931">
        <v>1</v>
      </c>
      <c r="F931">
        <v>1</v>
      </c>
      <c r="G931">
        <v>1</v>
      </c>
      <c r="J931">
        <f t="shared" si="40"/>
        <v>59</v>
      </c>
      <c r="K931">
        <v>1</v>
      </c>
      <c r="L931">
        <v>1</v>
      </c>
      <c r="M931">
        <v>1</v>
      </c>
      <c r="N931">
        <v>1</v>
      </c>
      <c r="O931">
        <v>1</v>
      </c>
      <c r="R931">
        <f t="shared" si="41"/>
        <v>59</v>
      </c>
      <c r="S931">
        <v>1</v>
      </c>
      <c r="T931">
        <v>1</v>
      </c>
      <c r="U931">
        <v>1</v>
      </c>
      <c r="V931">
        <v>1</v>
      </c>
      <c r="W931">
        <v>1</v>
      </c>
      <c r="AA931">
        <v>-8377.2351999999992</v>
      </c>
      <c r="AB931">
        <v>-8377.2351999999992</v>
      </c>
      <c r="AC931">
        <v>-8377.2351999999992</v>
      </c>
      <c r="AD931">
        <v>-8377.2351999999992</v>
      </c>
      <c r="AE931">
        <v>-8377.2351999999992</v>
      </c>
      <c r="AF931">
        <v>-1136284.0146999999</v>
      </c>
    </row>
    <row r="932" spans="2:32" x14ac:dyDescent="0.25">
      <c r="B932">
        <f t="shared" si="39"/>
        <v>60</v>
      </c>
      <c r="C932">
        <v>1</v>
      </c>
      <c r="D932">
        <v>1</v>
      </c>
      <c r="E932">
        <v>1</v>
      </c>
      <c r="F932">
        <v>1</v>
      </c>
      <c r="G932">
        <v>1</v>
      </c>
      <c r="J932">
        <f t="shared" si="40"/>
        <v>60</v>
      </c>
      <c r="K932">
        <v>1</v>
      </c>
      <c r="L932">
        <v>1</v>
      </c>
      <c r="M932">
        <v>1</v>
      </c>
      <c r="N932">
        <v>1</v>
      </c>
      <c r="O932">
        <v>1</v>
      </c>
      <c r="R932">
        <f t="shared" si="41"/>
        <v>60</v>
      </c>
      <c r="S932">
        <v>1</v>
      </c>
      <c r="T932">
        <v>1</v>
      </c>
      <c r="U932">
        <v>1</v>
      </c>
      <c r="V932">
        <v>1</v>
      </c>
      <c r="W932">
        <v>1</v>
      </c>
      <c r="AA932">
        <v>-8227.3953999999994</v>
      </c>
      <c r="AB932">
        <v>-8227.3953999999994</v>
      </c>
      <c r="AC932">
        <v>-8227.3953999999994</v>
      </c>
      <c r="AD932">
        <v>-8227.3953999999994</v>
      </c>
      <c r="AE932">
        <v>-8227.3953999999994</v>
      </c>
      <c r="AF932">
        <v>-1157801.6717999999</v>
      </c>
    </row>
    <row r="933" spans="2:32" x14ac:dyDescent="0.25">
      <c r="B933">
        <f t="shared" si="39"/>
        <v>61</v>
      </c>
      <c r="C933">
        <v>1</v>
      </c>
      <c r="D933">
        <v>1</v>
      </c>
      <c r="E933">
        <v>1</v>
      </c>
      <c r="F933">
        <v>1</v>
      </c>
      <c r="G933">
        <v>1</v>
      </c>
      <c r="J933">
        <f t="shared" si="40"/>
        <v>61</v>
      </c>
      <c r="K933">
        <v>1</v>
      </c>
      <c r="L933">
        <v>1</v>
      </c>
      <c r="M933">
        <v>1</v>
      </c>
      <c r="N933">
        <v>1</v>
      </c>
      <c r="O933">
        <v>1</v>
      </c>
      <c r="R933">
        <f t="shared" si="41"/>
        <v>61</v>
      </c>
      <c r="S933">
        <v>1</v>
      </c>
      <c r="T933">
        <v>1</v>
      </c>
      <c r="U933">
        <v>1</v>
      </c>
      <c r="V933">
        <v>1</v>
      </c>
      <c r="W933">
        <v>1</v>
      </c>
      <c r="AA933">
        <v>-8076.1778999999997</v>
      </c>
      <c r="AB933">
        <v>-8076.1778999999997</v>
      </c>
      <c r="AC933">
        <v>-8076.1778999999997</v>
      </c>
      <c r="AD933">
        <v>-8076.1778999999997</v>
      </c>
      <c r="AE933">
        <v>-8076.1778999999997</v>
      </c>
      <c r="AF933">
        <v>-1178581.4038</v>
      </c>
    </row>
    <row r="934" spans="2:32" x14ac:dyDescent="0.25">
      <c r="B934">
        <f t="shared" si="39"/>
        <v>62</v>
      </c>
      <c r="C934">
        <v>1</v>
      </c>
      <c r="D934">
        <v>1</v>
      </c>
      <c r="E934">
        <v>1</v>
      </c>
      <c r="F934">
        <v>1</v>
      </c>
      <c r="G934">
        <v>1</v>
      </c>
      <c r="J934">
        <f t="shared" si="40"/>
        <v>62</v>
      </c>
      <c r="K934">
        <v>1</v>
      </c>
      <c r="L934">
        <v>1</v>
      </c>
      <c r="M934">
        <v>1</v>
      </c>
      <c r="N934">
        <v>1</v>
      </c>
      <c r="O934">
        <v>1</v>
      </c>
      <c r="R934">
        <f t="shared" si="41"/>
        <v>62</v>
      </c>
      <c r="S934">
        <v>1</v>
      </c>
      <c r="T934">
        <v>1</v>
      </c>
      <c r="U934">
        <v>1</v>
      </c>
      <c r="V934">
        <v>1</v>
      </c>
      <c r="W934">
        <v>1</v>
      </c>
      <c r="AA934">
        <v>-7923.5816000000004</v>
      </c>
      <c r="AB934">
        <v>-7923.5816000000004</v>
      </c>
      <c r="AC934">
        <v>-7923.5816000000004</v>
      </c>
      <c r="AD934">
        <v>-7923.5816000000004</v>
      </c>
      <c r="AE934">
        <v>-7923.5816000000004</v>
      </c>
      <c r="AF934">
        <v>-1199521.5327000001</v>
      </c>
    </row>
    <row r="935" spans="2:32" x14ac:dyDescent="0.25">
      <c r="B935">
        <f t="shared" si="39"/>
        <v>63</v>
      </c>
      <c r="C935">
        <v>1</v>
      </c>
      <c r="D935">
        <v>1</v>
      </c>
      <c r="E935">
        <v>1</v>
      </c>
      <c r="F935">
        <v>1</v>
      </c>
      <c r="G935">
        <v>1</v>
      </c>
      <c r="J935">
        <f t="shared" si="40"/>
        <v>63</v>
      </c>
      <c r="K935">
        <v>1</v>
      </c>
      <c r="L935">
        <v>1</v>
      </c>
      <c r="M935">
        <v>1</v>
      </c>
      <c r="N935">
        <v>1</v>
      </c>
      <c r="O935">
        <v>1</v>
      </c>
      <c r="R935">
        <f t="shared" si="41"/>
        <v>63</v>
      </c>
      <c r="S935">
        <v>1</v>
      </c>
      <c r="T935">
        <v>1</v>
      </c>
      <c r="U935">
        <v>1</v>
      </c>
      <c r="V935">
        <v>1</v>
      </c>
      <c r="W935">
        <v>1</v>
      </c>
      <c r="AA935">
        <v>-7769.2775000000001</v>
      </c>
      <c r="AB935">
        <v>-7769.2775000000001</v>
      </c>
      <c r="AC935">
        <v>-7769.2775000000001</v>
      </c>
      <c r="AD935">
        <v>-7769.2775000000001</v>
      </c>
      <c r="AE935">
        <v>-7769.2775000000001</v>
      </c>
      <c r="AF935">
        <v>-1220461.6269</v>
      </c>
    </row>
    <row r="936" spans="2:32" x14ac:dyDescent="0.25">
      <c r="B936">
        <f t="shared" si="39"/>
        <v>64</v>
      </c>
      <c r="C936">
        <v>1</v>
      </c>
      <c r="D936">
        <v>1</v>
      </c>
      <c r="E936">
        <v>1</v>
      </c>
      <c r="F936">
        <v>1</v>
      </c>
      <c r="G936">
        <v>1</v>
      </c>
      <c r="J936">
        <f t="shared" si="40"/>
        <v>64</v>
      </c>
      <c r="K936">
        <v>1</v>
      </c>
      <c r="L936">
        <v>1</v>
      </c>
      <c r="M936">
        <v>1</v>
      </c>
      <c r="N936">
        <v>1</v>
      </c>
      <c r="O936">
        <v>1</v>
      </c>
      <c r="R936">
        <f t="shared" si="41"/>
        <v>64</v>
      </c>
      <c r="S936">
        <v>1</v>
      </c>
      <c r="T936">
        <v>1</v>
      </c>
      <c r="U936">
        <v>1</v>
      </c>
      <c r="V936">
        <v>1</v>
      </c>
      <c r="W936">
        <v>1</v>
      </c>
      <c r="AA936">
        <v>-7613.3999000000003</v>
      </c>
      <c r="AB936">
        <v>-7613.3999000000003</v>
      </c>
      <c r="AC936">
        <v>-7613.3999000000003</v>
      </c>
      <c r="AD936">
        <v>-7613.3999000000003</v>
      </c>
      <c r="AE936">
        <v>-7613.3999000000003</v>
      </c>
      <c r="AF936">
        <v>-1240652.2526</v>
      </c>
    </row>
    <row r="937" spans="2:32" x14ac:dyDescent="0.25">
      <c r="B937">
        <f t="shared" si="39"/>
        <v>65</v>
      </c>
      <c r="C937">
        <v>1</v>
      </c>
      <c r="D937">
        <v>1</v>
      </c>
      <c r="E937">
        <v>1</v>
      </c>
      <c r="F937">
        <v>1</v>
      </c>
      <c r="G937">
        <v>1</v>
      </c>
      <c r="J937">
        <f t="shared" si="40"/>
        <v>65</v>
      </c>
      <c r="K937">
        <v>1</v>
      </c>
      <c r="L937">
        <v>1</v>
      </c>
      <c r="M937">
        <v>1</v>
      </c>
      <c r="N937">
        <v>1</v>
      </c>
      <c r="O937">
        <v>1</v>
      </c>
      <c r="R937">
        <f t="shared" si="41"/>
        <v>65</v>
      </c>
      <c r="S937">
        <v>1</v>
      </c>
      <c r="T937">
        <v>1</v>
      </c>
      <c r="U937">
        <v>1</v>
      </c>
      <c r="V937">
        <v>1</v>
      </c>
      <c r="W937">
        <v>1</v>
      </c>
      <c r="AA937">
        <v>-7455.8590000000004</v>
      </c>
      <c r="AB937">
        <v>-7455.8590000000004</v>
      </c>
      <c r="AC937">
        <v>-7455.8590000000004</v>
      </c>
      <c r="AD937">
        <v>-7455.8590000000004</v>
      </c>
      <c r="AE937">
        <v>-7455.8590000000004</v>
      </c>
      <c r="AF937">
        <v>-1260049.8302</v>
      </c>
    </row>
    <row r="940" spans="2:32" x14ac:dyDescent="0.25">
      <c r="B940" t="s">
        <v>46</v>
      </c>
      <c r="C940">
        <v>50000</v>
      </c>
      <c r="D940">
        <v>100000</v>
      </c>
      <c r="E940">
        <v>250000</v>
      </c>
      <c r="F940">
        <v>500000</v>
      </c>
      <c r="G940">
        <v>1000000</v>
      </c>
      <c r="H940">
        <v>2000000</v>
      </c>
      <c r="J940" t="s">
        <v>47</v>
      </c>
      <c r="K940">
        <v>50000</v>
      </c>
      <c r="L940">
        <v>100000</v>
      </c>
      <c r="M940">
        <v>250000</v>
      </c>
      <c r="N940">
        <v>500000</v>
      </c>
      <c r="O940">
        <v>1000000</v>
      </c>
      <c r="P940">
        <v>2000000</v>
      </c>
      <c r="R940" t="s">
        <v>48</v>
      </c>
      <c r="S940">
        <v>50000</v>
      </c>
      <c r="T940">
        <v>100000</v>
      </c>
      <c r="U940">
        <v>250000</v>
      </c>
      <c r="V940">
        <v>500000</v>
      </c>
      <c r="W940">
        <v>1000000</v>
      </c>
      <c r="X940">
        <v>2000000</v>
      </c>
    </row>
    <row r="941" spans="2:32" x14ac:dyDescent="0.25">
      <c r="B941">
        <v>26</v>
      </c>
      <c r="C941">
        <v>1</v>
      </c>
      <c r="D941">
        <v>1</v>
      </c>
      <c r="E941">
        <v>1</v>
      </c>
      <c r="F941">
        <v>1</v>
      </c>
      <c r="G941">
        <v>1</v>
      </c>
      <c r="H941">
        <v>1</v>
      </c>
      <c r="J941">
        <v>26</v>
      </c>
      <c r="K941">
        <v>1</v>
      </c>
      <c r="L941">
        <v>1</v>
      </c>
      <c r="M941">
        <v>1</v>
      </c>
      <c r="N941">
        <v>1</v>
      </c>
      <c r="O941">
        <v>1</v>
      </c>
      <c r="P941">
        <v>1</v>
      </c>
      <c r="R941">
        <v>26</v>
      </c>
      <c r="S941">
        <v>1</v>
      </c>
      <c r="T941">
        <v>1</v>
      </c>
      <c r="U941">
        <v>1</v>
      </c>
      <c r="V941">
        <v>1</v>
      </c>
      <c r="W941">
        <v>1</v>
      </c>
      <c r="X941">
        <v>1</v>
      </c>
      <c r="AA941">
        <v>-7435.5060999999996</v>
      </c>
      <c r="AB941">
        <v>-7435.5060999999996</v>
      </c>
      <c r="AC941">
        <v>-7435.5060999999996</v>
      </c>
      <c r="AD941">
        <v>-7435.5060999999996</v>
      </c>
      <c r="AE941">
        <v>-7435.5060999999996</v>
      </c>
      <c r="AF941">
        <v>-7435.5060999999996</v>
      </c>
    </row>
    <row r="942" spans="2:32" x14ac:dyDescent="0.25">
      <c r="B942">
        <v>27</v>
      </c>
      <c r="C942">
        <v>1</v>
      </c>
      <c r="D942">
        <v>1</v>
      </c>
      <c r="E942">
        <v>1</v>
      </c>
      <c r="F942">
        <v>1</v>
      </c>
      <c r="G942">
        <v>1</v>
      </c>
      <c r="H942">
        <v>1</v>
      </c>
      <c r="J942">
        <v>27</v>
      </c>
      <c r="K942">
        <v>1</v>
      </c>
      <c r="L942">
        <v>1</v>
      </c>
      <c r="M942">
        <v>1</v>
      </c>
      <c r="N942">
        <v>1</v>
      </c>
      <c r="O942">
        <v>1</v>
      </c>
      <c r="P942">
        <v>1</v>
      </c>
      <c r="R942">
        <v>27</v>
      </c>
      <c r="S942">
        <v>1</v>
      </c>
      <c r="T942">
        <v>1</v>
      </c>
      <c r="U942">
        <v>1</v>
      </c>
      <c r="V942">
        <v>1</v>
      </c>
      <c r="W942">
        <v>1</v>
      </c>
      <c r="X942">
        <v>1</v>
      </c>
      <c r="AA942">
        <v>-7434.2619000000004</v>
      </c>
      <c r="AB942">
        <v>-7434.2619000000004</v>
      </c>
      <c r="AC942">
        <v>-7434.2619000000004</v>
      </c>
      <c r="AD942">
        <v>-7434.2619000000004</v>
      </c>
      <c r="AE942">
        <v>-7434.2619000000004</v>
      </c>
      <c r="AF942">
        <v>-7434.2619000000004</v>
      </c>
    </row>
    <row r="943" spans="2:32" x14ac:dyDescent="0.25">
      <c r="B943">
        <v>28</v>
      </c>
      <c r="C943">
        <v>1</v>
      </c>
      <c r="D943">
        <v>1</v>
      </c>
      <c r="E943">
        <v>1</v>
      </c>
      <c r="F943">
        <v>1</v>
      </c>
      <c r="G943">
        <v>1</v>
      </c>
      <c r="H943">
        <v>1</v>
      </c>
      <c r="J943">
        <v>28</v>
      </c>
      <c r="K943">
        <v>1</v>
      </c>
      <c r="L943">
        <v>1</v>
      </c>
      <c r="M943">
        <v>1</v>
      </c>
      <c r="N943">
        <v>1</v>
      </c>
      <c r="O943">
        <v>1</v>
      </c>
      <c r="P943">
        <v>1</v>
      </c>
      <c r="R943">
        <v>28</v>
      </c>
      <c r="S943">
        <v>1</v>
      </c>
      <c r="T943">
        <v>1</v>
      </c>
      <c r="U943">
        <v>1</v>
      </c>
      <c r="V943">
        <v>1</v>
      </c>
      <c r="W943">
        <v>1</v>
      </c>
      <c r="X943">
        <v>1</v>
      </c>
      <c r="AA943">
        <v>-7432.8334999999997</v>
      </c>
      <c r="AB943">
        <v>-7432.8334999999997</v>
      </c>
      <c r="AC943">
        <v>-7432.8334999999997</v>
      </c>
      <c r="AD943">
        <v>-7432.8334999999997</v>
      </c>
      <c r="AE943">
        <v>-7432.8334999999997</v>
      </c>
      <c r="AF943">
        <v>-7432.8334999999997</v>
      </c>
    </row>
    <row r="944" spans="2:32" x14ac:dyDescent="0.25">
      <c r="B944">
        <v>29</v>
      </c>
      <c r="C944">
        <v>1</v>
      </c>
      <c r="D944">
        <v>1</v>
      </c>
      <c r="E944">
        <v>1</v>
      </c>
      <c r="F944">
        <v>1</v>
      </c>
      <c r="G944">
        <v>1</v>
      </c>
      <c r="H944">
        <v>1</v>
      </c>
      <c r="J944">
        <v>29</v>
      </c>
      <c r="K944">
        <v>1</v>
      </c>
      <c r="L944">
        <v>1</v>
      </c>
      <c r="M944">
        <v>1</v>
      </c>
      <c r="N944">
        <v>1</v>
      </c>
      <c r="O944">
        <v>1</v>
      </c>
      <c r="P944">
        <v>1</v>
      </c>
      <c r="R944">
        <v>29</v>
      </c>
      <c r="S944">
        <v>1</v>
      </c>
      <c r="T944">
        <v>1</v>
      </c>
      <c r="U944">
        <v>1</v>
      </c>
      <c r="V944">
        <v>1</v>
      </c>
      <c r="W944">
        <v>1</v>
      </c>
      <c r="X944">
        <v>1</v>
      </c>
      <c r="AA944">
        <v>-7431.2058999999999</v>
      </c>
      <c r="AB944">
        <v>-7431.2058999999999</v>
      </c>
      <c r="AC944">
        <v>-7431.2058999999999</v>
      </c>
      <c r="AD944">
        <v>-7431.2058999999999</v>
      </c>
      <c r="AE944">
        <v>-7431.2058999999999</v>
      </c>
      <c r="AF944">
        <v>-7431.2058999999999</v>
      </c>
    </row>
    <row r="945" spans="2:32" x14ac:dyDescent="0.25">
      <c r="B945">
        <v>30</v>
      </c>
      <c r="C945">
        <v>1</v>
      </c>
      <c r="D945">
        <v>1</v>
      </c>
      <c r="E945">
        <v>1</v>
      </c>
      <c r="F945">
        <v>1</v>
      </c>
      <c r="G945">
        <v>1</v>
      </c>
      <c r="H945">
        <v>1</v>
      </c>
      <c r="J945">
        <v>30</v>
      </c>
      <c r="K945">
        <v>1</v>
      </c>
      <c r="L945">
        <v>1</v>
      </c>
      <c r="M945">
        <v>1</v>
      </c>
      <c r="N945">
        <v>1</v>
      </c>
      <c r="O945">
        <v>1</v>
      </c>
      <c r="P945">
        <v>1</v>
      </c>
      <c r="R945">
        <v>30</v>
      </c>
      <c r="S945">
        <v>1</v>
      </c>
      <c r="T945">
        <v>1</v>
      </c>
      <c r="U945">
        <v>1</v>
      </c>
      <c r="V945">
        <v>1</v>
      </c>
      <c r="W945">
        <v>1</v>
      </c>
      <c r="X945">
        <v>1</v>
      </c>
      <c r="AA945">
        <v>-7429.3476000000001</v>
      </c>
      <c r="AB945">
        <v>-7429.3476000000001</v>
      </c>
      <c r="AC945">
        <v>-7429.3476000000001</v>
      </c>
      <c r="AD945">
        <v>-7429.3476000000001</v>
      </c>
      <c r="AE945">
        <v>-7429.3476000000001</v>
      </c>
      <c r="AF945">
        <v>-7429.3476000000001</v>
      </c>
    </row>
    <row r="946" spans="2:32" x14ac:dyDescent="0.25">
      <c r="B946">
        <v>31</v>
      </c>
      <c r="C946">
        <v>1</v>
      </c>
      <c r="D946">
        <v>1</v>
      </c>
      <c r="E946">
        <v>1</v>
      </c>
      <c r="F946">
        <v>1</v>
      </c>
      <c r="G946">
        <v>1</v>
      </c>
      <c r="H946">
        <v>1</v>
      </c>
      <c r="J946">
        <v>31</v>
      </c>
      <c r="K946">
        <v>1</v>
      </c>
      <c r="L946">
        <v>1</v>
      </c>
      <c r="M946">
        <v>1</v>
      </c>
      <c r="N946">
        <v>1</v>
      </c>
      <c r="O946">
        <v>1</v>
      </c>
      <c r="P946">
        <v>1</v>
      </c>
      <c r="R946">
        <v>31</v>
      </c>
      <c r="S946">
        <v>1</v>
      </c>
      <c r="T946">
        <v>1</v>
      </c>
      <c r="U946">
        <v>1</v>
      </c>
      <c r="V946">
        <v>1</v>
      </c>
      <c r="W946">
        <v>1</v>
      </c>
      <c r="X946">
        <v>1</v>
      </c>
      <c r="AA946">
        <v>-7427.2446</v>
      </c>
      <c r="AB946">
        <v>-7427.2446</v>
      </c>
      <c r="AC946">
        <v>-7427.2446</v>
      </c>
      <c r="AD946">
        <v>-7427.2446</v>
      </c>
      <c r="AE946">
        <v>-7427.2446</v>
      </c>
      <c r="AF946">
        <v>-7427.2446</v>
      </c>
    </row>
    <row r="947" spans="2:32" x14ac:dyDescent="0.25">
      <c r="B947">
        <v>32</v>
      </c>
      <c r="C947">
        <v>1</v>
      </c>
      <c r="D947">
        <v>1</v>
      </c>
      <c r="E947">
        <v>1</v>
      </c>
      <c r="F947">
        <v>1</v>
      </c>
      <c r="G947">
        <v>1</v>
      </c>
      <c r="H947">
        <v>1</v>
      </c>
      <c r="J947">
        <v>32</v>
      </c>
      <c r="K947">
        <v>1</v>
      </c>
      <c r="L947">
        <v>1</v>
      </c>
      <c r="M947">
        <v>1</v>
      </c>
      <c r="N947">
        <v>1</v>
      </c>
      <c r="O947">
        <v>1</v>
      </c>
      <c r="P947">
        <v>1</v>
      </c>
      <c r="R947">
        <v>32</v>
      </c>
      <c r="S947">
        <v>1</v>
      </c>
      <c r="T947">
        <v>1</v>
      </c>
      <c r="U947">
        <v>1</v>
      </c>
      <c r="V947">
        <v>1</v>
      </c>
      <c r="W947">
        <v>1</v>
      </c>
      <c r="X947">
        <v>1</v>
      </c>
      <c r="AA947">
        <v>-7424.8944000000001</v>
      </c>
      <c r="AB947">
        <v>-7424.8944000000001</v>
      </c>
      <c r="AC947">
        <v>-7424.8944000000001</v>
      </c>
      <c r="AD947">
        <v>-7424.8944000000001</v>
      </c>
      <c r="AE947">
        <v>-7424.8944000000001</v>
      </c>
      <c r="AF947">
        <v>-7424.8944000000001</v>
      </c>
    </row>
    <row r="948" spans="2:32" x14ac:dyDescent="0.25">
      <c r="B948">
        <v>33</v>
      </c>
      <c r="C948">
        <v>1</v>
      </c>
      <c r="D948">
        <v>1</v>
      </c>
      <c r="E948">
        <v>1</v>
      </c>
      <c r="F948">
        <v>1</v>
      </c>
      <c r="G948">
        <v>1</v>
      </c>
      <c r="H948">
        <v>1</v>
      </c>
      <c r="J948">
        <v>33</v>
      </c>
      <c r="K948">
        <v>1</v>
      </c>
      <c r="L948">
        <v>1</v>
      </c>
      <c r="M948">
        <v>1</v>
      </c>
      <c r="N948">
        <v>1</v>
      </c>
      <c r="O948">
        <v>1</v>
      </c>
      <c r="P948">
        <v>1</v>
      </c>
      <c r="R948">
        <v>33</v>
      </c>
      <c r="S948">
        <v>1</v>
      </c>
      <c r="T948">
        <v>1</v>
      </c>
      <c r="U948">
        <v>1</v>
      </c>
      <c r="V948">
        <v>1</v>
      </c>
      <c r="W948">
        <v>1</v>
      </c>
      <c r="X948">
        <v>1</v>
      </c>
      <c r="AA948">
        <v>-7422.2834000000003</v>
      </c>
      <c r="AB948">
        <v>-7422.2834000000003</v>
      </c>
      <c r="AC948">
        <v>-7422.2834000000003</v>
      </c>
      <c r="AD948">
        <v>-7422.2834000000003</v>
      </c>
      <c r="AE948">
        <v>-7422.2834000000003</v>
      </c>
      <c r="AF948">
        <v>-7422.2834000000003</v>
      </c>
    </row>
    <row r="949" spans="2:32" x14ac:dyDescent="0.25">
      <c r="B949">
        <v>34</v>
      </c>
      <c r="C949">
        <v>1</v>
      </c>
      <c r="D949">
        <v>1</v>
      </c>
      <c r="E949">
        <v>1</v>
      </c>
      <c r="F949">
        <v>1</v>
      </c>
      <c r="G949">
        <v>1</v>
      </c>
      <c r="H949">
        <v>1</v>
      </c>
      <c r="J949">
        <v>34</v>
      </c>
      <c r="K949">
        <v>1</v>
      </c>
      <c r="L949">
        <v>1</v>
      </c>
      <c r="M949">
        <v>1</v>
      </c>
      <c r="N949">
        <v>1</v>
      </c>
      <c r="O949">
        <v>1</v>
      </c>
      <c r="P949">
        <v>1</v>
      </c>
      <c r="R949">
        <v>34</v>
      </c>
      <c r="S949">
        <v>1</v>
      </c>
      <c r="T949">
        <v>1</v>
      </c>
      <c r="U949">
        <v>1</v>
      </c>
      <c r="V949">
        <v>1</v>
      </c>
      <c r="W949">
        <v>1</v>
      </c>
      <c r="X949">
        <v>1</v>
      </c>
      <c r="AA949">
        <v>-7419.3683000000001</v>
      </c>
      <c r="AB949">
        <v>-7419.3683000000001</v>
      </c>
      <c r="AC949">
        <v>-7419.3683000000001</v>
      </c>
      <c r="AD949">
        <v>-7419.3683000000001</v>
      </c>
      <c r="AE949">
        <v>-7419.3683000000001</v>
      </c>
      <c r="AF949">
        <v>-7419.3683000000001</v>
      </c>
    </row>
    <row r="950" spans="2:32" x14ac:dyDescent="0.25">
      <c r="B950">
        <v>35</v>
      </c>
      <c r="C950">
        <v>1</v>
      </c>
      <c r="D950">
        <v>1</v>
      </c>
      <c r="E950">
        <v>1</v>
      </c>
      <c r="F950">
        <v>1</v>
      </c>
      <c r="G950">
        <v>1</v>
      </c>
      <c r="H950">
        <v>1</v>
      </c>
      <c r="J950">
        <v>35</v>
      </c>
      <c r="K950">
        <v>1</v>
      </c>
      <c r="L950">
        <v>1</v>
      </c>
      <c r="M950">
        <v>1</v>
      </c>
      <c r="N950">
        <v>1</v>
      </c>
      <c r="O950">
        <v>1</v>
      </c>
      <c r="P950">
        <v>1</v>
      </c>
      <c r="R950">
        <v>35</v>
      </c>
      <c r="S950">
        <v>1</v>
      </c>
      <c r="T950">
        <v>1</v>
      </c>
      <c r="U950">
        <v>1</v>
      </c>
      <c r="V950">
        <v>1</v>
      </c>
      <c r="W950">
        <v>1</v>
      </c>
      <c r="X950">
        <v>1</v>
      </c>
      <c r="AA950">
        <v>-7416.1363000000001</v>
      </c>
      <c r="AB950">
        <v>-7416.1363000000001</v>
      </c>
      <c r="AC950">
        <v>-7416.1363000000001</v>
      </c>
      <c r="AD950">
        <v>-7416.1363000000001</v>
      </c>
      <c r="AE950">
        <v>-7416.1363000000001</v>
      </c>
      <c r="AF950">
        <v>-7416.1363000000001</v>
      </c>
    </row>
    <row r="951" spans="2:32" x14ac:dyDescent="0.25">
      <c r="B951">
        <v>36</v>
      </c>
      <c r="C951">
        <v>1</v>
      </c>
      <c r="D951">
        <v>1</v>
      </c>
      <c r="E951">
        <v>1</v>
      </c>
      <c r="F951">
        <v>1</v>
      </c>
      <c r="G951">
        <v>1</v>
      </c>
      <c r="H951">
        <v>1</v>
      </c>
      <c r="J951">
        <v>36</v>
      </c>
      <c r="K951">
        <v>1</v>
      </c>
      <c r="L951">
        <v>1</v>
      </c>
      <c r="M951">
        <v>1</v>
      </c>
      <c r="N951">
        <v>1</v>
      </c>
      <c r="O951">
        <v>1</v>
      </c>
      <c r="P951">
        <v>1</v>
      </c>
      <c r="R951">
        <v>36</v>
      </c>
      <c r="S951">
        <v>1</v>
      </c>
      <c r="T951">
        <v>1</v>
      </c>
      <c r="U951">
        <v>1</v>
      </c>
      <c r="V951">
        <v>1</v>
      </c>
      <c r="W951">
        <v>1</v>
      </c>
      <c r="X951">
        <v>1</v>
      </c>
      <c r="AA951">
        <v>-7412.5378000000001</v>
      </c>
      <c r="AB951">
        <v>-7412.5378000000001</v>
      </c>
      <c r="AC951">
        <v>-7412.5378000000001</v>
      </c>
      <c r="AD951">
        <v>-7412.5378000000001</v>
      </c>
      <c r="AE951">
        <v>-7412.5378000000001</v>
      </c>
      <c r="AF951">
        <v>-7412.5378000000001</v>
      </c>
    </row>
    <row r="952" spans="2:32" x14ac:dyDescent="0.25">
      <c r="B952">
        <v>37</v>
      </c>
      <c r="C952">
        <v>1</v>
      </c>
      <c r="D952">
        <v>1</v>
      </c>
      <c r="E952">
        <v>1</v>
      </c>
      <c r="F952">
        <v>1</v>
      </c>
      <c r="G952">
        <v>1</v>
      </c>
      <c r="H952">
        <v>1</v>
      </c>
      <c r="J952">
        <v>37</v>
      </c>
      <c r="K952">
        <v>1</v>
      </c>
      <c r="L952">
        <v>1</v>
      </c>
      <c r="M952">
        <v>1</v>
      </c>
      <c r="N952">
        <v>1</v>
      </c>
      <c r="O952">
        <v>1</v>
      </c>
      <c r="P952">
        <v>1</v>
      </c>
      <c r="R952">
        <v>37</v>
      </c>
      <c r="S952">
        <v>1</v>
      </c>
      <c r="T952">
        <v>1</v>
      </c>
      <c r="U952">
        <v>1</v>
      </c>
      <c r="V952">
        <v>1</v>
      </c>
      <c r="W952">
        <v>1</v>
      </c>
      <c r="X952">
        <v>1</v>
      </c>
      <c r="AA952">
        <v>-7408.55</v>
      </c>
      <c r="AB952">
        <v>-7408.55</v>
      </c>
      <c r="AC952">
        <v>-7408.55</v>
      </c>
      <c r="AD952">
        <v>-7408.55</v>
      </c>
      <c r="AE952">
        <v>-7408.55</v>
      </c>
      <c r="AF952">
        <v>-7408.55</v>
      </c>
    </row>
    <row r="953" spans="2:32" x14ac:dyDescent="0.25">
      <c r="B953">
        <v>38</v>
      </c>
      <c r="C953">
        <v>1</v>
      </c>
      <c r="D953">
        <v>1</v>
      </c>
      <c r="E953">
        <v>1</v>
      </c>
      <c r="F953">
        <v>1</v>
      </c>
      <c r="G953">
        <v>1</v>
      </c>
      <c r="H953">
        <v>1</v>
      </c>
      <c r="J953">
        <v>38</v>
      </c>
      <c r="K953">
        <v>1</v>
      </c>
      <c r="L953">
        <v>1</v>
      </c>
      <c r="M953">
        <v>1</v>
      </c>
      <c r="N953">
        <v>1</v>
      </c>
      <c r="O953">
        <v>1</v>
      </c>
      <c r="P953">
        <v>1</v>
      </c>
      <c r="R953">
        <v>38</v>
      </c>
      <c r="S953">
        <v>1</v>
      </c>
      <c r="T953">
        <v>1</v>
      </c>
      <c r="U953">
        <v>1</v>
      </c>
      <c r="V953">
        <v>1</v>
      </c>
      <c r="W953">
        <v>1</v>
      </c>
      <c r="X953">
        <v>1</v>
      </c>
      <c r="AA953">
        <v>-7404.1752999999999</v>
      </c>
      <c r="AB953">
        <v>-7404.1752999999999</v>
      </c>
      <c r="AC953">
        <v>-7404.1752999999999</v>
      </c>
      <c r="AD953">
        <v>-7404.1752999999999</v>
      </c>
      <c r="AE953">
        <v>-7404.1752999999999</v>
      </c>
      <c r="AF953">
        <v>-7404.1752999999999</v>
      </c>
    </row>
    <row r="954" spans="2:32" x14ac:dyDescent="0.25">
      <c r="B954">
        <v>39</v>
      </c>
      <c r="C954">
        <v>1</v>
      </c>
      <c r="D954">
        <v>1</v>
      </c>
      <c r="E954">
        <v>1</v>
      </c>
      <c r="F954">
        <v>1</v>
      </c>
      <c r="G954">
        <v>1</v>
      </c>
      <c r="H954">
        <v>1</v>
      </c>
      <c r="J954">
        <v>39</v>
      </c>
      <c r="K954">
        <v>1</v>
      </c>
      <c r="L954">
        <v>1</v>
      </c>
      <c r="M954">
        <v>1</v>
      </c>
      <c r="N954">
        <v>1</v>
      </c>
      <c r="O954">
        <v>1</v>
      </c>
      <c r="P954">
        <v>1</v>
      </c>
      <c r="R954">
        <v>39</v>
      </c>
      <c r="S954">
        <v>1</v>
      </c>
      <c r="T954">
        <v>1</v>
      </c>
      <c r="U954">
        <v>1</v>
      </c>
      <c r="V954">
        <v>1</v>
      </c>
      <c r="W954">
        <v>1</v>
      </c>
      <c r="X954">
        <v>1</v>
      </c>
      <c r="AA954">
        <v>-7399.3923999999997</v>
      </c>
      <c r="AB954">
        <v>-7399.3923999999997</v>
      </c>
      <c r="AC954">
        <v>-7399.3923999999997</v>
      </c>
      <c r="AD954">
        <v>-7399.3923999999997</v>
      </c>
      <c r="AE954">
        <v>-7399.3923999999997</v>
      </c>
      <c r="AF954">
        <v>-7399.3923999999997</v>
      </c>
    </row>
    <row r="955" spans="2:32" x14ac:dyDescent="0.25">
      <c r="B955">
        <v>40</v>
      </c>
      <c r="C955">
        <v>1</v>
      </c>
      <c r="D955">
        <v>1</v>
      </c>
      <c r="E955">
        <v>1</v>
      </c>
      <c r="F955">
        <v>1</v>
      </c>
      <c r="G955">
        <v>1</v>
      </c>
      <c r="H955">
        <v>1</v>
      </c>
      <c r="J955">
        <v>40</v>
      </c>
      <c r="K955">
        <v>1</v>
      </c>
      <c r="L955">
        <v>1</v>
      </c>
      <c r="M955">
        <v>1</v>
      </c>
      <c r="N955">
        <v>1</v>
      </c>
      <c r="O955">
        <v>1</v>
      </c>
      <c r="P955">
        <v>1</v>
      </c>
      <c r="R955">
        <v>40</v>
      </c>
      <c r="S955">
        <v>1</v>
      </c>
      <c r="T955">
        <v>1</v>
      </c>
      <c r="U955">
        <v>1</v>
      </c>
      <c r="V955">
        <v>1</v>
      </c>
      <c r="W955">
        <v>1</v>
      </c>
      <c r="X955">
        <v>1</v>
      </c>
      <c r="AA955">
        <v>-7394.1365999999998</v>
      </c>
      <c r="AB955">
        <v>-7394.1365999999998</v>
      </c>
      <c r="AC955">
        <v>-7394.1365999999998</v>
      </c>
      <c r="AD955">
        <v>-7394.1365999999998</v>
      </c>
      <c r="AE955">
        <v>-7394.1365999999998</v>
      </c>
      <c r="AF955">
        <v>-7394.1365999999998</v>
      </c>
    </row>
    <row r="956" spans="2:32" x14ac:dyDescent="0.25">
      <c r="B956">
        <v>41</v>
      </c>
      <c r="C956">
        <v>1</v>
      </c>
      <c r="D956">
        <v>1</v>
      </c>
      <c r="E956">
        <v>1</v>
      </c>
      <c r="F956">
        <v>1</v>
      </c>
      <c r="G956">
        <v>1</v>
      </c>
      <c r="H956">
        <v>1</v>
      </c>
      <c r="J956">
        <v>41</v>
      </c>
      <c r="K956">
        <v>1</v>
      </c>
      <c r="L956">
        <v>1</v>
      </c>
      <c r="M956">
        <v>1</v>
      </c>
      <c r="N956">
        <v>1</v>
      </c>
      <c r="O956">
        <v>1</v>
      </c>
      <c r="P956">
        <v>1</v>
      </c>
      <c r="R956">
        <v>41</v>
      </c>
      <c r="S956">
        <v>1</v>
      </c>
      <c r="T956">
        <v>1</v>
      </c>
      <c r="U956">
        <v>1</v>
      </c>
      <c r="V956">
        <v>1</v>
      </c>
      <c r="W956">
        <v>1</v>
      </c>
      <c r="X956">
        <v>1</v>
      </c>
      <c r="AA956">
        <v>-7388.3469999999998</v>
      </c>
      <c r="AB956">
        <v>-7388.3469999999998</v>
      </c>
      <c r="AC956">
        <v>-7388.3469999999998</v>
      </c>
      <c r="AD956">
        <v>-7388.3469999999998</v>
      </c>
      <c r="AE956">
        <v>-7388.3469999999998</v>
      </c>
      <c r="AF956">
        <v>-7388.3469999999998</v>
      </c>
    </row>
    <row r="957" spans="2:32" x14ac:dyDescent="0.25">
      <c r="B957">
        <v>42</v>
      </c>
      <c r="C957">
        <v>1</v>
      </c>
      <c r="D957">
        <v>1</v>
      </c>
      <c r="E957">
        <v>1</v>
      </c>
      <c r="F957">
        <v>1</v>
      </c>
      <c r="G957">
        <v>1</v>
      </c>
      <c r="H957">
        <v>1</v>
      </c>
      <c r="J957">
        <v>42</v>
      </c>
      <c r="K957">
        <v>1</v>
      </c>
      <c r="L957">
        <v>1</v>
      </c>
      <c r="M957">
        <v>1</v>
      </c>
      <c r="N957">
        <v>1</v>
      </c>
      <c r="O957">
        <v>1</v>
      </c>
      <c r="P957">
        <v>1</v>
      </c>
      <c r="R957">
        <v>42</v>
      </c>
      <c r="S957">
        <v>1</v>
      </c>
      <c r="T957">
        <v>1</v>
      </c>
      <c r="U957">
        <v>1</v>
      </c>
      <c r="V957">
        <v>1</v>
      </c>
      <c r="W957">
        <v>1</v>
      </c>
      <c r="X957">
        <v>1</v>
      </c>
      <c r="AA957">
        <v>-7381.9919</v>
      </c>
      <c r="AB957">
        <v>-7381.9919</v>
      </c>
      <c r="AC957">
        <v>-7381.9919</v>
      </c>
      <c r="AD957">
        <v>-7381.9919</v>
      </c>
      <c r="AE957">
        <v>-7381.9919</v>
      </c>
      <c r="AF957">
        <v>-7381.9919</v>
      </c>
    </row>
    <row r="958" spans="2:32" x14ac:dyDescent="0.25">
      <c r="B958">
        <v>43</v>
      </c>
      <c r="C958">
        <v>1</v>
      </c>
      <c r="D958">
        <v>1</v>
      </c>
      <c r="E958">
        <v>1</v>
      </c>
      <c r="F958">
        <v>1</v>
      </c>
      <c r="G958">
        <v>1</v>
      </c>
      <c r="H958">
        <v>1</v>
      </c>
      <c r="J958">
        <v>43</v>
      </c>
      <c r="K958">
        <v>1</v>
      </c>
      <c r="L958">
        <v>1</v>
      </c>
      <c r="M958">
        <v>1</v>
      </c>
      <c r="N958">
        <v>1</v>
      </c>
      <c r="O958">
        <v>1</v>
      </c>
      <c r="P958">
        <v>1</v>
      </c>
      <c r="R958">
        <v>43</v>
      </c>
      <c r="S958">
        <v>1</v>
      </c>
      <c r="T958">
        <v>1</v>
      </c>
      <c r="U958">
        <v>1</v>
      </c>
      <c r="V958">
        <v>1</v>
      </c>
      <c r="W958">
        <v>1</v>
      </c>
      <c r="X958">
        <v>1</v>
      </c>
      <c r="AA958">
        <v>-7374.9579999999996</v>
      </c>
      <c r="AB958">
        <v>-7374.9579999999996</v>
      </c>
      <c r="AC958">
        <v>-7374.9579999999996</v>
      </c>
      <c r="AD958">
        <v>-7374.9579999999996</v>
      </c>
      <c r="AE958">
        <v>-7374.9579999999996</v>
      </c>
      <c r="AF958">
        <v>-7374.9579999999996</v>
      </c>
    </row>
    <row r="959" spans="2:32" x14ac:dyDescent="0.25">
      <c r="B959">
        <v>44</v>
      </c>
      <c r="C959">
        <v>1</v>
      </c>
      <c r="D959">
        <v>1</v>
      </c>
      <c r="E959">
        <v>1</v>
      </c>
      <c r="F959">
        <v>1</v>
      </c>
      <c r="G959">
        <v>1</v>
      </c>
      <c r="H959">
        <v>1</v>
      </c>
      <c r="J959">
        <v>44</v>
      </c>
      <c r="K959">
        <v>1</v>
      </c>
      <c r="L959">
        <v>1</v>
      </c>
      <c r="M959">
        <v>1</v>
      </c>
      <c r="N959">
        <v>1</v>
      </c>
      <c r="O959">
        <v>1</v>
      </c>
      <c r="P959">
        <v>1</v>
      </c>
      <c r="R959">
        <v>44</v>
      </c>
      <c r="S959">
        <v>1</v>
      </c>
      <c r="T959">
        <v>1</v>
      </c>
      <c r="U959">
        <v>1</v>
      </c>
      <c r="V959">
        <v>1</v>
      </c>
      <c r="W959">
        <v>1</v>
      </c>
      <c r="X959">
        <v>1</v>
      </c>
      <c r="AA959">
        <v>-7367.2034999999996</v>
      </c>
      <c r="AB959">
        <v>-7367.2034999999996</v>
      </c>
      <c r="AC959">
        <v>-7367.2034999999996</v>
      </c>
      <c r="AD959">
        <v>-7367.2034999999996</v>
      </c>
      <c r="AE959">
        <v>-7367.2034999999996</v>
      </c>
      <c r="AF959">
        <v>-7367.2034999999996</v>
      </c>
    </row>
    <row r="960" spans="2:32" x14ac:dyDescent="0.25">
      <c r="B960">
        <v>45</v>
      </c>
      <c r="C960">
        <v>1</v>
      </c>
      <c r="D960">
        <v>1</v>
      </c>
      <c r="E960">
        <v>1</v>
      </c>
      <c r="F960">
        <v>1</v>
      </c>
      <c r="G960">
        <v>1</v>
      </c>
      <c r="H960">
        <v>1</v>
      </c>
      <c r="J960">
        <v>45</v>
      </c>
      <c r="K960">
        <v>1</v>
      </c>
      <c r="L960">
        <v>1</v>
      </c>
      <c r="M960">
        <v>1</v>
      </c>
      <c r="N960">
        <v>1</v>
      </c>
      <c r="O960">
        <v>1</v>
      </c>
      <c r="P960">
        <v>1</v>
      </c>
      <c r="R960">
        <v>45</v>
      </c>
      <c r="S960">
        <v>1</v>
      </c>
      <c r="T960">
        <v>1</v>
      </c>
      <c r="U960">
        <v>1</v>
      </c>
      <c r="V960">
        <v>1</v>
      </c>
      <c r="W960">
        <v>1</v>
      </c>
      <c r="X960">
        <v>1</v>
      </c>
      <c r="AA960">
        <v>-7358.6491999999998</v>
      </c>
      <c r="AB960">
        <v>-7358.6491999999998</v>
      </c>
      <c r="AC960">
        <v>-7358.6491999999998</v>
      </c>
      <c r="AD960">
        <v>-7358.6491999999998</v>
      </c>
      <c r="AE960">
        <v>-7358.6491999999998</v>
      </c>
      <c r="AF960">
        <v>-7358.6491999999998</v>
      </c>
    </row>
    <row r="961" spans="2:32" x14ac:dyDescent="0.25">
      <c r="B961">
        <v>46</v>
      </c>
      <c r="C961">
        <v>1</v>
      </c>
      <c r="D961">
        <v>1</v>
      </c>
      <c r="E961">
        <v>1</v>
      </c>
      <c r="F961">
        <v>1</v>
      </c>
      <c r="G961">
        <v>1</v>
      </c>
      <c r="H961">
        <v>1</v>
      </c>
      <c r="J961">
        <v>46</v>
      </c>
      <c r="K961">
        <v>1</v>
      </c>
      <c r="L961">
        <v>1</v>
      </c>
      <c r="M961">
        <v>1</v>
      </c>
      <c r="N961">
        <v>1</v>
      </c>
      <c r="O961">
        <v>1</v>
      </c>
      <c r="P961">
        <v>1</v>
      </c>
      <c r="R961">
        <v>46</v>
      </c>
      <c r="S961">
        <v>1</v>
      </c>
      <c r="T961">
        <v>1</v>
      </c>
      <c r="U961">
        <v>1</v>
      </c>
      <c r="V961">
        <v>1</v>
      </c>
      <c r="W961">
        <v>1</v>
      </c>
      <c r="X961">
        <v>1</v>
      </c>
      <c r="AA961">
        <v>-7349.2232000000004</v>
      </c>
      <c r="AB961">
        <v>-7349.2232000000004</v>
      </c>
      <c r="AC961">
        <v>-7349.2232000000004</v>
      </c>
      <c r="AD961">
        <v>-7349.2232000000004</v>
      </c>
      <c r="AE961">
        <v>-7349.2232000000004</v>
      </c>
      <c r="AF961">
        <v>-7349.2232000000004</v>
      </c>
    </row>
    <row r="962" spans="2:32" x14ac:dyDescent="0.25">
      <c r="B962">
        <v>47</v>
      </c>
      <c r="C962">
        <v>1</v>
      </c>
      <c r="D962">
        <v>1</v>
      </c>
      <c r="E962">
        <v>1</v>
      </c>
      <c r="F962">
        <v>1</v>
      </c>
      <c r="G962">
        <v>1</v>
      </c>
      <c r="H962">
        <v>1</v>
      </c>
      <c r="J962">
        <v>47</v>
      </c>
      <c r="K962">
        <v>1</v>
      </c>
      <c r="L962">
        <v>1</v>
      </c>
      <c r="M962">
        <v>1</v>
      </c>
      <c r="N962">
        <v>1</v>
      </c>
      <c r="O962">
        <v>1</v>
      </c>
      <c r="P962">
        <v>1</v>
      </c>
      <c r="R962">
        <v>47</v>
      </c>
      <c r="S962">
        <v>1</v>
      </c>
      <c r="T962">
        <v>1</v>
      </c>
      <c r="U962">
        <v>1</v>
      </c>
      <c r="V962">
        <v>1</v>
      </c>
      <c r="W962">
        <v>1</v>
      </c>
      <c r="X962">
        <v>1</v>
      </c>
      <c r="AA962">
        <v>-7338.8310000000001</v>
      </c>
      <c r="AB962">
        <v>-7338.8310000000001</v>
      </c>
      <c r="AC962">
        <v>-7338.8310000000001</v>
      </c>
      <c r="AD962">
        <v>-7338.8310000000001</v>
      </c>
      <c r="AE962">
        <v>-7338.8310000000001</v>
      </c>
      <c r="AF962">
        <v>-7338.8310000000001</v>
      </c>
    </row>
    <row r="963" spans="2:32" x14ac:dyDescent="0.25">
      <c r="B963">
        <v>48</v>
      </c>
      <c r="C963">
        <v>1</v>
      </c>
      <c r="D963">
        <v>1</v>
      </c>
      <c r="E963">
        <v>1</v>
      </c>
      <c r="F963">
        <v>1</v>
      </c>
      <c r="G963">
        <v>1</v>
      </c>
      <c r="H963">
        <v>1</v>
      </c>
      <c r="J963">
        <v>48</v>
      </c>
      <c r="K963">
        <v>1</v>
      </c>
      <c r="L963">
        <v>1</v>
      </c>
      <c r="M963">
        <v>1</v>
      </c>
      <c r="N963">
        <v>1</v>
      </c>
      <c r="O963">
        <v>1</v>
      </c>
      <c r="P963">
        <v>1</v>
      </c>
      <c r="R963">
        <v>48</v>
      </c>
      <c r="S963">
        <v>1</v>
      </c>
      <c r="T963">
        <v>1</v>
      </c>
      <c r="U963">
        <v>1</v>
      </c>
      <c r="V963">
        <v>1</v>
      </c>
      <c r="W963">
        <v>1</v>
      </c>
      <c r="X963">
        <v>1</v>
      </c>
      <c r="AA963">
        <v>-7327.4297999999999</v>
      </c>
      <c r="AB963">
        <v>-7327.4297999999999</v>
      </c>
      <c r="AC963">
        <v>-7327.4297999999999</v>
      </c>
      <c r="AD963">
        <v>-7327.4297999999999</v>
      </c>
      <c r="AE963">
        <v>-7327.4297999999999</v>
      </c>
      <c r="AF963">
        <v>-7327.4297999999999</v>
      </c>
    </row>
    <row r="964" spans="2:32" x14ac:dyDescent="0.25">
      <c r="B964">
        <v>49</v>
      </c>
      <c r="C964">
        <v>1</v>
      </c>
      <c r="D964">
        <v>1</v>
      </c>
      <c r="E964">
        <v>1</v>
      </c>
      <c r="F964">
        <v>1</v>
      </c>
      <c r="G964">
        <v>1</v>
      </c>
      <c r="H964">
        <v>1</v>
      </c>
      <c r="J964">
        <v>49</v>
      </c>
      <c r="K964">
        <v>1</v>
      </c>
      <c r="L964">
        <v>1</v>
      </c>
      <c r="M964">
        <v>1</v>
      </c>
      <c r="N964">
        <v>1</v>
      </c>
      <c r="O964">
        <v>1</v>
      </c>
      <c r="P964">
        <v>1</v>
      </c>
      <c r="R964">
        <v>49</v>
      </c>
      <c r="S964">
        <v>1</v>
      </c>
      <c r="T964">
        <v>1</v>
      </c>
      <c r="U964">
        <v>1</v>
      </c>
      <c r="V964">
        <v>1</v>
      </c>
      <c r="W964">
        <v>1</v>
      </c>
      <c r="X964">
        <v>1</v>
      </c>
      <c r="AA964">
        <v>-7314.951</v>
      </c>
      <c r="AB964">
        <v>-7314.951</v>
      </c>
      <c r="AC964">
        <v>-7314.951</v>
      </c>
      <c r="AD964">
        <v>-7314.951</v>
      </c>
      <c r="AE964">
        <v>-7314.951</v>
      </c>
      <c r="AF964">
        <v>-7314.951</v>
      </c>
    </row>
    <row r="965" spans="2:32" x14ac:dyDescent="0.25">
      <c r="B965">
        <v>50</v>
      </c>
      <c r="C965">
        <v>1</v>
      </c>
      <c r="D965">
        <v>1</v>
      </c>
      <c r="E965">
        <v>1</v>
      </c>
      <c r="F965">
        <v>1</v>
      </c>
      <c r="G965">
        <v>1</v>
      </c>
      <c r="H965">
        <v>1</v>
      </c>
      <c r="J965">
        <v>50</v>
      </c>
      <c r="K965">
        <v>1</v>
      </c>
      <c r="L965">
        <v>1</v>
      </c>
      <c r="M965">
        <v>1</v>
      </c>
      <c r="N965">
        <v>1</v>
      </c>
      <c r="O965">
        <v>1</v>
      </c>
      <c r="P965">
        <v>1</v>
      </c>
      <c r="R965">
        <v>50</v>
      </c>
      <c r="S965">
        <v>1</v>
      </c>
      <c r="T965">
        <v>1</v>
      </c>
      <c r="U965">
        <v>1</v>
      </c>
      <c r="V965">
        <v>1</v>
      </c>
      <c r="W965">
        <v>1</v>
      </c>
      <c r="X965">
        <v>1</v>
      </c>
      <c r="AA965">
        <v>-7301.2851000000001</v>
      </c>
      <c r="AB965">
        <v>-7301.2851000000001</v>
      </c>
      <c r="AC965">
        <v>-7301.2851000000001</v>
      </c>
      <c r="AD965">
        <v>-7301.2851000000001</v>
      </c>
      <c r="AE965">
        <v>-7301.2851000000001</v>
      </c>
      <c r="AF965">
        <v>-7301.2851000000001</v>
      </c>
    </row>
    <row r="966" spans="2:32" x14ac:dyDescent="0.25">
      <c r="B966">
        <v>51</v>
      </c>
      <c r="C966">
        <v>1</v>
      </c>
      <c r="D966">
        <v>1</v>
      </c>
      <c r="E966">
        <v>1</v>
      </c>
      <c r="F966">
        <v>1</v>
      </c>
      <c r="G966">
        <v>1</v>
      </c>
      <c r="H966">
        <v>1</v>
      </c>
      <c r="J966">
        <v>51</v>
      </c>
      <c r="K966">
        <v>1</v>
      </c>
      <c r="L966">
        <v>1</v>
      </c>
      <c r="M966">
        <v>1</v>
      </c>
      <c r="N966">
        <v>1</v>
      </c>
      <c r="O966">
        <v>1</v>
      </c>
      <c r="P966">
        <v>1</v>
      </c>
      <c r="R966">
        <v>51</v>
      </c>
      <c r="S966">
        <v>1</v>
      </c>
      <c r="T966">
        <v>1</v>
      </c>
      <c r="U966">
        <v>1</v>
      </c>
      <c r="V966">
        <v>1</v>
      </c>
      <c r="W966">
        <v>1</v>
      </c>
      <c r="X966">
        <v>1</v>
      </c>
      <c r="AA966">
        <v>-7286.3271000000004</v>
      </c>
      <c r="AB966">
        <v>-7286.3271000000004</v>
      </c>
      <c r="AC966">
        <v>-7286.3271000000004</v>
      </c>
      <c r="AD966">
        <v>-7286.3271000000004</v>
      </c>
      <c r="AE966">
        <v>-7286.3271000000004</v>
      </c>
      <c r="AF966">
        <v>-7286.3271000000004</v>
      </c>
    </row>
    <row r="967" spans="2:32" x14ac:dyDescent="0.25">
      <c r="B967">
        <v>52</v>
      </c>
      <c r="C967">
        <v>1</v>
      </c>
      <c r="D967">
        <v>1</v>
      </c>
      <c r="E967">
        <v>1</v>
      </c>
      <c r="F967">
        <v>1</v>
      </c>
      <c r="G967">
        <v>1</v>
      </c>
      <c r="H967">
        <v>1</v>
      </c>
      <c r="J967">
        <v>52</v>
      </c>
      <c r="K967">
        <v>1</v>
      </c>
      <c r="L967">
        <v>1</v>
      </c>
      <c r="M967">
        <v>1</v>
      </c>
      <c r="N967">
        <v>1</v>
      </c>
      <c r="O967">
        <v>1</v>
      </c>
      <c r="P967">
        <v>1</v>
      </c>
      <c r="R967">
        <v>52</v>
      </c>
      <c r="S967">
        <v>1</v>
      </c>
      <c r="T967">
        <v>1</v>
      </c>
      <c r="U967">
        <v>1</v>
      </c>
      <c r="V967">
        <v>1</v>
      </c>
      <c r="W967">
        <v>1</v>
      </c>
      <c r="X967">
        <v>1</v>
      </c>
      <c r="AA967">
        <v>-7269.9448000000002</v>
      </c>
      <c r="AB967">
        <v>-7269.9448000000002</v>
      </c>
      <c r="AC967">
        <v>-7269.9448000000002</v>
      </c>
      <c r="AD967">
        <v>-7269.9448000000002</v>
      </c>
      <c r="AE967">
        <v>-7269.9448000000002</v>
      </c>
      <c r="AF967">
        <v>-7269.9448000000002</v>
      </c>
    </row>
    <row r="968" spans="2:32" x14ac:dyDescent="0.25">
      <c r="B968">
        <v>53</v>
      </c>
      <c r="C968">
        <v>1</v>
      </c>
      <c r="D968">
        <v>1</v>
      </c>
      <c r="E968">
        <v>1</v>
      </c>
      <c r="F968">
        <v>1</v>
      </c>
      <c r="G968">
        <v>1</v>
      </c>
      <c r="H968">
        <v>1</v>
      </c>
      <c r="J968">
        <v>53</v>
      </c>
      <c r="K968">
        <v>1</v>
      </c>
      <c r="L968">
        <v>1</v>
      </c>
      <c r="M968">
        <v>1</v>
      </c>
      <c r="N968">
        <v>1</v>
      </c>
      <c r="O968">
        <v>1</v>
      </c>
      <c r="P968">
        <v>1</v>
      </c>
      <c r="R968">
        <v>53</v>
      </c>
      <c r="S968">
        <v>1</v>
      </c>
      <c r="T968">
        <v>1</v>
      </c>
      <c r="U968">
        <v>1</v>
      </c>
      <c r="V968">
        <v>1</v>
      </c>
      <c r="W968">
        <v>1</v>
      </c>
      <c r="X968">
        <v>1</v>
      </c>
      <c r="AA968">
        <v>-7252.0574999999999</v>
      </c>
      <c r="AB968">
        <v>-7252.0574999999999</v>
      </c>
      <c r="AC968">
        <v>-7252.0574999999999</v>
      </c>
      <c r="AD968">
        <v>-7252.0574999999999</v>
      </c>
      <c r="AE968">
        <v>-7252.0574999999999</v>
      </c>
      <c r="AF968">
        <v>-7252.0574999999999</v>
      </c>
    </row>
    <row r="969" spans="2:32" x14ac:dyDescent="0.25">
      <c r="B969">
        <v>54</v>
      </c>
      <c r="C969">
        <v>1</v>
      </c>
      <c r="D969">
        <v>1</v>
      </c>
      <c r="E969">
        <v>1</v>
      </c>
      <c r="F969">
        <v>1</v>
      </c>
      <c r="G969">
        <v>1</v>
      </c>
      <c r="H969">
        <v>1</v>
      </c>
      <c r="J969">
        <v>54</v>
      </c>
      <c r="K969">
        <v>1</v>
      </c>
      <c r="L969">
        <v>1</v>
      </c>
      <c r="M969">
        <v>1</v>
      </c>
      <c r="N969">
        <v>1</v>
      </c>
      <c r="O969">
        <v>1</v>
      </c>
      <c r="P969">
        <v>1</v>
      </c>
      <c r="R969">
        <v>54</v>
      </c>
      <c r="S969">
        <v>1</v>
      </c>
      <c r="T969">
        <v>1</v>
      </c>
      <c r="U969">
        <v>1</v>
      </c>
      <c r="V969">
        <v>1</v>
      </c>
      <c r="W969">
        <v>1</v>
      </c>
      <c r="X969">
        <v>1</v>
      </c>
      <c r="AA969">
        <v>-7232.5680000000002</v>
      </c>
      <c r="AB969">
        <v>-7232.5680000000002</v>
      </c>
      <c r="AC969">
        <v>-7232.5680000000002</v>
      </c>
      <c r="AD969">
        <v>-7232.5680000000002</v>
      </c>
      <c r="AE969">
        <v>-7232.5680000000002</v>
      </c>
      <c r="AF969">
        <v>-7232.5680000000002</v>
      </c>
    </row>
    <row r="970" spans="2:32" x14ac:dyDescent="0.25">
      <c r="B970">
        <v>55</v>
      </c>
      <c r="C970">
        <v>1</v>
      </c>
      <c r="D970">
        <v>1</v>
      </c>
      <c r="E970">
        <v>1</v>
      </c>
      <c r="F970">
        <v>1</v>
      </c>
      <c r="G970">
        <v>1</v>
      </c>
      <c r="H970">
        <v>1</v>
      </c>
      <c r="J970">
        <v>55</v>
      </c>
      <c r="K970">
        <v>1</v>
      </c>
      <c r="L970">
        <v>1</v>
      </c>
      <c r="M970">
        <v>1</v>
      </c>
      <c r="N970">
        <v>1</v>
      </c>
      <c r="O970">
        <v>1</v>
      </c>
      <c r="P970">
        <v>1</v>
      </c>
      <c r="R970">
        <v>55</v>
      </c>
      <c r="S970">
        <v>1</v>
      </c>
      <c r="T970">
        <v>1</v>
      </c>
      <c r="U970">
        <v>1</v>
      </c>
      <c r="V970">
        <v>1</v>
      </c>
      <c r="W970">
        <v>1</v>
      </c>
      <c r="X970">
        <v>1</v>
      </c>
      <c r="AA970">
        <v>-7211.3207000000002</v>
      </c>
      <c r="AB970">
        <v>-7211.3207000000002</v>
      </c>
      <c r="AC970">
        <v>-7211.3207000000002</v>
      </c>
      <c r="AD970">
        <v>-7211.3207000000002</v>
      </c>
      <c r="AE970">
        <v>-7211.3207000000002</v>
      </c>
      <c r="AF970">
        <v>-7211.3207000000002</v>
      </c>
    </row>
    <row r="973" spans="2:32" x14ac:dyDescent="0.25">
      <c r="B973" t="s">
        <v>46</v>
      </c>
      <c r="C973">
        <v>100000</v>
      </c>
      <c r="D973">
        <v>250000</v>
      </c>
      <c r="E973">
        <v>500000</v>
      </c>
      <c r="F973">
        <v>1000000</v>
      </c>
      <c r="G973">
        <v>2000000</v>
      </c>
      <c r="J973" t="s">
        <v>32</v>
      </c>
      <c r="K973">
        <v>100000</v>
      </c>
      <c r="L973">
        <v>250000</v>
      </c>
      <c r="M973">
        <v>500000</v>
      </c>
      <c r="N973">
        <v>1000000</v>
      </c>
      <c r="O973">
        <v>2000000</v>
      </c>
      <c r="R973" t="s">
        <v>48</v>
      </c>
      <c r="S973">
        <v>100000</v>
      </c>
      <c r="T973">
        <v>250000</v>
      </c>
      <c r="U973">
        <v>500000</v>
      </c>
      <c r="V973">
        <v>1000000</v>
      </c>
      <c r="W973">
        <v>2000000</v>
      </c>
    </row>
    <row r="974" spans="2:32" x14ac:dyDescent="0.25">
      <c r="B974">
        <v>35</v>
      </c>
      <c r="C974">
        <v>1</v>
      </c>
      <c r="D974">
        <v>1</v>
      </c>
      <c r="E974">
        <v>1</v>
      </c>
      <c r="F974">
        <v>1</v>
      </c>
      <c r="G974">
        <v>1</v>
      </c>
      <c r="J974">
        <v>35</v>
      </c>
      <c r="K974">
        <v>1</v>
      </c>
      <c r="L974">
        <v>1</v>
      </c>
      <c r="M974">
        <v>1</v>
      </c>
      <c r="N974">
        <v>1</v>
      </c>
      <c r="O974">
        <v>1</v>
      </c>
      <c r="R974">
        <v>35</v>
      </c>
      <c r="S974">
        <v>1</v>
      </c>
      <c r="T974">
        <v>1</v>
      </c>
      <c r="U974">
        <v>1</v>
      </c>
      <c r="V974">
        <v>1</v>
      </c>
      <c r="W974">
        <v>1</v>
      </c>
      <c r="AA974">
        <v>-11308.6893</v>
      </c>
      <c r="AB974">
        <v>-11308.6893</v>
      </c>
      <c r="AC974">
        <v>-11308.6893</v>
      </c>
      <c r="AD974">
        <v>-11308.6893</v>
      </c>
      <c r="AE974">
        <v>-11308.6893</v>
      </c>
      <c r="AF974">
        <v>-759112.79520000005</v>
      </c>
    </row>
    <row r="975" spans="2:32" x14ac:dyDescent="0.25">
      <c r="B975">
        <f t="shared" ref="B975:B1004" si="42">B974+1</f>
        <v>36</v>
      </c>
      <c r="C975">
        <v>1</v>
      </c>
      <c r="D975">
        <v>1</v>
      </c>
      <c r="E975">
        <v>1</v>
      </c>
      <c r="F975">
        <v>1</v>
      </c>
      <c r="G975">
        <v>1</v>
      </c>
      <c r="J975">
        <f t="shared" ref="J975:J1004" si="43">J974+1</f>
        <v>36</v>
      </c>
      <c r="K975">
        <v>1</v>
      </c>
      <c r="L975">
        <v>1</v>
      </c>
      <c r="M975">
        <v>1</v>
      </c>
      <c r="N975">
        <v>1</v>
      </c>
      <c r="O975">
        <v>1</v>
      </c>
      <c r="R975">
        <f t="shared" ref="R975:R1004" si="44">R974+1</f>
        <v>36</v>
      </c>
      <c r="S975">
        <v>1</v>
      </c>
      <c r="T975">
        <v>1</v>
      </c>
      <c r="U975">
        <v>1</v>
      </c>
      <c r="V975">
        <v>1</v>
      </c>
      <c r="W975">
        <v>1</v>
      </c>
      <c r="AA975">
        <v>-11214.2592</v>
      </c>
      <c r="AB975">
        <v>-11214.2592</v>
      </c>
      <c r="AC975">
        <v>-11214.2592</v>
      </c>
      <c r="AD975">
        <v>-11214.2592</v>
      </c>
      <c r="AE975">
        <v>-11214.2592</v>
      </c>
      <c r="AF975">
        <v>-737070.86179999996</v>
      </c>
    </row>
    <row r="976" spans="2:32" x14ac:dyDescent="0.25">
      <c r="B976">
        <f t="shared" si="42"/>
        <v>37</v>
      </c>
      <c r="C976">
        <v>1</v>
      </c>
      <c r="D976">
        <v>1</v>
      </c>
      <c r="E976">
        <v>1</v>
      </c>
      <c r="F976">
        <v>1</v>
      </c>
      <c r="G976">
        <v>1</v>
      </c>
      <c r="J976">
        <f t="shared" si="43"/>
        <v>37</v>
      </c>
      <c r="K976">
        <v>1</v>
      </c>
      <c r="L976">
        <v>1</v>
      </c>
      <c r="M976">
        <v>1</v>
      </c>
      <c r="N976">
        <v>1</v>
      </c>
      <c r="O976">
        <v>1</v>
      </c>
      <c r="R976">
        <f t="shared" si="44"/>
        <v>37</v>
      </c>
      <c r="S976">
        <v>1</v>
      </c>
      <c r="T976">
        <v>1</v>
      </c>
      <c r="U976">
        <v>1</v>
      </c>
      <c r="V976">
        <v>1</v>
      </c>
      <c r="W976">
        <v>1</v>
      </c>
      <c r="AA976">
        <v>-11117.406199999999</v>
      </c>
      <c r="AB976">
        <v>-11117.406199999999</v>
      </c>
      <c r="AC976">
        <v>-11117.406199999999</v>
      </c>
      <c r="AD976">
        <v>-11117.406199999999</v>
      </c>
      <c r="AE976">
        <v>-11117.406199999999</v>
      </c>
      <c r="AF976">
        <v>-765978.91940000001</v>
      </c>
    </row>
    <row r="977" spans="2:32" x14ac:dyDescent="0.25">
      <c r="B977">
        <f t="shared" si="42"/>
        <v>38</v>
      </c>
      <c r="C977">
        <v>1</v>
      </c>
      <c r="D977">
        <v>1</v>
      </c>
      <c r="E977">
        <v>1</v>
      </c>
      <c r="F977">
        <v>1</v>
      </c>
      <c r="G977">
        <v>1</v>
      </c>
      <c r="J977">
        <f t="shared" si="43"/>
        <v>38</v>
      </c>
      <c r="K977">
        <v>1</v>
      </c>
      <c r="L977">
        <v>1</v>
      </c>
      <c r="M977">
        <v>1</v>
      </c>
      <c r="N977">
        <v>1</v>
      </c>
      <c r="O977">
        <v>1</v>
      </c>
      <c r="R977">
        <f t="shared" si="44"/>
        <v>38</v>
      </c>
      <c r="S977">
        <v>1</v>
      </c>
      <c r="T977">
        <v>1</v>
      </c>
      <c r="U977">
        <v>1</v>
      </c>
      <c r="V977">
        <v>1</v>
      </c>
      <c r="W977">
        <v>1</v>
      </c>
      <c r="AA977">
        <v>-11018.229799999999</v>
      </c>
      <c r="AB977">
        <v>-11018.229799999999</v>
      </c>
      <c r="AC977">
        <v>-11018.229799999999</v>
      </c>
      <c r="AD977">
        <v>-11018.229799999999</v>
      </c>
      <c r="AE977">
        <v>-11018.229799999999</v>
      </c>
      <c r="AF977">
        <v>-783780.576</v>
      </c>
    </row>
    <row r="978" spans="2:32" x14ac:dyDescent="0.25">
      <c r="B978">
        <f t="shared" si="42"/>
        <v>39</v>
      </c>
      <c r="C978">
        <v>1</v>
      </c>
      <c r="D978">
        <v>1</v>
      </c>
      <c r="E978">
        <v>1</v>
      </c>
      <c r="F978">
        <v>1</v>
      </c>
      <c r="G978">
        <v>1</v>
      </c>
      <c r="J978">
        <f t="shared" si="43"/>
        <v>39</v>
      </c>
      <c r="K978">
        <v>1</v>
      </c>
      <c r="L978">
        <v>1</v>
      </c>
      <c r="M978">
        <v>1</v>
      </c>
      <c r="N978">
        <v>1</v>
      </c>
      <c r="O978">
        <v>1</v>
      </c>
      <c r="R978">
        <f t="shared" si="44"/>
        <v>39</v>
      </c>
      <c r="S978">
        <v>1</v>
      </c>
      <c r="T978">
        <v>1</v>
      </c>
      <c r="U978">
        <v>1</v>
      </c>
      <c r="V978">
        <v>1</v>
      </c>
      <c r="W978">
        <v>1</v>
      </c>
      <c r="AA978">
        <v>-10916.737999999999</v>
      </c>
      <c r="AB978">
        <v>-10916.737999999999</v>
      </c>
      <c r="AC978">
        <v>-10916.737999999999</v>
      </c>
      <c r="AD978">
        <v>-10916.737999999999</v>
      </c>
      <c r="AE978">
        <v>-10916.737999999999</v>
      </c>
      <c r="AF978">
        <v>-769662.22069999995</v>
      </c>
    </row>
    <row r="979" spans="2:32" x14ac:dyDescent="0.25">
      <c r="B979">
        <f t="shared" si="42"/>
        <v>40</v>
      </c>
      <c r="C979">
        <v>1</v>
      </c>
      <c r="D979">
        <v>1</v>
      </c>
      <c r="E979">
        <v>1</v>
      </c>
      <c r="F979">
        <v>1</v>
      </c>
      <c r="G979">
        <v>1</v>
      </c>
      <c r="J979">
        <f t="shared" si="43"/>
        <v>40</v>
      </c>
      <c r="K979">
        <v>1</v>
      </c>
      <c r="L979">
        <v>1</v>
      </c>
      <c r="M979">
        <v>1</v>
      </c>
      <c r="N979">
        <v>1</v>
      </c>
      <c r="O979">
        <v>1</v>
      </c>
      <c r="R979">
        <f t="shared" si="44"/>
        <v>40</v>
      </c>
      <c r="S979">
        <v>1</v>
      </c>
      <c r="T979">
        <v>1</v>
      </c>
      <c r="U979">
        <v>1</v>
      </c>
      <c r="V979">
        <v>1</v>
      </c>
      <c r="W979">
        <v>1</v>
      </c>
      <c r="AA979">
        <v>-10812.8714</v>
      </c>
      <c r="AB979">
        <v>-10812.8714</v>
      </c>
      <c r="AC979">
        <v>-10812.8714</v>
      </c>
      <c r="AD979">
        <v>-10812.8714</v>
      </c>
      <c r="AE979">
        <v>-10812.8714</v>
      </c>
      <c r="AF979">
        <v>-798570.41119999997</v>
      </c>
    </row>
    <row r="980" spans="2:32" x14ac:dyDescent="0.25">
      <c r="B980">
        <f t="shared" si="42"/>
        <v>41</v>
      </c>
      <c r="C980">
        <v>1</v>
      </c>
      <c r="D980">
        <v>1</v>
      </c>
      <c r="E980">
        <v>1</v>
      </c>
      <c r="F980">
        <v>1</v>
      </c>
      <c r="G980">
        <v>1</v>
      </c>
      <c r="J980">
        <f t="shared" si="43"/>
        <v>41</v>
      </c>
      <c r="K980">
        <v>1</v>
      </c>
      <c r="L980">
        <v>1</v>
      </c>
      <c r="M980">
        <v>1</v>
      </c>
      <c r="N980">
        <v>1</v>
      </c>
      <c r="O980">
        <v>1</v>
      </c>
      <c r="R980">
        <f t="shared" si="44"/>
        <v>41</v>
      </c>
      <c r="S980">
        <v>1</v>
      </c>
      <c r="T980">
        <v>1</v>
      </c>
      <c r="U980">
        <v>1</v>
      </c>
      <c r="V980">
        <v>1</v>
      </c>
      <c r="W980">
        <v>1</v>
      </c>
      <c r="AA980">
        <v>-10706.559600000001</v>
      </c>
      <c r="AB980">
        <v>-10706.559600000001</v>
      </c>
      <c r="AC980">
        <v>-10706.559600000001</v>
      </c>
      <c r="AD980">
        <v>-10706.559600000001</v>
      </c>
      <c r="AE980">
        <v>-10706.559600000001</v>
      </c>
      <c r="AF980">
        <v>-803549.96459999995</v>
      </c>
    </row>
    <row r="981" spans="2:32" x14ac:dyDescent="0.25">
      <c r="B981">
        <f t="shared" si="42"/>
        <v>42</v>
      </c>
      <c r="C981">
        <v>1</v>
      </c>
      <c r="D981">
        <v>1</v>
      </c>
      <c r="E981">
        <v>1</v>
      </c>
      <c r="F981">
        <v>1</v>
      </c>
      <c r="G981">
        <v>1</v>
      </c>
      <c r="J981">
        <f t="shared" si="43"/>
        <v>42</v>
      </c>
      <c r="K981">
        <v>1</v>
      </c>
      <c r="L981">
        <v>1</v>
      </c>
      <c r="M981">
        <v>1</v>
      </c>
      <c r="N981">
        <v>1</v>
      </c>
      <c r="O981">
        <v>1</v>
      </c>
      <c r="R981">
        <f t="shared" si="44"/>
        <v>42</v>
      </c>
      <c r="S981">
        <v>1</v>
      </c>
      <c r="T981">
        <v>1</v>
      </c>
      <c r="U981">
        <v>1</v>
      </c>
      <c r="V981">
        <v>1</v>
      </c>
      <c r="W981">
        <v>1</v>
      </c>
      <c r="AA981">
        <v>-10597.8485</v>
      </c>
      <c r="AB981">
        <v>-10597.8485</v>
      </c>
      <c r="AC981">
        <v>-10597.8485</v>
      </c>
      <c r="AD981">
        <v>-10597.8485</v>
      </c>
      <c r="AE981">
        <v>-10597.8485</v>
      </c>
      <c r="AF981">
        <v>-833551.75890000002</v>
      </c>
    </row>
    <row r="982" spans="2:32" x14ac:dyDescent="0.25">
      <c r="B982">
        <f t="shared" si="42"/>
        <v>43</v>
      </c>
      <c r="C982">
        <v>1</v>
      </c>
      <c r="D982">
        <v>1</v>
      </c>
      <c r="E982">
        <v>1</v>
      </c>
      <c r="F982">
        <v>1</v>
      </c>
      <c r="G982">
        <v>1</v>
      </c>
      <c r="J982">
        <f t="shared" si="43"/>
        <v>43</v>
      </c>
      <c r="K982">
        <v>1</v>
      </c>
      <c r="L982">
        <v>1</v>
      </c>
      <c r="M982">
        <v>1</v>
      </c>
      <c r="N982">
        <v>1</v>
      </c>
      <c r="O982">
        <v>1</v>
      </c>
      <c r="R982">
        <f t="shared" si="44"/>
        <v>43</v>
      </c>
      <c r="S982">
        <v>1</v>
      </c>
      <c r="T982">
        <v>1</v>
      </c>
      <c r="U982">
        <v>1</v>
      </c>
      <c r="V982">
        <v>1</v>
      </c>
      <c r="W982">
        <v>1</v>
      </c>
      <c r="AA982">
        <v>-10486.615400000001</v>
      </c>
      <c r="AB982">
        <v>-10486.615400000001</v>
      </c>
      <c r="AC982">
        <v>-10486.615400000001</v>
      </c>
      <c r="AD982">
        <v>-10486.615400000001</v>
      </c>
      <c r="AE982">
        <v>-10486.615400000001</v>
      </c>
      <c r="AF982">
        <v>-844950.93949999998</v>
      </c>
    </row>
    <row r="983" spans="2:32" x14ac:dyDescent="0.25">
      <c r="B983">
        <f t="shared" si="42"/>
        <v>44</v>
      </c>
      <c r="C983">
        <v>1</v>
      </c>
      <c r="D983">
        <v>1</v>
      </c>
      <c r="E983">
        <v>1</v>
      </c>
      <c r="F983">
        <v>1</v>
      </c>
      <c r="G983">
        <v>1</v>
      </c>
      <c r="J983">
        <f t="shared" si="43"/>
        <v>44</v>
      </c>
      <c r="K983">
        <v>1</v>
      </c>
      <c r="L983">
        <v>1</v>
      </c>
      <c r="M983">
        <v>1</v>
      </c>
      <c r="N983">
        <v>1</v>
      </c>
      <c r="O983">
        <v>1</v>
      </c>
      <c r="R983">
        <f t="shared" si="44"/>
        <v>44</v>
      </c>
      <c r="S983">
        <v>1</v>
      </c>
      <c r="T983">
        <v>1</v>
      </c>
      <c r="U983">
        <v>1</v>
      </c>
      <c r="V983">
        <v>1</v>
      </c>
      <c r="W983">
        <v>1</v>
      </c>
      <c r="AA983">
        <v>-10372.9005</v>
      </c>
      <c r="AB983">
        <v>-10372.9005</v>
      </c>
      <c r="AC983">
        <v>-10372.9005</v>
      </c>
      <c r="AD983">
        <v>-10372.9005</v>
      </c>
      <c r="AE983">
        <v>-10372.9005</v>
      </c>
      <c r="AF983">
        <v>-844950.93949999998</v>
      </c>
    </row>
    <row r="984" spans="2:32" x14ac:dyDescent="0.25">
      <c r="B984">
        <f t="shared" si="42"/>
        <v>45</v>
      </c>
      <c r="C984">
        <v>1</v>
      </c>
      <c r="D984">
        <v>1</v>
      </c>
      <c r="E984">
        <v>1</v>
      </c>
      <c r="F984">
        <v>1</v>
      </c>
      <c r="G984">
        <v>1</v>
      </c>
      <c r="J984">
        <f t="shared" si="43"/>
        <v>45</v>
      </c>
      <c r="K984">
        <v>1</v>
      </c>
      <c r="L984">
        <v>1</v>
      </c>
      <c r="M984">
        <v>1</v>
      </c>
      <c r="N984">
        <v>1</v>
      </c>
      <c r="O984">
        <v>1</v>
      </c>
      <c r="R984">
        <f t="shared" si="44"/>
        <v>45</v>
      </c>
      <c r="S984">
        <v>1</v>
      </c>
      <c r="T984">
        <v>1</v>
      </c>
      <c r="U984">
        <v>1</v>
      </c>
      <c r="V984">
        <v>1</v>
      </c>
      <c r="W984">
        <v>1</v>
      </c>
      <c r="AA984">
        <v>-10256.650600000001</v>
      </c>
      <c r="AB984">
        <v>-10256.650600000001</v>
      </c>
      <c r="AC984">
        <v>-10256.650600000001</v>
      </c>
      <c r="AD984">
        <v>-10256.650600000001</v>
      </c>
      <c r="AE984">
        <v>-10256.650600000001</v>
      </c>
      <c r="AF984">
        <v>-870649.02139999997</v>
      </c>
    </row>
    <row r="985" spans="2:32" x14ac:dyDescent="0.25">
      <c r="B985">
        <f t="shared" si="42"/>
        <v>46</v>
      </c>
      <c r="C985">
        <v>1</v>
      </c>
      <c r="D985">
        <v>1</v>
      </c>
      <c r="E985">
        <v>1</v>
      </c>
      <c r="F985">
        <v>1</v>
      </c>
      <c r="G985">
        <v>1</v>
      </c>
      <c r="J985">
        <f t="shared" si="43"/>
        <v>46</v>
      </c>
      <c r="K985">
        <v>1</v>
      </c>
      <c r="L985">
        <v>1</v>
      </c>
      <c r="M985">
        <v>1</v>
      </c>
      <c r="N985">
        <v>1</v>
      </c>
      <c r="O985">
        <v>1</v>
      </c>
      <c r="R985">
        <f t="shared" si="44"/>
        <v>46</v>
      </c>
      <c r="S985">
        <v>1</v>
      </c>
      <c r="T985">
        <v>1</v>
      </c>
      <c r="U985">
        <v>1</v>
      </c>
      <c r="V985">
        <v>1</v>
      </c>
      <c r="W985">
        <v>1</v>
      </c>
      <c r="AA985">
        <v>-10137.871499999999</v>
      </c>
      <c r="AB985">
        <v>-10137.871499999999</v>
      </c>
      <c r="AC985">
        <v>-10137.871499999999</v>
      </c>
      <c r="AD985">
        <v>-10137.871499999999</v>
      </c>
      <c r="AE985">
        <v>-10137.871499999999</v>
      </c>
      <c r="AF985">
        <v>-892550.54509999999</v>
      </c>
    </row>
    <row r="986" spans="2:32" x14ac:dyDescent="0.25">
      <c r="B986">
        <f t="shared" si="42"/>
        <v>47</v>
      </c>
      <c r="C986">
        <v>1</v>
      </c>
      <c r="D986">
        <v>1</v>
      </c>
      <c r="E986">
        <v>1</v>
      </c>
      <c r="F986">
        <v>1</v>
      </c>
      <c r="G986">
        <v>1</v>
      </c>
      <c r="J986">
        <f t="shared" si="43"/>
        <v>47</v>
      </c>
      <c r="K986">
        <v>1</v>
      </c>
      <c r="L986">
        <v>1</v>
      </c>
      <c r="M986">
        <v>1</v>
      </c>
      <c r="N986">
        <v>1</v>
      </c>
      <c r="O986">
        <v>1</v>
      </c>
      <c r="R986">
        <f t="shared" si="44"/>
        <v>47</v>
      </c>
      <c r="S986">
        <v>1</v>
      </c>
      <c r="T986">
        <v>1</v>
      </c>
      <c r="U986">
        <v>1</v>
      </c>
      <c r="V986">
        <v>1</v>
      </c>
      <c r="W986">
        <v>1</v>
      </c>
      <c r="AA986">
        <v>-10016.4967</v>
      </c>
      <c r="AB986">
        <v>-10016.4967</v>
      </c>
      <c r="AC986">
        <v>-10016.4967</v>
      </c>
      <c r="AD986">
        <v>-10016.4967</v>
      </c>
      <c r="AE986">
        <v>-10016.4967</v>
      </c>
      <c r="AF986">
        <v>-910915.81969999999</v>
      </c>
    </row>
    <row r="987" spans="2:32" x14ac:dyDescent="0.25">
      <c r="B987">
        <f t="shared" si="42"/>
        <v>48</v>
      </c>
      <c r="C987">
        <v>1</v>
      </c>
      <c r="D987">
        <v>1</v>
      </c>
      <c r="E987">
        <v>1</v>
      </c>
      <c r="F987">
        <v>1</v>
      </c>
      <c r="G987">
        <v>1</v>
      </c>
      <c r="J987">
        <f t="shared" si="43"/>
        <v>48</v>
      </c>
      <c r="K987">
        <v>1</v>
      </c>
      <c r="L987">
        <v>1</v>
      </c>
      <c r="M987">
        <v>1</v>
      </c>
      <c r="N987">
        <v>1</v>
      </c>
      <c r="O987">
        <v>1</v>
      </c>
      <c r="R987">
        <f t="shared" si="44"/>
        <v>48</v>
      </c>
      <c r="S987">
        <v>1</v>
      </c>
      <c r="T987">
        <v>1</v>
      </c>
      <c r="U987">
        <v>1</v>
      </c>
      <c r="V987">
        <v>1</v>
      </c>
      <c r="W987">
        <v>1</v>
      </c>
      <c r="AA987">
        <v>-9892.6355000000003</v>
      </c>
      <c r="AB987">
        <v>-9892.6355000000003</v>
      </c>
      <c r="AC987">
        <v>-9892.6355000000003</v>
      </c>
      <c r="AD987">
        <v>-9892.6355000000003</v>
      </c>
      <c r="AE987">
        <v>-9892.6355000000003</v>
      </c>
      <c r="AF987">
        <v>-917891.87360000005</v>
      </c>
    </row>
    <row r="988" spans="2:32" x14ac:dyDescent="0.25">
      <c r="B988">
        <f t="shared" si="42"/>
        <v>49</v>
      </c>
      <c r="C988">
        <v>1</v>
      </c>
      <c r="D988">
        <v>1</v>
      </c>
      <c r="E988">
        <v>1</v>
      </c>
      <c r="F988">
        <v>1</v>
      </c>
      <c r="G988">
        <v>1</v>
      </c>
      <c r="J988">
        <f t="shared" si="43"/>
        <v>49</v>
      </c>
      <c r="K988">
        <v>1</v>
      </c>
      <c r="L988">
        <v>1</v>
      </c>
      <c r="M988">
        <v>1</v>
      </c>
      <c r="N988">
        <v>1</v>
      </c>
      <c r="O988">
        <v>1</v>
      </c>
      <c r="R988">
        <f t="shared" si="44"/>
        <v>49</v>
      </c>
      <c r="S988">
        <v>1</v>
      </c>
      <c r="T988">
        <v>1</v>
      </c>
      <c r="U988">
        <v>1</v>
      </c>
      <c r="V988">
        <v>1</v>
      </c>
      <c r="W988">
        <v>1</v>
      </c>
      <c r="AA988">
        <v>-9766.3366999999998</v>
      </c>
      <c r="AB988">
        <v>-9766.3366999999998</v>
      </c>
      <c r="AC988">
        <v>-9766.3366999999998</v>
      </c>
      <c r="AD988">
        <v>-9766.3366999999998</v>
      </c>
      <c r="AE988">
        <v>-9766.3366999999998</v>
      </c>
      <c r="AF988">
        <v>-944521.72470000002</v>
      </c>
    </row>
    <row r="989" spans="2:32" x14ac:dyDescent="0.25">
      <c r="B989">
        <f t="shared" si="42"/>
        <v>50</v>
      </c>
      <c r="C989">
        <v>1</v>
      </c>
      <c r="D989">
        <v>1</v>
      </c>
      <c r="E989">
        <v>1</v>
      </c>
      <c r="F989">
        <v>1</v>
      </c>
      <c r="G989">
        <v>1</v>
      </c>
      <c r="J989">
        <f t="shared" si="43"/>
        <v>50</v>
      </c>
      <c r="K989">
        <v>1</v>
      </c>
      <c r="L989">
        <v>1</v>
      </c>
      <c r="M989">
        <v>1</v>
      </c>
      <c r="N989">
        <v>1</v>
      </c>
      <c r="O989">
        <v>1</v>
      </c>
      <c r="R989">
        <f t="shared" si="44"/>
        <v>50</v>
      </c>
      <c r="S989">
        <v>1</v>
      </c>
      <c r="T989">
        <v>1</v>
      </c>
      <c r="U989">
        <v>1</v>
      </c>
      <c r="V989">
        <v>1</v>
      </c>
      <c r="W989">
        <v>1</v>
      </c>
      <c r="AA989">
        <v>-9637.5864000000001</v>
      </c>
      <c r="AB989">
        <v>-9637.5864000000001</v>
      </c>
      <c r="AC989">
        <v>-9637.5864000000001</v>
      </c>
      <c r="AD989">
        <v>-9637.5864000000001</v>
      </c>
      <c r="AE989">
        <v>-9637.5864000000001</v>
      </c>
      <c r="AF989">
        <v>-963257.14989999996</v>
      </c>
    </row>
    <row r="990" spans="2:32" x14ac:dyDescent="0.25">
      <c r="B990">
        <f t="shared" si="42"/>
        <v>51</v>
      </c>
      <c r="C990">
        <v>1</v>
      </c>
      <c r="D990">
        <v>1</v>
      </c>
      <c r="E990">
        <v>1</v>
      </c>
      <c r="F990">
        <v>1</v>
      </c>
      <c r="G990">
        <v>1</v>
      </c>
      <c r="J990">
        <f t="shared" si="43"/>
        <v>51</v>
      </c>
      <c r="K990">
        <v>1</v>
      </c>
      <c r="L990">
        <v>1</v>
      </c>
      <c r="M990">
        <v>1</v>
      </c>
      <c r="N990">
        <v>1</v>
      </c>
      <c r="O990">
        <v>1</v>
      </c>
      <c r="R990">
        <f t="shared" si="44"/>
        <v>51</v>
      </c>
      <c r="S990">
        <v>1</v>
      </c>
      <c r="T990">
        <v>1</v>
      </c>
      <c r="U990">
        <v>1</v>
      </c>
      <c r="V990">
        <v>1</v>
      </c>
      <c r="W990">
        <v>1</v>
      </c>
      <c r="AA990">
        <v>-9506.3734000000004</v>
      </c>
      <c r="AB990">
        <v>-9506.3734000000004</v>
      </c>
      <c r="AC990">
        <v>-9506.3734000000004</v>
      </c>
      <c r="AD990">
        <v>-9506.3734000000004</v>
      </c>
      <c r="AE990">
        <v>-9506.3734000000004</v>
      </c>
      <c r="AF990">
        <v>-981592.90729999996</v>
      </c>
    </row>
    <row r="991" spans="2:32" x14ac:dyDescent="0.25">
      <c r="B991">
        <f t="shared" si="42"/>
        <v>52</v>
      </c>
      <c r="C991">
        <v>1</v>
      </c>
      <c r="D991">
        <v>1</v>
      </c>
      <c r="E991">
        <v>1</v>
      </c>
      <c r="F991">
        <v>1</v>
      </c>
      <c r="G991">
        <v>1</v>
      </c>
      <c r="J991">
        <f t="shared" si="43"/>
        <v>52</v>
      </c>
      <c r="K991">
        <v>1</v>
      </c>
      <c r="L991">
        <v>1</v>
      </c>
      <c r="M991">
        <v>1</v>
      </c>
      <c r="N991">
        <v>1</v>
      </c>
      <c r="O991">
        <v>1</v>
      </c>
      <c r="R991">
        <f t="shared" si="44"/>
        <v>52</v>
      </c>
      <c r="S991">
        <v>1</v>
      </c>
      <c r="T991">
        <v>1</v>
      </c>
      <c r="U991">
        <v>1</v>
      </c>
      <c r="V991">
        <v>1</v>
      </c>
      <c r="W991">
        <v>1</v>
      </c>
      <c r="AA991">
        <v>-9372.7019</v>
      </c>
      <c r="AB991">
        <v>-9372.7019</v>
      </c>
      <c r="AC991">
        <v>-9372.7019</v>
      </c>
      <c r="AD991">
        <v>-9372.7019</v>
      </c>
      <c r="AE991">
        <v>-9372.7019</v>
      </c>
      <c r="AF991">
        <v>-998556.10360000003</v>
      </c>
    </row>
    <row r="992" spans="2:32" x14ac:dyDescent="0.25">
      <c r="B992">
        <f t="shared" si="42"/>
        <v>53</v>
      </c>
      <c r="C992">
        <v>1</v>
      </c>
      <c r="D992">
        <v>1</v>
      </c>
      <c r="E992">
        <v>1</v>
      </c>
      <c r="F992">
        <v>1</v>
      </c>
      <c r="G992">
        <v>1</v>
      </c>
      <c r="J992">
        <f t="shared" si="43"/>
        <v>53</v>
      </c>
      <c r="K992">
        <v>1</v>
      </c>
      <c r="L992">
        <v>1</v>
      </c>
      <c r="M992">
        <v>1</v>
      </c>
      <c r="N992">
        <v>1</v>
      </c>
      <c r="O992">
        <v>1</v>
      </c>
      <c r="R992">
        <f t="shared" si="44"/>
        <v>53</v>
      </c>
      <c r="S992">
        <v>1</v>
      </c>
      <c r="T992">
        <v>1</v>
      </c>
      <c r="U992">
        <v>1</v>
      </c>
      <c r="V992">
        <v>1</v>
      </c>
      <c r="W992">
        <v>1</v>
      </c>
      <c r="AA992">
        <v>-9236.6705000000002</v>
      </c>
      <c r="AB992">
        <v>-9236.6705000000002</v>
      </c>
      <c r="AC992">
        <v>-9236.6705000000002</v>
      </c>
      <c r="AD992">
        <v>-9236.6705000000002</v>
      </c>
      <c r="AE992">
        <v>-9236.6705000000002</v>
      </c>
      <c r="AF992">
        <v>-1015461.3278</v>
      </c>
    </row>
    <row r="993" spans="2:32" x14ac:dyDescent="0.25">
      <c r="B993">
        <f t="shared" si="42"/>
        <v>54</v>
      </c>
      <c r="C993">
        <v>1</v>
      </c>
      <c r="D993">
        <v>1</v>
      </c>
      <c r="E993">
        <v>1</v>
      </c>
      <c r="F993">
        <v>1</v>
      </c>
      <c r="G993">
        <v>1</v>
      </c>
      <c r="J993">
        <f t="shared" si="43"/>
        <v>54</v>
      </c>
      <c r="K993">
        <v>1</v>
      </c>
      <c r="L993">
        <v>1</v>
      </c>
      <c r="M993">
        <v>1</v>
      </c>
      <c r="N993">
        <v>1</v>
      </c>
      <c r="O993">
        <v>1</v>
      </c>
      <c r="R993">
        <f t="shared" si="44"/>
        <v>54</v>
      </c>
      <c r="S993">
        <v>1</v>
      </c>
      <c r="T993">
        <v>1</v>
      </c>
      <c r="U993">
        <v>1</v>
      </c>
      <c r="V993">
        <v>1</v>
      </c>
      <c r="W993">
        <v>1</v>
      </c>
      <c r="AA993">
        <v>-9098.4312000000009</v>
      </c>
      <c r="AB993">
        <v>-9098.4312000000009</v>
      </c>
      <c r="AC993">
        <v>-9098.4312000000009</v>
      </c>
      <c r="AD993">
        <v>-9098.4312000000009</v>
      </c>
      <c r="AE993">
        <v>-9098.4312000000009</v>
      </c>
      <c r="AF993">
        <v>-1033869.6813000001</v>
      </c>
    </row>
    <row r="994" spans="2:32" x14ac:dyDescent="0.25">
      <c r="B994">
        <f t="shared" si="42"/>
        <v>55</v>
      </c>
      <c r="C994">
        <v>1</v>
      </c>
      <c r="D994">
        <v>1</v>
      </c>
      <c r="E994">
        <v>1</v>
      </c>
      <c r="F994">
        <v>1</v>
      </c>
      <c r="G994">
        <v>1</v>
      </c>
      <c r="J994">
        <f t="shared" si="43"/>
        <v>55</v>
      </c>
      <c r="K994">
        <v>1</v>
      </c>
      <c r="L994">
        <v>1</v>
      </c>
      <c r="M994">
        <v>1</v>
      </c>
      <c r="N994">
        <v>1</v>
      </c>
      <c r="O994">
        <v>1</v>
      </c>
      <c r="R994">
        <f t="shared" si="44"/>
        <v>55</v>
      </c>
      <c r="S994">
        <v>1</v>
      </c>
      <c r="T994">
        <v>1</v>
      </c>
      <c r="U994">
        <v>1</v>
      </c>
      <c r="V994">
        <v>1</v>
      </c>
      <c r="W994">
        <v>1</v>
      </c>
      <c r="AA994">
        <v>-8958.0210999999999</v>
      </c>
      <c r="AB994">
        <v>-8958.0210999999999</v>
      </c>
      <c r="AC994">
        <v>-8958.0210999999999</v>
      </c>
      <c r="AD994">
        <v>-8958.0210999999999</v>
      </c>
      <c r="AE994">
        <v>-8958.0210999999999</v>
      </c>
      <c r="AF994">
        <v>-1050810.2549999999</v>
      </c>
    </row>
    <row r="995" spans="2:32" x14ac:dyDescent="0.25">
      <c r="B995">
        <f t="shared" si="42"/>
        <v>56</v>
      </c>
      <c r="C995">
        <v>1</v>
      </c>
      <c r="D995">
        <v>1</v>
      </c>
      <c r="E995">
        <v>1</v>
      </c>
      <c r="F995">
        <v>1</v>
      </c>
      <c r="G995">
        <v>1</v>
      </c>
      <c r="J995">
        <f t="shared" si="43"/>
        <v>56</v>
      </c>
      <c r="K995">
        <v>1</v>
      </c>
      <c r="L995">
        <v>1</v>
      </c>
      <c r="M995">
        <v>1</v>
      </c>
      <c r="N995">
        <v>1</v>
      </c>
      <c r="O995">
        <v>1</v>
      </c>
      <c r="R995">
        <f t="shared" si="44"/>
        <v>56</v>
      </c>
      <c r="S995">
        <v>1</v>
      </c>
      <c r="T995">
        <v>1</v>
      </c>
      <c r="U995">
        <v>1</v>
      </c>
      <c r="V995">
        <v>1</v>
      </c>
      <c r="W995">
        <v>1</v>
      </c>
      <c r="AA995">
        <v>-8815.6316999999999</v>
      </c>
      <c r="AB995">
        <v>-8815.6316999999999</v>
      </c>
      <c r="AC995">
        <v>-8815.6316999999999</v>
      </c>
      <c r="AD995">
        <v>-8815.6316999999999</v>
      </c>
      <c r="AE995">
        <v>-8815.6316999999999</v>
      </c>
      <c r="AF995">
        <v>-1073295.8774000001</v>
      </c>
    </row>
    <row r="996" spans="2:32" x14ac:dyDescent="0.25">
      <c r="B996">
        <f t="shared" si="42"/>
        <v>57</v>
      </c>
      <c r="C996">
        <v>1</v>
      </c>
      <c r="D996">
        <v>1</v>
      </c>
      <c r="E996">
        <v>1</v>
      </c>
      <c r="F996">
        <v>1</v>
      </c>
      <c r="G996">
        <v>1</v>
      </c>
      <c r="J996">
        <f t="shared" si="43"/>
        <v>57</v>
      </c>
      <c r="K996">
        <v>1</v>
      </c>
      <c r="L996">
        <v>1</v>
      </c>
      <c r="M996">
        <v>1</v>
      </c>
      <c r="N996">
        <v>1</v>
      </c>
      <c r="O996">
        <v>1</v>
      </c>
      <c r="R996">
        <f t="shared" si="44"/>
        <v>57</v>
      </c>
      <c r="S996">
        <v>1</v>
      </c>
      <c r="T996">
        <v>1</v>
      </c>
      <c r="U996">
        <v>1</v>
      </c>
      <c r="V996">
        <v>1</v>
      </c>
      <c r="W996">
        <v>1</v>
      </c>
      <c r="AA996">
        <v>-8671.3991999999998</v>
      </c>
      <c r="AB996">
        <v>-8671.3991999999998</v>
      </c>
      <c r="AC996">
        <v>-8671.3991999999998</v>
      </c>
      <c r="AD996">
        <v>-8671.3991999999998</v>
      </c>
      <c r="AE996">
        <v>-8671.3991999999998</v>
      </c>
      <c r="AF996">
        <v>-1093242.6832999999</v>
      </c>
    </row>
    <row r="997" spans="2:32" x14ac:dyDescent="0.25">
      <c r="B997">
        <f t="shared" si="42"/>
        <v>58</v>
      </c>
      <c r="C997">
        <v>1</v>
      </c>
      <c r="D997">
        <v>1</v>
      </c>
      <c r="E997">
        <v>1</v>
      </c>
      <c r="F997">
        <v>1</v>
      </c>
      <c r="G997">
        <v>1</v>
      </c>
      <c r="J997">
        <f t="shared" si="43"/>
        <v>58</v>
      </c>
      <c r="K997">
        <v>1</v>
      </c>
      <c r="L997">
        <v>1</v>
      </c>
      <c r="M997">
        <v>1</v>
      </c>
      <c r="N997">
        <v>1</v>
      </c>
      <c r="O997">
        <v>1</v>
      </c>
      <c r="R997">
        <f t="shared" si="44"/>
        <v>58</v>
      </c>
      <c r="S997">
        <v>1</v>
      </c>
      <c r="T997">
        <v>1</v>
      </c>
      <c r="U997">
        <v>1</v>
      </c>
      <c r="V997">
        <v>1</v>
      </c>
      <c r="W997">
        <v>1</v>
      </c>
      <c r="AA997">
        <v>-8525.2759999999998</v>
      </c>
      <c r="AB997">
        <v>-8525.2759999999998</v>
      </c>
      <c r="AC997">
        <v>-8525.2759999999998</v>
      </c>
      <c r="AD997">
        <v>-8525.2759999999998</v>
      </c>
      <c r="AE997">
        <v>-8525.2759999999998</v>
      </c>
      <c r="AF997">
        <v>-1114366.6444000001</v>
      </c>
    </row>
    <row r="998" spans="2:32" x14ac:dyDescent="0.25">
      <c r="B998">
        <f t="shared" si="42"/>
        <v>59</v>
      </c>
      <c r="C998">
        <v>1</v>
      </c>
      <c r="D998">
        <v>1</v>
      </c>
      <c r="E998">
        <v>1</v>
      </c>
      <c r="F998">
        <v>1</v>
      </c>
      <c r="G998">
        <v>1</v>
      </c>
      <c r="J998">
        <f t="shared" si="43"/>
        <v>59</v>
      </c>
      <c r="K998">
        <v>1</v>
      </c>
      <c r="L998">
        <v>1</v>
      </c>
      <c r="M998">
        <v>1</v>
      </c>
      <c r="N998">
        <v>1</v>
      </c>
      <c r="O998">
        <v>1</v>
      </c>
      <c r="R998">
        <f t="shared" si="44"/>
        <v>59</v>
      </c>
      <c r="S998">
        <v>1</v>
      </c>
      <c r="T998">
        <v>1</v>
      </c>
      <c r="U998">
        <v>1</v>
      </c>
      <c r="V998">
        <v>1</v>
      </c>
      <c r="W998">
        <v>1</v>
      </c>
      <c r="AA998">
        <v>-8377.2351999999992</v>
      </c>
      <c r="AB998">
        <v>-8377.2351999999992</v>
      </c>
      <c r="AC998">
        <v>-8377.2351999999992</v>
      </c>
      <c r="AD998">
        <v>-8377.2351999999992</v>
      </c>
      <c r="AE998">
        <v>-8377.2351999999992</v>
      </c>
      <c r="AF998">
        <v>-1136284.0146999999</v>
      </c>
    </row>
    <row r="999" spans="2:32" x14ac:dyDescent="0.25">
      <c r="B999">
        <f t="shared" si="42"/>
        <v>60</v>
      </c>
      <c r="C999">
        <v>1</v>
      </c>
      <c r="D999">
        <v>1</v>
      </c>
      <c r="E999">
        <v>1</v>
      </c>
      <c r="F999">
        <v>1</v>
      </c>
      <c r="G999">
        <v>1</v>
      </c>
      <c r="J999">
        <f t="shared" si="43"/>
        <v>60</v>
      </c>
      <c r="K999">
        <v>1</v>
      </c>
      <c r="L999">
        <v>1</v>
      </c>
      <c r="M999">
        <v>1</v>
      </c>
      <c r="N999">
        <v>1</v>
      </c>
      <c r="O999">
        <v>1</v>
      </c>
      <c r="R999">
        <f t="shared" si="44"/>
        <v>60</v>
      </c>
      <c r="S999">
        <v>1</v>
      </c>
      <c r="T999">
        <v>1</v>
      </c>
      <c r="U999">
        <v>1</v>
      </c>
      <c r="V999">
        <v>1</v>
      </c>
      <c r="W999">
        <v>1</v>
      </c>
      <c r="AA999">
        <v>-8227.3953999999994</v>
      </c>
      <c r="AB999">
        <v>-8227.3953999999994</v>
      </c>
      <c r="AC999">
        <v>-8227.3953999999994</v>
      </c>
      <c r="AD999">
        <v>-8227.3953999999994</v>
      </c>
      <c r="AE999">
        <v>-8227.3953999999994</v>
      </c>
      <c r="AF999">
        <v>-1157801.6717999999</v>
      </c>
    </row>
    <row r="1000" spans="2:32" x14ac:dyDescent="0.25">
      <c r="B1000">
        <f t="shared" si="42"/>
        <v>61</v>
      </c>
      <c r="C1000">
        <v>1</v>
      </c>
      <c r="D1000">
        <v>1</v>
      </c>
      <c r="E1000">
        <v>1</v>
      </c>
      <c r="F1000">
        <v>1</v>
      </c>
      <c r="G1000">
        <v>1</v>
      </c>
      <c r="J1000">
        <f t="shared" si="43"/>
        <v>61</v>
      </c>
      <c r="K1000">
        <v>1</v>
      </c>
      <c r="L1000">
        <v>1</v>
      </c>
      <c r="M1000">
        <v>1</v>
      </c>
      <c r="N1000">
        <v>1</v>
      </c>
      <c r="O1000">
        <v>1</v>
      </c>
      <c r="R1000">
        <f t="shared" si="44"/>
        <v>61</v>
      </c>
      <c r="S1000">
        <v>1</v>
      </c>
      <c r="T1000">
        <v>1</v>
      </c>
      <c r="U1000">
        <v>1</v>
      </c>
      <c r="V1000">
        <v>1</v>
      </c>
      <c r="W1000">
        <v>1</v>
      </c>
      <c r="AA1000">
        <v>-8076.1778999999997</v>
      </c>
      <c r="AB1000">
        <v>-8076.1778999999997</v>
      </c>
      <c r="AC1000">
        <v>-8076.1778999999997</v>
      </c>
      <c r="AD1000">
        <v>-8076.1778999999997</v>
      </c>
      <c r="AE1000">
        <v>-8076.1778999999997</v>
      </c>
      <c r="AF1000">
        <v>-1178581.4038</v>
      </c>
    </row>
    <row r="1001" spans="2:32" x14ac:dyDescent="0.25">
      <c r="B1001">
        <f t="shared" si="42"/>
        <v>62</v>
      </c>
      <c r="C1001">
        <v>1</v>
      </c>
      <c r="D1001">
        <v>1</v>
      </c>
      <c r="E1001">
        <v>1</v>
      </c>
      <c r="F1001">
        <v>1</v>
      </c>
      <c r="G1001">
        <v>1</v>
      </c>
      <c r="J1001">
        <f t="shared" si="43"/>
        <v>62</v>
      </c>
      <c r="K1001">
        <v>1</v>
      </c>
      <c r="L1001">
        <v>1</v>
      </c>
      <c r="M1001">
        <v>1</v>
      </c>
      <c r="N1001">
        <v>1</v>
      </c>
      <c r="O1001">
        <v>1</v>
      </c>
      <c r="R1001">
        <f t="shared" si="44"/>
        <v>62</v>
      </c>
      <c r="S1001">
        <v>1</v>
      </c>
      <c r="T1001">
        <v>1</v>
      </c>
      <c r="U1001">
        <v>1</v>
      </c>
      <c r="V1001">
        <v>1</v>
      </c>
      <c r="W1001">
        <v>1</v>
      </c>
      <c r="AA1001">
        <v>-7923.5816000000004</v>
      </c>
      <c r="AB1001">
        <v>-7923.5816000000004</v>
      </c>
      <c r="AC1001">
        <v>-7923.5816000000004</v>
      </c>
      <c r="AD1001">
        <v>-7923.5816000000004</v>
      </c>
      <c r="AE1001">
        <v>-7923.5816000000004</v>
      </c>
      <c r="AF1001">
        <v>-1199521.5327000001</v>
      </c>
    </row>
    <row r="1002" spans="2:32" x14ac:dyDescent="0.25">
      <c r="B1002">
        <f t="shared" si="42"/>
        <v>63</v>
      </c>
      <c r="C1002">
        <v>1</v>
      </c>
      <c r="D1002">
        <v>1</v>
      </c>
      <c r="E1002">
        <v>1</v>
      </c>
      <c r="F1002">
        <v>1</v>
      </c>
      <c r="G1002">
        <v>1</v>
      </c>
      <c r="J1002">
        <f t="shared" si="43"/>
        <v>63</v>
      </c>
      <c r="K1002">
        <v>1</v>
      </c>
      <c r="L1002">
        <v>1</v>
      </c>
      <c r="M1002">
        <v>1</v>
      </c>
      <c r="N1002">
        <v>1</v>
      </c>
      <c r="O1002">
        <v>1</v>
      </c>
      <c r="R1002">
        <f t="shared" si="44"/>
        <v>63</v>
      </c>
      <c r="S1002">
        <v>1</v>
      </c>
      <c r="T1002">
        <v>1</v>
      </c>
      <c r="U1002">
        <v>1</v>
      </c>
      <c r="V1002">
        <v>1</v>
      </c>
      <c r="W1002">
        <v>1</v>
      </c>
      <c r="AA1002">
        <v>-7769.2775000000001</v>
      </c>
      <c r="AB1002">
        <v>-7769.2775000000001</v>
      </c>
      <c r="AC1002">
        <v>-7769.2775000000001</v>
      </c>
      <c r="AD1002">
        <v>-7769.2775000000001</v>
      </c>
      <c r="AE1002">
        <v>-7769.2775000000001</v>
      </c>
      <c r="AF1002">
        <v>-1220461.6269</v>
      </c>
    </row>
    <row r="1003" spans="2:32" x14ac:dyDescent="0.25">
      <c r="B1003">
        <f t="shared" si="42"/>
        <v>64</v>
      </c>
      <c r="C1003">
        <v>1</v>
      </c>
      <c r="D1003">
        <v>1</v>
      </c>
      <c r="E1003">
        <v>1</v>
      </c>
      <c r="F1003">
        <v>1</v>
      </c>
      <c r="G1003">
        <v>1</v>
      </c>
      <c r="J1003">
        <f t="shared" si="43"/>
        <v>64</v>
      </c>
      <c r="K1003">
        <v>1</v>
      </c>
      <c r="L1003">
        <v>1</v>
      </c>
      <c r="M1003">
        <v>1</v>
      </c>
      <c r="N1003">
        <v>1</v>
      </c>
      <c r="O1003">
        <v>1</v>
      </c>
      <c r="R1003">
        <f t="shared" si="44"/>
        <v>64</v>
      </c>
      <c r="S1003">
        <v>1</v>
      </c>
      <c r="T1003">
        <v>1</v>
      </c>
      <c r="U1003">
        <v>1</v>
      </c>
      <c r="V1003">
        <v>1</v>
      </c>
      <c r="W1003">
        <v>1</v>
      </c>
      <c r="AA1003">
        <v>-7613.3999000000003</v>
      </c>
      <c r="AB1003">
        <v>-7613.3999000000003</v>
      </c>
      <c r="AC1003">
        <v>-7613.3999000000003</v>
      </c>
      <c r="AD1003">
        <v>-7613.3999000000003</v>
      </c>
      <c r="AE1003">
        <v>-7613.3999000000003</v>
      </c>
      <c r="AF1003">
        <v>-1240652.2526</v>
      </c>
    </row>
    <row r="1004" spans="2:32" x14ac:dyDescent="0.25">
      <c r="B1004">
        <f t="shared" si="42"/>
        <v>65</v>
      </c>
      <c r="C1004">
        <v>1</v>
      </c>
      <c r="D1004">
        <v>1</v>
      </c>
      <c r="E1004">
        <v>1</v>
      </c>
      <c r="F1004">
        <v>1</v>
      </c>
      <c r="G1004">
        <v>1</v>
      </c>
      <c r="J1004">
        <f t="shared" si="43"/>
        <v>65</v>
      </c>
      <c r="K1004">
        <v>1</v>
      </c>
      <c r="L1004">
        <v>1</v>
      </c>
      <c r="M1004">
        <v>1</v>
      </c>
      <c r="N1004">
        <v>1</v>
      </c>
      <c r="O1004">
        <v>1</v>
      </c>
      <c r="R1004">
        <f t="shared" si="44"/>
        <v>65</v>
      </c>
      <c r="S1004">
        <v>1</v>
      </c>
      <c r="T1004">
        <v>1</v>
      </c>
      <c r="U1004">
        <v>1</v>
      </c>
      <c r="V1004">
        <v>1</v>
      </c>
      <c r="W1004">
        <v>1</v>
      </c>
      <c r="AA1004">
        <v>-7455.8590000000004</v>
      </c>
      <c r="AB1004">
        <v>-7455.8590000000004</v>
      </c>
      <c r="AC1004">
        <v>-7455.8590000000004</v>
      </c>
      <c r="AD1004">
        <v>-7455.8590000000004</v>
      </c>
      <c r="AE1004">
        <v>-7455.8590000000004</v>
      </c>
      <c r="AF1004">
        <v>-1260049.8302</v>
      </c>
    </row>
    <row r="1007" spans="2:32" x14ac:dyDescent="0.25">
      <c r="B1007" t="s">
        <v>46</v>
      </c>
      <c r="C1007">
        <v>50000</v>
      </c>
      <c r="D1007">
        <v>100000</v>
      </c>
      <c r="E1007">
        <v>250000</v>
      </c>
      <c r="F1007">
        <v>500000</v>
      </c>
      <c r="G1007">
        <v>1000000</v>
      </c>
      <c r="H1007">
        <v>2000000</v>
      </c>
      <c r="J1007" t="s">
        <v>47</v>
      </c>
      <c r="K1007">
        <v>50000</v>
      </c>
      <c r="L1007">
        <v>100000</v>
      </c>
      <c r="M1007">
        <v>250000</v>
      </c>
      <c r="N1007">
        <v>500000</v>
      </c>
      <c r="O1007">
        <v>1000000</v>
      </c>
      <c r="P1007">
        <v>2000000</v>
      </c>
      <c r="R1007" t="s">
        <v>48</v>
      </c>
      <c r="S1007">
        <v>50000</v>
      </c>
      <c r="T1007">
        <v>100000</v>
      </c>
      <c r="U1007">
        <v>250000</v>
      </c>
      <c r="V1007">
        <v>500000</v>
      </c>
      <c r="W1007">
        <v>1000000</v>
      </c>
      <c r="X1007">
        <v>2000000</v>
      </c>
    </row>
    <row r="1008" spans="2:32" x14ac:dyDescent="0.25">
      <c r="B1008">
        <v>26</v>
      </c>
      <c r="C1008">
        <v>1</v>
      </c>
      <c r="D1008">
        <v>1</v>
      </c>
      <c r="E1008">
        <v>1</v>
      </c>
      <c r="F1008">
        <v>1</v>
      </c>
      <c r="G1008">
        <v>1</v>
      </c>
      <c r="H1008">
        <v>1</v>
      </c>
      <c r="J1008">
        <v>26</v>
      </c>
      <c r="K1008">
        <v>1</v>
      </c>
      <c r="L1008">
        <v>1</v>
      </c>
      <c r="M1008">
        <v>1</v>
      </c>
      <c r="N1008">
        <v>1</v>
      </c>
      <c r="O1008">
        <v>1</v>
      </c>
      <c r="P1008">
        <v>1</v>
      </c>
      <c r="R1008">
        <v>26</v>
      </c>
      <c r="S1008">
        <v>1</v>
      </c>
      <c r="T1008">
        <v>1</v>
      </c>
      <c r="U1008">
        <v>1</v>
      </c>
      <c r="V1008">
        <v>1</v>
      </c>
      <c r="W1008">
        <v>1</v>
      </c>
      <c r="X1008">
        <v>1</v>
      </c>
      <c r="AA1008">
        <v>-7435.5060999999996</v>
      </c>
      <c r="AB1008">
        <v>-7435.5060999999996</v>
      </c>
      <c r="AC1008">
        <v>-7435.5060999999996</v>
      </c>
      <c r="AD1008">
        <v>-7435.5060999999996</v>
      </c>
      <c r="AE1008">
        <v>-7435.5060999999996</v>
      </c>
      <c r="AF1008">
        <v>-7435.5060999999996</v>
      </c>
    </row>
    <row r="1009" spans="2:32" x14ac:dyDescent="0.25">
      <c r="B1009">
        <v>27</v>
      </c>
      <c r="C1009">
        <v>1</v>
      </c>
      <c r="D1009">
        <v>1</v>
      </c>
      <c r="E1009">
        <v>1</v>
      </c>
      <c r="F1009">
        <v>1</v>
      </c>
      <c r="G1009">
        <v>1</v>
      </c>
      <c r="H1009">
        <v>1</v>
      </c>
      <c r="J1009">
        <v>27</v>
      </c>
      <c r="K1009">
        <v>1</v>
      </c>
      <c r="L1009">
        <v>1</v>
      </c>
      <c r="M1009">
        <v>1</v>
      </c>
      <c r="N1009">
        <v>1</v>
      </c>
      <c r="O1009">
        <v>1</v>
      </c>
      <c r="P1009">
        <v>1</v>
      </c>
      <c r="R1009">
        <v>27</v>
      </c>
      <c r="S1009">
        <v>1</v>
      </c>
      <c r="T1009">
        <v>1</v>
      </c>
      <c r="U1009">
        <v>1</v>
      </c>
      <c r="V1009">
        <v>1</v>
      </c>
      <c r="W1009">
        <v>1</v>
      </c>
      <c r="X1009">
        <v>1</v>
      </c>
      <c r="AA1009">
        <v>-7434.2619000000004</v>
      </c>
      <c r="AB1009">
        <v>-7434.2619000000004</v>
      </c>
      <c r="AC1009">
        <v>-7434.2619000000004</v>
      </c>
      <c r="AD1009">
        <v>-7434.2619000000004</v>
      </c>
      <c r="AE1009">
        <v>-7434.2619000000004</v>
      </c>
      <c r="AF1009">
        <v>-7434.2619000000004</v>
      </c>
    </row>
    <row r="1010" spans="2:32" x14ac:dyDescent="0.25">
      <c r="B1010">
        <v>28</v>
      </c>
      <c r="C1010">
        <v>1</v>
      </c>
      <c r="D1010">
        <v>1</v>
      </c>
      <c r="E1010">
        <v>1</v>
      </c>
      <c r="F1010">
        <v>1</v>
      </c>
      <c r="G1010">
        <v>1</v>
      </c>
      <c r="H1010">
        <v>1</v>
      </c>
      <c r="J1010">
        <v>28</v>
      </c>
      <c r="K1010">
        <v>1</v>
      </c>
      <c r="L1010">
        <v>1</v>
      </c>
      <c r="M1010">
        <v>1</v>
      </c>
      <c r="N1010">
        <v>1</v>
      </c>
      <c r="O1010">
        <v>1</v>
      </c>
      <c r="P1010">
        <v>1</v>
      </c>
      <c r="R1010">
        <v>28</v>
      </c>
      <c r="S1010">
        <v>1</v>
      </c>
      <c r="T1010">
        <v>1</v>
      </c>
      <c r="U1010">
        <v>1</v>
      </c>
      <c r="V1010">
        <v>1</v>
      </c>
      <c r="W1010">
        <v>1</v>
      </c>
      <c r="X1010">
        <v>1</v>
      </c>
      <c r="AA1010">
        <v>-7432.8334999999997</v>
      </c>
      <c r="AB1010">
        <v>-7432.8334999999997</v>
      </c>
      <c r="AC1010">
        <v>-7432.8334999999997</v>
      </c>
      <c r="AD1010">
        <v>-7432.8334999999997</v>
      </c>
      <c r="AE1010">
        <v>-7432.8334999999997</v>
      </c>
      <c r="AF1010">
        <v>-7432.8334999999997</v>
      </c>
    </row>
    <row r="1011" spans="2:32" x14ac:dyDescent="0.25">
      <c r="B1011">
        <v>29</v>
      </c>
      <c r="C1011">
        <v>1</v>
      </c>
      <c r="D1011">
        <v>1</v>
      </c>
      <c r="E1011">
        <v>1</v>
      </c>
      <c r="F1011">
        <v>1</v>
      </c>
      <c r="G1011">
        <v>1</v>
      </c>
      <c r="H1011">
        <v>1</v>
      </c>
      <c r="J1011">
        <v>29</v>
      </c>
      <c r="K1011">
        <v>1</v>
      </c>
      <c r="L1011">
        <v>1</v>
      </c>
      <c r="M1011">
        <v>1</v>
      </c>
      <c r="N1011">
        <v>1</v>
      </c>
      <c r="O1011">
        <v>1</v>
      </c>
      <c r="P1011">
        <v>1</v>
      </c>
      <c r="R1011">
        <v>29</v>
      </c>
      <c r="S1011">
        <v>1</v>
      </c>
      <c r="T1011">
        <v>1</v>
      </c>
      <c r="U1011">
        <v>1</v>
      </c>
      <c r="V1011">
        <v>1</v>
      </c>
      <c r="W1011">
        <v>1</v>
      </c>
      <c r="X1011">
        <v>1</v>
      </c>
      <c r="AA1011">
        <v>-7431.2058999999999</v>
      </c>
      <c r="AB1011">
        <v>-7431.2058999999999</v>
      </c>
      <c r="AC1011">
        <v>-7431.2058999999999</v>
      </c>
      <c r="AD1011">
        <v>-7431.2058999999999</v>
      </c>
      <c r="AE1011">
        <v>-7431.2058999999999</v>
      </c>
      <c r="AF1011">
        <v>-7431.2058999999999</v>
      </c>
    </row>
    <row r="1012" spans="2:32" x14ac:dyDescent="0.25">
      <c r="B1012">
        <v>30</v>
      </c>
      <c r="C1012">
        <v>1</v>
      </c>
      <c r="D1012">
        <v>1</v>
      </c>
      <c r="E1012">
        <v>1</v>
      </c>
      <c r="F1012">
        <v>1</v>
      </c>
      <c r="G1012">
        <v>1</v>
      </c>
      <c r="H1012">
        <v>1</v>
      </c>
      <c r="J1012">
        <v>30</v>
      </c>
      <c r="K1012">
        <v>1</v>
      </c>
      <c r="L1012">
        <v>1</v>
      </c>
      <c r="M1012">
        <v>1</v>
      </c>
      <c r="N1012">
        <v>1</v>
      </c>
      <c r="O1012">
        <v>1</v>
      </c>
      <c r="P1012">
        <v>1</v>
      </c>
      <c r="R1012">
        <v>30</v>
      </c>
      <c r="S1012">
        <v>1</v>
      </c>
      <c r="T1012">
        <v>1</v>
      </c>
      <c r="U1012">
        <v>1</v>
      </c>
      <c r="V1012">
        <v>1</v>
      </c>
      <c r="W1012">
        <v>1</v>
      </c>
      <c r="X1012">
        <v>1</v>
      </c>
      <c r="AA1012">
        <v>-7429.3476000000001</v>
      </c>
      <c r="AB1012">
        <v>-7429.3476000000001</v>
      </c>
      <c r="AC1012">
        <v>-7429.3476000000001</v>
      </c>
      <c r="AD1012">
        <v>-7429.3476000000001</v>
      </c>
      <c r="AE1012">
        <v>-7429.3476000000001</v>
      </c>
      <c r="AF1012">
        <v>-7429.3476000000001</v>
      </c>
    </row>
    <row r="1013" spans="2:32" x14ac:dyDescent="0.25">
      <c r="B1013">
        <v>31</v>
      </c>
      <c r="C1013">
        <v>1</v>
      </c>
      <c r="D1013">
        <v>1</v>
      </c>
      <c r="E1013">
        <v>1</v>
      </c>
      <c r="F1013">
        <v>1</v>
      </c>
      <c r="G1013">
        <v>1</v>
      </c>
      <c r="H1013">
        <v>1</v>
      </c>
      <c r="J1013">
        <v>31</v>
      </c>
      <c r="K1013">
        <v>1</v>
      </c>
      <c r="L1013">
        <v>1</v>
      </c>
      <c r="M1013">
        <v>1</v>
      </c>
      <c r="N1013">
        <v>1</v>
      </c>
      <c r="O1013">
        <v>1</v>
      </c>
      <c r="P1013">
        <v>1</v>
      </c>
      <c r="R1013">
        <v>31</v>
      </c>
      <c r="S1013">
        <v>1</v>
      </c>
      <c r="T1013">
        <v>1</v>
      </c>
      <c r="U1013">
        <v>1</v>
      </c>
      <c r="V1013">
        <v>1</v>
      </c>
      <c r="W1013">
        <v>1</v>
      </c>
      <c r="X1013">
        <v>1</v>
      </c>
      <c r="AA1013">
        <v>-7427.2446</v>
      </c>
      <c r="AB1013">
        <v>-7427.2446</v>
      </c>
      <c r="AC1013">
        <v>-7427.2446</v>
      </c>
      <c r="AD1013">
        <v>-7427.2446</v>
      </c>
      <c r="AE1013">
        <v>-7427.2446</v>
      </c>
      <c r="AF1013">
        <v>-7427.2446</v>
      </c>
    </row>
    <row r="1014" spans="2:32" x14ac:dyDescent="0.25">
      <c r="B1014">
        <v>32</v>
      </c>
      <c r="C1014">
        <v>1</v>
      </c>
      <c r="D1014">
        <v>1</v>
      </c>
      <c r="E1014">
        <v>1</v>
      </c>
      <c r="F1014">
        <v>1</v>
      </c>
      <c r="G1014">
        <v>1</v>
      </c>
      <c r="H1014">
        <v>1</v>
      </c>
      <c r="J1014">
        <v>32</v>
      </c>
      <c r="K1014">
        <v>1</v>
      </c>
      <c r="L1014">
        <v>1</v>
      </c>
      <c r="M1014">
        <v>1</v>
      </c>
      <c r="N1014">
        <v>1</v>
      </c>
      <c r="O1014">
        <v>1</v>
      </c>
      <c r="P1014">
        <v>1</v>
      </c>
      <c r="R1014">
        <v>32</v>
      </c>
      <c r="S1014">
        <v>1</v>
      </c>
      <c r="T1014">
        <v>1</v>
      </c>
      <c r="U1014">
        <v>1</v>
      </c>
      <c r="V1014">
        <v>1</v>
      </c>
      <c r="W1014">
        <v>1</v>
      </c>
      <c r="X1014">
        <v>1</v>
      </c>
      <c r="AA1014">
        <v>-7424.8944000000001</v>
      </c>
      <c r="AB1014">
        <v>-7424.8944000000001</v>
      </c>
      <c r="AC1014">
        <v>-7424.8944000000001</v>
      </c>
      <c r="AD1014">
        <v>-7424.8944000000001</v>
      </c>
      <c r="AE1014">
        <v>-7424.8944000000001</v>
      </c>
      <c r="AF1014">
        <v>-7424.8944000000001</v>
      </c>
    </row>
    <row r="1015" spans="2:32" x14ac:dyDescent="0.25">
      <c r="B1015">
        <v>33</v>
      </c>
      <c r="C1015">
        <v>1</v>
      </c>
      <c r="D1015">
        <v>1</v>
      </c>
      <c r="E1015">
        <v>1</v>
      </c>
      <c r="F1015">
        <v>1</v>
      </c>
      <c r="G1015">
        <v>1</v>
      </c>
      <c r="H1015">
        <v>1</v>
      </c>
      <c r="J1015">
        <v>33</v>
      </c>
      <c r="K1015">
        <v>1</v>
      </c>
      <c r="L1015">
        <v>1</v>
      </c>
      <c r="M1015">
        <v>1</v>
      </c>
      <c r="N1015">
        <v>1</v>
      </c>
      <c r="O1015">
        <v>1</v>
      </c>
      <c r="P1015">
        <v>1</v>
      </c>
      <c r="R1015">
        <v>33</v>
      </c>
      <c r="S1015">
        <v>1</v>
      </c>
      <c r="T1015">
        <v>1</v>
      </c>
      <c r="U1015">
        <v>1</v>
      </c>
      <c r="V1015">
        <v>1</v>
      </c>
      <c r="W1015">
        <v>1</v>
      </c>
      <c r="X1015">
        <v>1</v>
      </c>
      <c r="AA1015">
        <v>-7422.2834000000003</v>
      </c>
      <c r="AB1015">
        <v>-7422.2834000000003</v>
      </c>
      <c r="AC1015">
        <v>-7422.2834000000003</v>
      </c>
      <c r="AD1015">
        <v>-7422.2834000000003</v>
      </c>
      <c r="AE1015">
        <v>-7422.2834000000003</v>
      </c>
      <c r="AF1015">
        <v>-7422.2834000000003</v>
      </c>
    </row>
    <row r="1016" spans="2:32" x14ac:dyDescent="0.25">
      <c r="B1016">
        <v>34</v>
      </c>
      <c r="C1016">
        <v>1</v>
      </c>
      <c r="D1016">
        <v>1</v>
      </c>
      <c r="E1016">
        <v>1</v>
      </c>
      <c r="F1016">
        <v>1</v>
      </c>
      <c r="G1016">
        <v>1</v>
      </c>
      <c r="H1016">
        <v>1</v>
      </c>
      <c r="J1016">
        <v>34</v>
      </c>
      <c r="K1016">
        <v>1</v>
      </c>
      <c r="L1016">
        <v>1</v>
      </c>
      <c r="M1016">
        <v>1</v>
      </c>
      <c r="N1016">
        <v>1</v>
      </c>
      <c r="O1016">
        <v>1</v>
      </c>
      <c r="P1016">
        <v>1</v>
      </c>
      <c r="R1016">
        <v>34</v>
      </c>
      <c r="S1016">
        <v>1</v>
      </c>
      <c r="T1016">
        <v>1</v>
      </c>
      <c r="U1016">
        <v>1</v>
      </c>
      <c r="V1016">
        <v>1</v>
      </c>
      <c r="W1016">
        <v>1</v>
      </c>
      <c r="X1016">
        <v>1</v>
      </c>
      <c r="AA1016">
        <v>-7419.3683000000001</v>
      </c>
      <c r="AB1016">
        <v>-7419.3683000000001</v>
      </c>
      <c r="AC1016">
        <v>-7419.3683000000001</v>
      </c>
      <c r="AD1016">
        <v>-7419.3683000000001</v>
      </c>
      <c r="AE1016">
        <v>-7419.3683000000001</v>
      </c>
      <c r="AF1016">
        <v>-7419.3683000000001</v>
      </c>
    </row>
    <row r="1017" spans="2:32" x14ac:dyDescent="0.25">
      <c r="B1017">
        <v>35</v>
      </c>
      <c r="C1017">
        <v>1</v>
      </c>
      <c r="D1017">
        <v>1</v>
      </c>
      <c r="E1017">
        <v>1</v>
      </c>
      <c r="F1017">
        <v>1</v>
      </c>
      <c r="G1017">
        <v>1</v>
      </c>
      <c r="H1017">
        <v>1</v>
      </c>
      <c r="J1017">
        <v>35</v>
      </c>
      <c r="K1017">
        <v>1</v>
      </c>
      <c r="L1017">
        <v>1</v>
      </c>
      <c r="M1017">
        <v>1</v>
      </c>
      <c r="N1017">
        <v>1</v>
      </c>
      <c r="O1017">
        <v>1</v>
      </c>
      <c r="P1017">
        <v>1</v>
      </c>
      <c r="R1017">
        <v>35</v>
      </c>
      <c r="S1017">
        <v>1</v>
      </c>
      <c r="T1017">
        <v>1</v>
      </c>
      <c r="U1017">
        <v>1</v>
      </c>
      <c r="V1017">
        <v>1</v>
      </c>
      <c r="W1017">
        <v>1</v>
      </c>
      <c r="X1017">
        <v>1</v>
      </c>
      <c r="AA1017">
        <v>-7416.1363000000001</v>
      </c>
      <c r="AB1017">
        <v>-7416.1363000000001</v>
      </c>
      <c r="AC1017">
        <v>-7416.1363000000001</v>
      </c>
      <c r="AD1017">
        <v>-7416.1363000000001</v>
      </c>
      <c r="AE1017">
        <v>-7416.1363000000001</v>
      </c>
      <c r="AF1017">
        <v>-7416.1363000000001</v>
      </c>
    </row>
    <row r="1018" spans="2:32" x14ac:dyDescent="0.25">
      <c r="B1018">
        <v>36</v>
      </c>
      <c r="C1018">
        <v>1</v>
      </c>
      <c r="D1018">
        <v>1</v>
      </c>
      <c r="E1018">
        <v>1</v>
      </c>
      <c r="F1018">
        <v>1</v>
      </c>
      <c r="G1018">
        <v>1</v>
      </c>
      <c r="H1018">
        <v>1</v>
      </c>
      <c r="J1018">
        <v>36</v>
      </c>
      <c r="K1018">
        <v>1</v>
      </c>
      <c r="L1018">
        <v>1</v>
      </c>
      <c r="M1018">
        <v>1</v>
      </c>
      <c r="N1018">
        <v>1</v>
      </c>
      <c r="O1018">
        <v>1</v>
      </c>
      <c r="P1018">
        <v>1</v>
      </c>
      <c r="R1018">
        <v>36</v>
      </c>
      <c r="S1018">
        <v>1</v>
      </c>
      <c r="T1018">
        <v>1</v>
      </c>
      <c r="U1018">
        <v>1</v>
      </c>
      <c r="V1018">
        <v>1</v>
      </c>
      <c r="W1018">
        <v>1</v>
      </c>
      <c r="X1018">
        <v>1</v>
      </c>
      <c r="AA1018">
        <v>-7412.5378000000001</v>
      </c>
      <c r="AB1018">
        <v>-7412.5378000000001</v>
      </c>
      <c r="AC1018">
        <v>-7412.5378000000001</v>
      </c>
      <c r="AD1018">
        <v>-7412.5378000000001</v>
      </c>
      <c r="AE1018">
        <v>-7412.5378000000001</v>
      </c>
      <c r="AF1018">
        <v>-7412.5378000000001</v>
      </c>
    </row>
    <row r="1019" spans="2:32" x14ac:dyDescent="0.25">
      <c r="B1019">
        <v>37</v>
      </c>
      <c r="C1019">
        <v>1</v>
      </c>
      <c r="D1019">
        <v>1</v>
      </c>
      <c r="E1019">
        <v>1</v>
      </c>
      <c r="F1019">
        <v>1</v>
      </c>
      <c r="G1019">
        <v>1</v>
      </c>
      <c r="H1019">
        <v>1</v>
      </c>
      <c r="J1019">
        <v>37</v>
      </c>
      <c r="K1019">
        <v>1</v>
      </c>
      <c r="L1019">
        <v>1</v>
      </c>
      <c r="M1019">
        <v>1</v>
      </c>
      <c r="N1019">
        <v>1</v>
      </c>
      <c r="O1019">
        <v>1</v>
      </c>
      <c r="P1019">
        <v>1</v>
      </c>
      <c r="R1019">
        <v>37</v>
      </c>
      <c r="S1019">
        <v>1</v>
      </c>
      <c r="T1019">
        <v>1</v>
      </c>
      <c r="U1019">
        <v>1</v>
      </c>
      <c r="V1019">
        <v>1</v>
      </c>
      <c r="W1019">
        <v>1</v>
      </c>
      <c r="X1019">
        <v>1</v>
      </c>
      <c r="AA1019">
        <v>-7408.55</v>
      </c>
      <c r="AB1019">
        <v>-7408.55</v>
      </c>
      <c r="AC1019">
        <v>-7408.55</v>
      </c>
      <c r="AD1019">
        <v>-7408.55</v>
      </c>
      <c r="AE1019">
        <v>-7408.55</v>
      </c>
      <c r="AF1019">
        <v>-7408.55</v>
      </c>
    </row>
    <row r="1020" spans="2:32" x14ac:dyDescent="0.25">
      <c r="B1020">
        <v>38</v>
      </c>
      <c r="C1020">
        <v>1</v>
      </c>
      <c r="D1020">
        <v>1</v>
      </c>
      <c r="E1020">
        <v>1</v>
      </c>
      <c r="F1020">
        <v>1</v>
      </c>
      <c r="G1020">
        <v>1</v>
      </c>
      <c r="H1020">
        <v>1</v>
      </c>
      <c r="J1020">
        <v>38</v>
      </c>
      <c r="K1020">
        <v>1</v>
      </c>
      <c r="L1020">
        <v>1</v>
      </c>
      <c r="M1020">
        <v>1</v>
      </c>
      <c r="N1020">
        <v>1</v>
      </c>
      <c r="O1020">
        <v>1</v>
      </c>
      <c r="P1020">
        <v>1</v>
      </c>
      <c r="R1020">
        <v>38</v>
      </c>
      <c r="S1020">
        <v>1</v>
      </c>
      <c r="T1020">
        <v>1</v>
      </c>
      <c r="U1020">
        <v>1</v>
      </c>
      <c r="V1020">
        <v>1</v>
      </c>
      <c r="W1020">
        <v>1</v>
      </c>
      <c r="X1020">
        <v>1</v>
      </c>
      <c r="AA1020">
        <v>-7404.1752999999999</v>
      </c>
      <c r="AB1020">
        <v>-7404.1752999999999</v>
      </c>
      <c r="AC1020">
        <v>-7404.1752999999999</v>
      </c>
      <c r="AD1020">
        <v>-7404.1752999999999</v>
      </c>
      <c r="AE1020">
        <v>-7404.1752999999999</v>
      </c>
      <c r="AF1020">
        <v>-7404.1752999999999</v>
      </c>
    </row>
    <row r="1021" spans="2:32" x14ac:dyDescent="0.25">
      <c r="B1021">
        <v>39</v>
      </c>
      <c r="C1021">
        <v>1</v>
      </c>
      <c r="D1021">
        <v>1</v>
      </c>
      <c r="E1021">
        <v>1</v>
      </c>
      <c r="F1021">
        <v>1</v>
      </c>
      <c r="G1021">
        <v>1</v>
      </c>
      <c r="H1021">
        <v>1</v>
      </c>
      <c r="J1021">
        <v>39</v>
      </c>
      <c r="K1021">
        <v>1</v>
      </c>
      <c r="L1021">
        <v>1</v>
      </c>
      <c r="M1021">
        <v>1</v>
      </c>
      <c r="N1021">
        <v>1</v>
      </c>
      <c r="O1021">
        <v>1</v>
      </c>
      <c r="P1021">
        <v>1</v>
      </c>
      <c r="R1021">
        <v>39</v>
      </c>
      <c r="S1021">
        <v>1</v>
      </c>
      <c r="T1021">
        <v>1</v>
      </c>
      <c r="U1021">
        <v>1</v>
      </c>
      <c r="V1021">
        <v>1</v>
      </c>
      <c r="W1021">
        <v>1</v>
      </c>
      <c r="X1021">
        <v>1</v>
      </c>
      <c r="AA1021">
        <v>-7399.3923999999997</v>
      </c>
      <c r="AB1021">
        <v>-7399.3923999999997</v>
      </c>
      <c r="AC1021">
        <v>-7399.3923999999997</v>
      </c>
      <c r="AD1021">
        <v>-7399.3923999999997</v>
      </c>
      <c r="AE1021">
        <v>-7399.3923999999997</v>
      </c>
      <c r="AF1021">
        <v>-7399.3923999999997</v>
      </c>
    </row>
    <row r="1022" spans="2:32" x14ac:dyDescent="0.25">
      <c r="B1022">
        <v>40</v>
      </c>
      <c r="C1022">
        <v>1</v>
      </c>
      <c r="D1022">
        <v>1</v>
      </c>
      <c r="E1022">
        <v>1</v>
      </c>
      <c r="F1022">
        <v>1</v>
      </c>
      <c r="G1022">
        <v>1</v>
      </c>
      <c r="H1022">
        <v>1</v>
      </c>
      <c r="J1022">
        <v>40</v>
      </c>
      <c r="K1022">
        <v>1</v>
      </c>
      <c r="L1022">
        <v>1</v>
      </c>
      <c r="M1022">
        <v>1</v>
      </c>
      <c r="N1022">
        <v>1</v>
      </c>
      <c r="O1022">
        <v>1</v>
      </c>
      <c r="P1022">
        <v>1</v>
      </c>
      <c r="R1022">
        <v>40</v>
      </c>
      <c r="S1022">
        <v>1</v>
      </c>
      <c r="T1022">
        <v>1</v>
      </c>
      <c r="U1022">
        <v>1</v>
      </c>
      <c r="V1022">
        <v>1</v>
      </c>
      <c r="W1022">
        <v>1</v>
      </c>
      <c r="X1022">
        <v>1</v>
      </c>
      <c r="AA1022">
        <v>-7394.1365999999998</v>
      </c>
      <c r="AB1022">
        <v>-7394.1365999999998</v>
      </c>
      <c r="AC1022">
        <v>-7394.1365999999998</v>
      </c>
      <c r="AD1022">
        <v>-7394.1365999999998</v>
      </c>
      <c r="AE1022">
        <v>-7394.1365999999998</v>
      </c>
      <c r="AF1022">
        <v>-7394.1365999999998</v>
      </c>
    </row>
    <row r="1023" spans="2:32" x14ac:dyDescent="0.25">
      <c r="B1023">
        <v>41</v>
      </c>
      <c r="C1023">
        <v>1</v>
      </c>
      <c r="D1023">
        <v>1</v>
      </c>
      <c r="E1023">
        <v>1</v>
      </c>
      <c r="F1023">
        <v>1</v>
      </c>
      <c r="G1023">
        <v>1</v>
      </c>
      <c r="H1023">
        <v>1</v>
      </c>
      <c r="J1023">
        <v>41</v>
      </c>
      <c r="K1023">
        <v>1</v>
      </c>
      <c r="L1023">
        <v>1</v>
      </c>
      <c r="M1023">
        <v>1</v>
      </c>
      <c r="N1023">
        <v>1</v>
      </c>
      <c r="O1023">
        <v>1</v>
      </c>
      <c r="P1023">
        <v>1</v>
      </c>
      <c r="R1023">
        <v>41</v>
      </c>
      <c r="S1023">
        <v>1</v>
      </c>
      <c r="T1023">
        <v>1</v>
      </c>
      <c r="U1023">
        <v>1</v>
      </c>
      <c r="V1023">
        <v>1</v>
      </c>
      <c r="W1023">
        <v>1</v>
      </c>
      <c r="X1023">
        <v>1</v>
      </c>
      <c r="AA1023">
        <v>-7388.3469999999998</v>
      </c>
      <c r="AB1023">
        <v>-7388.3469999999998</v>
      </c>
      <c r="AC1023">
        <v>-7388.3469999999998</v>
      </c>
      <c r="AD1023">
        <v>-7388.3469999999998</v>
      </c>
      <c r="AE1023">
        <v>-7388.3469999999998</v>
      </c>
      <c r="AF1023">
        <v>-7388.3469999999998</v>
      </c>
    </row>
    <row r="1024" spans="2:32" x14ac:dyDescent="0.25">
      <c r="B1024">
        <v>42</v>
      </c>
      <c r="C1024">
        <v>1</v>
      </c>
      <c r="D1024">
        <v>1</v>
      </c>
      <c r="E1024">
        <v>1</v>
      </c>
      <c r="F1024">
        <v>1</v>
      </c>
      <c r="G1024">
        <v>1</v>
      </c>
      <c r="H1024">
        <v>1</v>
      </c>
      <c r="J1024">
        <v>42</v>
      </c>
      <c r="K1024">
        <v>1</v>
      </c>
      <c r="L1024">
        <v>1</v>
      </c>
      <c r="M1024">
        <v>1</v>
      </c>
      <c r="N1024">
        <v>1</v>
      </c>
      <c r="O1024">
        <v>1</v>
      </c>
      <c r="P1024">
        <v>1</v>
      </c>
      <c r="R1024">
        <v>42</v>
      </c>
      <c r="S1024">
        <v>1</v>
      </c>
      <c r="T1024">
        <v>1</v>
      </c>
      <c r="U1024">
        <v>1</v>
      </c>
      <c r="V1024">
        <v>1</v>
      </c>
      <c r="W1024">
        <v>1</v>
      </c>
      <c r="X1024">
        <v>1</v>
      </c>
      <c r="AA1024">
        <v>-7381.9919</v>
      </c>
      <c r="AB1024">
        <v>-7381.9919</v>
      </c>
      <c r="AC1024">
        <v>-7381.9919</v>
      </c>
      <c r="AD1024">
        <v>-7381.9919</v>
      </c>
      <c r="AE1024">
        <v>-7381.9919</v>
      </c>
      <c r="AF1024">
        <v>-7381.9919</v>
      </c>
    </row>
    <row r="1025" spans="2:32" x14ac:dyDescent="0.25">
      <c r="B1025">
        <v>43</v>
      </c>
      <c r="C1025">
        <v>1</v>
      </c>
      <c r="D1025">
        <v>1</v>
      </c>
      <c r="E1025">
        <v>1</v>
      </c>
      <c r="F1025">
        <v>1</v>
      </c>
      <c r="G1025">
        <v>1</v>
      </c>
      <c r="H1025">
        <v>1</v>
      </c>
      <c r="J1025">
        <v>43</v>
      </c>
      <c r="K1025">
        <v>1</v>
      </c>
      <c r="L1025">
        <v>1</v>
      </c>
      <c r="M1025">
        <v>1</v>
      </c>
      <c r="N1025">
        <v>1</v>
      </c>
      <c r="O1025">
        <v>1</v>
      </c>
      <c r="P1025">
        <v>1</v>
      </c>
      <c r="R1025">
        <v>43</v>
      </c>
      <c r="S1025">
        <v>1</v>
      </c>
      <c r="T1025">
        <v>1</v>
      </c>
      <c r="U1025">
        <v>1</v>
      </c>
      <c r="V1025">
        <v>1</v>
      </c>
      <c r="W1025">
        <v>1</v>
      </c>
      <c r="X1025">
        <v>1</v>
      </c>
      <c r="AA1025">
        <v>-7374.9579999999996</v>
      </c>
      <c r="AB1025">
        <v>-7374.9579999999996</v>
      </c>
      <c r="AC1025">
        <v>-7374.9579999999996</v>
      </c>
      <c r="AD1025">
        <v>-7374.9579999999996</v>
      </c>
      <c r="AE1025">
        <v>-7374.9579999999996</v>
      </c>
      <c r="AF1025">
        <v>-7374.9579999999996</v>
      </c>
    </row>
    <row r="1026" spans="2:32" x14ac:dyDescent="0.25">
      <c r="B1026">
        <v>44</v>
      </c>
      <c r="C1026">
        <v>1</v>
      </c>
      <c r="D1026">
        <v>1</v>
      </c>
      <c r="E1026">
        <v>1</v>
      </c>
      <c r="F1026">
        <v>1</v>
      </c>
      <c r="G1026">
        <v>1</v>
      </c>
      <c r="H1026">
        <v>1</v>
      </c>
      <c r="J1026">
        <v>44</v>
      </c>
      <c r="K1026">
        <v>1</v>
      </c>
      <c r="L1026">
        <v>1</v>
      </c>
      <c r="M1026">
        <v>1</v>
      </c>
      <c r="N1026">
        <v>1</v>
      </c>
      <c r="O1026">
        <v>1</v>
      </c>
      <c r="P1026">
        <v>1</v>
      </c>
      <c r="R1026">
        <v>44</v>
      </c>
      <c r="S1026">
        <v>1</v>
      </c>
      <c r="T1026">
        <v>1</v>
      </c>
      <c r="U1026">
        <v>1</v>
      </c>
      <c r="V1026">
        <v>1</v>
      </c>
      <c r="W1026">
        <v>1</v>
      </c>
      <c r="X1026">
        <v>1</v>
      </c>
      <c r="AA1026">
        <v>-7367.2034999999996</v>
      </c>
      <c r="AB1026">
        <v>-7367.2034999999996</v>
      </c>
      <c r="AC1026">
        <v>-7367.2034999999996</v>
      </c>
      <c r="AD1026">
        <v>-7367.2034999999996</v>
      </c>
      <c r="AE1026">
        <v>-7367.2034999999996</v>
      </c>
      <c r="AF1026">
        <v>-7367.2034999999996</v>
      </c>
    </row>
    <row r="1027" spans="2:32" x14ac:dyDescent="0.25">
      <c r="B1027">
        <v>45</v>
      </c>
      <c r="C1027">
        <v>1</v>
      </c>
      <c r="D1027">
        <v>1</v>
      </c>
      <c r="E1027">
        <v>1</v>
      </c>
      <c r="F1027">
        <v>1</v>
      </c>
      <c r="G1027">
        <v>1</v>
      </c>
      <c r="H1027">
        <v>1</v>
      </c>
      <c r="J1027">
        <v>45</v>
      </c>
      <c r="K1027">
        <v>1</v>
      </c>
      <c r="L1027">
        <v>1</v>
      </c>
      <c r="M1027">
        <v>1</v>
      </c>
      <c r="N1027">
        <v>1</v>
      </c>
      <c r="O1027">
        <v>1</v>
      </c>
      <c r="P1027">
        <v>1</v>
      </c>
      <c r="R1027">
        <v>45</v>
      </c>
      <c r="S1027">
        <v>1</v>
      </c>
      <c r="T1027">
        <v>1</v>
      </c>
      <c r="U1027">
        <v>1</v>
      </c>
      <c r="V1027">
        <v>1</v>
      </c>
      <c r="W1027">
        <v>1</v>
      </c>
      <c r="X1027">
        <v>1</v>
      </c>
      <c r="AA1027">
        <v>-7358.6491999999998</v>
      </c>
      <c r="AB1027">
        <v>-7358.6491999999998</v>
      </c>
      <c r="AC1027">
        <v>-7358.6491999999998</v>
      </c>
      <c r="AD1027">
        <v>-7358.6491999999998</v>
      </c>
      <c r="AE1027">
        <v>-7358.6491999999998</v>
      </c>
      <c r="AF1027">
        <v>-7358.6491999999998</v>
      </c>
    </row>
    <row r="1028" spans="2:32" x14ac:dyDescent="0.25">
      <c r="B1028">
        <v>46</v>
      </c>
      <c r="C1028">
        <v>1</v>
      </c>
      <c r="D1028">
        <v>1</v>
      </c>
      <c r="E1028">
        <v>1</v>
      </c>
      <c r="F1028">
        <v>1</v>
      </c>
      <c r="G1028">
        <v>1</v>
      </c>
      <c r="H1028">
        <v>1</v>
      </c>
      <c r="J1028">
        <v>46</v>
      </c>
      <c r="K1028">
        <v>1</v>
      </c>
      <c r="L1028">
        <v>1</v>
      </c>
      <c r="M1028">
        <v>1</v>
      </c>
      <c r="N1028">
        <v>1</v>
      </c>
      <c r="O1028">
        <v>1</v>
      </c>
      <c r="P1028">
        <v>1</v>
      </c>
      <c r="R1028">
        <v>46</v>
      </c>
      <c r="S1028">
        <v>1</v>
      </c>
      <c r="T1028">
        <v>1</v>
      </c>
      <c r="U1028">
        <v>1</v>
      </c>
      <c r="V1028">
        <v>1</v>
      </c>
      <c r="W1028">
        <v>1</v>
      </c>
      <c r="X1028">
        <v>1</v>
      </c>
      <c r="AA1028">
        <v>-7349.2232000000004</v>
      </c>
      <c r="AB1028">
        <v>-7349.2232000000004</v>
      </c>
      <c r="AC1028">
        <v>-7349.2232000000004</v>
      </c>
      <c r="AD1028">
        <v>-7349.2232000000004</v>
      </c>
      <c r="AE1028">
        <v>-7349.2232000000004</v>
      </c>
      <c r="AF1028">
        <v>-7349.2232000000004</v>
      </c>
    </row>
    <row r="1029" spans="2:32" x14ac:dyDescent="0.25">
      <c r="B1029">
        <v>47</v>
      </c>
      <c r="C1029">
        <v>1</v>
      </c>
      <c r="D1029">
        <v>1</v>
      </c>
      <c r="E1029">
        <v>1</v>
      </c>
      <c r="F1029">
        <v>1</v>
      </c>
      <c r="G1029">
        <v>1</v>
      </c>
      <c r="H1029">
        <v>1</v>
      </c>
      <c r="J1029">
        <v>47</v>
      </c>
      <c r="K1029">
        <v>1</v>
      </c>
      <c r="L1029">
        <v>1</v>
      </c>
      <c r="M1029">
        <v>1</v>
      </c>
      <c r="N1029">
        <v>1</v>
      </c>
      <c r="O1029">
        <v>1</v>
      </c>
      <c r="P1029">
        <v>1</v>
      </c>
      <c r="R1029">
        <v>47</v>
      </c>
      <c r="S1029">
        <v>1</v>
      </c>
      <c r="T1029">
        <v>1</v>
      </c>
      <c r="U1029">
        <v>1</v>
      </c>
      <c r="V1029">
        <v>1</v>
      </c>
      <c r="W1029">
        <v>1</v>
      </c>
      <c r="X1029">
        <v>1</v>
      </c>
      <c r="AA1029">
        <v>-7338.8310000000001</v>
      </c>
      <c r="AB1029">
        <v>-7338.8310000000001</v>
      </c>
      <c r="AC1029">
        <v>-7338.8310000000001</v>
      </c>
      <c r="AD1029">
        <v>-7338.8310000000001</v>
      </c>
      <c r="AE1029">
        <v>-7338.8310000000001</v>
      </c>
      <c r="AF1029">
        <v>-7338.8310000000001</v>
      </c>
    </row>
    <row r="1030" spans="2:32" x14ac:dyDescent="0.25">
      <c r="B1030">
        <v>48</v>
      </c>
      <c r="C1030">
        <v>1</v>
      </c>
      <c r="D1030">
        <v>1</v>
      </c>
      <c r="E1030">
        <v>1</v>
      </c>
      <c r="F1030">
        <v>1</v>
      </c>
      <c r="G1030">
        <v>1</v>
      </c>
      <c r="H1030">
        <v>1</v>
      </c>
      <c r="J1030">
        <v>48</v>
      </c>
      <c r="K1030">
        <v>1</v>
      </c>
      <c r="L1030">
        <v>1</v>
      </c>
      <c r="M1030">
        <v>1</v>
      </c>
      <c r="N1030">
        <v>1</v>
      </c>
      <c r="O1030">
        <v>1</v>
      </c>
      <c r="P1030">
        <v>1</v>
      </c>
      <c r="R1030">
        <v>48</v>
      </c>
      <c r="S1030">
        <v>1</v>
      </c>
      <c r="T1030">
        <v>1</v>
      </c>
      <c r="U1030">
        <v>1</v>
      </c>
      <c r="V1030">
        <v>1</v>
      </c>
      <c r="W1030">
        <v>1</v>
      </c>
      <c r="X1030">
        <v>1</v>
      </c>
      <c r="AA1030">
        <v>-7327.4297999999999</v>
      </c>
      <c r="AB1030">
        <v>-7327.4297999999999</v>
      </c>
      <c r="AC1030">
        <v>-7327.4297999999999</v>
      </c>
      <c r="AD1030">
        <v>-7327.4297999999999</v>
      </c>
      <c r="AE1030">
        <v>-7327.4297999999999</v>
      </c>
      <c r="AF1030">
        <v>-7327.4297999999999</v>
      </c>
    </row>
    <row r="1031" spans="2:32" x14ac:dyDescent="0.25">
      <c r="B1031">
        <v>49</v>
      </c>
      <c r="C1031">
        <v>1</v>
      </c>
      <c r="D1031">
        <v>1</v>
      </c>
      <c r="E1031">
        <v>1</v>
      </c>
      <c r="F1031">
        <v>1</v>
      </c>
      <c r="G1031">
        <v>1</v>
      </c>
      <c r="H1031">
        <v>1</v>
      </c>
      <c r="J1031">
        <v>49</v>
      </c>
      <c r="K1031">
        <v>1</v>
      </c>
      <c r="L1031">
        <v>1</v>
      </c>
      <c r="M1031">
        <v>1</v>
      </c>
      <c r="N1031">
        <v>1</v>
      </c>
      <c r="O1031">
        <v>1</v>
      </c>
      <c r="P1031">
        <v>1</v>
      </c>
      <c r="R1031">
        <v>49</v>
      </c>
      <c r="S1031">
        <v>1</v>
      </c>
      <c r="T1031">
        <v>1</v>
      </c>
      <c r="U1031">
        <v>1</v>
      </c>
      <c r="V1031">
        <v>1</v>
      </c>
      <c r="W1031">
        <v>1</v>
      </c>
      <c r="X1031">
        <v>1</v>
      </c>
      <c r="AA1031">
        <v>-7314.951</v>
      </c>
      <c r="AB1031">
        <v>-7314.951</v>
      </c>
      <c r="AC1031">
        <v>-7314.951</v>
      </c>
      <c r="AD1031">
        <v>-7314.951</v>
      </c>
      <c r="AE1031">
        <v>-7314.951</v>
      </c>
      <c r="AF1031">
        <v>-7314.951</v>
      </c>
    </row>
    <row r="1032" spans="2:32" x14ac:dyDescent="0.25">
      <c r="B1032">
        <v>50</v>
      </c>
      <c r="C1032">
        <v>1</v>
      </c>
      <c r="D1032">
        <v>1</v>
      </c>
      <c r="E1032">
        <v>1</v>
      </c>
      <c r="F1032">
        <v>1</v>
      </c>
      <c r="G1032">
        <v>1</v>
      </c>
      <c r="H1032">
        <v>1</v>
      </c>
      <c r="J1032">
        <v>50</v>
      </c>
      <c r="K1032">
        <v>1</v>
      </c>
      <c r="L1032">
        <v>1</v>
      </c>
      <c r="M1032">
        <v>1</v>
      </c>
      <c r="N1032">
        <v>1</v>
      </c>
      <c r="O1032">
        <v>1</v>
      </c>
      <c r="P1032">
        <v>1</v>
      </c>
      <c r="R1032">
        <v>50</v>
      </c>
      <c r="S1032">
        <v>1</v>
      </c>
      <c r="T1032">
        <v>1</v>
      </c>
      <c r="U1032">
        <v>1</v>
      </c>
      <c r="V1032">
        <v>1</v>
      </c>
      <c r="W1032">
        <v>1</v>
      </c>
      <c r="X1032">
        <v>1</v>
      </c>
      <c r="AA1032">
        <v>-7301.2851000000001</v>
      </c>
      <c r="AB1032">
        <v>-7301.2851000000001</v>
      </c>
      <c r="AC1032">
        <v>-7301.2851000000001</v>
      </c>
      <c r="AD1032">
        <v>-7301.2851000000001</v>
      </c>
      <c r="AE1032">
        <v>-7301.2851000000001</v>
      </c>
      <c r="AF1032">
        <v>-7301.2851000000001</v>
      </c>
    </row>
    <row r="1033" spans="2:32" x14ac:dyDescent="0.25">
      <c r="B1033">
        <v>51</v>
      </c>
      <c r="C1033">
        <v>1</v>
      </c>
      <c r="D1033">
        <v>1</v>
      </c>
      <c r="E1033">
        <v>1</v>
      </c>
      <c r="F1033">
        <v>1</v>
      </c>
      <c r="G1033">
        <v>1</v>
      </c>
      <c r="H1033">
        <v>1</v>
      </c>
      <c r="J1033">
        <v>51</v>
      </c>
      <c r="K1033">
        <v>1</v>
      </c>
      <c r="L1033">
        <v>1</v>
      </c>
      <c r="M1033">
        <v>1</v>
      </c>
      <c r="N1033">
        <v>1</v>
      </c>
      <c r="O1033">
        <v>1</v>
      </c>
      <c r="P1033">
        <v>1</v>
      </c>
      <c r="R1033">
        <v>51</v>
      </c>
      <c r="S1033">
        <v>1</v>
      </c>
      <c r="T1033">
        <v>1</v>
      </c>
      <c r="U1033">
        <v>1</v>
      </c>
      <c r="V1033">
        <v>1</v>
      </c>
      <c r="W1033">
        <v>1</v>
      </c>
      <c r="X1033">
        <v>1</v>
      </c>
      <c r="AA1033">
        <v>-7286.3271000000004</v>
      </c>
      <c r="AB1033">
        <v>-7286.3271000000004</v>
      </c>
      <c r="AC1033">
        <v>-7286.3271000000004</v>
      </c>
      <c r="AD1033">
        <v>-7286.3271000000004</v>
      </c>
      <c r="AE1033">
        <v>-7286.3271000000004</v>
      </c>
      <c r="AF1033">
        <v>-7286.3271000000004</v>
      </c>
    </row>
    <row r="1034" spans="2:32" x14ac:dyDescent="0.25">
      <c r="B1034">
        <v>52</v>
      </c>
      <c r="C1034">
        <v>1</v>
      </c>
      <c r="D1034">
        <v>1</v>
      </c>
      <c r="E1034">
        <v>1</v>
      </c>
      <c r="F1034">
        <v>1</v>
      </c>
      <c r="G1034">
        <v>1</v>
      </c>
      <c r="H1034">
        <v>1</v>
      </c>
      <c r="J1034">
        <v>52</v>
      </c>
      <c r="K1034">
        <v>1</v>
      </c>
      <c r="L1034">
        <v>1</v>
      </c>
      <c r="M1034">
        <v>1</v>
      </c>
      <c r="N1034">
        <v>1</v>
      </c>
      <c r="O1034">
        <v>1</v>
      </c>
      <c r="P1034">
        <v>1</v>
      </c>
      <c r="R1034">
        <v>52</v>
      </c>
      <c r="S1034">
        <v>1</v>
      </c>
      <c r="T1034">
        <v>1</v>
      </c>
      <c r="U1034">
        <v>1</v>
      </c>
      <c r="V1034">
        <v>1</v>
      </c>
      <c r="W1034">
        <v>1</v>
      </c>
      <c r="X1034">
        <v>1</v>
      </c>
      <c r="AA1034">
        <v>-7269.9448000000002</v>
      </c>
      <c r="AB1034">
        <v>-7269.9448000000002</v>
      </c>
      <c r="AC1034">
        <v>-7269.9448000000002</v>
      </c>
      <c r="AD1034">
        <v>-7269.9448000000002</v>
      </c>
      <c r="AE1034">
        <v>-7269.9448000000002</v>
      </c>
      <c r="AF1034">
        <v>-7269.9448000000002</v>
      </c>
    </row>
    <row r="1035" spans="2:32" x14ac:dyDescent="0.25">
      <c r="B1035">
        <v>53</v>
      </c>
      <c r="C1035">
        <v>1</v>
      </c>
      <c r="D1035">
        <v>1</v>
      </c>
      <c r="E1035">
        <v>1</v>
      </c>
      <c r="F1035">
        <v>1</v>
      </c>
      <c r="G1035">
        <v>1</v>
      </c>
      <c r="H1035">
        <v>1</v>
      </c>
      <c r="J1035">
        <v>53</v>
      </c>
      <c r="K1035">
        <v>1</v>
      </c>
      <c r="L1035">
        <v>1</v>
      </c>
      <c r="M1035">
        <v>1</v>
      </c>
      <c r="N1035">
        <v>1</v>
      </c>
      <c r="O1035">
        <v>1</v>
      </c>
      <c r="P1035">
        <v>1</v>
      </c>
      <c r="R1035">
        <v>53</v>
      </c>
      <c r="S1035">
        <v>1</v>
      </c>
      <c r="T1035">
        <v>1</v>
      </c>
      <c r="U1035">
        <v>1</v>
      </c>
      <c r="V1035">
        <v>1</v>
      </c>
      <c r="W1035">
        <v>1</v>
      </c>
      <c r="X1035">
        <v>1</v>
      </c>
      <c r="AA1035">
        <v>-7252.0574999999999</v>
      </c>
      <c r="AB1035">
        <v>-7252.0574999999999</v>
      </c>
      <c r="AC1035">
        <v>-7252.0574999999999</v>
      </c>
      <c r="AD1035">
        <v>-7252.0574999999999</v>
      </c>
      <c r="AE1035">
        <v>-7252.0574999999999</v>
      </c>
      <c r="AF1035">
        <v>-7252.0574999999999</v>
      </c>
    </row>
    <row r="1036" spans="2:32" x14ac:dyDescent="0.25">
      <c r="B1036">
        <v>54</v>
      </c>
      <c r="C1036">
        <v>1</v>
      </c>
      <c r="D1036">
        <v>1</v>
      </c>
      <c r="E1036">
        <v>1</v>
      </c>
      <c r="F1036">
        <v>1</v>
      </c>
      <c r="G1036">
        <v>1</v>
      </c>
      <c r="H1036">
        <v>1</v>
      </c>
      <c r="J1036">
        <v>54</v>
      </c>
      <c r="K1036">
        <v>1</v>
      </c>
      <c r="L1036">
        <v>1</v>
      </c>
      <c r="M1036">
        <v>1</v>
      </c>
      <c r="N1036">
        <v>1</v>
      </c>
      <c r="O1036">
        <v>1</v>
      </c>
      <c r="P1036">
        <v>1</v>
      </c>
      <c r="R1036">
        <v>54</v>
      </c>
      <c r="S1036">
        <v>1</v>
      </c>
      <c r="T1036">
        <v>1</v>
      </c>
      <c r="U1036">
        <v>1</v>
      </c>
      <c r="V1036">
        <v>1</v>
      </c>
      <c r="W1036">
        <v>1</v>
      </c>
      <c r="X1036">
        <v>1</v>
      </c>
      <c r="AA1036">
        <v>-7232.5680000000002</v>
      </c>
      <c r="AB1036">
        <v>-7232.5680000000002</v>
      </c>
      <c r="AC1036">
        <v>-7232.5680000000002</v>
      </c>
      <c r="AD1036">
        <v>-7232.5680000000002</v>
      </c>
      <c r="AE1036">
        <v>-7232.5680000000002</v>
      </c>
      <c r="AF1036">
        <v>-7232.5680000000002</v>
      </c>
    </row>
    <row r="1037" spans="2:32" x14ac:dyDescent="0.25">
      <c r="B1037">
        <v>55</v>
      </c>
      <c r="C1037">
        <v>1</v>
      </c>
      <c r="D1037">
        <v>1</v>
      </c>
      <c r="E1037">
        <v>1</v>
      </c>
      <c r="F1037">
        <v>1</v>
      </c>
      <c r="G1037">
        <v>1</v>
      </c>
      <c r="H1037">
        <v>1</v>
      </c>
      <c r="J1037">
        <v>55</v>
      </c>
      <c r="K1037">
        <v>1</v>
      </c>
      <c r="L1037">
        <v>1</v>
      </c>
      <c r="M1037">
        <v>1</v>
      </c>
      <c r="N1037">
        <v>1</v>
      </c>
      <c r="O1037">
        <v>1</v>
      </c>
      <c r="P1037">
        <v>1</v>
      </c>
      <c r="R1037">
        <v>55</v>
      </c>
      <c r="S1037">
        <v>1</v>
      </c>
      <c r="T1037">
        <v>1</v>
      </c>
      <c r="U1037">
        <v>1</v>
      </c>
      <c r="V1037">
        <v>1</v>
      </c>
      <c r="W1037">
        <v>1</v>
      </c>
      <c r="X1037">
        <v>1</v>
      </c>
      <c r="AA1037">
        <v>-7211.3207000000002</v>
      </c>
      <c r="AB1037">
        <v>-7211.3207000000002</v>
      </c>
      <c r="AC1037">
        <v>-7211.3207000000002</v>
      </c>
      <c r="AD1037">
        <v>-7211.3207000000002</v>
      </c>
      <c r="AE1037">
        <v>-7211.3207000000002</v>
      </c>
      <c r="AF1037">
        <v>-7211.3207000000002</v>
      </c>
    </row>
    <row r="1040" spans="2:32" x14ac:dyDescent="0.25">
      <c r="B1040" t="s">
        <v>46</v>
      </c>
      <c r="C1040">
        <v>100000</v>
      </c>
      <c r="D1040">
        <v>250000</v>
      </c>
      <c r="E1040">
        <v>500000</v>
      </c>
      <c r="F1040">
        <v>1000000</v>
      </c>
      <c r="G1040">
        <v>2000000</v>
      </c>
      <c r="J1040" t="s">
        <v>32</v>
      </c>
      <c r="K1040">
        <v>100000</v>
      </c>
      <c r="L1040">
        <v>250000</v>
      </c>
      <c r="M1040">
        <v>500000</v>
      </c>
      <c r="N1040">
        <v>1000000</v>
      </c>
      <c r="O1040">
        <v>2000000</v>
      </c>
      <c r="R1040" t="s">
        <v>48</v>
      </c>
      <c r="S1040">
        <v>100000</v>
      </c>
      <c r="T1040">
        <v>250000</v>
      </c>
      <c r="U1040">
        <v>500000</v>
      </c>
      <c r="V1040">
        <v>1000000</v>
      </c>
      <c r="W1040">
        <v>2000000</v>
      </c>
    </row>
    <row r="1041" spans="2:32" x14ac:dyDescent="0.25">
      <c r="B1041">
        <v>35</v>
      </c>
      <c r="C1041">
        <v>1</v>
      </c>
      <c r="D1041">
        <v>1</v>
      </c>
      <c r="E1041">
        <v>1</v>
      </c>
      <c r="F1041">
        <v>1</v>
      </c>
      <c r="G1041">
        <v>1</v>
      </c>
      <c r="J1041">
        <v>35</v>
      </c>
      <c r="K1041">
        <v>1</v>
      </c>
      <c r="L1041">
        <v>1</v>
      </c>
      <c r="M1041">
        <v>1</v>
      </c>
      <c r="N1041">
        <v>1</v>
      </c>
      <c r="O1041">
        <v>1</v>
      </c>
      <c r="R1041">
        <v>35</v>
      </c>
      <c r="S1041">
        <v>1</v>
      </c>
      <c r="T1041">
        <v>1</v>
      </c>
      <c r="U1041">
        <v>1</v>
      </c>
      <c r="V1041">
        <v>1</v>
      </c>
      <c r="W1041">
        <v>1</v>
      </c>
      <c r="AA1041">
        <v>-11308.6893</v>
      </c>
      <c r="AB1041">
        <v>-11308.6893</v>
      </c>
      <c r="AC1041">
        <v>-11308.6893</v>
      </c>
      <c r="AD1041">
        <v>-11308.6893</v>
      </c>
      <c r="AE1041">
        <v>-11308.6893</v>
      </c>
      <c r="AF1041">
        <v>-759112.79520000005</v>
      </c>
    </row>
    <row r="1042" spans="2:32" x14ac:dyDescent="0.25">
      <c r="B1042">
        <f t="shared" ref="B1042:B1071" si="45">B1041+1</f>
        <v>36</v>
      </c>
      <c r="C1042">
        <v>1</v>
      </c>
      <c r="D1042">
        <v>1</v>
      </c>
      <c r="E1042">
        <v>1</v>
      </c>
      <c r="F1042">
        <v>1</v>
      </c>
      <c r="G1042">
        <v>1</v>
      </c>
      <c r="J1042">
        <f t="shared" ref="J1042:J1071" si="46">J1041+1</f>
        <v>36</v>
      </c>
      <c r="K1042">
        <v>1</v>
      </c>
      <c r="L1042">
        <v>1</v>
      </c>
      <c r="M1042">
        <v>1</v>
      </c>
      <c r="N1042">
        <v>1</v>
      </c>
      <c r="O1042">
        <v>1</v>
      </c>
      <c r="R1042">
        <f t="shared" ref="R1042:R1071" si="47">R1041+1</f>
        <v>36</v>
      </c>
      <c r="S1042">
        <v>1</v>
      </c>
      <c r="T1042">
        <v>1</v>
      </c>
      <c r="U1042">
        <v>1</v>
      </c>
      <c r="V1042">
        <v>1</v>
      </c>
      <c r="W1042">
        <v>1</v>
      </c>
      <c r="AA1042">
        <v>-11214.2592</v>
      </c>
      <c r="AB1042">
        <v>-11214.2592</v>
      </c>
      <c r="AC1042">
        <v>-11214.2592</v>
      </c>
      <c r="AD1042">
        <v>-11214.2592</v>
      </c>
      <c r="AE1042">
        <v>-11214.2592</v>
      </c>
      <c r="AF1042">
        <v>-737070.86179999996</v>
      </c>
    </row>
    <row r="1043" spans="2:32" x14ac:dyDescent="0.25">
      <c r="B1043">
        <f t="shared" si="45"/>
        <v>37</v>
      </c>
      <c r="C1043">
        <v>1</v>
      </c>
      <c r="D1043">
        <v>1</v>
      </c>
      <c r="E1043">
        <v>1</v>
      </c>
      <c r="F1043">
        <v>1</v>
      </c>
      <c r="G1043">
        <v>1</v>
      </c>
      <c r="J1043">
        <f t="shared" si="46"/>
        <v>37</v>
      </c>
      <c r="K1043">
        <v>1</v>
      </c>
      <c r="L1043">
        <v>1</v>
      </c>
      <c r="M1043">
        <v>1</v>
      </c>
      <c r="N1043">
        <v>1</v>
      </c>
      <c r="O1043">
        <v>1</v>
      </c>
      <c r="R1043">
        <f t="shared" si="47"/>
        <v>37</v>
      </c>
      <c r="S1043">
        <v>1</v>
      </c>
      <c r="T1043">
        <v>1</v>
      </c>
      <c r="U1043">
        <v>1</v>
      </c>
      <c r="V1043">
        <v>1</v>
      </c>
      <c r="W1043">
        <v>1</v>
      </c>
      <c r="AA1043">
        <v>-11117.406199999999</v>
      </c>
      <c r="AB1043">
        <v>-11117.406199999999</v>
      </c>
      <c r="AC1043">
        <v>-11117.406199999999</v>
      </c>
      <c r="AD1043">
        <v>-11117.406199999999</v>
      </c>
      <c r="AE1043">
        <v>-11117.406199999999</v>
      </c>
      <c r="AF1043">
        <v>-765978.91940000001</v>
      </c>
    </row>
    <row r="1044" spans="2:32" x14ac:dyDescent="0.25">
      <c r="B1044">
        <f t="shared" si="45"/>
        <v>38</v>
      </c>
      <c r="C1044">
        <v>1</v>
      </c>
      <c r="D1044">
        <v>1</v>
      </c>
      <c r="E1044">
        <v>1</v>
      </c>
      <c r="F1044">
        <v>1</v>
      </c>
      <c r="G1044">
        <v>1</v>
      </c>
      <c r="J1044">
        <f t="shared" si="46"/>
        <v>38</v>
      </c>
      <c r="K1044">
        <v>1</v>
      </c>
      <c r="L1044">
        <v>1</v>
      </c>
      <c r="M1044">
        <v>1</v>
      </c>
      <c r="N1044">
        <v>1</v>
      </c>
      <c r="O1044">
        <v>1</v>
      </c>
      <c r="R1044">
        <f t="shared" si="47"/>
        <v>38</v>
      </c>
      <c r="S1044">
        <v>1</v>
      </c>
      <c r="T1044">
        <v>1</v>
      </c>
      <c r="U1044">
        <v>1</v>
      </c>
      <c r="V1044">
        <v>1</v>
      </c>
      <c r="W1044">
        <v>1</v>
      </c>
      <c r="AA1044">
        <v>-11018.229799999999</v>
      </c>
      <c r="AB1044">
        <v>-11018.229799999999</v>
      </c>
      <c r="AC1044">
        <v>-11018.229799999999</v>
      </c>
      <c r="AD1044">
        <v>-11018.229799999999</v>
      </c>
      <c r="AE1044">
        <v>-11018.229799999999</v>
      </c>
      <c r="AF1044">
        <v>-783780.576</v>
      </c>
    </row>
    <row r="1045" spans="2:32" x14ac:dyDescent="0.25">
      <c r="B1045">
        <f t="shared" si="45"/>
        <v>39</v>
      </c>
      <c r="C1045">
        <v>1</v>
      </c>
      <c r="D1045">
        <v>1</v>
      </c>
      <c r="E1045">
        <v>1</v>
      </c>
      <c r="F1045">
        <v>1</v>
      </c>
      <c r="G1045">
        <v>1</v>
      </c>
      <c r="J1045">
        <f t="shared" si="46"/>
        <v>39</v>
      </c>
      <c r="K1045">
        <v>1</v>
      </c>
      <c r="L1045">
        <v>1</v>
      </c>
      <c r="M1045">
        <v>1</v>
      </c>
      <c r="N1045">
        <v>1</v>
      </c>
      <c r="O1045">
        <v>1</v>
      </c>
      <c r="R1045">
        <f t="shared" si="47"/>
        <v>39</v>
      </c>
      <c r="S1045">
        <v>1</v>
      </c>
      <c r="T1045">
        <v>1</v>
      </c>
      <c r="U1045">
        <v>1</v>
      </c>
      <c r="V1045">
        <v>1</v>
      </c>
      <c r="W1045">
        <v>1</v>
      </c>
      <c r="AA1045">
        <v>-10916.737999999999</v>
      </c>
      <c r="AB1045">
        <v>-10916.737999999999</v>
      </c>
      <c r="AC1045">
        <v>-10916.737999999999</v>
      </c>
      <c r="AD1045">
        <v>-10916.737999999999</v>
      </c>
      <c r="AE1045">
        <v>-10916.737999999999</v>
      </c>
      <c r="AF1045">
        <v>-769662.22069999995</v>
      </c>
    </row>
    <row r="1046" spans="2:32" x14ac:dyDescent="0.25">
      <c r="B1046">
        <f t="shared" si="45"/>
        <v>40</v>
      </c>
      <c r="C1046">
        <v>1</v>
      </c>
      <c r="D1046">
        <v>1</v>
      </c>
      <c r="E1046">
        <v>1</v>
      </c>
      <c r="F1046">
        <v>1</v>
      </c>
      <c r="G1046">
        <v>1</v>
      </c>
      <c r="J1046">
        <f t="shared" si="46"/>
        <v>40</v>
      </c>
      <c r="K1046">
        <v>1</v>
      </c>
      <c r="L1046">
        <v>1</v>
      </c>
      <c r="M1046">
        <v>1</v>
      </c>
      <c r="N1046">
        <v>1</v>
      </c>
      <c r="O1046">
        <v>1</v>
      </c>
      <c r="R1046">
        <f t="shared" si="47"/>
        <v>40</v>
      </c>
      <c r="S1046">
        <v>1</v>
      </c>
      <c r="T1046">
        <v>1</v>
      </c>
      <c r="U1046">
        <v>1</v>
      </c>
      <c r="V1046">
        <v>1</v>
      </c>
      <c r="W1046">
        <v>1</v>
      </c>
      <c r="AA1046">
        <v>-10812.8714</v>
      </c>
      <c r="AB1046">
        <v>-10812.8714</v>
      </c>
      <c r="AC1046">
        <v>-10812.8714</v>
      </c>
      <c r="AD1046">
        <v>-10812.8714</v>
      </c>
      <c r="AE1046">
        <v>-10812.8714</v>
      </c>
      <c r="AF1046">
        <v>-798570.41119999997</v>
      </c>
    </row>
    <row r="1047" spans="2:32" x14ac:dyDescent="0.25">
      <c r="B1047">
        <f t="shared" si="45"/>
        <v>41</v>
      </c>
      <c r="C1047">
        <v>1</v>
      </c>
      <c r="D1047">
        <v>1</v>
      </c>
      <c r="E1047">
        <v>1</v>
      </c>
      <c r="F1047">
        <v>1</v>
      </c>
      <c r="G1047">
        <v>1</v>
      </c>
      <c r="J1047">
        <f t="shared" si="46"/>
        <v>41</v>
      </c>
      <c r="K1047">
        <v>1</v>
      </c>
      <c r="L1047">
        <v>1</v>
      </c>
      <c r="M1047">
        <v>1</v>
      </c>
      <c r="N1047">
        <v>1</v>
      </c>
      <c r="O1047">
        <v>1</v>
      </c>
      <c r="R1047">
        <f t="shared" si="47"/>
        <v>41</v>
      </c>
      <c r="S1047">
        <v>1</v>
      </c>
      <c r="T1047">
        <v>1</v>
      </c>
      <c r="U1047">
        <v>1</v>
      </c>
      <c r="V1047">
        <v>1</v>
      </c>
      <c r="W1047">
        <v>1</v>
      </c>
      <c r="AA1047">
        <v>-10706.559600000001</v>
      </c>
      <c r="AB1047">
        <v>-10706.559600000001</v>
      </c>
      <c r="AC1047">
        <v>-10706.559600000001</v>
      </c>
      <c r="AD1047">
        <v>-10706.559600000001</v>
      </c>
      <c r="AE1047">
        <v>-10706.559600000001</v>
      </c>
      <c r="AF1047">
        <v>-803549.96459999995</v>
      </c>
    </row>
    <row r="1048" spans="2:32" x14ac:dyDescent="0.25">
      <c r="B1048">
        <f t="shared" si="45"/>
        <v>42</v>
      </c>
      <c r="C1048">
        <v>1</v>
      </c>
      <c r="D1048">
        <v>1</v>
      </c>
      <c r="E1048">
        <v>1</v>
      </c>
      <c r="F1048">
        <v>1</v>
      </c>
      <c r="G1048">
        <v>1</v>
      </c>
      <c r="J1048">
        <f t="shared" si="46"/>
        <v>42</v>
      </c>
      <c r="K1048">
        <v>1</v>
      </c>
      <c r="L1048">
        <v>1</v>
      </c>
      <c r="M1048">
        <v>1</v>
      </c>
      <c r="N1048">
        <v>1</v>
      </c>
      <c r="O1048">
        <v>1</v>
      </c>
      <c r="R1048">
        <f t="shared" si="47"/>
        <v>42</v>
      </c>
      <c r="S1048">
        <v>1</v>
      </c>
      <c r="T1048">
        <v>1</v>
      </c>
      <c r="U1048">
        <v>1</v>
      </c>
      <c r="V1048">
        <v>1</v>
      </c>
      <c r="W1048">
        <v>1</v>
      </c>
      <c r="AA1048">
        <v>-10597.8485</v>
      </c>
      <c r="AB1048">
        <v>-10597.8485</v>
      </c>
      <c r="AC1048">
        <v>-10597.8485</v>
      </c>
      <c r="AD1048">
        <v>-10597.8485</v>
      </c>
      <c r="AE1048">
        <v>-10597.8485</v>
      </c>
      <c r="AF1048">
        <v>-833551.75890000002</v>
      </c>
    </row>
    <row r="1049" spans="2:32" x14ac:dyDescent="0.25">
      <c r="B1049">
        <f t="shared" si="45"/>
        <v>43</v>
      </c>
      <c r="C1049">
        <v>1</v>
      </c>
      <c r="D1049">
        <v>1</v>
      </c>
      <c r="E1049">
        <v>1</v>
      </c>
      <c r="F1049">
        <v>1</v>
      </c>
      <c r="G1049">
        <v>1</v>
      </c>
      <c r="J1049">
        <f t="shared" si="46"/>
        <v>43</v>
      </c>
      <c r="K1049">
        <v>1</v>
      </c>
      <c r="L1049">
        <v>1</v>
      </c>
      <c r="M1049">
        <v>1</v>
      </c>
      <c r="N1049">
        <v>1</v>
      </c>
      <c r="O1049">
        <v>1</v>
      </c>
      <c r="R1049">
        <f t="shared" si="47"/>
        <v>43</v>
      </c>
      <c r="S1049">
        <v>1</v>
      </c>
      <c r="T1049">
        <v>1</v>
      </c>
      <c r="U1049">
        <v>1</v>
      </c>
      <c r="V1049">
        <v>1</v>
      </c>
      <c r="W1049">
        <v>1</v>
      </c>
      <c r="AA1049">
        <v>-10486.615400000001</v>
      </c>
      <c r="AB1049">
        <v>-10486.615400000001</v>
      </c>
      <c r="AC1049">
        <v>-10486.615400000001</v>
      </c>
      <c r="AD1049">
        <v>-10486.615400000001</v>
      </c>
      <c r="AE1049">
        <v>-10486.615400000001</v>
      </c>
      <c r="AF1049">
        <v>-844950.93949999998</v>
      </c>
    </row>
    <row r="1050" spans="2:32" x14ac:dyDescent="0.25">
      <c r="B1050">
        <f t="shared" si="45"/>
        <v>44</v>
      </c>
      <c r="C1050">
        <v>1</v>
      </c>
      <c r="D1050">
        <v>1</v>
      </c>
      <c r="E1050">
        <v>1</v>
      </c>
      <c r="F1050">
        <v>1</v>
      </c>
      <c r="G1050">
        <v>1</v>
      </c>
      <c r="J1050">
        <f t="shared" si="46"/>
        <v>44</v>
      </c>
      <c r="K1050">
        <v>1</v>
      </c>
      <c r="L1050">
        <v>1</v>
      </c>
      <c r="M1050">
        <v>1</v>
      </c>
      <c r="N1050">
        <v>1</v>
      </c>
      <c r="O1050">
        <v>1</v>
      </c>
      <c r="R1050">
        <f t="shared" si="47"/>
        <v>44</v>
      </c>
      <c r="S1050">
        <v>1</v>
      </c>
      <c r="T1050">
        <v>1</v>
      </c>
      <c r="U1050">
        <v>1</v>
      </c>
      <c r="V1050">
        <v>1</v>
      </c>
      <c r="W1050">
        <v>1</v>
      </c>
      <c r="AA1050">
        <v>-10372.9005</v>
      </c>
      <c r="AB1050">
        <v>-10372.9005</v>
      </c>
      <c r="AC1050">
        <v>-10372.9005</v>
      </c>
      <c r="AD1050">
        <v>-10372.9005</v>
      </c>
      <c r="AE1050">
        <v>-10372.9005</v>
      </c>
      <c r="AF1050">
        <v>-851265.64670000004</v>
      </c>
    </row>
    <row r="1051" spans="2:32" x14ac:dyDescent="0.25">
      <c r="B1051">
        <f t="shared" si="45"/>
        <v>45</v>
      </c>
      <c r="C1051">
        <v>1</v>
      </c>
      <c r="D1051">
        <v>1</v>
      </c>
      <c r="E1051">
        <v>1</v>
      </c>
      <c r="F1051">
        <v>1</v>
      </c>
      <c r="G1051">
        <v>1</v>
      </c>
      <c r="J1051">
        <f t="shared" si="46"/>
        <v>45</v>
      </c>
      <c r="K1051">
        <v>1</v>
      </c>
      <c r="L1051">
        <v>1</v>
      </c>
      <c r="M1051">
        <v>1</v>
      </c>
      <c r="N1051">
        <v>1</v>
      </c>
      <c r="O1051">
        <v>1</v>
      </c>
      <c r="R1051">
        <f t="shared" si="47"/>
        <v>45</v>
      </c>
      <c r="S1051">
        <v>1</v>
      </c>
      <c r="T1051">
        <v>1</v>
      </c>
      <c r="U1051">
        <v>1</v>
      </c>
      <c r="V1051">
        <v>1</v>
      </c>
      <c r="W1051">
        <v>1</v>
      </c>
      <c r="AA1051">
        <v>-10256.650600000001</v>
      </c>
      <c r="AB1051">
        <v>-10256.650600000001</v>
      </c>
      <c r="AC1051">
        <v>-10256.650600000001</v>
      </c>
      <c r="AD1051">
        <v>-10256.650600000001</v>
      </c>
      <c r="AE1051">
        <v>-10256.650600000001</v>
      </c>
      <c r="AF1051">
        <v>-870649.02139999997</v>
      </c>
    </row>
    <row r="1052" spans="2:32" x14ac:dyDescent="0.25">
      <c r="B1052">
        <f t="shared" si="45"/>
        <v>46</v>
      </c>
      <c r="C1052">
        <v>1</v>
      </c>
      <c r="D1052">
        <v>1</v>
      </c>
      <c r="E1052">
        <v>1</v>
      </c>
      <c r="F1052">
        <v>1</v>
      </c>
      <c r="G1052">
        <v>1</v>
      </c>
      <c r="J1052">
        <f t="shared" si="46"/>
        <v>46</v>
      </c>
      <c r="K1052">
        <v>1</v>
      </c>
      <c r="L1052">
        <v>1</v>
      </c>
      <c r="M1052">
        <v>1</v>
      </c>
      <c r="N1052">
        <v>1</v>
      </c>
      <c r="O1052">
        <v>1</v>
      </c>
      <c r="R1052">
        <f t="shared" si="47"/>
        <v>46</v>
      </c>
      <c r="S1052">
        <v>1</v>
      </c>
      <c r="T1052">
        <v>1</v>
      </c>
      <c r="U1052">
        <v>1</v>
      </c>
      <c r="V1052">
        <v>1</v>
      </c>
      <c r="W1052">
        <v>1</v>
      </c>
      <c r="AA1052">
        <v>-10137.871499999999</v>
      </c>
      <c r="AB1052">
        <v>-10137.871499999999</v>
      </c>
      <c r="AC1052">
        <v>-10137.871499999999</v>
      </c>
      <c r="AD1052">
        <v>-10137.871499999999</v>
      </c>
      <c r="AE1052">
        <v>-10137.871499999999</v>
      </c>
      <c r="AF1052">
        <v>-892550.54509999999</v>
      </c>
    </row>
    <row r="1053" spans="2:32" x14ac:dyDescent="0.25">
      <c r="B1053">
        <f t="shared" si="45"/>
        <v>47</v>
      </c>
      <c r="C1053">
        <v>1</v>
      </c>
      <c r="D1053">
        <v>1</v>
      </c>
      <c r="E1053">
        <v>1</v>
      </c>
      <c r="F1053">
        <v>1</v>
      </c>
      <c r="G1053">
        <v>1</v>
      </c>
      <c r="J1053">
        <f t="shared" si="46"/>
        <v>47</v>
      </c>
      <c r="K1053">
        <v>1</v>
      </c>
      <c r="L1053">
        <v>1</v>
      </c>
      <c r="M1053">
        <v>1</v>
      </c>
      <c r="N1053">
        <v>1</v>
      </c>
      <c r="O1053">
        <v>1</v>
      </c>
      <c r="R1053">
        <f t="shared" si="47"/>
        <v>47</v>
      </c>
      <c r="S1053">
        <v>1</v>
      </c>
      <c r="T1053">
        <v>1</v>
      </c>
      <c r="U1053">
        <v>1</v>
      </c>
      <c r="V1053">
        <v>1</v>
      </c>
      <c r="W1053">
        <v>1</v>
      </c>
      <c r="AA1053">
        <v>-10016.4967</v>
      </c>
      <c r="AB1053">
        <v>-10016.4967</v>
      </c>
      <c r="AC1053">
        <v>-10016.4967</v>
      </c>
      <c r="AD1053">
        <v>-10016.4967</v>
      </c>
      <c r="AE1053">
        <v>-10016.4967</v>
      </c>
      <c r="AF1053">
        <v>-910915.81969999999</v>
      </c>
    </row>
    <row r="1054" spans="2:32" x14ac:dyDescent="0.25">
      <c r="B1054">
        <f t="shared" si="45"/>
        <v>48</v>
      </c>
      <c r="C1054">
        <v>1</v>
      </c>
      <c r="D1054">
        <v>1</v>
      </c>
      <c r="E1054">
        <v>1</v>
      </c>
      <c r="F1054">
        <v>1</v>
      </c>
      <c r="G1054">
        <v>1</v>
      </c>
      <c r="J1054">
        <f t="shared" si="46"/>
        <v>48</v>
      </c>
      <c r="K1054">
        <v>1</v>
      </c>
      <c r="L1054">
        <v>1</v>
      </c>
      <c r="M1054">
        <v>1</v>
      </c>
      <c r="N1054">
        <v>1</v>
      </c>
      <c r="O1054">
        <v>1</v>
      </c>
      <c r="R1054">
        <f t="shared" si="47"/>
        <v>48</v>
      </c>
      <c r="S1054">
        <v>1</v>
      </c>
      <c r="T1054">
        <v>1</v>
      </c>
      <c r="U1054">
        <v>1</v>
      </c>
      <c r="V1054">
        <v>1</v>
      </c>
      <c r="W1054">
        <v>1</v>
      </c>
      <c r="AA1054">
        <v>-9892.6355000000003</v>
      </c>
      <c r="AB1054">
        <v>-9892.6355000000003</v>
      </c>
      <c r="AC1054">
        <v>-9892.6355000000003</v>
      </c>
      <c r="AD1054">
        <v>-9892.6355000000003</v>
      </c>
      <c r="AE1054">
        <v>-9892.6355000000003</v>
      </c>
      <c r="AF1054">
        <v>-910915.81969999999</v>
      </c>
    </row>
    <row r="1055" spans="2:32" x14ac:dyDescent="0.25">
      <c r="B1055">
        <f t="shared" si="45"/>
        <v>49</v>
      </c>
      <c r="C1055">
        <v>1</v>
      </c>
      <c r="D1055">
        <v>1</v>
      </c>
      <c r="E1055">
        <v>1</v>
      </c>
      <c r="F1055">
        <v>1</v>
      </c>
      <c r="G1055">
        <v>1</v>
      </c>
      <c r="J1055">
        <f t="shared" si="46"/>
        <v>49</v>
      </c>
      <c r="K1055">
        <v>1</v>
      </c>
      <c r="L1055">
        <v>1</v>
      </c>
      <c r="M1055">
        <v>1</v>
      </c>
      <c r="N1055">
        <v>1</v>
      </c>
      <c r="O1055">
        <v>1</v>
      </c>
      <c r="R1055">
        <f t="shared" si="47"/>
        <v>49</v>
      </c>
      <c r="S1055">
        <v>1</v>
      </c>
      <c r="T1055">
        <v>1</v>
      </c>
      <c r="U1055">
        <v>1</v>
      </c>
      <c r="V1055">
        <v>1</v>
      </c>
      <c r="W1055">
        <v>1</v>
      </c>
      <c r="AA1055">
        <v>-9766.3366999999998</v>
      </c>
      <c r="AB1055">
        <v>-9766.3366999999998</v>
      </c>
      <c r="AC1055">
        <v>-9766.3366999999998</v>
      </c>
      <c r="AD1055">
        <v>-9766.3366999999998</v>
      </c>
      <c r="AE1055">
        <v>-9766.3366999999998</v>
      </c>
      <c r="AF1055">
        <v>-944521.72470000002</v>
      </c>
    </row>
    <row r="1056" spans="2:32" x14ac:dyDescent="0.25">
      <c r="B1056">
        <f t="shared" si="45"/>
        <v>50</v>
      </c>
      <c r="C1056">
        <v>1</v>
      </c>
      <c r="D1056">
        <v>1</v>
      </c>
      <c r="E1056">
        <v>1</v>
      </c>
      <c r="F1056">
        <v>1</v>
      </c>
      <c r="G1056">
        <v>1</v>
      </c>
      <c r="J1056">
        <f t="shared" si="46"/>
        <v>50</v>
      </c>
      <c r="K1056">
        <v>1</v>
      </c>
      <c r="L1056">
        <v>1</v>
      </c>
      <c r="M1056">
        <v>1</v>
      </c>
      <c r="N1056">
        <v>1</v>
      </c>
      <c r="O1056">
        <v>1</v>
      </c>
      <c r="R1056">
        <f t="shared" si="47"/>
        <v>50</v>
      </c>
      <c r="S1056">
        <v>1</v>
      </c>
      <c r="T1056">
        <v>1</v>
      </c>
      <c r="U1056">
        <v>1</v>
      </c>
      <c r="V1056">
        <v>1</v>
      </c>
      <c r="W1056">
        <v>1</v>
      </c>
      <c r="AA1056">
        <v>-9637.5864000000001</v>
      </c>
      <c r="AB1056">
        <v>-9637.5864000000001</v>
      </c>
      <c r="AC1056">
        <v>-9637.5864000000001</v>
      </c>
      <c r="AD1056">
        <v>-9637.5864000000001</v>
      </c>
      <c r="AE1056">
        <v>-9637.5864000000001</v>
      </c>
      <c r="AF1056">
        <v>-963257.14989999996</v>
      </c>
    </row>
    <row r="1057" spans="2:32" x14ac:dyDescent="0.25">
      <c r="B1057">
        <f t="shared" si="45"/>
        <v>51</v>
      </c>
      <c r="C1057">
        <v>1</v>
      </c>
      <c r="D1057">
        <v>1</v>
      </c>
      <c r="E1057">
        <v>1</v>
      </c>
      <c r="F1057">
        <v>1</v>
      </c>
      <c r="G1057">
        <v>1</v>
      </c>
      <c r="J1057">
        <f t="shared" si="46"/>
        <v>51</v>
      </c>
      <c r="K1057">
        <v>1</v>
      </c>
      <c r="L1057">
        <v>1</v>
      </c>
      <c r="M1057">
        <v>1</v>
      </c>
      <c r="N1057">
        <v>1</v>
      </c>
      <c r="O1057">
        <v>1</v>
      </c>
      <c r="R1057">
        <f t="shared" si="47"/>
        <v>51</v>
      </c>
      <c r="S1057">
        <v>1</v>
      </c>
      <c r="T1057">
        <v>1</v>
      </c>
      <c r="U1057">
        <v>1</v>
      </c>
      <c r="V1057">
        <v>1</v>
      </c>
      <c r="W1057">
        <v>1</v>
      </c>
      <c r="AA1057">
        <v>-9506.3734000000004</v>
      </c>
      <c r="AB1057">
        <v>-9506.3734000000004</v>
      </c>
      <c r="AC1057">
        <v>-9506.3734000000004</v>
      </c>
      <c r="AD1057">
        <v>-9506.3734000000004</v>
      </c>
      <c r="AE1057">
        <v>-9506.3734000000004</v>
      </c>
      <c r="AF1057">
        <v>-981592.90729999996</v>
      </c>
    </row>
    <row r="1058" spans="2:32" x14ac:dyDescent="0.25">
      <c r="B1058">
        <f t="shared" si="45"/>
        <v>52</v>
      </c>
      <c r="C1058">
        <v>1</v>
      </c>
      <c r="D1058">
        <v>1</v>
      </c>
      <c r="E1058">
        <v>1</v>
      </c>
      <c r="F1058">
        <v>1</v>
      </c>
      <c r="G1058">
        <v>1</v>
      </c>
      <c r="J1058">
        <f t="shared" si="46"/>
        <v>52</v>
      </c>
      <c r="K1058">
        <v>1</v>
      </c>
      <c r="L1058">
        <v>1</v>
      </c>
      <c r="M1058">
        <v>1</v>
      </c>
      <c r="N1058">
        <v>1</v>
      </c>
      <c r="O1058">
        <v>1</v>
      </c>
      <c r="R1058">
        <f t="shared" si="47"/>
        <v>52</v>
      </c>
      <c r="S1058">
        <v>1</v>
      </c>
      <c r="T1058">
        <v>1</v>
      </c>
      <c r="U1058">
        <v>1</v>
      </c>
      <c r="V1058">
        <v>1</v>
      </c>
      <c r="W1058">
        <v>1</v>
      </c>
      <c r="AA1058">
        <v>-9372.7019</v>
      </c>
      <c r="AB1058">
        <v>-9372.7019</v>
      </c>
      <c r="AC1058">
        <v>-9372.7019</v>
      </c>
      <c r="AD1058">
        <v>-9372.7019</v>
      </c>
      <c r="AE1058">
        <v>-9372.7019</v>
      </c>
      <c r="AF1058">
        <v>-998556.10360000003</v>
      </c>
    </row>
    <row r="1059" spans="2:32" x14ac:dyDescent="0.25">
      <c r="B1059">
        <f t="shared" si="45"/>
        <v>53</v>
      </c>
      <c r="C1059">
        <v>1</v>
      </c>
      <c r="D1059">
        <v>1</v>
      </c>
      <c r="E1059">
        <v>1</v>
      </c>
      <c r="F1059">
        <v>1</v>
      </c>
      <c r="G1059">
        <v>1</v>
      </c>
      <c r="J1059">
        <f t="shared" si="46"/>
        <v>53</v>
      </c>
      <c r="K1059">
        <v>1</v>
      </c>
      <c r="L1059">
        <v>1</v>
      </c>
      <c r="M1059">
        <v>1</v>
      </c>
      <c r="N1059">
        <v>1</v>
      </c>
      <c r="O1059">
        <v>1</v>
      </c>
      <c r="R1059">
        <f t="shared" si="47"/>
        <v>53</v>
      </c>
      <c r="S1059">
        <v>1</v>
      </c>
      <c r="T1059">
        <v>1</v>
      </c>
      <c r="U1059">
        <v>1</v>
      </c>
      <c r="V1059">
        <v>1</v>
      </c>
      <c r="W1059">
        <v>1</v>
      </c>
      <c r="AA1059">
        <v>-9236.6705000000002</v>
      </c>
      <c r="AB1059">
        <v>-9236.6705000000002</v>
      </c>
      <c r="AC1059">
        <v>-9236.6705000000002</v>
      </c>
      <c r="AD1059">
        <v>-9236.6705000000002</v>
      </c>
      <c r="AE1059">
        <v>-9236.6705000000002</v>
      </c>
      <c r="AF1059">
        <v>-1015461.3278</v>
      </c>
    </row>
    <row r="1060" spans="2:32" x14ac:dyDescent="0.25">
      <c r="B1060">
        <f t="shared" si="45"/>
        <v>54</v>
      </c>
      <c r="C1060">
        <v>1</v>
      </c>
      <c r="D1060">
        <v>1</v>
      </c>
      <c r="E1060">
        <v>1</v>
      </c>
      <c r="F1060">
        <v>1</v>
      </c>
      <c r="G1060">
        <v>1</v>
      </c>
      <c r="J1060">
        <f t="shared" si="46"/>
        <v>54</v>
      </c>
      <c r="K1060">
        <v>1</v>
      </c>
      <c r="L1060">
        <v>1</v>
      </c>
      <c r="M1060">
        <v>1</v>
      </c>
      <c r="N1060">
        <v>1</v>
      </c>
      <c r="O1060">
        <v>1</v>
      </c>
      <c r="R1060">
        <f t="shared" si="47"/>
        <v>54</v>
      </c>
      <c r="S1060">
        <v>1</v>
      </c>
      <c r="T1060">
        <v>1</v>
      </c>
      <c r="U1060">
        <v>1</v>
      </c>
      <c r="V1060">
        <v>1</v>
      </c>
      <c r="W1060">
        <v>1</v>
      </c>
      <c r="AA1060">
        <v>-9098.4312000000009</v>
      </c>
      <c r="AB1060">
        <v>-9098.4312000000009</v>
      </c>
      <c r="AC1060">
        <v>-9098.4312000000009</v>
      </c>
      <c r="AD1060">
        <v>-9098.4312000000009</v>
      </c>
      <c r="AE1060">
        <v>-9098.4312000000009</v>
      </c>
      <c r="AF1060">
        <v>-1033869.6813000001</v>
      </c>
    </row>
    <row r="1061" spans="2:32" x14ac:dyDescent="0.25">
      <c r="B1061">
        <f t="shared" si="45"/>
        <v>55</v>
      </c>
      <c r="C1061">
        <v>1</v>
      </c>
      <c r="D1061">
        <v>1</v>
      </c>
      <c r="E1061">
        <v>1</v>
      </c>
      <c r="F1061">
        <v>1</v>
      </c>
      <c r="G1061">
        <v>1</v>
      </c>
      <c r="J1061">
        <f t="shared" si="46"/>
        <v>55</v>
      </c>
      <c r="K1061">
        <v>1</v>
      </c>
      <c r="L1061">
        <v>1</v>
      </c>
      <c r="M1061">
        <v>1</v>
      </c>
      <c r="N1061">
        <v>1</v>
      </c>
      <c r="O1061">
        <v>1</v>
      </c>
      <c r="R1061">
        <f t="shared" si="47"/>
        <v>55</v>
      </c>
      <c r="S1061">
        <v>1</v>
      </c>
      <c r="T1061">
        <v>1</v>
      </c>
      <c r="U1061">
        <v>1</v>
      </c>
      <c r="V1061">
        <v>1</v>
      </c>
      <c r="W1061">
        <v>1</v>
      </c>
      <c r="AA1061">
        <v>-8958.0210999999999</v>
      </c>
      <c r="AB1061">
        <v>-8958.0210999999999</v>
      </c>
      <c r="AC1061">
        <v>-8958.0210999999999</v>
      </c>
      <c r="AD1061">
        <v>-8958.0210999999999</v>
      </c>
      <c r="AE1061">
        <v>-8958.0210999999999</v>
      </c>
      <c r="AF1061">
        <v>-1050810.2549999999</v>
      </c>
    </row>
    <row r="1062" spans="2:32" x14ac:dyDescent="0.25">
      <c r="B1062">
        <f t="shared" si="45"/>
        <v>56</v>
      </c>
      <c r="C1062">
        <v>1</v>
      </c>
      <c r="D1062">
        <v>1</v>
      </c>
      <c r="E1062">
        <v>1</v>
      </c>
      <c r="F1062">
        <v>1</v>
      </c>
      <c r="G1062">
        <v>1</v>
      </c>
      <c r="J1062">
        <f t="shared" si="46"/>
        <v>56</v>
      </c>
      <c r="K1062">
        <v>1</v>
      </c>
      <c r="L1062">
        <v>1</v>
      </c>
      <c r="M1062">
        <v>1</v>
      </c>
      <c r="N1062">
        <v>1</v>
      </c>
      <c r="O1062">
        <v>1</v>
      </c>
      <c r="R1062">
        <f t="shared" si="47"/>
        <v>56</v>
      </c>
      <c r="S1062">
        <v>1</v>
      </c>
      <c r="T1062">
        <v>1</v>
      </c>
      <c r="U1062">
        <v>1</v>
      </c>
      <c r="V1062">
        <v>1</v>
      </c>
      <c r="W1062">
        <v>1</v>
      </c>
      <c r="AA1062">
        <v>-8815.6316999999999</v>
      </c>
      <c r="AB1062">
        <v>-8815.6316999999999</v>
      </c>
      <c r="AC1062">
        <v>-8815.6316999999999</v>
      </c>
      <c r="AD1062">
        <v>-8815.6316999999999</v>
      </c>
      <c r="AE1062">
        <v>-8815.6316999999999</v>
      </c>
      <c r="AF1062">
        <v>-1050810.2549999999</v>
      </c>
    </row>
    <row r="1063" spans="2:32" x14ac:dyDescent="0.25">
      <c r="B1063">
        <f t="shared" si="45"/>
        <v>57</v>
      </c>
      <c r="C1063">
        <v>1</v>
      </c>
      <c r="D1063">
        <v>1</v>
      </c>
      <c r="E1063">
        <v>1</v>
      </c>
      <c r="F1063">
        <v>1</v>
      </c>
      <c r="G1063">
        <v>1</v>
      </c>
      <c r="J1063">
        <f t="shared" si="46"/>
        <v>57</v>
      </c>
      <c r="K1063">
        <v>1</v>
      </c>
      <c r="L1063">
        <v>1</v>
      </c>
      <c r="M1063">
        <v>1</v>
      </c>
      <c r="N1063">
        <v>1</v>
      </c>
      <c r="O1063">
        <v>1</v>
      </c>
      <c r="R1063">
        <f t="shared" si="47"/>
        <v>57</v>
      </c>
      <c r="S1063">
        <v>1</v>
      </c>
      <c r="T1063">
        <v>1</v>
      </c>
      <c r="U1063">
        <v>1</v>
      </c>
      <c r="V1063">
        <v>1</v>
      </c>
      <c r="W1063">
        <v>1</v>
      </c>
      <c r="AA1063">
        <v>-8671.3991999999998</v>
      </c>
      <c r="AB1063">
        <v>-8671.3991999999998</v>
      </c>
      <c r="AC1063">
        <v>-8671.3991999999998</v>
      </c>
      <c r="AD1063">
        <v>-8671.3991999999998</v>
      </c>
      <c r="AE1063">
        <v>-8671.3991999999998</v>
      </c>
      <c r="AF1063">
        <v>-1093242.6832999999</v>
      </c>
    </row>
    <row r="1064" spans="2:32" x14ac:dyDescent="0.25">
      <c r="B1064">
        <f t="shared" si="45"/>
        <v>58</v>
      </c>
      <c r="C1064">
        <v>1</v>
      </c>
      <c r="D1064">
        <v>1</v>
      </c>
      <c r="E1064">
        <v>1</v>
      </c>
      <c r="F1064">
        <v>1</v>
      </c>
      <c r="G1064">
        <v>1</v>
      </c>
      <c r="J1064">
        <f t="shared" si="46"/>
        <v>58</v>
      </c>
      <c r="K1064">
        <v>1</v>
      </c>
      <c r="L1064">
        <v>1</v>
      </c>
      <c r="M1064">
        <v>1</v>
      </c>
      <c r="N1064">
        <v>1</v>
      </c>
      <c r="O1064">
        <v>1</v>
      </c>
      <c r="R1064">
        <f t="shared" si="47"/>
        <v>58</v>
      </c>
      <c r="S1064">
        <v>1</v>
      </c>
      <c r="T1064">
        <v>1</v>
      </c>
      <c r="U1064">
        <v>1</v>
      </c>
      <c r="V1064">
        <v>1</v>
      </c>
      <c r="W1064">
        <v>1</v>
      </c>
      <c r="AA1064">
        <v>-8525.2759999999998</v>
      </c>
      <c r="AB1064">
        <v>-8525.2759999999998</v>
      </c>
      <c r="AC1064">
        <v>-8525.2759999999998</v>
      </c>
      <c r="AD1064">
        <v>-8525.2759999999998</v>
      </c>
      <c r="AE1064">
        <v>-8525.2759999999998</v>
      </c>
      <c r="AF1064">
        <v>-1114366.6444000001</v>
      </c>
    </row>
    <row r="1065" spans="2:32" x14ac:dyDescent="0.25">
      <c r="B1065">
        <f t="shared" si="45"/>
        <v>59</v>
      </c>
      <c r="C1065">
        <v>1</v>
      </c>
      <c r="D1065">
        <v>1</v>
      </c>
      <c r="E1065">
        <v>1</v>
      </c>
      <c r="F1065">
        <v>1</v>
      </c>
      <c r="G1065">
        <v>1</v>
      </c>
      <c r="J1065">
        <f t="shared" si="46"/>
        <v>59</v>
      </c>
      <c r="K1065">
        <v>1</v>
      </c>
      <c r="L1065">
        <v>1</v>
      </c>
      <c r="M1065">
        <v>1</v>
      </c>
      <c r="N1065">
        <v>1</v>
      </c>
      <c r="O1065">
        <v>1</v>
      </c>
      <c r="R1065">
        <f t="shared" si="47"/>
        <v>59</v>
      </c>
      <c r="S1065">
        <v>1</v>
      </c>
      <c r="T1065">
        <v>1</v>
      </c>
      <c r="U1065">
        <v>1</v>
      </c>
      <c r="V1065">
        <v>1</v>
      </c>
      <c r="W1065">
        <v>1</v>
      </c>
      <c r="AA1065">
        <v>-8377.2351999999992</v>
      </c>
      <c r="AB1065">
        <v>-8377.2351999999992</v>
      </c>
      <c r="AC1065">
        <v>-8377.2351999999992</v>
      </c>
      <c r="AD1065">
        <v>-8377.2351999999992</v>
      </c>
      <c r="AE1065">
        <v>-8377.2351999999992</v>
      </c>
      <c r="AF1065">
        <v>-1136284.0146999999</v>
      </c>
    </row>
    <row r="1066" spans="2:32" x14ac:dyDescent="0.25">
      <c r="B1066">
        <f t="shared" si="45"/>
        <v>60</v>
      </c>
      <c r="C1066">
        <v>1</v>
      </c>
      <c r="D1066">
        <v>1</v>
      </c>
      <c r="E1066">
        <v>1</v>
      </c>
      <c r="F1066">
        <v>1</v>
      </c>
      <c r="G1066">
        <v>1</v>
      </c>
      <c r="J1066">
        <f t="shared" si="46"/>
        <v>60</v>
      </c>
      <c r="K1066">
        <v>1</v>
      </c>
      <c r="L1066">
        <v>1</v>
      </c>
      <c r="M1066">
        <v>1</v>
      </c>
      <c r="N1066">
        <v>1</v>
      </c>
      <c r="O1066">
        <v>1</v>
      </c>
      <c r="R1066">
        <f t="shared" si="47"/>
        <v>60</v>
      </c>
      <c r="S1066">
        <v>1</v>
      </c>
      <c r="T1066">
        <v>1</v>
      </c>
      <c r="U1066">
        <v>1</v>
      </c>
      <c r="V1066">
        <v>1</v>
      </c>
      <c r="W1066">
        <v>1</v>
      </c>
      <c r="AA1066">
        <v>-8227.3953999999994</v>
      </c>
      <c r="AB1066">
        <v>-8227.3953999999994</v>
      </c>
      <c r="AC1066">
        <v>-8227.3953999999994</v>
      </c>
      <c r="AD1066">
        <v>-8227.3953999999994</v>
      </c>
      <c r="AE1066">
        <v>-8227.3953999999994</v>
      </c>
      <c r="AF1066">
        <v>-1157801.6717999999</v>
      </c>
    </row>
    <row r="1067" spans="2:32" x14ac:dyDescent="0.25">
      <c r="B1067">
        <f t="shared" si="45"/>
        <v>61</v>
      </c>
      <c r="C1067">
        <v>1</v>
      </c>
      <c r="D1067">
        <v>1</v>
      </c>
      <c r="E1067">
        <v>1</v>
      </c>
      <c r="F1067">
        <v>1</v>
      </c>
      <c r="G1067">
        <v>1</v>
      </c>
      <c r="J1067">
        <f t="shared" si="46"/>
        <v>61</v>
      </c>
      <c r="K1067">
        <v>1</v>
      </c>
      <c r="L1067">
        <v>1</v>
      </c>
      <c r="M1067">
        <v>1</v>
      </c>
      <c r="N1067">
        <v>1</v>
      </c>
      <c r="O1067">
        <v>1</v>
      </c>
      <c r="R1067">
        <f t="shared" si="47"/>
        <v>61</v>
      </c>
      <c r="S1067">
        <v>1</v>
      </c>
      <c r="T1067">
        <v>1</v>
      </c>
      <c r="U1067">
        <v>1</v>
      </c>
      <c r="V1067">
        <v>1</v>
      </c>
      <c r="W1067">
        <v>1</v>
      </c>
      <c r="AA1067">
        <v>-8076.1778999999997</v>
      </c>
      <c r="AB1067">
        <v>-8076.1778999999997</v>
      </c>
      <c r="AC1067">
        <v>-8076.1778999999997</v>
      </c>
      <c r="AD1067">
        <v>-8076.1778999999997</v>
      </c>
      <c r="AE1067">
        <v>-8076.1778999999997</v>
      </c>
      <c r="AF1067">
        <v>-1178581.4038</v>
      </c>
    </row>
    <row r="1068" spans="2:32" x14ac:dyDescent="0.25">
      <c r="B1068">
        <f t="shared" si="45"/>
        <v>62</v>
      </c>
      <c r="C1068">
        <v>1</v>
      </c>
      <c r="D1068">
        <v>1</v>
      </c>
      <c r="E1068">
        <v>1</v>
      </c>
      <c r="F1068">
        <v>1</v>
      </c>
      <c r="G1068">
        <v>1</v>
      </c>
      <c r="J1068">
        <f t="shared" si="46"/>
        <v>62</v>
      </c>
      <c r="K1068">
        <v>1</v>
      </c>
      <c r="L1068">
        <v>1</v>
      </c>
      <c r="M1068">
        <v>1</v>
      </c>
      <c r="N1068">
        <v>1</v>
      </c>
      <c r="O1068">
        <v>1</v>
      </c>
      <c r="R1068">
        <f t="shared" si="47"/>
        <v>62</v>
      </c>
      <c r="S1068">
        <v>1</v>
      </c>
      <c r="T1068">
        <v>1</v>
      </c>
      <c r="U1068">
        <v>1</v>
      </c>
      <c r="V1068">
        <v>1</v>
      </c>
      <c r="W1068">
        <v>1</v>
      </c>
      <c r="AA1068">
        <v>-7923.5816000000004</v>
      </c>
      <c r="AB1068">
        <v>-7923.5816000000004</v>
      </c>
      <c r="AC1068">
        <v>-7923.5816000000004</v>
      </c>
      <c r="AD1068">
        <v>-7923.5816000000004</v>
      </c>
      <c r="AE1068">
        <v>-7923.5816000000004</v>
      </c>
      <c r="AF1068">
        <v>-1199521.5327000001</v>
      </c>
    </row>
    <row r="1069" spans="2:32" x14ac:dyDescent="0.25">
      <c r="B1069">
        <f t="shared" si="45"/>
        <v>63</v>
      </c>
      <c r="C1069">
        <v>1</v>
      </c>
      <c r="D1069">
        <v>1</v>
      </c>
      <c r="E1069">
        <v>1</v>
      </c>
      <c r="F1069">
        <v>1</v>
      </c>
      <c r="G1069">
        <v>1</v>
      </c>
      <c r="J1069">
        <f t="shared" si="46"/>
        <v>63</v>
      </c>
      <c r="K1069">
        <v>1</v>
      </c>
      <c r="L1069">
        <v>1</v>
      </c>
      <c r="M1069">
        <v>1</v>
      </c>
      <c r="N1069">
        <v>1</v>
      </c>
      <c r="O1069">
        <v>1</v>
      </c>
      <c r="R1069">
        <f t="shared" si="47"/>
        <v>63</v>
      </c>
      <c r="S1069">
        <v>1</v>
      </c>
      <c r="T1069">
        <v>1</v>
      </c>
      <c r="U1069">
        <v>1</v>
      </c>
      <c r="V1069">
        <v>1</v>
      </c>
      <c r="W1069">
        <v>1</v>
      </c>
      <c r="AA1069">
        <v>-7769.2775000000001</v>
      </c>
      <c r="AB1069">
        <v>-7769.2775000000001</v>
      </c>
      <c r="AC1069">
        <v>-7769.2775000000001</v>
      </c>
      <c r="AD1069">
        <v>-7769.2775000000001</v>
      </c>
      <c r="AE1069">
        <v>-7769.2775000000001</v>
      </c>
      <c r="AF1069">
        <v>-1220461.6269</v>
      </c>
    </row>
    <row r="1070" spans="2:32" x14ac:dyDescent="0.25">
      <c r="B1070">
        <f t="shared" si="45"/>
        <v>64</v>
      </c>
      <c r="C1070">
        <v>1</v>
      </c>
      <c r="D1070">
        <v>1</v>
      </c>
      <c r="E1070">
        <v>1</v>
      </c>
      <c r="F1070">
        <v>1</v>
      </c>
      <c r="G1070">
        <v>1</v>
      </c>
      <c r="J1070">
        <f t="shared" si="46"/>
        <v>64</v>
      </c>
      <c r="K1070">
        <v>1</v>
      </c>
      <c r="L1070">
        <v>1</v>
      </c>
      <c r="M1070">
        <v>1</v>
      </c>
      <c r="N1070">
        <v>1</v>
      </c>
      <c r="O1070">
        <v>1</v>
      </c>
      <c r="R1070">
        <f t="shared" si="47"/>
        <v>64</v>
      </c>
      <c r="S1070">
        <v>1</v>
      </c>
      <c r="T1070">
        <v>1</v>
      </c>
      <c r="U1070">
        <v>1</v>
      </c>
      <c r="V1070">
        <v>1</v>
      </c>
      <c r="W1070">
        <v>1</v>
      </c>
      <c r="AA1070">
        <v>-7613.3999000000003</v>
      </c>
      <c r="AB1070">
        <v>-7613.3999000000003</v>
      </c>
      <c r="AC1070">
        <v>-7613.3999000000003</v>
      </c>
      <c r="AD1070">
        <v>-7613.3999000000003</v>
      </c>
      <c r="AE1070">
        <v>-7613.3999000000003</v>
      </c>
      <c r="AF1070">
        <v>-1240652.2526</v>
      </c>
    </row>
    <row r="1071" spans="2:32" x14ac:dyDescent="0.25">
      <c r="B1071">
        <f t="shared" si="45"/>
        <v>65</v>
      </c>
      <c r="C1071">
        <v>1</v>
      </c>
      <c r="D1071">
        <v>1</v>
      </c>
      <c r="E1071">
        <v>1</v>
      </c>
      <c r="F1071">
        <v>1</v>
      </c>
      <c r="G1071">
        <v>1</v>
      </c>
      <c r="J1071">
        <f t="shared" si="46"/>
        <v>65</v>
      </c>
      <c r="K1071">
        <v>1</v>
      </c>
      <c r="L1071">
        <v>1</v>
      </c>
      <c r="M1071">
        <v>1</v>
      </c>
      <c r="N1071">
        <v>1</v>
      </c>
      <c r="O1071">
        <v>1</v>
      </c>
      <c r="R1071">
        <f t="shared" si="47"/>
        <v>65</v>
      </c>
      <c r="S1071">
        <v>1</v>
      </c>
      <c r="T1071">
        <v>1</v>
      </c>
      <c r="U1071">
        <v>1</v>
      </c>
      <c r="V1071">
        <v>1</v>
      </c>
      <c r="W1071">
        <v>1</v>
      </c>
      <c r="AA1071">
        <v>-7455.8590000000004</v>
      </c>
      <c r="AB1071">
        <v>-7455.8590000000004</v>
      </c>
      <c r="AC1071">
        <v>-7455.8590000000004</v>
      </c>
      <c r="AD1071">
        <v>-7455.8590000000004</v>
      </c>
      <c r="AE1071">
        <v>-7455.8590000000004</v>
      </c>
      <c r="AF1071">
        <v>-1260049.8302</v>
      </c>
    </row>
    <row r="1074" spans="2:32" x14ac:dyDescent="0.25">
      <c r="B1074" t="s">
        <v>46</v>
      </c>
      <c r="C1074">
        <v>50000</v>
      </c>
      <c r="D1074">
        <v>100000</v>
      </c>
      <c r="E1074">
        <v>250000</v>
      </c>
      <c r="F1074">
        <v>500000</v>
      </c>
      <c r="G1074">
        <v>1000000</v>
      </c>
      <c r="H1074">
        <v>2000000</v>
      </c>
      <c r="J1074" t="s">
        <v>47</v>
      </c>
      <c r="K1074">
        <v>50000</v>
      </c>
      <c r="L1074">
        <v>100000</v>
      </c>
      <c r="M1074">
        <v>250000</v>
      </c>
      <c r="N1074">
        <v>500000</v>
      </c>
      <c r="O1074">
        <v>1000000</v>
      </c>
      <c r="P1074">
        <v>2000000</v>
      </c>
      <c r="R1074" t="s">
        <v>48</v>
      </c>
      <c r="S1074">
        <v>50000</v>
      </c>
      <c r="T1074">
        <v>100000</v>
      </c>
      <c r="U1074">
        <v>250000</v>
      </c>
      <c r="V1074">
        <v>500000</v>
      </c>
      <c r="W1074">
        <v>1000000</v>
      </c>
      <c r="X1074">
        <v>2000000</v>
      </c>
    </row>
    <row r="1075" spans="2:32" x14ac:dyDescent="0.25">
      <c r="B1075">
        <v>26</v>
      </c>
      <c r="C1075">
        <v>1</v>
      </c>
      <c r="D1075">
        <v>1</v>
      </c>
      <c r="E1075">
        <v>1</v>
      </c>
      <c r="F1075">
        <v>1</v>
      </c>
      <c r="G1075">
        <v>1</v>
      </c>
      <c r="H1075">
        <v>1</v>
      </c>
      <c r="J1075">
        <v>26</v>
      </c>
      <c r="K1075">
        <v>1</v>
      </c>
      <c r="L1075">
        <v>1</v>
      </c>
      <c r="M1075">
        <v>1</v>
      </c>
      <c r="N1075">
        <v>1</v>
      </c>
      <c r="O1075">
        <v>1</v>
      </c>
      <c r="P1075">
        <v>1</v>
      </c>
      <c r="R1075">
        <v>26</v>
      </c>
      <c r="S1075">
        <v>1</v>
      </c>
      <c r="T1075">
        <v>1</v>
      </c>
      <c r="U1075">
        <v>1</v>
      </c>
      <c r="V1075">
        <v>1</v>
      </c>
      <c r="W1075">
        <v>1</v>
      </c>
      <c r="X1075">
        <v>1</v>
      </c>
      <c r="AA1075">
        <v>-7435.5060999999996</v>
      </c>
      <c r="AB1075">
        <v>-7435.5060999999996</v>
      </c>
      <c r="AC1075">
        <v>-7435.5060999999996</v>
      </c>
      <c r="AD1075">
        <v>-7435.5060999999996</v>
      </c>
      <c r="AE1075">
        <v>-7435.5060999999996</v>
      </c>
      <c r="AF1075">
        <v>-7435.5060999999996</v>
      </c>
    </row>
    <row r="1076" spans="2:32" x14ac:dyDescent="0.25">
      <c r="B1076">
        <v>27</v>
      </c>
      <c r="C1076">
        <v>1</v>
      </c>
      <c r="D1076">
        <v>1</v>
      </c>
      <c r="E1076">
        <v>1</v>
      </c>
      <c r="F1076">
        <v>1</v>
      </c>
      <c r="G1076">
        <v>1</v>
      </c>
      <c r="H1076">
        <v>1</v>
      </c>
      <c r="J1076">
        <v>27</v>
      </c>
      <c r="K1076">
        <v>1</v>
      </c>
      <c r="L1076">
        <v>1</v>
      </c>
      <c r="M1076">
        <v>1</v>
      </c>
      <c r="N1076">
        <v>1</v>
      </c>
      <c r="O1076">
        <v>1</v>
      </c>
      <c r="P1076">
        <v>1</v>
      </c>
      <c r="R1076">
        <v>27</v>
      </c>
      <c r="S1076">
        <v>1</v>
      </c>
      <c r="T1076">
        <v>1</v>
      </c>
      <c r="U1076">
        <v>1</v>
      </c>
      <c r="V1076">
        <v>1</v>
      </c>
      <c r="W1076">
        <v>1</v>
      </c>
      <c r="X1076">
        <v>1</v>
      </c>
      <c r="AA1076">
        <v>-7434.2619000000004</v>
      </c>
      <c r="AB1076">
        <v>-7434.2619000000004</v>
      </c>
      <c r="AC1076">
        <v>-7434.2619000000004</v>
      </c>
      <c r="AD1076">
        <v>-7434.2619000000004</v>
      </c>
      <c r="AE1076">
        <v>-7434.2619000000004</v>
      </c>
      <c r="AF1076">
        <v>-7434.2619000000004</v>
      </c>
    </row>
    <row r="1077" spans="2:32" x14ac:dyDescent="0.25">
      <c r="B1077">
        <v>28</v>
      </c>
      <c r="C1077">
        <v>1</v>
      </c>
      <c r="D1077">
        <v>1</v>
      </c>
      <c r="E1077">
        <v>1</v>
      </c>
      <c r="F1077">
        <v>1</v>
      </c>
      <c r="G1077">
        <v>1</v>
      </c>
      <c r="H1077">
        <v>1</v>
      </c>
      <c r="J1077">
        <v>28</v>
      </c>
      <c r="K1077">
        <v>1</v>
      </c>
      <c r="L1077">
        <v>1</v>
      </c>
      <c r="M1077">
        <v>1</v>
      </c>
      <c r="N1077">
        <v>1</v>
      </c>
      <c r="O1077">
        <v>1</v>
      </c>
      <c r="P1077">
        <v>1</v>
      </c>
      <c r="R1077">
        <v>28</v>
      </c>
      <c r="S1077">
        <v>1</v>
      </c>
      <c r="T1077">
        <v>1</v>
      </c>
      <c r="U1077">
        <v>1</v>
      </c>
      <c r="V1077">
        <v>1</v>
      </c>
      <c r="W1077">
        <v>1</v>
      </c>
      <c r="X1077">
        <v>1</v>
      </c>
      <c r="AA1077">
        <v>-7432.8334999999997</v>
      </c>
      <c r="AB1077">
        <v>-7432.8334999999997</v>
      </c>
      <c r="AC1077">
        <v>-7432.8334999999997</v>
      </c>
      <c r="AD1077">
        <v>-7432.8334999999997</v>
      </c>
      <c r="AE1077">
        <v>-7432.8334999999997</v>
      </c>
      <c r="AF1077">
        <v>-7432.8334999999997</v>
      </c>
    </row>
    <row r="1078" spans="2:32" x14ac:dyDescent="0.25">
      <c r="B1078">
        <v>29</v>
      </c>
      <c r="C1078">
        <v>1</v>
      </c>
      <c r="D1078">
        <v>1</v>
      </c>
      <c r="E1078">
        <v>1</v>
      </c>
      <c r="F1078">
        <v>1</v>
      </c>
      <c r="G1078">
        <v>1</v>
      </c>
      <c r="H1078">
        <v>1</v>
      </c>
      <c r="J1078">
        <v>29</v>
      </c>
      <c r="K1078">
        <v>1</v>
      </c>
      <c r="L1078">
        <v>1</v>
      </c>
      <c r="M1078">
        <v>1</v>
      </c>
      <c r="N1078">
        <v>1</v>
      </c>
      <c r="O1078">
        <v>1</v>
      </c>
      <c r="P1078">
        <v>1</v>
      </c>
      <c r="R1078">
        <v>29</v>
      </c>
      <c r="S1078">
        <v>1</v>
      </c>
      <c r="T1078">
        <v>1</v>
      </c>
      <c r="U1078">
        <v>1</v>
      </c>
      <c r="V1078">
        <v>1</v>
      </c>
      <c r="W1078">
        <v>1</v>
      </c>
      <c r="X1078">
        <v>1</v>
      </c>
      <c r="AA1078">
        <v>-7431.2058999999999</v>
      </c>
      <c r="AB1078">
        <v>-7431.2058999999999</v>
      </c>
      <c r="AC1078">
        <v>-7431.2058999999999</v>
      </c>
      <c r="AD1078">
        <v>-7431.2058999999999</v>
      </c>
      <c r="AE1078">
        <v>-7431.2058999999999</v>
      </c>
      <c r="AF1078">
        <v>-7431.2058999999999</v>
      </c>
    </row>
    <row r="1079" spans="2:32" x14ac:dyDescent="0.25">
      <c r="B1079">
        <v>30</v>
      </c>
      <c r="C1079">
        <v>1</v>
      </c>
      <c r="D1079">
        <v>1</v>
      </c>
      <c r="E1079">
        <v>1</v>
      </c>
      <c r="F1079">
        <v>1</v>
      </c>
      <c r="G1079">
        <v>1</v>
      </c>
      <c r="H1079">
        <v>1</v>
      </c>
      <c r="J1079">
        <v>30</v>
      </c>
      <c r="K1079">
        <v>1</v>
      </c>
      <c r="L1079">
        <v>1</v>
      </c>
      <c r="M1079">
        <v>1</v>
      </c>
      <c r="N1079">
        <v>1</v>
      </c>
      <c r="O1079">
        <v>1</v>
      </c>
      <c r="P1079">
        <v>1</v>
      </c>
      <c r="R1079">
        <v>30</v>
      </c>
      <c r="S1079">
        <v>1</v>
      </c>
      <c r="T1079">
        <v>1</v>
      </c>
      <c r="U1079">
        <v>1</v>
      </c>
      <c r="V1079">
        <v>1</v>
      </c>
      <c r="W1079">
        <v>1</v>
      </c>
      <c r="X1079">
        <v>1</v>
      </c>
      <c r="AA1079">
        <v>-7429.3476000000001</v>
      </c>
      <c r="AB1079">
        <v>-7429.3476000000001</v>
      </c>
      <c r="AC1079">
        <v>-7429.3476000000001</v>
      </c>
      <c r="AD1079">
        <v>-7429.3476000000001</v>
      </c>
      <c r="AE1079">
        <v>-7429.3476000000001</v>
      </c>
      <c r="AF1079">
        <v>-7429.3476000000001</v>
      </c>
    </row>
    <row r="1080" spans="2:32" x14ac:dyDescent="0.25">
      <c r="B1080">
        <v>31</v>
      </c>
      <c r="C1080">
        <v>1</v>
      </c>
      <c r="D1080">
        <v>1</v>
      </c>
      <c r="E1080">
        <v>1</v>
      </c>
      <c r="F1080">
        <v>1</v>
      </c>
      <c r="G1080">
        <v>1</v>
      </c>
      <c r="H1080">
        <v>1</v>
      </c>
      <c r="J1080">
        <v>31</v>
      </c>
      <c r="K1080">
        <v>1</v>
      </c>
      <c r="L1080">
        <v>1</v>
      </c>
      <c r="M1080">
        <v>1</v>
      </c>
      <c r="N1080">
        <v>1</v>
      </c>
      <c r="O1080">
        <v>1</v>
      </c>
      <c r="P1080">
        <v>1</v>
      </c>
      <c r="R1080">
        <v>31</v>
      </c>
      <c r="S1080">
        <v>1</v>
      </c>
      <c r="T1080">
        <v>1</v>
      </c>
      <c r="U1080">
        <v>1</v>
      </c>
      <c r="V1080">
        <v>1</v>
      </c>
      <c r="W1080">
        <v>1</v>
      </c>
      <c r="X1080">
        <v>1</v>
      </c>
      <c r="AA1080">
        <v>-7427.2446</v>
      </c>
      <c r="AB1080">
        <v>-7427.2446</v>
      </c>
      <c r="AC1080">
        <v>-7427.2446</v>
      </c>
      <c r="AD1080">
        <v>-7427.2446</v>
      </c>
      <c r="AE1080">
        <v>-7427.2446</v>
      </c>
      <c r="AF1080">
        <v>-7427.2446</v>
      </c>
    </row>
    <row r="1081" spans="2:32" x14ac:dyDescent="0.25">
      <c r="B1081">
        <v>32</v>
      </c>
      <c r="C1081">
        <v>1</v>
      </c>
      <c r="D1081">
        <v>1</v>
      </c>
      <c r="E1081">
        <v>1</v>
      </c>
      <c r="F1081">
        <v>1</v>
      </c>
      <c r="G1081">
        <v>1</v>
      </c>
      <c r="H1081">
        <v>1</v>
      </c>
      <c r="J1081">
        <v>32</v>
      </c>
      <c r="K1081">
        <v>1</v>
      </c>
      <c r="L1081">
        <v>1</v>
      </c>
      <c r="M1081">
        <v>1</v>
      </c>
      <c r="N1081">
        <v>1</v>
      </c>
      <c r="O1081">
        <v>1</v>
      </c>
      <c r="P1081">
        <v>1</v>
      </c>
      <c r="R1081">
        <v>32</v>
      </c>
      <c r="S1081">
        <v>1</v>
      </c>
      <c r="T1081">
        <v>1</v>
      </c>
      <c r="U1081">
        <v>1</v>
      </c>
      <c r="V1081">
        <v>1</v>
      </c>
      <c r="W1081">
        <v>1</v>
      </c>
      <c r="X1081">
        <v>1</v>
      </c>
      <c r="AA1081">
        <v>-7424.8944000000001</v>
      </c>
      <c r="AB1081">
        <v>-7424.8944000000001</v>
      </c>
      <c r="AC1081">
        <v>-7424.8944000000001</v>
      </c>
      <c r="AD1081">
        <v>-7424.8944000000001</v>
      </c>
      <c r="AE1081">
        <v>-7424.8944000000001</v>
      </c>
      <c r="AF1081">
        <v>-7424.8944000000001</v>
      </c>
    </row>
    <row r="1082" spans="2:32" x14ac:dyDescent="0.25">
      <c r="B1082">
        <v>33</v>
      </c>
      <c r="C1082">
        <v>1</v>
      </c>
      <c r="D1082">
        <v>1</v>
      </c>
      <c r="E1082">
        <v>1</v>
      </c>
      <c r="F1082">
        <v>1</v>
      </c>
      <c r="G1082">
        <v>1</v>
      </c>
      <c r="H1082">
        <v>1</v>
      </c>
      <c r="J1082">
        <v>33</v>
      </c>
      <c r="K1082">
        <v>1</v>
      </c>
      <c r="L1082">
        <v>1</v>
      </c>
      <c r="M1082">
        <v>1</v>
      </c>
      <c r="N1082">
        <v>1</v>
      </c>
      <c r="O1082">
        <v>1</v>
      </c>
      <c r="P1082">
        <v>1</v>
      </c>
      <c r="R1082">
        <v>33</v>
      </c>
      <c r="S1082">
        <v>1</v>
      </c>
      <c r="T1082">
        <v>1</v>
      </c>
      <c r="U1082">
        <v>1</v>
      </c>
      <c r="V1082">
        <v>1</v>
      </c>
      <c r="W1082">
        <v>1</v>
      </c>
      <c r="X1082">
        <v>1</v>
      </c>
      <c r="AA1082">
        <v>-7422.2834000000003</v>
      </c>
      <c r="AB1082">
        <v>-7422.2834000000003</v>
      </c>
      <c r="AC1082">
        <v>-7422.2834000000003</v>
      </c>
      <c r="AD1082">
        <v>-7422.2834000000003</v>
      </c>
      <c r="AE1082">
        <v>-7422.2834000000003</v>
      </c>
      <c r="AF1082">
        <v>-7422.2834000000003</v>
      </c>
    </row>
    <row r="1083" spans="2:32" x14ac:dyDescent="0.25">
      <c r="B1083">
        <v>34</v>
      </c>
      <c r="C1083">
        <v>1</v>
      </c>
      <c r="D1083">
        <v>1</v>
      </c>
      <c r="E1083">
        <v>1</v>
      </c>
      <c r="F1083">
        <v>1</v>
      </c>
      <c r="G1083">
        <v>1</v>
      </c>
      <c r="H1083">
        <v>1</v>
      </c>
      <c r="J1083">
        <v>34</v>
      </c>
      <c r="K1083">
        <v>1</v>
      </c>
      <c r="L1083">
        <v>1</v>
      </c>
      <c r="M1083">
        <v>1</v>
      </c>
      <c r="N1083">
        <v>1</v>
      </c>
      <c r="O1083">
        <v>1</v>
      </c>
      <c r="P1083">
        <v>1</v>
      </c>
      <c r="R1083">
        <v>34</v>
      </c>
      <c r="S1083">
        <v>1</v>
      </c>
      <c r="T1083">
        <v>1</v>
      </c>
      <c r="U1083">
        <v>1</v>
      </c>
      <c r="V1083">
        <v>1</v>
      </c>
      <c r="W1083">
        <v>1</v>
      </c>
      <c r="X1083">
        <v>1</v>
      </c>
      <c r="AA1083">
        <v>-7419.3683000000001</v>
      </c>
      <c r="AB1083">
        <v>-7419.3683000000001</v>
      </c>
      <c r="AC1083">
        <v>-7419.3683000000001</v>
      </c>
      <c r="AD1083">
        <v>-7419.3683000000001</v>
      </c>
      <c r="AE1083">
        <v>-7419.3683000000001</v>
      </c>
      <c r="AF1083">
        <v>-7419.3683000000001</v>
      </c>
    </row>
    <row r="1084" spans="2:32" x14ac:dyDescent="0.25">
      <c r="B1084">
        <v>35</v>
      </c>
      <c r="C1084">
        <v>1</v>
      </c>
      <c r="D1084">
        <v>1</v>
      </c>
      <c r="E1084">
        <v>1</v>
      </c>
      <c r="F1084">
        <v>1</v>
      </c>
      <c r="G1084">
        <v>1</v>
      </c>
      <c r="H1084">
        <v>1</v>
      </c>
      <c r="J1084">
        <v>35</v>
      </c>
      <c r="K1084">
        <v>1</v>
      </c>
      <c r="L1084">
        <v>1</v>
      </c>
      <c r="M1084">
        <v>1</v>
      </c>
      <c r="N1084">
        <v>1</v>
      </c>
      <c r="O1084">
        <v>1</v>
      </c>
      <c r="P1084">
        <v>1</v>
      </c>
      <c r="R1084">
        <v>35</v>
      </c>
      <c r="S1084">
        <v>1</v>
      </c>
      <c r="T1084">
        <v>1</v>
      </c>
      <c r="U1084">
        <v>1</v>
      </c>
      <c r="V1084">
        <v>1</v>
      </c>
      <c r="W1084">
        <v>1</v>
      </c>
      <c r="X1084">
        <v>1</v>
      </c>
      <c r="AA1084">
        <v>-7416.1363000000001</v>
      </c>
      <c r="AB1084">
        <v>-7416.1363000000001</v>
      </c>
      <c r="AC1084">
        <v>-7416.1363000000001</v>
      </c>
      <c r="AD1084">
        <v>-7416.1363000000001</v>
      </c>
      <c r="AE1084">
        <v>-7416.1363000000001</v>
      </c>
      <c r="AF1084">
        <v>-7416.1363000000001</v>
      </c>
    </row>
    <row r="1085" spans="2:32" x14ac:dyDescent="0.25">
      <c r="B1085">
        <v>36</v>
      </c>
      <c r="C1085">
        <v>1</v>
      </c>
      <c r="D1085">
        <v>1</v>
      </c>
      <c r="E1085">
        <v>1</v>
      </c>
      <c r="F1085">
        <v>1</v>
      </c>
      <c r="G1085">
        <v>1</v>
      </c>
      <c r="H1085">
        <v>1</v>
      </c>
      <c r="J1085">
        <v>36</v>
      </c>
      <c r="K1085">
        <v>1</v>
      </c>
      <c r="L1085">
        <v>1</v>
      </c>
      <c r="M1085">
        <v>1</v>
      </c>
      <c r="N1085">
        <v>1</v>
      </c>
      <c r="O1085">
        <v>1</v>
      </c>
      <c r="P1085">
        <v>1</v>
      </c>
      <c r="R1085">
        <v>36</v>
      </c>
      <c r="S1085">
        <v>1</v>
      </c>
      <c r="T1085">
        <v>1</v>
      </c>
      <c r="U1085">
        <v>1</v>
      </c>
      <c r="V1085">
        <v>1</v>
      </c>
      <c r="W1085">
        <v>1</v>
      </c>
      <c r="X1085">
        <v>1</v>
      </c>
      <c r="AA1085">
        <v>-7412.5378000000001</v>
      </c>
      <c r="AB1085">
        <v>-7412.5378000000001</v>
      </c>
      <c r="AC1085">
        <v>-7412.5378000000001</v>
      </c>
      <c r="AD1085">
        <v>-7412.5378000000001</v>
      </c>
      <c r="AE1085">
        <v>-7412.5378000000001</v>
      </c>
      <c r="AF1085">
        <v>-7412.5378000000001</v>
      </c>
    </row>
    <row r="1086" spans="2:32" x14ac:dyDescent="0.25">
      <c r="B1086">
        <v>37</v>
      </c>
      <c r="C1086">
        <v>1</v>
      </c>
      <c r="D1086">
        <v>1</v>
      </c>
      <c r="E1086">
        <v>1</v>
      </c>
      <c r="F1086">
        <v>1</v>
      </c>
      <c r="G1086">
        <v>1</v>
      </c>
      <c r="H1086">
        <v>1</v>
      </c>
      <c r="J1086">
        <v>37</v>
      </c>
      <c r="K1086">
        <v>1</v>
      </c>
      <c r="L1086">
        <v>1</v>
      </c>
      <c r="M1086">
        <v>1</v>
      </c>
      <c r="N1086">
        <v>1</v>
      </c>
      <c r="O1086">
        <v>1</v>
      </c>
      <c r="P1086">
        <v>1</v>
      </c>
      <c r="R1086">
        <v>37</v>
      </c>
      <c r="S1086">
        <v>1</v>
      </c>
      <c r="T1086">
        <v>1</v>
      </c>
      <c r="U1086">
        <v>1</v>
      </c>
      <c r="V1086">
        <v>1</v>
      </c>
      <c r="W1086">
        <v>1</v>
      </c>
      <c r="X1086">
        <v>1</v>
      </c>
      <c r="AA1086">
        <v>-7408.55</v>
      </c>
      <c r="AB1086">
        <v>-7408.55</v>
      </c>
      <c r="AC1086">
        <v>-7408.55</v>
      </c>
      <c r="AD1086">
        <v>-7408.55</v>
      </c>
      <c r="AE1086">
        <v>-7408.55</v>
      </c>
      <c r="AF1086">
        <v>-7408.55</v>
      </c>
    </row>
    <row r="1087" spans="2:32" x14ac:dyDescent="0.25">
      <c r="B1087">
        <v>38</v>
      </c>
      <c r="C1087">
        <v>1</v>
      </c>
      <c r="D1087">
        <v>1</v>
      </c>
      <c r="E1087">
        <v>1</v>
      </c>
      <c r="F1087">
        <v>1</v>
      </c>
      <c r="G1087">
        <v>1</v>
      </c>
      <c r="H1087">
        <v>1</v>
      </c>
      <c r="J1087">
        <v>38</v>
      </c>
      <c r="K1087">
        <v>1</v>
      </c>
      <c r="L1087">
        <v>1</v>
      </c>
      <c r="M1087">
        <v>1</v>
      </c>
      <c r="N1087">
        <v>1</v>
      </c>
      <c r="O1087">
        <v>1</v>
      </c>
      <c r="P1087">
        <v>1</v>
      </c>
      <c r="R1087">
        <v>38</v>
      </c>
      <c r="S1087">
        <v>1</v>
      </c>
      <c r="T1087">
        <v>1</v>
      </c>
      <c r="U1087">
        <v>1</v>
      </c>
      <c r="V1087">
        <v>1</v>
      </c>
      <c r="W1087">
        <v>1</v>
      </c>
      <c r="X1087">
        <v>1</v>
      </c>
      <c r="AA1087">
        <v>-7404.1752999999999</v>
      </c>
      <c r="AB1087">
        <v>-7404.1752999999999</v>
      </c>
      <c r="AC1087">
        <v>-7404.1752999999999</v>
      </c>
      <c r="AD1087">
        <v>-7404.1752999999999</v>
      </c>
      <c r="AE1087">
        <v>-7404.1752999999999</v>
      </c>
      <c r="AF1087">
        <v>-7404.1752999999999</v>
      </c>
    </row>
    <row r="1088" spans="2:32" x14ac:dyDescent="0.25">
      <c r="B1088">
        <v>39</v>
      </c>
      <c r="C1088">
        <v>1</v>
      </c>
      <c r="D1088">
        <v>1</v>
      </c>
      <c r="E1088">
        <v>1</v>
      </c>
      <c r="F1088">
        <v>1</v>
      </c>
      <c r="G1088">
        <v>1</v>
      </c>
      <c r="H1088">
        <v>1</v>
      </c>
      <c r="J1088">
        <v>39</v>
      </c>
      <c r="K1088">
        <v>1</v>
      </c>
      <c r="L1088">
        <v>1</v>
      </c>
      <c r="M1088">
        <v>1</v>
      </c>
      <c r="N1088">
        <v>1</v>
      </c>
      <c r="O1088">
        <v>1</v>
      </c>
      <c r="P1088">
        <v>1</v>
      </c>
      <c r="R1088">
        <v>39</v>
      </c>
      <c r="S1088">
        <v>1</v>
      </c>
      <c r="T1088">
        <v>1</v>
      </c>
      <c r="U1088">
        <v>1</v>
      </c>
      <c r="V1088">
        <v>1</v>
      </c>
      <c r="W1088">
        <v>1</v>
      </c>
      <c r="X1088">
        <v>1</v>
      </c>
      <c r="AA1088">
        <v>-7399.3923999999997</v>
      </c>
      <c r="AB1088">
        <v>-7399.3923999999997</v>
      </c>
      <c r="AC1088">
        <v>-7399.3923999999997</v>
      </c>
      <c r="AD1088">
        <v>-7399.3923999999997</v>
      </c>
      <c r="AE1088">
        <v>-7399.3923999999997</v>
      </c>
      <c r="AF1088">
        <v>-7399.3923999999997</v>
      </c>
    </row>
    <row r="1089" spans="2:32" x14ac:dyDescent="0.25">
      <c r="B1089">
        <v>40</v>
      </c>
      <c r="C1089">
        <v>1</v>
      </c>
      <c r="D1089">
        <v>1</v>
      </c>
      <c r="E1089">
        <v>1</v>
      </c>
      <c r="F1089">
        <v>1</v>
      </c>
      <c r="G1089">
        <v>1</v>
      </c>
      <c r="H1089">
        <v>1</v>
      </c>
      <c r="J1089">
        <v>40</v>
      </c>
      <c r="K1089">
        <v>1</v>
      </c>
      <c r="L1089">
        <v>1</v>
      </c>
      <c r="M1089">
        <v>1</v>
      </c>
      <c r="N1089">
        <v>1</v>
      </c>
      <c r="O1089">
        <v>1</v>
      </c>
      <c r="P1089">
        <v>1</v>
      </c>
      <c r="R1089">
        <v>40</v>
      </c>
      <c r="S1089">
        <v>1</v>
      </c>
      <c r="T1089">
        <v>1</v>
      </c>
      <c r="U1089">
        <v>1</v>
      </c>
      <c r="V1089">
        <v>1</v>
      </c>
      <c r="W1089">
        <v>1</v>
      </c>
      <c r="X1089">
        <v>1</v>
      </c>
      <c r="AA1089">
        <v>-7394.1365999999998</v>
      </c>
      <c r="AB1089">
        <v>-7394.1365999999998</v>
      </c>
      <c r="AC1089">
        <v>-7394.1365999999998</v>
      </c>
      <c r="AD1089">
        <v>-7394.1365999999998</v>
      </c>
      <c r="AE1089">
        <v>-7394.1365999999998</v>
      </c>
      <c r="AF1089">
        <v>-7394.1365999999998</v>
      </c>
    </row>
    <row r="1090" spans="2:32" x14ac:dyDescent="0.25">
      <c r="B1090">
        <v>41</v>
      </c>
      <c r="C1090">
        <v>1</v>
      </c>
      <c r="D1090">
        <v>1</v>
      </c>
      <c r="E1090">
        <v>1</v>
      </c>
      <c r="F1090">
        <v>1</v>
      </c>
      <c r="G1090">
        <v>1</v>
      </c>
      <c r="H1090">
        <v>1</v>
      </c>
      <c r="J1090">
        <v>41</v>
      </c>
      <c r="K1090">
        <v>1</v>
      </c>
      <c r="L1090">
        <v>1</v>
      </c>
      <c r="M1090">
        <v>1</v>
      </c>
      <c r="N1090">
        <v>1</v>
      </c>
      <c r="O1090">
        <v>1</v>
      </c>
      <c r="P1090">
        <v>1</v>
      </c>
      <c r="R1090">
        <v>41</v>
      </c>
      <c r="S1090">
        <v>1</v>
      </c>
      <c r="T1090">
        <v>1</v>
      </c>
      <c r="U1090">
        <v>1</v>
      </c>
      <c r="V1090">
        <v>1</v>
      </c>
      <c r="W1090">
        <v>1</v>
      </c>
      <c r="X1090">
        <v>1</v>
      </c>
      <c r="AA1090">
        <v>-7388.3469999999998</v>
      </c>
      <c r="AB1090">
        <v>-7388.3469999999998</v>
      </c>
      <c r="AC1090">
        <v>-7388.3469999999998</v>
      </c>
      <c r="AD1090">
        <v>-7388.3469999999998</v>
      </c>
      <c r="AE1090">
        <v>-7388.3469999999998</v>
      </c>
      <c r="AF1090">
        <v>-7388.3469999999998</v>
      </c>
    </row>
    <row r="1091" spans="2:32" x14ac:dyDescent="0.25">
      <c r="B1091">
        <v>42</v>
      </c>
      <c r="C1091">
        <v>1</v>
      </c>
      <c r="D1091">
        <v>1</v>
      </c>
      <c r="E1091">
        <v>1</v>
      </c>
      <c r="F1091">
        <v>1</v>
      </c>
      <c r="G1091">
        <v>1</v>
      </c>
      <c r="H1091">
        <v>1</v>
      </c>
      <c r="J1091">
        <v>42</v>
      </c>
      <c r="K1091">
        <v>1</v>
      </c>
      <c r="L1091">
        <v>1</v>
      </c>
      <c r="M1091">
        <v>1</v>
      </c>
      <c r="N1091">
        <v>1</v>
      </c>
      <c r="O1091">
        <v>1</v>
      </c>
      <c r="P1091">
        <v>1</v>
      </c>
      <c r="R1091">
        <v>42</v>
      </c>
      <c r="S1091">
        <v>1</v>
      </c>
      <c r="T1091">
        <v>1</v>
      </c>
      <c r="U1091">
        <v>1</v>
      </c>
      <c r="V1091">
        <v>1</v>
      </c>
      <c r="W1091">
        <v>1</v>
      </c>
      <c r="X1091">
        <v>1</v>
      </c>
      <c r="AA1091">
        <v>-7381.9919</v>
      </c>
      <c r="AB1091">
        <v>-7381.9919</v>
      </c>
      <c r="AC1091">
        <v>-7381.9919</v>
      </c>
      <c r="AD1091">
        <v>-7381.9919</v>
      </c>
      <c r="AE1091">
        <v>-7381.9919</v>
      </c>
      <c r="AF1091">
        <v>-7381.9919</v>
      </c>
    </row>
    <row r="1092" spans="2:32" x14ac:dyDescent="0.25">
      <c r="B1092">
        <v>43</v>
      </c>
      <c r="C1092">
        <v>1</v>
      </c>
      <c r="D1092">
        <v>1</v>
      </c>
      <c r="E1092">
        <v>1</v>
      </c>
      <c r="F1092">
        <v>1</v>
      </c>
      <c r="G1092">
        <v>1</v>
      </c>
      <c r="H1092">
        <v>1</v>
      </c>
      <c r="J1092">
        <v>43</v>
      </c>
      <c r="K1092">
        <v>1</v>
      </c>
      <c r="L1092">
        <v>1</v>
      </c>
      <c r="M1092">
        <v>1</v>
      </c>
      <c r="N1092">
        <v>1</v>
      </c>
      <c r="O1092">
        <v>1</v>
      </c>
      <c r="P1092">
        <v>1</v>
      </c>
      <c r="R1092">
        <v>43</v>
      </c>
      <c r="S1092">
        <v>1</v>
      </c>
      <c r="T1092">
        <v>1</v>
      </c>
      <c r="U1092">
        <v>1</v>
      </c>
      <c r="V1092">
        <v>1</v>
      </c>
      <c r="W1092">
        <v>1</v>
      </c>
      <c r="X1092">
        <v>1</v>
      </c>
      <c r="AA1092">
        <v>-7374.9579999999996</v>
      </c>
      <c r="AB1092">
        <v>-7374.9579999999996</v>
      </c>
      <c r="AC1092">
        <v>-7374.9579999999996</v>
      </c>
      <c r="AD1092">
        <v>-7374.9579999999996</v>
      </c>
      <c r="AE1092">
        <v>-7374.9579999999996</v>
      </c>
      <c r="AF1092">
        <v>-7374.9579999999996</v>
      </c>
    </row>
    <row r="1093" spans="2:32" x14ac:dyDescent="0.25">
      <c r="B1093">
        <v>44</v>
      </c>
      <c r="C1093">
        <v>1</v>
      </c>
      <c r="D1093">
        <v>1</v>
      </c>
      <c r="E1093">
        <v>1</v>
      </c>
      <c r="F1093">
        <v>1</v>
      </c>
      <c r="G1093">
        <v>1</v>
      </c>
      <c r="H1093">
        <v>1</v>
      </c>
      <c r="J1093">
        <v>44</v>
      </c>
      <c r="K1093">
        <v>1</v>
      </c>
      <c r="L1093">
        <v>1</v>
      </c>
      <c r="M1093">
        <v>1</v>
      </c>
      <c r="N1093">
        <v>1</v>
      </c>
      <c r="O1093">
        <v>1</v>
      </c>
      <c r="P1093">
        <v>1</v>
      </c>
      <c r="R1093">
        <v>44</v>
      </c>
      <c r="S1093">
        <v>1</v>
      </c>
      <c r="T1093">
        <v>1</v>
      </c>
      <c r="U1093">
        <v>1</v>
      </c>
      <c r="V1093">
        <v>1</v>
      </c>
      <c r="W1093">
        <v>1</v>
      </c>
      <c r="X1093">
        <v>1</v>
      </c>
      <c r="AA1093">
        <v>-7367.2034999999996</v>
      </c>
      <c r="AB1093">
        <v>-7367.2034999999996</v>
      </c>
      <c r="AC1093">
        <v>-7367.2034999999996</v>
      </c>
      <c r="AD1093">
        <v>-7367.2034999999996</v>
      </c>
      <c r="AE1093">
        <v>-7367.2034999999996</v>
      </c>
      <c r="AF1093">
        <v>-7367.2034999999996</v>
      </c>
    </row>
    <row r="1094" spans="2:32" x14ac:dyDescent="0.25">
      <c r="B1094">
        <v>45</v>
      </c>
      <c r="C1094">
        <v>1</v>
      </c>
      <c r="D1094">
        <v>1</v>
      </c>
      <c r="E1094">
        <v>1</v>
      </c>
      <c r="F1094">
        <v>1</v>
      </c>
      <c r="G1094">
        <v>1</v>
      </c>
      <c r="H1094">
        <v>1</v>
      </c>
      <c r="J1094">
        <v>45</v>
      </c>
      <c r="K1094">
        <v>1</v>
      </c>
      <c r="L1094">
        <v>1</v>
      </c>
      <c r="M1094">
        <v>1</v>
      </c>
      <c r="N1094">
        <v>1</v>
      </c>
      <c r="O1094">
        <v>1</v>
      </c>
      <c r="P1094">
        <v>1</v>
      </c>
      <c r="R1094">
        <v>45</v>
      </c>
      <c r="S1094">
        <v>1</v>
      </c>
      <c r="T1094">
        <v>1</v>
      </c>
      <c r="U1094">
        <v>1</v>
      </c>
      <c r="V1094">
        <v>1</v>
      </c>
      <c r="W1094">
        <v>1</v>
      </c>
      <c r="X1094">
        <v>1</v>
      </c>
      <c r="AA1094">
        <v>-7358.6491999999998</v>
      </c>
      <c r="AB1094">
        <v>-7358.6491999999998</v>
      </c>
      <c r="AC1094">
        <v>-7358.6491999999998</v>
      </c>
      <c r="AD1094">
        <v>-7358.6491999999998</v>
      </c>
      <c r="AE1094">
        <v>-7358.6491999999998</v>
      </c>
      <c r="AF1094">
        <v>-7358.6491999999998</v>
      </c>
    </row>
    <row r="1095" spans="2:32" x14ac:dyDescent="0.25">
      <c r="B1095">
        <v>46</v>
      </c>
      <c r="C1095">
        <v>1</v>
      </c>
      <c r="D1095">
        <v>1</v>
      </c>
      <c r="E1095">
        <v>1</v>
      </c>
      <c r="F1095">
        <v>1</v>
      </c>
      <c r="G1095">
        <v>1</v>
      </c>
      <c r="H1095">
        <v>1</v>
      </c>
      <c r="J1095">
        <v>46</v>
      </c>
      <c r="K1095">
        <v>1</v>
      </c>
      <c r="L1095">
        <v>1</v>
      </c>
      <c r="M1095">
        <v>1</v>
      </c>
      <c r="N1095">
        <v>1</v>
      </c>
      <c r="O1095">
        <v>1</v>
      </c>
      <c r="P1095">
        <v>1</v>
      </c>
      <c r="R1095">
        <v>46</v>
      </c>
      <c r="S1095">
        <v>1</v>
      </c>
      <c r="T1095">
        <v>1</v>
      </c>
      <c r="U1095">
        <v>1</v>
      </c>
      <c r="V1095">
        <v>1</v>
      </c>
      <c r="W1095">
        <v>1</v>
      </c>
      <c r="X1095">
        <v>1</v>
      </c>
      <c r="AA1095">
        <v>-7349.2232000000004</v>
      </c>
      <c r="AB1095">
        <v>-7349.2232000000004</v>
      </c>
      <c r="AC1095">
        <v>-7349.2232000000004</v>
      </c>
      <c r="AD1095">
        <v>-7349.2232000000004</v>
      </c>
      <c r="AE1095">
        <v>-7349.2232000000004</v>
      </c>
      <c r="AF1095">
        <v>-7349.2232000000004</v>
      </c>
    </row>
    <row r="1096" spans="2:32" x14ac:dyDescent="0.25">
      <c r="B1096">
        <v>47</v>
      </c>
      <c r="C1096">
        <v>1</v>
      </c>
      <c r="D1096">
        <v>1</v>
      </c>
      <c r="E1096">
        <v>1</v>
      </c>
      <c r="F1096">
        <v>1</v>
      </c>
      <c r="G1096">
        <v>1</v>
      </c>
      <c r="H1096">
        <v>1</v>
      </c>
      <c r="J1096">
        <v>47</v>
      </c>
      <c r="K1096">
        <v>1</v>
      </c>
      <c r="L1096">
        <v>1</v>
      </c>
      <c r="M1096">
        <v>1</v>
      </c>
      <c r="N1096">
        <v>1</v>
      </c>
      <c r="O1096">
        <v>1</v>
      </c>
      <c r="P1096">
        <v>1</v>
      </c>
      <c r="R1096">
        <v>47</v>
      </c>
      <c r="S1096">
        <v>1</v>
      </c>
      <c r="T1096">
        <v>1</v>
      </c>
      <c r="U1096">
        <v>1</v>
      </c>
      <c r="V1096">
        <v>1</v>
      </c>
      <c r="W1096">
        <v>1</v>
      </c>
      <c r="X1096">
        <v>1</v>
      </c>
      <c r="AA1096">
        <v>-7338.8310000000001</v>
      </c>
      <c r="AB1096">
        <v>-7338.8310000000001</v>
      </c>
      <c r="AC1096">
        <v>-7338.8310000000001</v>
      </c>
      <c r="AD1096">
        <v>-7338.8310000000001</v>
      </c>
      <c r="AE1096">
        <v>-7338.8310000000001</v>
      </c>
      <c r="AF1096">
        <v>-7338.8310000000001</v>
      </c>
    </row>
    <row r="1097" spans="2:32" x14ac:dyDescent="0.25">
      <c r="B1097">
        <v>48</v>
      </c>
      <c r="C1097">
        <v>1</v>
      </c>
      <c r="D1097">
        <v>1</v>
      </c>
      <c r="E1097">
        <v>1</v>
      </c>
      <c r="F1097">
        <v>1</v>
      </c>
      <c r="G1097">
        <v>1</v>
      </c>
      <c r="H1097">
        <v>1</v>
      </c>
      <c r="J1097">
        <v>48</v>
      </c>
      <c r="K1097">
        <v>1</v>
      </c>
      <c r="L1097">
        <v>1</v>
      </c>
      <c r="M1097">
        <v>1</v>
      </c>
      <c r="N1097">
        <v>1</v>
      </c>
      <c r="O1097">
        <v>1</v>
      </c>
      <c r="P1097">
        <v>1</v>
      </c>
      <c r="R1097">
        <v>48</v>
      </c>
      <c r="S1097">
        <v>1</v>
      </c>
      <c r="T1097">
        <v>1</v>
      </c>
      <c r="U1097">
        <v>1</v>
      </c>
      <c r="V1097">
        <v>1</v>
      </c>
      <c r="W1097">
        <v>1</v>
      </c>
      <c r="X1097">
        <v>1</v>
      </c>
      <c r="AA1097">
        <v>-7327.4297999999999</v>
      </c>
      <c r="AB1097">
        <v>-7327.4297999999999</v>
      </c>
      <c r="AC1097">
        <v>-7327.4297999999999</v>
      </c>
      <c r="AD1097">
        <v>-7327.4297999999999</v>
      </c>
      <c r="AE1097">
        <v>-7327.4297999999999</v>
      </c>
      <c r="AF1097">
        <v>-7327.4297999999999</v>
      </c>
    </row>
    <row r="1098" spans="2:32" x14ac:dyDescent="0.25">
      <c r="B1098">
        <v>49</v>
      </c>
      <c r="C1098">
        <v>1</v>
      </c>
      <c r="D1098">
        <v>1</v>
      </c>
      <c r="E1098">
        <v>1</v>
      </c>
      <c r="F1098">
        <v>1</v>
      </c>
      <c r="G1098">
        <v>1</v>
      </c>
      <c r="H1098">
        <v>1</v>
      </c>
      <c r="J1098">
        <v>49</v>
      </c>
      <c r="K1098">
        <v>1</v>
      </c>
      <c r="L1098">
        <v>1</v>
      </c>
      <c r="M1098">
        <v>1</v>
      </c>
      <c r="N1098">
        <v>1</v>
      </c>
      <c r="O1098">
        <v>1</v>
      </c>
      <c r="P1098">
        <v>1</v>
      </c>
      <c r="R1098">
        <v>49</v>
      </c>
      <c r="S1098">
        <v>1</v>
      </c>
      <c r="T1098">
        <v>1</v>
      </c>
      <c r="U1098">
        <v>1</v>
      </c>
      <c r="V1098">
        <v>1</v>
      </c>
      <c r="W1098">
        <v>1</v>
      </c>
      <c r="X1098">
        <v>1</v>
      </c>
      <c r="AA1098">
        <v>-7314.951</v>
      </c>
      <c r="AB1098">
        <v>-7314.951</v>
      </c>
      <c r="AC1098">
        <v>-7314.951</v>
      </c>
      <c r="AD1098">
        <v>-7314.951</v>
      </c>
      <c r="AE1098">
        <v>-7314.951</v>
      </c>
      <c r="AF1098">
        <v>-7314.951</v>
      </c>
    </row>
    <row r="1099" spans="2:32" x14ac:dyDescent="0.25">
      <c r="B1099">
        <v>50</v>
      </c>
      <c r="C1099">
        <v>1</v>
      </c>
      <c r="D1099">
        <v>1</v>
      </c>
      <c r="E1099">
        <v>1</v>
      </c>
      <c r="F1099">
        <v>1</v>
      </c>
      <c r="G1099">
        <v>1</v>
      </c>
      <c r="H1099">
        <v>1</v>
      </c>
      <c r="J1099">
        <v>50</v>
      </c>
      <c r="K1099">
        <v>1</v>
      </c>
      <c r="L1099">
        <v>1</v>
      </c>
      <c r="M1099">
        <v>1</v>
      </c>
      <c r="N1099">
        <v>1</v>
      </c>
      <c r="O1099">
        <v>1</v>
      </c>
      <c r="P1099">
        <v>1</v>
      </c>
      <c r="R1099">
        <v>50</v>
      </c>
      <c r="S1099">
        <v>1</v>
      </c>
      <c r="T1099">
        <v>1</v>
      </c>
      <c r="U1099">
        <v>1</v>
      </c>
      <c r="V1099">
        <v>1</v>
      </c>
      <c r="W1099">
        <v>1</v>
      </c>
      <c r="X1099">
        <v>1</v>
      </c>
      <c r="AA1099">
        <v>-7301.2851000000001</v>
      </c>
      <c r="AB1099">
        <v>-7301.2851000000001</v>
      </c>
      <c r="AC1099">
        <v>-7301.2851000000001</v>
      </c>
      <c r="AD1099">
        <v>-7301.2851000000001</v>
      </c>
      <c r="AE1099">
        <v>-7301.2851000000001</v>
      </c>
      <c r="AF1099">
        <v>-7301.2851000000001</v>
      </c>
    </row>
    <row r="1100" spans="2:32" x14ac:dyDescent="0.25">
      <c r="B1100">
        <v>51</v>
      </c>
      <c r="C1100">
        <v>1</v>
      </c>
      <c r="D1100">
        <v>1</v>
      </c>
      <c r="E1100">
        <v>1</v>
      </c>
      <c r="F1100">
        <v>1</v>
      </c>
      <c r="G1100">
        <v>1</v>
      </c>
      <c r="H1100">
        <v>1</v>
      </c>
      <c r="J1100">
        <v>51</v>
      </c>
      <c r="K1100">
        <v>1</v>
      </c>
      <c r="L1100">
        <v>1</v>
      </c>
      <c r="M1100">
        <v>1</v>
      </c>
      <c r="N1100">
        <v>1</v>
      </c>
      <c r="O1100">
        <v>1</v>
      </c>
      <c r="P1100">
        <v>1</v>
      </c>
      <c r="R1100">
        <v>51</v>
      </c>
      <c r="S1100">
        <v>1</v>
      </c>
      <c r="T1100">
        <v>1</v>
      </c>
      <c r="U1100">
        <v>1</v>
      </c>
      <c r="V1100">
        <v>1</v>
      </c>
      <c r="W1100">
        <v>1</v>
      </c>
      <c r="X1100">
        <v>1</v>
      </c>
      <c r="AA1100">
        <v>-7286.3271000000004</v>
      </c>
      <c r="AB1100">
        <v>-7286.3271000000004</v>
      </c>
      <c r="AC1100">
        <v>-7286.3271000000004</v>
      </c>
      <c r="AD1100">
        <v>-7286.3271000000004</v>
      </c>
      <c r="AE1100">
        <v>-7286.3271000000004</v>
      </c>
      <c r="AF1100">
        <v>-7286.3271000000004</v>
      </c>
    </row>
    <row r="1101" spans="2:32" x14ac:dyDescent="0.25">
      <c r="B1101">
        <v>52</v>
      </c>
      <c r="C1101">
        <v>1</v>
      </c>
      <c r="D1101">
        <v>1</v>
      </c>
      <c r="E1101">
        <v>1</v>
      </c>
      <c r="F1101">
        <v>1</v>
      </c>
      <c r="G1101">
        <v>1</v>
      </c>
      <c r="H1101">
        <v>1</v>
      </c>
      <c r="J1101">
        <v>52</v>
      </c>
      <c r="K1101">
        <v>1</v>
      </c>
      <c r="L1101">
        <v>1</v>
      </c>
      <c r="M1101">
        <v>1</v>
      </c>
      <c r="N1101">
        <v>1</v>
      </c>
      <c r="O1101">
        <v>1</v>
      </c>
      <c r="P1101">
        <v>1</v>
      </c>
      <c r="R1101">
        <v>52</v>
      </c>
      <c r="S1101">
        <v>1</v>
      </c>
      <c r="T1101">
        <v>1</v>
      </c>
      <c r="U1101">
        <v>1</v>
      </c>
      <c r="V1101">
        <v>1</v>
      </c>
      <c r="W1101">
        <v>1</v>
      </c>
      <c r="X1101">
        <v>1</v>
      </c>
      <c r="AA1101">
        <v>-7269.9448000000002</v>
      </c>
      <c r="AB1101">
        <v>-7269.9448000000002</v>
      </c>
      <c r="AC1101">
        <v>-7269.9448000000002</v>
      </c>
      <c r="AD1101">
        <v>-7269.9448000000002</v>
      </c>
      <c r="AE1101">
        <v>-7269.9448000000002</v>
      </c>
      <c r="AF1101">
        <v>-7269.9448000000002</v>
      </c>
    </row>
    <row r="1102" spans="2:32" x14ac:dyDescent="0.25">
      <c r="B1102">
        <v>53</v>
      </c>
      <c r="C1102">
        <v>1</v>
      </c>
      <c r="D1102">
        <v>1</v>
      </c>
      <c r="E1102">
        <v>1</v>
      </c>
      <c r="F1102">
        <v>1</v>
      </c>
      <c r="G1102">
        <v>1</v>
      </c>
      <c r="H1102">
        <v>1</v>
      </c>
      <c r="J1102">
        <v>53</v>
      </c>
      <c r="K1102">
        <v>1</v>
      </c>
      <c r="L1102">
        <v>1</v>
      </c>
      <c r="M1102">
        <v>1</v>
      </c>
      <c r="N1102">
        <v>1</v>
      </c>
      <c r="O1102">
        <v>1</v>
      </c>
      <c r="P1102">
        <v>1</v>
      </c>
      <c r="R1102">
        <v>53</v>
      </c>
      <c r="S1102">
        <v>1</v>
      </c>
      <c r="T1102">
        <v>1</v>
      </c>
      <c r="U1102">
        <v>1</v>
      </c>
      <c r="V1102">
        <v>1</v>
      </c>
      <c r="W1102">
        <v>1</v>
      </c>
      <c r="X1102">
        <v>1</v>
      </c>
      <c r="AA1102">
        <v>-7252.0574999999999</v>
      </c>
      <c r="AB1102">
        <v>-7252.0574999999999</v>
      </c>
      <c r="AC1102">
        <v>-7252.0574999999999</v>
      </c>
      <c r="AD1102">
        <v>-7252.0574999999999</v>
      </c>
      <c r="AE1102">
        <v>-7252.0574999999999</v>
      </c>
      <c r="AF1102">
        <v>-7252.0574999999999</v>
      </c>
    </row>
    <row r="1103" spans="2:32" x14ac:dyDescent="0.25">
      <c r="B1103">
        <v>54</v>
      </c>
      <c r="C1103">
        <v>1</v>
      </c>
      <c r="D1103">
        <v>1</v>
      </c>
      <c r="E1103">
        <v>1</v>
      </c>
      <c r="F1103">
        <v>1</v>
      </c>
      <c r="G1103">
        <v>1</v>
      </c>
      <c r="H1103">
        <v>1</v>
      </c>
      <c r="J1103">
        <v>54</v>
      </c>
      <c r="K1103">
        <v>1</v>
      </c>
      <c r="L1103">
        <v>1</v>
      </c>
      <c r="M1103">
        <v>1</v>
      </c>
      <c r="N1103">
        <v>1</v>
      </c>
      <c r="O1103">
        <v>1</v>
      </c>
      <c r="P1103">
        <v>1</v>
      </c>
      <c r="R1103">
        <v>54</v>
      </c>
      <c r="S1103">
        <v>1</v>
      </c>
      <c r="T1103">
        <v>1</v>
      </c>
      <c r="U1103">
        <v>1</v>
      </c>
      <c r="V1103">
        <v>1</v>
      </c>
      <c r="W1103">
        <v>1</v>
      </c>
      <c r="X1103">
        <v>1</v>
      </c>
      <c r="AA1103">
        <v>-7232.5680000000002</v>
      </c>
      <c r="AB1103">
        <v>-7232.5680000000002</v>
      </c>
      <c r="AC1103">
        <v>-7232.5680000000002</v>
      </c>
      <c r="AD1103">
        <v>-7232.5680000000002</v>
      </c>
      <c r="AE1103">
        <v>-7232.5680000000002</v>
      </c>
      <c r="AF1103">
        <v>-7232.5680000000002</v>
      </c>
    </row>
    <row r="1104" spans="2:32" x14ac:dyDescent="0.25">
      <c r="B1104">
        <v>55</v>
      </c>
      <c r="C1104">
        <v>1</v>
      </c>
      <c r="D1104">
        <v>1</v>
      </c>
      <c r="E1104">
        <v>1</v>
      </c>
      <c r="F1104">
        <v>1</v>
      </c>
      <c r="G1104">
        <v>1</v>
      </c>
      <c r="H1104">
        <v>1</v>
      </c>
      <c r="J1104">
        <v>55</v>
      </c>
      <c r="K1104">
        <v>1</v>
      </c>
      <c r="L1104">
        <v>1</v>
      </c>
      <c r="M1104">
        <v>1</v>
      </c>
      <c r="N1104">
        <v>1</v>
      </c>
      <c r="O1104">
        <v>1</v>
      </c>
      <c r="P1104">
        <v>1</v>
      </c>
      <c r="R1104">
        <v>55</v>
      </c>
      <c r="S1104">
        <v>1</v>
      </c>
      <c r="T1104">
        <v>1</v>
      </c>
      <c r="U1104">
        <v>1</v>
      </c>
      <c r="V1104">
        <v>1</v>
      </c>
      <c r="W1104">
        <v>1</v>
      </c>
      <c r="X1104">
        <v>1</v>
      </c>
      <c r="AA1104">
        <v>-7211.3207000000002</v>
      </c>
      <c r="AB1104">
        <v>-7211.3207000000002</v>
      </c>
      <c r="AC1104">
        <v>-7211.3207000000002</v>
      </c>
      <c r="AD1104">
        <v>-7211.3207000000002</v>
      </c>
      <c r="AE1104">
        <v>-7211.3207000000002</v>
      </c>
      <c r="AF1104">
        <v>-7211.3207000000002</v>
      </c>
    </row>
    <row r="1107" spans="2:32" x14ac:dyDescent="0.25">
      <c r="B1107" t="s">
        <v>46</v>
      </c>
      <c r="C1107">
        <v>100000</v>
      </c>
      <c r="D1107">
        <v>250000</v>
      </c>
      <c r="E1107">
        <v>500000</v>
      </c>
      <c r="F1107">
        <v>1000000</v>
      </c>
      <c r="G1107">
        <v>2000000</v>
      </c>
      <c r="J1107" t="s">
        <v>32</v>
      </c>
      <c r="K1107">
        <v>100000</v>
      </c>
      <c r="L1107">
        <v>250000</v>
      </c>
      <c r="M1107">
        <v>500000</v>
      </c>
      <c r="N1107">
        <v>1000000</v>
      </c>
      <c r="O1107">
        <v>2000000</v>
      </c>
      <c r="R1107" t="s">
        <v>48</v>
      </c>
      <c r="S1107">
        <v>100000</v>
      </c>
      <c r="T1107">
        <v>250000</v>
      </c>
      <c r="U1107">
        <v>500000</v>
      </c>
      <c r="V1107">
        <v>1000000</v>
      </c>
      <c r="W1107">
        <v>2000000</v>
      </c>
    </row>
    <row r="1108" spans="2:32" x14ac:dyDescent="0.25">
      <c r="B1108">
        <v>35</v>
      </c>
      <c r="C1108">
        <v>1</v>
      </c>
      <c r="D1108">
        <v>1</v>
      </c>
      <c r="E1108">
        <v>1</v>
      </c>
      <c r="F1108">
        <v>1</v>
      </c>
      <c r="G1108">
        <v>1</v>
      </c>
      <c r="J1108">
        <v>35</v>
      </c>
      <c r="K1108">
        <v>1</v>
      </c>
      <c r="L1108">
        <v>1</v>
      </c>
      <c r="M1108">
        <v>1</v>
      </c>
      <c r="N1108">
        <v>1</v>
      </c>
      <c r="O1108">
        <v>1</v>
      </c>
      <c r="R1108">
        <v>35</v>
      </c>
      <c r="S1108">
        <v>1</v>
      </c>
      <c r="T1108">
        <v>1</v>
      </c>
      <c r="U1108">
        <v>1</v>
      </c>
      <c r="V1108">
        <v>1</v>
      </c>
      <c r="W1108">
        <v>1</v>
      </c>
      <c r="AA1108">
        <v>-11308.6893</v>
      </c>
      <c r="AB1108">
        <v>-11308.6893</v>
      </c>
      <c r="AC1108">
        <v>-11308.6893</v>
      </c>
      <c r="AD1108">
        <v>-11308.6893</v>
      </c>
      <c r="AE1108">
        <v>-11308.6893</v>
      </c>
      <c r="AF1108">
        <v>-759112.79520000005</v>
      </c>
    </row>
    <row r="1109" spans="2:32" x14ac:dyDescent="0.25">
      <c r="B1109">
        <f t="shared" ref="B1109:B1138" si="48">B1108+1</f>
        <v>36</v>
      </c>
      <c r="C1109">
        <v>1</v>
      </c>
      <c r="D1109">
        <v>1</v>
      </c>
      <c r="E1109">
        <v>1</v>
      </c>
      <c r="F1109">
        <v>1</v>
      </c>
      <c r="G1109">
        <v>1</v>
      </c>
      <c r="J1109">
        <f t="shared" ref="J1109:J1138" si="49">J1108+1</f>
        <v>36</v>
      </c>
      <c r="K1109">
        <v>1</v>
      </c>
      <c r="L1109">
        <v>1</v>
      </c>
      <c r="M1109">
        <v>1</v>
      </c>
      <c r="N1109">
        <v>1</v>
      </c>
      <c r="O1109">
        <v>1</v>
      </c>
      <c r="R1109">
        <f t="shared" ref="R1109:R1138" si="50">R1108+1</f>
        <v>36</v>
      </c>
      <c r="S1109">
        <v>1</v>
      </c>
      <c r="T1109">
        <v>1</v>
      </c>
      <c r="U1109">
        <v>1</v>
      </c>
      <c r="V1109">
        <v>1</v>
      </c>
      <c r="W1109">
        <v>1</v>
      </c>
      <c r="AA1109">
        <v>-11214.2592</v>
      </c>
      <c r="AB1109">
        <v>-11214.2592</v>
      </c>
      <c r="AC1109">
        <v>-11214.2592</v>
      </c>
      <c r="AD1109">
        <v>-11214.2592</v>
      </c>
      <c r="AE1109">
        <v>-11214.2592</v>
      </c>
      <c r="AF1109">
        <v>-737070.86179999996</v>
      </c>
    </row>
    <row r="1110" spans="2:32" x14ac:dyDescent="0.25">
      <c r="B1110">
        <f t="shared" si="48"/>
        <v>37</v>
      </c>
      <c r="C1110">
        <v>1</v>
      </c>
      <c r="D1110">
        <v>1</v>
      </c>
      <c r="E1110">
        <v>1</v>
      </c>
      <c r="F1110">
        <v>1</v>
      </c>
      <c r="G1110">
        <v>1</v>
      </c>
      <c r="J1110">
        <f t="shared" si="49"/>
        <v>37</v>
      </c>
      <c r="K1110">
        <v>1</v>
      </c>
      <c r="L1110">
        <v>1</v>
      </c>
      <c r="M1110">
        <v>1</v>
      </c>
      <c r="N1110">
        <v>1</v>
      </c>
      <c r="O1110">
        <v>1</v>
      </c>
      <c r="R1110">
        <f t="shared" si="50"/>
        <v>37</v>
      </c>
      <c r="S1110">
        <v>1</v>
      </c>
      <c r="T1110">
        <v>1</v>
      </c>
      <c r="U1110">
        <v>1</v>
      </c>
      <c r="V1110">
        <v>1</v>
      </c>
      <c r="W1110">
        <v>1</v>
      </c>
      <c r="AA1110">
        <v>-11117.406199999999</v>
      </c>
      <c r="AB1110">
        <v>-11117.406199999999</v>
      </c>
      <c r="AC1110">
        <v>-11117.406199999999</v>
      </c>
      <c r="AD1110">
        <v>-11117.406199999999</v>
      </c>
      <c r="AE1110">
        <v>-11117.406199999999</v>
      </c>
      <c r="AF1110">
        <v>-765978.91940000001</v>
      </c>
    </row>
    <row r="1111" spans="2:32" x14ac:dyDescent="0.25">
      <c r="B1111">
        <f t="shared" si="48"/>
        <v>38</v>
      </c>
      <c r="C1111">
        <v>1</v>
      </c>
      <c r="D1111">
        <v>1</v>
      </c>
      <c r="E1111">
        <v>1</v>
      </c>
      <c r="F1111">
        <v>1</v>
      </c>
      <c r="G1111">
        <v>1</v>
      </c>
      <c r="J1111">
        <f t="shared" si="49"/>
        <v>38</v>
      </c>
      <c r="K1111">
        <v>1</v>
      </c>
      <c r="L1111">
        <v>1</v>
      </c>
      <c r="M1111">
        <v>1</v>
      </c>
      <c r="N1111">
        <v>1</v>
      </c>
      <c r="O1111">
        <v>1</v>
      </c>
      <c r="R1111">
        <f t="shared" si="50"/>
        <v>38</v>
      </c>
      <c r="S1111">
        <v>1</v>
      </c>
      <c r="T1111">
        <v>1</v>
      </c>
      <c r="U1111">
        <v>1</v>
      </c>
      <c r="V1111">
        <v>1</v>
      </c>
      <c r="W1111">
        <v>1</v>
      </c>
      <c r="AA1111">
        <v>-11018.229799999999</v>
      </c>
      <c r="AB1111">
        <v>-11018.229799999999</v>
      </c>
      <c r="AC1111">
        <v>-11018.229799999999</v>
      </c>
      <c r="AD1111">
        <v>-11018.229799999999</v>
      </c>
      <c r="AE1111">
        <v>-11018.229799999999</v>
      </c>
      <c r="AF1111">
        <v>-783780.576</v>
      </c>
    </row>
    <row r="1112" spans="2:32" x14ac:dyDescent="0.25">
      <c r="B1112">
        <f t="shared" si="48"/>
        <v>39</v>
      </c>
      <c r="C1112">
        <v>1</v>
      </c>
      <c r="D1112">
        <v>1</v>
      </c>
      <c r="E1112">
        <v>1</v>
      </c>
      <c r="F1112">
        <v>1</v>
      </c>
      <c r="G1112">
        <v>1</v>
      </c>
      <c r="J1112">
        <f t="shared" si="49"/>
        <v>39</v>
      </c>
      <c r="K1112">
        <v>1</v>
      </c>
      <c r="L1112">
        <v>1</v>
      </c>
      <c r="M1112">
        <v>1</v>
      </c>
      <c r="N1112">
        <v>1</v>
      </c>
      <c r="O1112">
        <v>1</v>
      </c>
      <c r="R1112">
        <f t="shared" si="50"/>
        <v>39</v>
      </c>
      <c r="S1112">
        <v>1</v>
      </c>
      <c r="T1112">
        <v>1</v>
      </c>
      <c r="U1112">
        <v>1</v>
      </c>
      <c r="V1112">
        <v>1</v>
      </c>
      <c r="W1112">
        <v>1</v>
      </c>
      <c r="AA1112">
        <v>-10916.737999999999</v>
      </c>
      <c r="AB1112">
        <v>-10916.737999999999</v>
      </c>
      <c r="AC1112">
        <v>-10916.737999999999</v>
      </c>
      <c r="AD1112">
        <v>-10916.737999999999</v>
      </c>
      <c r="AE1112">
        <v>-10916.737999999999</v>
      </c>
      <c r="AF1112">
        <v>-769662.22069999995</v>
      </c>
    </row>
    <row r="1113" spans="2:32" x14ac:dyDescent="0.25">
      <c r="B1113">
        <f t="shared" si="48"/>
        <v>40</v>
      </c>
      <c r="C1113">
        <v>1</v>
      </c>
      <c r="D1113">
        <v>1</v>
      </c>
      <c r="E1113">
        <v>1</v>
      </c>
      <c r="F1113">
        <v>1</v>
      </c>
      <c r="G1113">
        <v>1</v>
      </c>
      <c r="J1113">
        <f t="shared" si="49"/>
        <v>40</v>
      </c>
      <c r="K1113">
        <v>1</v>
      </c>
      <c r="L1113">
        <v>1</v>
      </c>
      <c r="M1113">
        <v>1</v>
      </c>
      <c r="N1113">
        <v>1</v>
      </c>
      <c r="O1113">
        <v>1</v>
      </c>
      <c r="R1113">
        <f t="shared" si="50"/>
        <v>40</v>
      </c>
      <c r="S1113">
        <v>1</v>
      </c>
      <c r="T1113">
        <v>1</v>
      </c>
      <c r="U1113">
        <v>1</v>
      </c>
      <c r="V1113">
        <v>1</v>
      </c>
      <c r="W1113">
        <v>1</v>
      </c>
      <c r="AA1113">
        <v>-10812.8714</v>
      </c>
      <c r="AB1113">
        <v>-10812.8714</v>
      </c>
      <c r="AC1113">
        <v>-10812.8714</v>
      </c>
      <c r="AD1113">
        <v>-10812.8714</v>
      </c>
      <c r="AE1113">
        <v>-10812.8714</v>
      </c>
      <c r="AF1113">
        <v>-798570.41119999997</v>
      </c>
    </row>
    <row r="1114" spans="2:32" x14ac:dyDescent="0.25">
      <c r="B1114">
        <f t="shared" si="48"/>
        <v>41</v>
      </c>
      <c r="C1114">
        <v>1</v>
      </c>
      <c r="D1114">
        <v>1</v>
      </c>
      <c r="E1114">
        <v>1</v>
      </c>
      <c r="F1114">
        <v>1</v>
      </c>
      <c r="G1114">
        <v>1</v>
      </c>
      <c r="J1114">
        <f t="shared" si="49"/>
        <v>41</v>
      </c>
      <c r="K1114">
        <v>1</v>
      </c>
      <c r="L1114">
        <v>1</v>
      </c>
      <c r="M1114">
        <v>1</v>
      </c>
      <c r="N1114">
        <v>1</v>
      </c>
      <c r="O1114">
        <v>1</v>
      </c>
      <c r="R1114">
        <f t="shared" si="50"/>
        <v>41</v>
      </c>
      <c r="S1114">
        <v>1</v>
      </c>
      <c r="T1114">
        <v>1</v>
      </c>
      <c r="U1114">
        <v>1</v>
      </c>
      <c r="V1114">
        <v>1</v>
      </c>
      <c r="W1114">
        <v>1</v>
      </c>
      <c r="AA1114">
        <v>-10706.559600000001</v>
      </c>
      <c r="AB1114">
        <v>-10706.559600000001</v>
      </c>
      <c r="AC1114">
        <v>-10706.559600000001</v>
      </c>
      <c r="AD1114">
        <v>-10706.559600000001</v>
      </c>
      <c r="AE1114">
        <v>-10706.559600000001</v>
      </c>
      <c r="AF1114">
        <v>-803549.96459999995</v>
      </c>
    </row>
    <row r="1115" spans="2:32" x14ac:dyDescent="0.25">
      <c r="B1115">
        <f t="shared" si="48"/>
        <v>42</v>
      </c>
      <c r="C1115">
        <v>1</v>
      </c>
      <c r="D1115">
        <v>1</v>
      </c>
      <c r="E1115">
        <v>1</v>
      </c>
      <c r="F1115">
        <v>1</v>
      </c>
      <c r="G1115">
        <v>1</v>
      </c>
      <c r="J1115">
        <f t="shared" si="49"/>
        <v>42</v>
      </c>
      <c r="K1115">
        <v>1</v>
      </c>
      <c r="L1115">
        <v>1</v>
      </c>
      <c r="M1115">
        <v>1</v>
      </c>
      <c r="N1115">
        <v>1</v>
      </c>
      <c r="O1115">
        <v>1</v>
      </c>
      <c r="R1115">
        <f t="shared" si="50"/>
        <v>42</v>
      </c>
      <c r="S1115">
        <v>1</v>
      </c>
      <c r="T1115">
        <v>1</v>
      </c>
      <c r="U1115">
        <v>1</v>
      </c>
      <c r="V1115">
        <v>1</v>
      </c>
      <c r="W1115">
        <v>1</v>
      </c>
      <c r="AA1115">
        <v>-10597.8485</v>
      </c>
      <c r="AB1115">
        <v>-10597.8485</v>
      </c>
      <c r="AC1115">
        <v>-10597.8485</v>
      </c>
      <c r="AD1115">
        <v>-10597.8485</v>
      </c>
      <c r="AE1115">
        <v>-10597.8485</v>
      </c>
      <c r="AF1115">
        <v>-833551.75890000002</v>
      </c>
    </row>
    <row r="1116" spans="2:32" x14ac:dyDescent="0.25">
      <c r="B1116">
        <f t="shared" si="48"/>
        <v>43</v>
      </c>
      <c r="C1116">
        <v>1</v>
      </c>
      <c r="D1116">
        <v>1</v>
      </c>
      <c r="E1116">
        <v>1</v>
      </c>
      <c r="F1116">
        <v>1</v>
      </c>
      <c r="G1116">
        <v>1</v>
      </c>
      <c r="J1116">
        <f t="shared" si="49"/>
        <v>43</v>
      </c>
      <c r="K1116">
        <v>1</v>
      </c>
      <c r="L1116">
        <v>1</v>
      </c>
      <c r="M1116">
        <v>1</v>
      </c>
      <c r="N1116">
        <v>1</v>
      </c>
      <c r="O1116">
        <v>1</v>
      </c>
      <c r="R1116">
        <f t="shared" si="50"/>
        <v>43</v>
      </c>
      <c r="S1116">
        <v>1</v>
      </c>
      <c r="T1116">
        <v>1</v>
      </c>
      <c r="U1116">
        <v>1</v>
      </c>
      <c r="V1116">
        <v>1</v>
      </c>
      <c r="W1116">
        <v>1</v>
      </c>
      <c r="AA1116">
        <v>-10486.615400000001</v>
      </c>
      <c r="AB1116">
        <v>-10486.615400000001</v>
      </c>
      <c r="AC1116">
        <v>-10486.615400000001</v>
      </c>
      <c r="AD1116">
        <v>-10486.615400000001</v>
      </c>
      <c r="AE1116">
        <v>-10486.615400000001</v>
      </c>
      <c r="AF1116">
        <v>-844950.93949999998</v>
      </c>
    </row>
    <row r="1117" spans="2:32" x14ac:dyDescent="0.25">
      <c r="B1117">
        <f t="shared" si="48"/>
        <v>44</v>
      </c>
      <c r="C1117">
        <v>1</v>
      </c>
      <c r="D1117">
        <v>1</v>
      </c>
      <c r="E1117">
        <v>1</v>
      </c>
      <c r="F1117">
        <v>1</v>
      </c>
      <c r="G1117">
        <v>1</v>
      </c>
      <c r="J1117">
        <f t="shared" si="49"/>
        <v>44</v>
      </c>
      <c r="K1117">
        <v>1</v>
      </c>
      <c r="L1117">
        <v>1</v>
      </c>
      <c r="M1117">
        <v>1</v>
      </c>
      <c r="N1117">
        <v>1</v>
      </c>
      <c r="O1117">
        <v>1</v>
      </c>
      <c r="R1117">
        <f t="shared" si="50"/>
        <v>44</v>
      </c>
      <c r="S1117">
        <v>1</v>
      </c>
      <c r="T1117">
        <v>1</v>
      </c>
      <c r="U1117">
        <v>1</v>
      </c>
      <c r="V1117">
        <v>1</v>
      </c>
      <c r="W1117">
        <v>1</v>
      </c>
      <c r="AA1117">
        <v>-10372.9005</v>
      </c>
      <c r="AB1117">
        <v>-10372.9005</v>
      </c>
      <c r="AC1117">
        <v>-10372.9005</v>
      </c>
      <c r="AD1117">
        <v>-10372.9005</v>
      </c>
      <c r="AE1117">
        <v>-10372.9005</v>
      </c>
      <c r="AF1117">
        <v>-851265.64670000004</v>
      </c>
    </row>
    <row r="1118" spans="2:32" x14ac:dyDescent="0.25">
      <c r="B1118">
        <f t="shared" si="48"/>
        <v>45</v>
      </c>
      <c r="C1118">
        <v>1</v>
      </c>
      <c r="D1118">
        <v>1</v>
      </c>
      <c r="E1118">
        <v>1</v>
      </c>
      <c r="F1118">
        <v>1</v>
      </c>
      <c r="G1118">
        <v>1</v>
      </c>
      <c r="J1118">
        <f t="shared" si="49"/>
        <v>45</v>
      </c>
      <c r="K1118">
        <v>1</v>
      </c>
      <c r="L1118">
        <v>1</v>
      </c>
      <c r="M1118">
        <v>1</v>
      </c>
      <c r="N1118">
        <v>1</v>
      </c>
      <c r="O1118">
        <v>1</v>
      </c>
      <c r="R1118">
        <f t="shared" si="50"/>
        <v>45</v>
      </c>
      <c r="S1118">
        <v>1</v>
      </c>
      <c r="T1118">
        <v>1</v>
      </c>
      <c r="U1118">
        <v>1</v>
      </c>
      <c r="V1118">
        <v>1</v>
      </c>
      <c r="W1118">
        <v>1</v>
      </c>
      <c r="AA1118">
        <v>-10256.650600000001</v>
      </c>
      <c r="AB1118">
        <v>-10256.650600000001</v>
      </c>
      <c r="AC1118">
        <v>-10256.650600000001</v>
      </c>
      <c r="AD1118">
        <v>-10256.650600000001</v>
      </c>
      <c r="AE1118">
        <v>-10256.650600000001</v>
      </c>
      <c r="AF1118">
        <v>-870649.02139999997</v>
      </c>
    </row>
    <row r="1119" spans="2:32" x14ac:dyDescent="0.25">
      <c r="B1119">
        <f t="shared" si="48"/>
        <v>46</v>
      </c>
      <c r="C1119">
        <v>1</v>
      </c>
      <c r="D1119">
        <v>1</v>
      </c>
      <c r="E1119">
        <v>1</v>
      </c>
      <c r="F1119">
        <v>1</v>
      </c>
      <c r="G1119">
        <v>1</v>
      </c>
      <c r="J1119">
        <f t="shared" si="49"/>
        <v>46</v>
      </c>
      <c r="K1119">
        <v>1</v>
      </c>
      <c r="L1119">
        <v>1</v>
      </c>
      <c r="M1119">
        <v>1</v>
      </c>
      <c r="N1119">
        <v>1</v>
      </c>
      <c r="O1119">
        <v>1</v>
      </c>
      <c r="R1119">
        <f t="shared" si="50"/>
        <v>46</v>
      </c>
      <c r="S1119">
        <v>1</v>
      </c>
      <c r="T1119">
        <v>1</v>
      </c>
      <c r="U1119">
        <v>1</v>
      </c>
      <c r="V1119">
        <v>1</v>
      </c>
      <c r="W1119">
        <v>1</v>
      </c>
      <c r="AA1119">
        <v>-10137.871499999999</v>
      </c>
      <c r="AB1119">
        <v>-10137.871499999999</v>
      </c>
      <c r="AC1119">
        <v>-10137.871499999999</v>
      </c>
      <c r="AD1119">
        <v>-10137.871499999999</v>
      </c>
      <c r="AE1119">
        <v>-10137.871499999999</v>
      </c>
      <c r="AF1119">
        <v>-892550.54509999999</v>
      </c>
    </row>
    <row r="1120" spans="2:32" x14ac:dyDescent="0.25">
      <c r="B1120">
        <f t="shared" si="48"/>
        <v>47</v>
      </c>
      <c r="C1120">
        <v>1</v>
      </c>
      <c r="D1120">
        <v>1</v>
      </c>
      <c r="E1120">
        <v>1</v>
      </c>
      <c r="F1120">
        <v>1</v>
      </c>
      <c r="G1120">
        <v>1</v>
      </c>
      <c r="J1120">
        <f t="shared" si="49"/>
        <v>47</v>
      </c>
      <c r="K1120">
        <v>1</v>
      </c>
      <c r="L1120">
        <v>1</v>
      </c>
      <c r="M1120">
        <v>1</v>
      </c>
      <c r="N1120">
        <v>1</v>
      </c>
      <c r="O1120">
        <v>1</v>
      </c>
      <c r="R1120">
        <f t="shared" si="50"/>
        <v>47</v>
      </c>
      <c r="S1120">
        <v>1</v>
      </c>
      <c r="T1120">
        <v>1</v>
      </c>
      <c r="U1120">
        <v>1</v>
      </c>
      <c r="V1120">
        <v>1</v>
      </c>
      <c r="W1120">
        <v>1</v>
      </c>
      <c r="AA1120">
        <v>-10016.4967</v>
      </c>
      <c r="AB1120">
        <v>-10016.4967</v>
      </c>
      <c r="AC1120">
        <v>-10016.4967</v>
      </c>
      <c r="AD1120">
        <v>-10016.4967</v>
      </c>
      <c r="AE1120">
        <v>-10016.4967</v>
      </c>
      <c r="AF1120">
        <v>-910915.81969999999</v>
      </c>
    </row>
    <row r="1121" spans="2:32" x14ac:dyDescent="0.25">
      <c r="B1121">
        <f t="shared" si="48"/>
        <v>48</v>
      </c>
      <c r="C1121">
        <v>1</v>
      </c>
      <c r="D1121">
        <v>1</v>
      </c>
      <c r="E1121">
        <v>1</v>
      </c>
      <c r="F1121">
        <v>1</v>
      </c>
      <c r="G1121">
        <v>1</v>
      </c>
      <c r="J1121">
        <f t="shared" si="49"/>
        <v>48</v>
      </c>
      <c r="K1121">
        <v>1</v>
      </c>
      <c r="L1121">
        <v>1</v>
      </c>
      <c r="M1121">
        <v>1</v>
      </c>
      <c r="N1121">
        <v>1</v>
      </c>
      <c r="O1121">
        <v>1</v>
      </c>
      <c r="R1121">
        <f t="shared" si="50"/>
        <v>48</v>
      </c>
      <c r="S1121">
        <v>1</v>
      </c>
      <c r="T1121">
        <v>1</v>
      </c>
      <c r="U1121">
        <v>1</v>
      </c>
      <c r="V1121">
        <v>1</v>
      </c>
      <c r="W1121">
        <v>1</v>
      </c>
      <c r="AA1121">
        <v>-9892.6355000000003</v>
      </c>
      <c r="AB1121">
        <v>-9892.6355000000003</v>
      </c>
      <c r="AC1121">
        <v>-9892.6355000000003</v>
      </c>
      <c r="AD1121">
        <v>-9892.6355000000003</v>
      </c>
      <c r="AE1121">
        <v>-9892.6355000000003</v>
      </c>
      <c r="AF1121">
        <v>-917891.87360000005</v>
      </c>
    </row>
    <row r="1122" spans="2:32" x14ac:dyDescent="0.25">
      <c r="B1122">
        <f t="shared" si="48"/>
        <v>49</v>
      </c>
      <c r="C1122">
        <v>1</v>
      </c>
      <c r="D1122">
        <v>1</v>
      </c>
      <c r="E1122">
        <v>1</v>
      </c>
      <c r="F1122">
        <v>1</v>
      </c>
      <c r="G1122">
        <v>1</v>
      </c>
      <c r="J1122">
        <f t="shared" si="49"/>
        <v>49</v>
      </c>
      <c r="K1122">
        <v>1</v>
      </c>
      <c r="L1122">
        <v>1</v>
      </c>
      <c r="M1122">
        <v>1</v>
      </c>
      <c r="N1122">
        <v>1</v>
      </c>
      <c r="O1122">
        <v>1</v>
      </c>
      <c r="R1122">
        <f t="shared" si="50"/>
        <v>49</v>
      </c>
      <c r="S1122">
        <v>1</v>
      </c>
      <c r="T1122">
        <v>1</v>
      </c>
      <c r="U1122">
        <v>1</v>
      </c>
      <c r="V1122">
        <v>1</v>
      </c>
      <c r="W1122">
        <v>1</v>
      </c>
      <c r="AA1122">
        <v>-9766.3366999999998</v>
      </c>
      <c r="AB1122">
        <v>-9766.3366999999998</v>
      </c>
      <c r="AC1122">
        <v>-9766.3366999999998</v>
      </c>
      <c r="AD1122">
        <v>-9766.3366999999998</v>
      </c>
      <c r="AE1122">
        <v>-9766.3366999999998</v>
      </c>
      <c r="AF1122">
        <v>-944521.72470000002</v>
      </c>
    </row>
    <row r="1123" spans="2:32" x14ac:dyDescent="0.25">
      <c r="B1123">
        <f t="shared" si="48"/>
        <v>50</v>
      </c>
      <c r="C1123">
        <v>1</v>
      </c>
      <c r="D1123">
        <v>1</v>
      </c>
      <c r="E1123">
        <v>1</v>
      </c>
      <c r="F1123">
        <v>1</v>
      </c>
      <c r="G1123">
        <v>1</v>
      </c>
      <c r="J1123">
        <f t="shared" si="49"/>
        <v>50</v>
      </c>
      <c r="K1123">
        <v>1</v>
      </c>
      <c r="L1123">
        <v>1</v>
      </c>
      <c r="M1123">
        <v>1</v>
      </c>
      <c r="N1123">
        <v>1</v>
      </c>
      <c r="O1123">
        <v>1</v>
      </c>
      <c r="R1123">
        <f t="shared" si="50"/>
        <v>50</v>
      </c>
      <c r="S1123">
        <v>1</v>
      </c>
      <c r="T1123">
        <v>1</v>
      </c>
      <c r="U1123">
        <v>1</v>
      </c>
      <c r="V1123">
        <v>1</v>
      </c>
      <c r="W1123">
        <v>1</v>
      </c>
      <c r="AA1123">
        <v>-9637.5864000000001</v>
      </c>
      <c r="AB1123">
        <v>-9637.5864000000001</v>
      </c>
      <c r="AC1123">
        <v>-9637.5864000000001</v>
      </c>
      <c r="AD1123">
        <v>-9637.5864000000001</v>
      </c>
      <c r="AE1123">
        <v>-9637.5864000000001</v>
      </c>
      <c r="AF1123">
        <v>-963257.14989999996</v>
      </c>
    </row>
    <row r="1124" spans="2:32" x14ac:dyDescent="0.25">
      <c r="B1124">
        <f t="shared" si="48"/>
        <v>51</v>
      </c>
      <c r="C1124">
        <v>1</v>
      </c>
      <c r="D1124">
        <v>1</v>
      </c>
      <c r="E1124">
        <v>1</v>
      </c>
      <c r="F1124">
        <v>1</v>
      </c>
      <c r="G1124">
        <v>1</v>
      </c>
      <c r="J1124">
        <f t="shared" si="49"/>
        <v>51</v>
      </c>
      <c r="K1124">
        <v>1</v>
      </c>
      <c r="L1124">
        <v>1</v>
      </c>
      <c r="M1124">
        <v>1</v>
      </c>
      <c r="N1124">
        <v>1</v>
      </c>
      <c r="O1124">
        <v>1</v>
      </c>
      <c r="R1124">
        <f t="shared" si="50"/>
        <v>51</v>
      </c>
      <c r="S1124">
        <v>1</v>
      </c>
      <c r="T1124">
        <v>1</v>
      </c>
      <c r="U1124">
        <v>1</v>
      </c>
      <c r="V1124">
        <v>1</v>
      </c>
      <c r="W1124">
        <v>1</v>
      </c>
      <c r="AA1124">
        <v>-9506.3734000000004</v>
      </c>
      <c r="AB1124">
        <v>-9506.3734000000004</v>
      </c>
      <c r="AC1124">
        <v>-9506.3734000000004</v>
      </c>
      <c r="AD1124">
        <v>-9506.3734000000004</v>
      </c>
      <c r="AE1124">
        <v>-9506.3734000000004</v>
      </c>
      <c r="AF1124">
        <v>-981592.90729999996</v>
      </c>
    </row>
    <row r="1125" spans="2:32" x14ac:dyDescent="0.25">
      <c r="B1125">
        <f t="shared" si="48"/>
        <v>52</v>
      </c>
      <c r="C1125">
        <v>1</v>
      </c>
      <c r="D1125">
        <v>1</v>
      </c>
      <c r="E1125">
        <v>1</v>
      </c>
      <c r="F1125">
        <v>1</v>
      </c>
      <c r="G1125">
        <v>1</v>
      </c>
      <c r="J1125">
        <f t="shared" si="49"/>
        <v>52</v>
      </c>
      <c r="K1125">
        <v>1</v>
      </c>
      <c r="L1125">
        <v>1</v>
      </c>
      <c r="M1125">
        <v>1</v>
      </c>
      <c r="N1125">
        <v>1</v>
      </c>
      <c r="O1125">
        <v>1</v>
      </c>
      <c r="R1125">
        <f t="shared" si="50"/>
        <v>52</v>
      </c>
      <c r="S1125">
        <v>1</v>
      </c>
      <c r="T1125">
        <v>1</v>
      </c>
      <c r="U1125">
        <v>1</v>
      </c>
      <c r="V1125">
        <v>1</v>
      </c>
      <c r="W1125">
        <v>1</v>
      </c>
      <c r="AA1125">
        <v>-9372.7019</v>
      </c>
      <c r="AB1125">
        <v>-9372.7019</v>
      </c>
      <c r="AC1125">
        <v>-9372.7019</v>
      </c>
      <c r="AD1125">
        <v>-9372.7019</v>
      </c>
      <c r="AE1125">
        <v>-9372.7019</v>
      </c>
      <c r="AF1125">
        <v>-998556.10360000003</v>
      </c>
    </row>
    <row r="1126" spans="2:32" x14ac:dyDescent="0.25">
      <c r="B1126">
        <f t="shared" si="48"/>
        <v>53</v>
      </c>
      <c r="C1126">
        <v>1</v>
      </c>
      <c r="D1126">
        <v>1</v>
      </c>
      <c r="E1126">
        <v>1</v>
      </c>
      <c r="F1126">
        <v>1</v>
      </c>
      <c r="G1126">
        <v>1</v>
      </c>
      <c r="J1126">
        <f t="shared" si="49"/>
        <v>53</v>
      </c>
      <c r="K1126">
        <v>1</v>
      </c>
      <c r="L1126">
        <v>1</v>
      </c>
      <c r="M1126">
        <v>1</v>
      </c>
      <c r="N1126">
        <v>1</v>
      </c>
      <c r="O1126">
        <v>1</v>
      </c>
      <c r="R1126">
        <f t="shared" si="50"/>
        <v>53</v>
      </c>
      <c r="S1126">
        <v>1</v>
      </c>
      <c r="T1126">
        <v>1</v>
      </c>
      <c r="U1126">
        <v>1</v>
      </c>
      <c r="V1126">
        <v>1</v>
      </c>
      <c r="W1126">
        <v>1</v>
      </c>
      <c r="AA1126">
        <v>-9236.6705000000002</v>
      </c>
      <c r="AB1126">
        <v>-9236.6705000000002</v>
      </c>
      <c r="AC1126">
        <v>-9236.6705000000002</v>
      </c>
      <c r="AD1126">
        <v>-9236.6705000000002</v>
      </c>
      <c r="AE1126">
        <v>-9236.6705000000002</v>
      </c>
      <c r="AF1126">
        <v>-1015461.3278</v>
      </c>
    </row>
    <row r="1127" spans="2:32" x14ac:dyDescent="0.25">
      <c r="B1127">
        <f t="shared" si="48"/>
        <v>54</v>
      </c>
      <c r="C1127">
        <v>1</v>
      </c>
      <c r="D1127">
        <v>1</v>
      </c>
      <c r="E1127">
        <v>1</v>
      </c>
      <c r="F1127">
        <v>1</v>
      </c>
      <c r="G1127">
        <v>1</v>
      </c>
      <c r="J1127">
        <f t="shared" si="49"/>
        <v>54</v>
      </c>
      <c r="K1127">
        <v>1</v>
      </c>
      <c r="L1127">
        <v>1</v>
      </c>
      <c r="M1127">
        <v>1</v>
      </c>
      <c r="N1127">
        <v>1</v>
      </c>
      <c r="O1127">
        <v>1</v>
      </c>
      <c r="R1127">
        <f t="shared" si="50"/>
        <v>54</v>
      </c>
      <c r="S1127">
        <v>1</v>
      </c>
      <c r="T1127">
        <v>1</v>
      </c>
      <c r="U1127">
        <v>1</v>
      </c>
      <c r="V1127">
        <v>1</v>
      </c>
      <c r="W1127">
        <v>1</v>
      </c>
      <c r="AA1127">
        <v>-9098.4312000000009</v>
      </c>
      <c r="AB1127">
        <v>-9098.4312000000009</v>
      </c>
      <c r="AC1127">
        <v>-9098.4312000000009</v>
      </c>
      <c r="AD1127">
        <v>-9098.4312000000009</v>
      </c>
      <c r="AE1127">
        <v>-9098.4312000000009</v>
      </c>
      <c r="AF1127">
        <v>-1033869.6813000001</v>
      </c>
    </row>
    <row r="1128" spans="2:32" x14ac:dyDescent="0.25">
      <c r="B1128">
        <f t="shared" si="48"/>
        <v>55</v>
      </c>
      <c r="C1128">
        <v>1</v>
      </c>
      <c r="D1128">
        <v>1</v>
      </c>
      <c r="E1128">
        <v>1</v>
      </c>
      <c r="F1128">
        <v>1</v>
      </c>
      <c r="G1128">
        <v>1</v>
      </c>
      <c r="J1128">
        <f t="shared" si="49"/>
        <v>55</v>
      </c>
      <c r="K1128">
        <v>1</v>
      </c>
      <c r="L1128">
        <v>1</v>
      </c>
      <c r="M1128">
        <v>1</v>
      </c>
      <c r="N1128">
        <v>1</v>
      </c>
      <c r="O1128">
        <v>1</v>
      </c>
      <c r="R1128">
        <f t="shared" si="50"/>
        <v>55</v>
      </c>
      <c r="S1128">
        <v>1</v>
      </c>
      <c r="T1128">
        <v>1</v>
      </c>
      <c r="U1128">
        <v>1</v>
      </c>
      <c r="V1128">
        <v>1</v>
      </c>
      <c r="W1128">
        <v>1</v>
      </c>
      <c r="AA1128">
        <v>-8958.0210999999999</v>
      </c>
      <c r="AB1128">
        <v>-8958.0210999999999</v>
      </c>
      <c r="AC1128">
        <v>-8958.0210999999999</v>
      </c>
      <c r="AD1128">
        <v>-8958.0210999999999</v>
      </c>
      <c r="AE1128">
        <v>-8958.0210999999999</v>
      </c>
      <c r="AF1128">
        <v>-1050810.2549999999</v>
      </c>
    </row>
    <row r="1129" spans="2:32" x14ac:dyDescent="0.25">
      <c r="B1129">
        <f t="shared" si="48"/>
        <v>56</v>
      </c>
      <c r="C1129">
        <v>1</v>
      </c>
      <c r="D1129">
        <v>1</v>
      </c>
      <c r="E1129">
        <v>1</v>
      </c>
      <c r="F1129">
        <v>1</v>
      </c>
      <c r="G1129">
        <v>1</v>
      </c>
      <c r="J1129">
        <f t="shared" si="49"/>
        <v>56</v>
      </c>
      <c r="K1129">
        <v>1</v>
      </c>
      <c r="L1129">
        <v>1</v>
      </c>
      <c r="M1129">
        <v>1</v>
      </c>
      <c r="N1129">
        <v>1</v>
      </c>
      <c r="O1129">
        <v>1</v>
      </c>
      <c r="R1129">
        <f t="shared" si="50"/>
        <v>56</v>
      </c>
      <c r="S1129">
        <v>1</v>
      </c>
      <c r="T1129">
        <v>1</v>
      </c>
      <c r="U1129">
        <v>1</v>
      </c>
      <c r="V1129">
        <v>1</v>
      </c>
      <c r="W1129">
        <v>1</v>
      </c>
      <c r="AA1129">
        <v>-8815.6316999999999</v>
      </c>
      <c r="AB1129">
        <v>-8815.6316999999999</v>
      </c>
      <c r="AC1129">
        <v>-8815.6316999999999</v>
      </c>
      <c r="AD1129">
        <v>-8815.6316999999999</v>
      </c>
      <c r="AE1129">
        <v>-8815.6316999999999</v>
      </c>
      <c r="AF1129">
        <v>-1073295.8774000001</v>
      </c>
    </row>
    <row r="1130" spans="2:32" x14ac:dyDescent="0.25">
      <c r="B1130">
        <f t="shared" si="48"/>
        <v>57</v>
      </c>
      <c r="C1130">
        <v>1</v>
      </c>
      <c r="D1130">
        <v>1</v>
      </c>
      <c r="E1130">
        <v>1</v>
      </c>
      <c r="F1130">
        <v>1</v>
      </c>
      <c r="G1130">
        <v>1</v>
      </c>
      <c r="J1130">
        <f t="shared" si="49"/>
        <v>57</v>
      </c>
      <c r="K1130">
        <v>1</v>
      </c>
      <c r="L1130">
        <v>1</v>
      </c>
      <c r="M1130">
        <v>1</v>
      </c>
      <c r="N1130">
        <v>1</v>
      </c>
      <c r="O1130">
        <v>1</v>
      </c>
      <c r="R1130">
        <f t="shared" si="50"/>
        <v>57</v>
      </c>
      <c r="S1130">
        <v>1</v>
      </c>
      <c r="T1130">
        <v>1</v>
      </c>
      <c r="U1130">
        <v>1</v>
      </c>
      <c r="V1130">
        <v>1</v>
      </c>
      <c r="W1130">
        <v>1</v>
      </c>
      <c r="AA1130">
        <v>-8671.3991999999998</v>
      </c>
      <c r="AB1130">
        <v>-8671.3991999999998</v>
      </c>
      <c r="AC1130">
        <v>-8671.3991999999998</v>
      </c>
      <c r="AD1130">
        <v>-8671.3991999999998</v>
      </c>
      <c r="AE1130">
        <v>-8671.3991999999998</v>
      </c>
      <c r="AF1130">
        <v>-1093242.6832999999</v>
      </c>
    </row>
    <row r="1131" spans="2:32" x14ac:dyDescent="0.25">
      <c r="B1131">
        <f t="shared" si="48"/>
        <v>58</v>
      </c>
      <c r="C1131">
        <v>1</v>
      </c>
      <c r="D1131">
        <v>1</v>
      </c>
      <c r="E1131">
        <v>1</v>
      </c>
      <c r="F1131">
        <v>1</v>
      </c>
      <c r="G1131">
        <v>1</v>
      </c>
      <c r="J1131">
        <f t="shared" si="49"/>
        <v>58</v>
      </c>
      <c r="K1131">
        <v>1</v>
      </c>
      <c r="L1131">
        <v>1</v>
      </c>
      <c r="M1131">
        <v>1</v>
      </c>
      <c r="N1131">
        <v>1</v>
      </c>
      <c r="O1131">
        <v>1</v>
      </c>
      <c r="R1131">
        <f t="shared" si="50"/>
        <v>58</v>
      </c>
      <c r="S1131">
        <v>1</v>
      </c>
      <c r="T1131">
        <v>1</v>
      </c>
      <c r="U1131">
        <v>1</v>
      </c>
      <c r="V1131">
        <v>1</v>
      </c>
      <c r="W1131">
        <v>1</v>
      </c>
      <c r="AA1131">
        <v>-8525.2759999999998</v>
      </c>
      <c r="AB1131">
        <v>-8525.2759999999998</v>
      </c>
      <c r="AC1131">
        <v>-8525.2759999999998</v>
      </c>
      <c r="AD1131">
        <v>-8525.2759999999998</v>
      </c>
      <c r="AE1131">
        <v>-8525.2759999999998</v>
      </c>
      <c r="AF1131">
        <v>-1114366.6444000001</v>
      </c>
    </row>
    <row r="1132" spans="2:32" x14ac:dyDescent="0.25">
      <c r="B1132">
        <f t="shared" si="48"/>
        <v>59</v>
      </c>
      <c r="C1132">
        <v>1</v>
      </c>
      <c r="D1132">
        <v>1</v>
      </c>
      <c r="E1132">
        <v>1</v>
      </c>
      <c r="F1132">
        <v>1</v>
      </c>
      <c r="G1132">
        <v>1</v>
      </c>
      <c r="J1132">
        <f t="shared" si="49"/>
        <v>59</v>
      </c>
      <c r="K1132">
        <v>1</v>
      </c>
      <c r="L1132">
        <v>1</v>
      </c>
      <c r="M1132">
        <v>1</v>
      </c>
      <c r="N1132">
        <v>1</v>
      </c>
      <c r="O1132">
        <v>1</v>
      </c>
      <c r="R1132">
        <f t="shared" si="50"/>
        <v>59</v>
      </c>
      <c r="S1132">
        <v>1</v>
      </c>
      <c r="T1132">
        <v>1</v>
      </c>
      <c r="U1132">
        <v>1</v>
      </c>
      <c r="V1132">
        <v>1</v>
      </c>
      <c r="W1132">
        <v>1</v>
      </c>
      <c r="AA1132">
        <v>-8377.2351999999992</v>
      </c>
      <c r="AB1132">
        <v>-8377.2351999999992</v>
      </c>
      <c r="AC1132">
        <v>-8377.2351999999992</v>
      </c>
      <c r="AD1132">
        <v>-8377.2351999999992</v>
      </c>
      <c r="AE1132">
        <v>-8377.2351999999992</v>
      </c>
      <c r="AF1132">
        <v>-1136284.0146999999</v>
      </c>
    </row>
    <row r="1133" spans="2:32" x14ac:dyDescent="0.25">
      <c r="B1133">
        <f t="shared" si="48"/>
        <v>60</v>
      </c>
      <c r="C1133">
        <v>1</v>
      </c>
      <c r="D1133">
        <v>1</v>
      </c>
      <c r="E1133">
        <v>1</v>
      </c>
      <c r="F1133">
        <v>1</v>
      </c>
      <c r="G1133">
        <v>1</v>
      </c>
      <c r="J1133">
        <f t="shared" si="49"/>
        <v>60</v>
      </c>
      <c r="K1133">
        <v>1</v>
      </c>
      <c r="L1133">
        <v>1</v>
      </c>
      <c r="M1133">
        <v>1</v>
      </c>
      <c r="N1133">
        <v>1</v>
      </c>
      <c r="O1133">
        <v>1</v>
      </c>
      <c r="R1133">
        <f t="shared" si="50"/>
        <v>60</v>
      </c>
      <c r="S1133">
        <v>1</v>
      </c>
      <c r="T1133">
        <v>1</v>
      </c>
      <c r="U1133">
        <v>1</v>
      </c>
      <c r="V1133">
        <v>1</v>
      </c>
      <c r="W1133">
        <v>1</v>
      </c>
      <c r="AA1133">
        <v>-8227.3953999999994</v>
      </c>
      <c r="AB1133">
        <v>-8227.3953999999994</v>
      </c>
      <c r="AC1133">
        <v>-8227.3953999999994</v>
      </c>
      <c r="AD1133">
        <v>-8227.3953999999994</v>
      </c>
      <c r="AE1133">
        <v>-8227.3953999999994</v>
      </c>
      <c r="AF1133">
        <v>-1157801.6717999999</v>
      </c>
    </row>
    <row r="1134" spans="2:32" x14ac:dyDescent="0.25">
      <c r="B1134">
        <f t="shared" si="48"/>
        <v>61</v>
      </c>
      <c r="C1134">
        <v>1</v>
      </c>
      <c r="D1134">
        <v>1</v>
      </c>
      <c r="E1134">
        <v>1</v>
      </c>
      <c r="F1134">
        <v>1</v>
      </c>
      <c r="G1134">
        <v>1</v>
      </c>
      <c r="J1134">
        <f t="shared" si="49"/>
        <v>61</v>
      </c>
      <c r="K1134">
        <v>1</v>
      </c>
      <c r="L1134">
        <v>1</v>
      </c>
      <c r="M1134">
        <v>1</v>
      </c>
      <c r="N1134">
        <v>1</v>
      </c>
      <c r="O1134">
        <v>1</v>
      </c>
      <c r="R1134">
        <f t="shared" si="50"/>
        <v>61</v>
      </c>
      <c r="S1134">
        <v>1</v>
      </c>
      <c r="T1134">
        <v>1</v>
      </c>
      <c r="U1134">
        <v>1</v>
      </c>
      <c r="V1134">
        <v>1</v>
      </c>
      <c r="W1134">
        <v>1</v>
      </c>
      <c r="AA1134">
        <v>-8076.1778999999997</v>
      </c>
      <c r="AB1134">
        <v>-8076.1778999999997</v>
      </c>
      <c r="AC1134">
        <v>-8076.1778999999997</v>
      </c>
      <c r="AD1134">
        <v>-8076.1778999999997</v>
      </c>
      <c r="AE1134">
        <v>-8076.1778999999997</v>
      </c>
      <c r="AF1134">
        <v>-1178581.4038</v>
      </c>
    </row>
    <row r="1135" spans="2:32" x14ac:dyDescent="0.25">
      <c r="B1135">
        <f t="shared" si="48"/>
        <v>62</v>
      </c>
      <c r="C1135">
        <v>1</v>
      </c>
      <c r="D1135">
        <v>1</v>
      </c>
      <c r="E1135">
        <v>1</v>
      </c>
      <c r="F1135">
        <v>1</v>
      </c>
      <c r="G1135">
        <v>1</v>
      </c>
      <c r="J1135">
        <f t="shared" si="49"/>
        <v>62</v>
      </c>
      <c r="K1135">
        <v>1</v>
      </c>
      <c r="L1135">
        <v>1</v>
      </c>
      <c r="M1135">
        <v>1</v>
      </c>
      <c r="N1135">
        <v>1</v>
      </c>
      <c r="O1135">
        <v>1</v>
      </c>
      <c r="R1135">
        <f t="shared" si="50"/>
        <v>62</v>
      </c>
      <c r="S1135">
        <v>1</v>
      </c>
      <c r="T1135">
        <v>1</v>
      </c>
      <c r="U1135">
        <v>1</v>
      </c>
      <c r="V1135">
        <v>1</v>
      </c>
      <c r="W1135">
        <v>1</v>
      </c>
      <c r="AA1135">
        <v>-7923.5816000000004</v>
      </c>
      <c r="AB1135">
        <v>-7923.5816000000004</v>
      </c>
      <c r="AC1135">
        <v>-7923.5816000000004</v>
      </c>
      <c r="AD1135">
        <v>-7923.5816000000004</v>
      </c>
      <c r="AE1135">
        <v>-7923.5816000000004</v>
      </c>
      <c r="AF1135">
        <v>-1199521.5327000001</v>
      </c>
    </row>
    <row r="1136" spans="2:32" x14ac:dyDescent="0.25">
      <c r="B1136">
        <f t="shared" si="48"/>
        <v>63</v>
      </c>
      <c r="C1136">
        <v>1</v>
      </c>
      <c r="D1136">
        <v>1</v>
      </c>
      <c r="E1136">
        <v>1</v>
      </c>
      <c r="F1136">
        <v>1</v>
      </c>
      <c r="G1136">
        <v>1</v>
      </c>
      <c r="J1136">
        <f t="shared" si="49"/>
        <v>63</v>
      </c>
      <c r="K1136">
        <v>1</v>
      </c>
      <c r="L1136">
        <v>1</v>
      </c>
      <c r="M1136">
        <v>1</v>
      </c>
      <c r="N1136">
        <v>1</v>
      </c>
      <c r="O1136">
        <v>1</v>
      </c>
      <c r="R1136">
        <f t="shared" si="50"/>
        <v>63</v>
      </c>
      <c r="S1136">
        <v>1</v>
      </c>
      <c r="T1136">
        <v>1</v>
      </c>
      <c r="U1136">
        <v>1</v>
      </c>
      <c r="V1136">
        <v>1</v>
      </c>
      <c r="W1136">
        <v>1</v>
      </c>
      <c r="AA1136">
        <v>-7769.2775000000001</v>
      </c>
      <c r="AB1136">
        <v>-7769.2775000000001</v>
      </c>
      <c r="AC1136">
        <v>-7769.2775000000001</v>
      </c>
      <c r="AD1136">
        <v>-7769.2775000000001</v>
      </c>
      <c r="AE1136">
        <v>-7769.2775000000001</v>
      </c>
      <c r="AF1136">
        <v>-1220461.6269</v>
      </c>
    </row>
    <row r="1137" spans="2:32" x14ac:dyDescent="0.25">
      <c r="B1137">
        <f t="shared" si="48"/>
        <v>64</v>
      </c>
      <c r="C1137">
        <v>1</v>
      </c>
      <c r="D1137">
        <v>1</v>
      </c>
      <c r="E1137">
        <v>1</v>
      </c>
      <c r="F1137">
        <v>1</v>
      </c>
      <c r="G1137">
        <v>1</v>
      </c>
      <c r="J1137">
        <f t="shared" si="49"/>
        <v>64</v>
      </c>
      <c r="K1137">
        <v>1</v>
      </c>
      <c r="L1137">
        <v>1</v>
      </c>
      <c r="M1137">
        <v>1</v>
      </c>
      <c r="N1137">
        <v>1</v>
      </c>
      <c r="O1137">
        <v>1</v>
      </c>
      <c r="R1137">
        <f t="shared" si="50"/>
        <v>64</v>
      </c>
      <c r="S1137">
        <v>1</v>
      </c>
      <c r="T1137">
        <v>1</v>
      </c>
      <c r="U1137">
        <v>1</v>
      </c>
      <c r="V1137">
        <v>1</v>
      </c>
      <c r="W1137">
        <v>1</v>
      </c>
      <c r="AA1137">
        <v>-7613.3999000000003</v>
      </c>
      <c r="AB1137">
        <v>-7613.3999000000003</v>
      </c>
      <c r="AC1137">
        <v>-7613.3999000000003</v>
      </c>
      <c r="AD1137">
        <v>-7613.3999000000003</v>
      </c>
      <c r="AE1137">
        <v>-7613.3999000000003</v>
      </c>
      <c r="AF1137">
        <v>-1240652.2526</v>
      </c>
    </row>
    <row r="1138" spans="2:32" x14ac:dyDescent="0.25">
      <c r="B1138">
        <f t="shared" si="48"/>
        <v>65</v>
      </c>
      <c r="C1138">
        <v>1</v>
      </c>
      <c r="D1138">
        <v>1</v>
      </c>
      <c r="E1138">
        <v>1</v>
      </c>
      <c r="F1138">
        <v>1</v>
      </c>
      <c r="G1138">
        <v>1</v>
      </c>
      <c r="J1138">
        <f t="shared" si="49"/>
        <v>65</v>
      </c>
      <c r="K1138">
        <v>1</v>
      </c>
      <c r="L1138">
        <v>1</v>
      </c>
      <c r="M1138">
        <v>1</v>
      </c>
      <c r="N1138">
        <v>1</v>
      </c>
      <c r="O1138">
        <v>1</v>
      </c>
      <c r="R1138">
        <f t="shared" si="50"/>
        <v>65</v>
      </c>
      <c r="S1138">
        <v>1</v>
      </c>
      <c r="T1138">
        <v>1</v>
      </c>
      <c r="U1138">
        <v>1</v>
      </c>
      <c r="V1138">
        <v>1</v>
      </c>
      <c r="W1138">
        <v>1</v>
      </c>
      <c r="AA1138">
        <v>-7455.8590000000004</v>
      </c>
      <c r="AB1138">
        <v>-7455.8590000000004</v>
      </c>
      <c r="AC1138">
        <v>-7455.8590000000004</v>
      </c>
      <c r="AD1138">
        <v>-7455.8590000000004</v>
      </c>
      <c r="AE1138">
        <v>-7455.8590000000004</v>
      </c>
      <c r="AF1138">
        <v>-1260049.8302</v>
      </c>
    </row>
    <row r="1141" spans="2:32" x14ac:dyDescent="0.25">
      <c r="B1141" t="s">
        <v>46</v>
      </c>
      <c r="C1141">
        <v>50000</v>
      </c>
      <c r="D1141">
        <v>100000</v>
      </c>
      <c r="E1141">
        <v>250000</v>
      </c>
      <c r="F1141">
        <v>500000</v>
      </c>
      <c r="G1141">
        <v>1000000</v>
      </c>
      <c r="H1141">
        <v>2000000</v>
      </c>
      <c r="J1141" t="s">
        <v>47</v>
      </c>
      <c r="K1141">
        <v>50000</v>
      </c>
      <c r="L1141">
        <v>100000</v>
      </c>
      <c r="M1141">
        <v>250000</v>
      </c>
      <c r="N1141">
        <v>500000</v>
      </c>
      <c r="O1141">
        <v>1000000</v>
      </c>
      <c r="P1141">
        <v>2000000</v>
      </c>
      <c r="R1141" t="s">
        <v>48</v>
      </c>
      <c r="S1141">
        <v>50000</v>
      </c>
      <c r="T1141">
        <v>100000</v>
      </c>
      <c r="U1141">
        <v>250000</v>
      </c>
      <c r="V1141">
        <v>500000</v>
      </c>
      <c r="W1141">
        <v>1000000</v>
      </c>
      <c r="X1141">
        <v>2000000</v>
      </c>
    </row>
    <row r="1142" spans="2:32" x14ac:dyDescent="0.25">
      <c r="B1142">
        <v>26</v>
      </c>
      <c r="C1142">
        <v>1</v>
      </c>
      <c r="D1142">
        <v>1</v>
      </c>
      <c r="E1142">
        <v>1</v>
      </c>
      <c r="F1142">
        <v>1</v>
      </c>
      <c r="G1142">
        <v>1</v>
      </c>
      <c r="H1142">
        <v>1</v>
      </c>
      <c r="J1142">
        <v>26</v>
      </c>
      <c r="K1142">
        <v>1</v>
      </c>
      <c r="L1142">
        <v>1</v>
      </c>
      <c r="M1142">
        <v>1</v>
      </c>
      <c r="N1142">
        <v>1</v>
      </c>
      <c r="O1142">
        <v>1</v>
      </c>
      <c r="P1142">
        <v>1</v>
      </c>
      <c r="R1142">
        <v>26</v>
      </c>
      <c r="S1142">
        <v>1</v>
      </c>
      <c r="T1142">
        <v>1</v>
      </c>
      <c r="U1142">
        <v>1</v>
      </c>
      <c r="V1142">
        <v>1</v>
      </c>
      <c r="W1142">
        <v>1</v>
      </c>
      <c r="X1142">
        <v>1</v>
      </c>
      <c r="AA1142">
        <v>-7435.5060999999996</v>
      </c>
      <c r="AB1142">
        <v>-7435.5060999999996</v>
      </c>
      <c r="AC1142">
        <v>-7435.5060999999996</v>
      </c>
      <c r="AD1142">
        <v>-7435.5060999999996</v>
      </c>
      <c r="AE1142">
        <v>-7435.5060999999996</v>
      </c>
      <c r="AF1142">
        <v>-7435.5060999999996</v>
      </c>
    </row>
    <row r="1143" spans="2:32" x14ac:dyDescent="0.25">
      <c r="B1143">
        <v>27</v>
      </c>
      <c r="C1143">
        <v>1</v>
      </c>
      <c r="D1143">
        <v>1</v>
      </c>
      <c r="E1143">
        <v>1</v>
      </c>
      <c r="F1143">
        <v>1</v>
      </c>
      <c r="G1143">
        <v>1</v>
      </c>
      <c r="H1143">
        <v>1</v>
      </c>
      <c r="J1143">
        <v>27</v>
      </c>
      <c r="K1143">
        <v>1</v>
      </c>
      <c r="L1143">
        <v>1</v>
      </c>
      <c r="M1143">
        <v>1</v>
      </c>
      <c r="N1143">
        <v>1</v>
      </c>
      <c r="O1143">
        <v>1</v>
      </c>
      <c r="P1143">
        <v>1</v>
      </c>
      <c r="R1143">
        <v>27</v>
      </c>
      <c r="S1143">
        <v>1</v>
      </c>
      <c r="T1143">
        <v>1</v>
      </c>
      <c r="U1143">
        <v>1</v>
      </c>
      <c r="V1143">
        <v>1</v>
      </c>
      <c r="W1143">
        <v>1</v>
      </c>
      <c r="X1143">
        <v>1</v>
      </c>
      <c r="AA1143">
        <v>-7434.2619000000004</v>
      </c>
      <c r="AB1143">
        <v>-7434.2619000000004</v>
      </c>
      <c r="AC1143">
        <v>-7434.2619000000004</v>
      </c>
      <c r="AD1143">
        <v>-7434.2619000000004</v>
      </c>
      <c r="AE1143">
        <v>-7434.2619000000004</v>
      </c>
      <c r="AF1143">
        <v>-7434.2619000000004</v>
      </c>
    </row>
    <row r="1144" spans="2:32" x14ac:dyDescent="0.25">
      <c r="B1144">
        <v>28</v>
      </c>
      <c r="C1144">
        <v>1</v>
      </c>
      <c r="D1144">
        <v>1</v>
      </c>
      <c r="E1144">
        <v>1</v>
      </c>
      <c r="F1144">
        <v>1</v>
      </c>
      <c r="G1144">
        <v>1</v>
      </c>
      <c r="H1144">
        <v>1</v>
      </c>
      <c r="J1144">
        <v>28</v>
      </c>
      <c r="K1144">
        <v>1</v>
      </c>
      <c r="L1144">
        <v>1</v>
      </c>
      <c r="M1144">
        <v>1</v>
      </c>
      <c r="N1144">
        <v>1</v>
      </c>
      <c r="O1144">
        <v>1</v>
      </c>
      <c r="P1144">
        <v>1</v>
      </c>
      <c r="R1144">
        <v>28</v>
      </c>
      <c r="S1144">
        <v>1</v>
      </c>
      <c r="T1144">
        <v>1</v>
      </c>
      <c r="U1144">
        <v>1</v>
      </c>
      <c r="V1144">
        <v>1</v>
      </c>
      <c r="W1144">
        <v>1</v>
      </c>
      <c r="X1144">
        <v>1</v>
      </c>
      <c r="AA1144">
        <v>-7432.8334999999997</v>
      </c>
      <c r="AB1144">
        <v>-7432.8334999999997</v>
      </c>
      <c r="AC1144">
        <v>-7432.8334999999997</v>
      </c>
      <c r="AD1144">
        <v>-7432.8334999999997</v>
      </c>
      <c r="AE1144">
        <v>-7432.8334999999997</v>
      </c>
      <c r="AF1144">
        <v>-7432.8334999999997</v>
      </c>
    </row>
    <row r="1145" spans="2:32" x14ac:dyDescent="0.25">
      <c r="B1145">
        <v>29</v>
      </c>
      <c r="C1145">
        <v>1</v>
      </c>
      <c r="D1145">
        <v>1</v>
      </c>
      <c r="E1145">
        <v>1</v>
      </c>
      <c r="F1145">
        <v>1</v>
      </c>
      <c r="G1145">
        <v>1</v>
      </c>
      <c r="H1145">
        <v>1</v>
      </c>
      <c r="J1145">
        <v>29</v>
      </c>
      <c r="K1145">
        <v>1</v>
      </c>
      <c r="L1145">
        <v>1</v>
      </c>
      <c r="M1145">
        <v>1</v>
      </c>
      <c r="N1145">
        <v>1</v>
      </c>
      <c r="O1145">
        <v>1</v>
      </c>
      <c r="P1145">
        <v>1</v>
      </c>
      <c r="R1145">
        <v>29</v>
      </c>
      <c r="S1145">
        <v>1</v>
      </c>
      <c r="T1145">
        <v>1</v>
      </c>
      <c r="U1145">
        <v>1</v>
      </c>
      <c r="V1145">
        <v>1</v>
      </c>
      <c r="W1145">
        <v>1</v>
      </c>
      <c r="X1145">
        <v>1</v>
      </c>
      <c r="AA1145">
        <v>-7431.2058999999999</v>
      </c>
      <c r="AB1145">
        <v>-7431.2058999999999</v>
      </c>
      <c r="AC1145">
        <v>-7431.2058999999999</v>
      </c>
      <c r="AD1145">
        <v>-7431.2058999999999</v>
      </c>
      <c r="AE1145">
        <v>-7431.2058999999999</v>
      </c>
      <c r="AF1145">
        <v>-7431.2058999999999</v>
      </c>
    </row>
    <row r="1146" spans="2:32" x14ac:dyDescent="0.25">
      <c r="B1146">
        <v>30</v>
      </c>
      <c r="C1146">
        <v>1</v>
      </c>
      <c r="D1146">
        <v>1</v>
      </c>
      <c r="E1146">
        <v>1</v>
      </c>
      <c r="F1146">
        <v>1</v>
      </c>
      <c r="G1146">
        <v>1</v>
      </c>
      <c r="H1146">
        <v>1</v>
      </c>
      <c r="J1146">
        <v>30</v>
      </c>
      <c r="K1146">
        <v>1</v>
      </c>
      <c r="L1146">
        <v>1</v>
      </c>
      <c r="M1146">
        <v>1</v>
      </c>
      <c r="N1146">
        <v>1</v>
      </c>
      <c r="O1146">
        <v>1</v>
      </c>
      <c r="P1146">
        <v>1</v>
      </c>
      <c r="R1146">
        <v>30</v>
      </c>
      <c r="S1146">
        <v>1</v>
      </c>
      <c r="T1146">
        <v>1</v>
      </c>
      <c r="U1146">
        <v>1</v>
      </c>
      <c r="V1146">
        <v>1</v>
      </c>
      <c r="W1146">
        <v>1</v>
      </c>
      <c r="X1146">
        <v>1</v>
      </c>
      <c r="AA1146">
        <v>-7429.3476000000001</v>
      </c>
      <c r="AB1146">
        <v>-7429.3476000000001</v>
      </c>
      <c r="AC1146">
        <v>-7429.3476000000001</v>
      </c>
      <c r="AD1146">
        <v>-7429.3476000000001</v>
      </c>
      <c r="AE1146">
        <v>-7429.3476000000001</v>
      </c>
      <c r="AF1146">
        <v>-7429.3476000000001</v>
      </c>
    </row>
    <row r="1147" spans="2:32" x14ac:dyDescent="0.25">
      <c r="B1147">
        <v>31</v>
      </c>
      <c r="C1147">
        <v>1</v>
      </c>
      <c r="D1147">
        <v>1</v>
      </c>
      <c r="E1147">
        <v>1</v>
      </c>
      <c r="F1147">
        <v>1</v>
      </c>
      <c r="G1147">
        <v>1</v>
      </c>
      <c r="H1147">
        <v>1</v>
      </c>
      <c r="J1147">
        <v>31</v>
      </c>
      <c r="K1147">
        <v>1</v>
      </c>
      <c r="L1147">
        <v>1</v>
      </c>
      <c r="M1147">
        <v>1</v>
      </c>
      <c r="N1147">
        <v>1</v>
      </c>
      <c r="O1147">
        <v>1</v>
      </c>
      <c r="P1147">
        <v>1</v>
      </c>
      <c r="R1147">
        <v>31</v>
      </c>
      <c r="S1147">
        <v>1</v>
      </c>
      <c r="T1147">
        <v>1</v>
      </c>
      <c r="U1147">
        <v>1</v>
      </c>
      <c r="V1147">
        <v>1</v>
      </c>
      <c r="W1147">
        <v>1</v>
      </c>
      <c r="X1147">
        <v>1</v>
      </c>
      <c r="AA1147">
        <v>-7427.2446</v>
      </c>
      <c r="AB1147">
        <v>-7427.2446</v>
      </c>
      <c r="AC1147">
        <v>-7427.2446</v>
      </c>
      <c r="AD1147">
        <v>-7427.2446</v>
      </c>
      <c r="AE1147">
        <v>-7427.2446</v>
      </c>
      <c r="AF1147">
        <v>-7427.2446</v>
      </c>
    </row>
    <row r="1148" spans="2:32" x14ac:dyDescent="0.25">
      <c r="B1148">
        <v>32</v>
      </c>
      <c r="C1148">
        <v>1</v>
      </c>
      <c r="D1148">
        <v>1</v>
      </c>
      <c r="E1148">
        <v>1</v>
      </c>
      <c r="F1148">
        <v>1</v>
      </c>
      <c r="G1148">
        <v>1</v>
      </c>
      <c r="H1148">
        <v>1</v>
      </c>
      <c r="J1148">
        <v>32</v>
      </c>
      <c r="K1148">
        <v>1</v>
      </c>
      <c r="L1148">
        <v>1</v>
      </c>
      <c r="M1148">
        <v>1</v>
      </c>
      <c r="N1148">
        <v>1</v>
      </c>
      <c r="O1148">
        <v>1</v>
      </c>
      <c r="P1148">
        <v>1</v>
      </c>
      <c r="R1148">
        <v>32</v>
      </c>
      <c r="S1148">
        <v>1</v>
      </c>
      <c r="T1148">
        <v>1</v>
      </c>
      <c r="U1148">
        <v>1</v>
      </c>
      <c r="V1148">
        <v>1</v>
      </c>
      <c r="W1148">
        <v>1</v>
      </c>
      <c r="X1148">
        <v>1</v>
      </c>
      <c r="AA1148">
        <v>-7424.8944000000001</v>
      </c>
      <c r="AB1148">
        <v>-7424.8944000000001</v>
      </c>
      <c r="AC1148">
        <v>-7424.8944000000001</v>
      </c>
      <c r="AD1148">
        <v>-7424.8944000000001</v>
      </c>
      <c r="AE1148">
        <v>-7424.8944000000001</v>
      </c>
      <c r="AF1148">
        <v>-7424.8944000000001</v>
      </c>
    </row>
    <row r="1149" spans="2:32" x14ac:dyDescent="0.25">
      <c r="B1149">
        <v>33</v>
      </c>
      <c r="C1149">
        <v>1</v>
      </c>
      <c r="D1149">
        <v>1</v>
      </c>
      <c r="E1149">
        <v>1</v>
      </c>
      <c r="F1149">
        <v>1</v>
      </c>
      <c r="G1149">
        <v>1</v>
      </c>
      <c r="H1149">
        <v>1</v>
      </c>
      <c r="J1149">
        <v>33</v>
      </c>
      <c r="K1149">
        <v>1</v>
      </c>
      <c r="L1149">
        <v>1</v>
      </c>
      <c r="M1149">
        <v>1</v>
      </c>
      <c r="N1149">
        <v>1</v>
      </c>
      <c r="O1149">
        <v>1</v>
      </c>
      <c r="P1149">
        <v>1</v>
      </c>
      <c r="R1149">
        <v>33</v>
      </c>
      <c r="S1149">
        <v>1</v>
      </c>
      <c r="T1149">
        <v>1</v>
      </c>
      <c r="U1149">
        <v>1</v>
      </c>
      <c r="V1149">
        <v>1</v>
      </c>
      <c r="W1149">
        <v>1</v>
      </c>
      <c r="X1149">
        <v>1</v>
      </c>
      <c r="AA1149">
        <v>-7422.2834000000003</v>
      </c>
      <c r="AB1149">
        <v>-7422.2834000000003</v>
      </c>
      <c r="AC1149">
        <v>-7422.2834000000003</v>
      </c>
      <c r="AD1149">
        <v>-7422.2834000000003</v>
      </c>
      <c r="AE1149">
        <v>-7422.2834000000003</v>
      </c>
      <c r="AF1149">
        <v>-7422.2834000000003</v>
      </c>
    </row>
    <row r="1150" spans="2:32" x14ac:dyDescent="0.25">
      <c r="B1150">
        <v>34</v>
      </c>
      <c r="C1150">
        <v>1</v>
      </c>
      <c r="D1150">
        <v>1</v>
      </c>
      <c r="E1150">
        <v>1</v>
      </c>
      <c r="F1150">
        <v>1</v>
      </c>
      <c r="G1150">
        <v>1</v>
      </c>
      <c r="H1150">
        <v>1</v>
      </c>
      <c r="J1150">
        <v>34</v>
      </c>
      <c r="K1150">
        <v>1</v>
      </c>
      <c r="L1150">
        <v>1</v>
      </c>
      <c r="M1150">
        <v>1</v>
      </c>
      <c r="N1150">
        <v>1</v>
      </c>
      <c r="O1150">
        <v>1</v>
      </c>
      <c r="P1150">
        <v>1</v>
      </c>
      <c r="R1150">
        <v>34</v>
      </c>
      <c r="S1150">
        <v>1</v>
      </c>
      <c r="T1150">
        <v>1</v>
      </c>
      <c r="U1150">
        <v>1</v>
      </c>
      <c r="V1150">
        <v>1</v>
      </c>
      <c r="W1150">
        <v>1</v>
      </c>
      <c r="X1150">
        <v>1</v>
      </c>
      <c r="AA1150">
        <v>-7419.3683000000001</v>
      </c>
      <c r="AB1150">
        <v>-7419.3683000000001</v>
      </c>
      <c r="AC1150">
        <v>-7419.3683000000001</v>
      </c>
      <c r="AD1150">
        <v>-7419.3683000000001</v>
      </c>
      <c r="AE1150">
        <v>-7419.3683000000001</v>
      </c>
      <c r="AF1150">
        <v>-7419.3683000000001</v>
      </c>
    </row>
    <row r="1151" spans="2:32" x14ac:dyDescent="0.25">
      <c r="B1151">
        <v>35</v>
      </c>
      <c r="C1151">
        <v>1</v>
      </c>
      <c r="D1151">
        <v>1</v>
      </c>
      <c r="E1151">
        <v>1</v>
      </c>
      <c r="F1151">
        <v>1</v>
      </c>
      <c r="G1151">
        <v>1</v>
      </c>
      <c r="H1151">
        <v>1</v>
      </c>
      <c r="J1151">
        <v>35</v>
      </c>
      <c r="K1151">
        <v>1</v>
      </c>
      <c r="L1151">
        <v>1</v>
      </c>
      <c r="M1151">
        <v>1</v>
      </c>
      <c r="N1151">
        <v>1</v>
      </c>
      <c r="O1151">
        <v>1</v>
      </c>
      <c r="P1151">
        <v>1</v>
      </c>
      <c r="R1151">
        <v>35</v>
      </c>
      <c r="S1151">
        <v>1</v>
      </c>
      <c r="T1151">
        <v>1</v>
      </c>
      <c r="U1151">
        <v>1</v>
      </c>
      <c r="V1151">
        <v>1</v>
      </c>
      <c r="W1151">
        <v>1</v>
      </c>
      <c r="X1151">
        <v>1</v>
      </c>
      <c r="AA1151">
        <v>-7416.1363000000001</v>
      </c>
      <c r="AB1151">
        <v>-7416.1363000000001</v>
      </c>
      <c r="AC1151">
        <v>-7416.1363000000001</v>
      </c>
      <c r="AD1151">
        <v>-7416.1363000000001</v>
      </c>
      <c r="AE1151">
        <v>-7416.1363000000001</v>
      </c>
      <c r="AF1151">
        <v>-7416.1363000000001</v>
      </c>
    </row>
    <row r="1152" spans="2:32" x14ac:dyDescent="0.25">
      <c r="B1152">
        <v>36</v>
      </c>
      <c r="C1152">
        <v>1</v>
      </c>
      <c r="D1152">
        <v>1</v>
      </c>
      <c r="E1152">
        <v>1</v>
      </c>
      <c r="F1152">
        <v>1</v>
      </c>
      <c r="G1152">
        <v>1</v>
      </c>
      <c r="H1152">
        <v>1</v>
      </c>
      <c r="J1152">
        <v>36</v>
      </c>
      <c r="K1152">
        <v>1</v>
      </c>
      <c r="L1152">
        <v>1</v>
      </c>
      <c r="M1152">
        <v>1</v>
      </c>
      <c r="N1152">
        <v>1</v>
      </c>
      <c r="O1152">
        <v>1</v>
      </c>
      <c r="P1152">
        <v>1</v>
      </c>
      <c r="R1152">
        <v>36</v>
      </c>
      <c r="S1152">
        <v>1</v>
      </c>
      <c r="T1152">
        <v>1</v>
      </c>
      <c r="U1152">
        <v>1</v>
      </c>
      <c r="V1152">
        <v>1</v>
      </c>
      <c r="W1152">
        <v>1</v>
      </c>
      <c r="X1152">
        <v>1</v>
      </c>
      <c r="AA1152">
        <v>-7412.5378000000001</v>
      </c>
      <c r="AB1152">
        <v>-7412.5378000000001</v>
      </c>
      <c r="AC1152">
        <v>-7412.5378000000001</v>
      </c>
      <c r="AD1152">
        <v>-7412.5378000000001</v>
      </c>
      <c r="AE1152">
        <v>-7412.5378000000001</v>
      </c>
      <c r="AF1152">
        <v>-7412.5378000000001</v>
      </c>
    </row>
    <row r="1153" spans="2:32" x14ac:dyDescent="0.25">
      <c r="B1153">
        <v>37</v>
      </c>
      <c r="C1153">
        <v>1</v>
      </c>
      <c r="D1153">
        <v>1</v>
      </c>
      <c r="E1153">
        <v>1</v>
      </c>
      <c r="F1153">
        <v>1</v>
      </c>
      <c r="G1153">
        <v>1</v>
      </c>
      <c r="H1153">
        <v>1</v>
      </c>
      <c r="J1153">
        <v>37</v>
      </c>
      <c r="K1153">
        <v>1</v>
      </c>
      <c r="L1153">
        <v>1</v>
      </c>
      <c r="M1153">
        <v>1</v>
      </c>
      <c r="N1153">
        <v>1</v>
      </c>
      <c r="O1153">
        <v>1</v>
      </c>
      <c r="P1153">
        <v>1</v>
      </c>
      <c r="R1153">
        <v>37</v>
      </c>
      <c r="S1153">
        <v>1</v>
      </c>
      <c r="T1153">
        <v>1</v>
      </c>
      <c r="U1153">
        <v>1</v>
      </c>
      <c r="V1153">
        <v>1</v>
      </c>
      <c r="W1153">
        <v>1</v>
      </c>
      <c r="X1153">
        <v>1</v>
      </c>
      <c r="AA1153">
        <v>-7408.55</v>
      </c>
      <c r="AB1153">
        <v>-7408.55</v>
      </c>
      <c r="AC1153">
        <v>-7408.55</v>
      </c>
      <c r="AD1153">
        <v>-7408.55</v>
      </c>
      <c r="AE1153">
        <v>-7408.55</v>
      </c>
      <c r="AF1153">
        <v>-7408.55</v>
      </c>
    </row>
    <row r="1154" spans="2:32" x14ac:dyDescent="0.25">
      <c r="B1154">
        <v>38</v>
      </c>
      <c r="C1154">
        <v>1</v>
      </c>
      <c r="D1154">
        <v>1</v>
      </c>
      <c r="E1154">
        <v>1</v>
      </c>
      <c r="F1154">
        <v>1</v>
      </c>
      <c r="G1154">
        <v>1</v>
      </c>
      <c r="H1154">
        <v>1</v>
      </c>
      <c r="J1154">
        <v>38</v>
      </c>
      <c r="K1154">
        <v>1</v>
      </c>
      <c r="L1154">
        <v>1</v>
      </c>
      <c r="M1154">
        <v>1</v>
      </c>
      <c r="N1154">
        <v>1</v>
      </c>
      <c r="O1154">
        <v>1</v>
      </c>
      <c r="P1154">
        <v>1</v>
      </c>
      <c r="R1154">
        <v>38</v>
      </c>
      <c r="S1154">
        <v>1</v>
      </c>
      <c r="T1154">
        <v>1</v>
      </c>
      <c r="U1154">
        <v>1</v>
      </c>
      <c r="V1154">
        <v>1</v>
      </c>
      <c r="W1154">
        <v>1</v>
      </c>
      <c r="X1154">
        <v>1</v>
      </c>
      <c r="AA1154">
        <v>-7404.1752999999999</v>
      </c>
      <c r="AB1154">
        <v>-7404.1752999999999</v>
      </c>
      <c r="AC1154">
        <v>-7404.1752999999999</v>
      </c>
      <c r="AD1154">
        <v>-7404.1752999999999</v>
      </c>
      <c r="AE1154">
        <v>-7404.1752999999999</v>
      </c>
      <c r="AF1154">
        <v>-7404.1752999999999</v>
      </c>
    </row>
    <row r="1155" spans="2:32" x14ac:dyDescent="0.25">
      <c r="B1155">
        <v>39</v>
      </c>
      <c r="C1155">
        <v>1</v>
      </c>
      <c r="D1155">
        <v>1</v>
      </c>
      <c r="E1155">
        <v>1</v>
      </c>
      <c r="F1155">
        <v>1</v>
      </c>
      <c r="G1155">
        <v>1</v>
      </c>
      <c r="H1155">
        <v>1</v>
      </c>
      <c r="J1155">
        <v>39</v>
      </c>
      <c r="K1155">
        <v>1</v>
      </c>
      <c r="L1155">
        <v>1</v>
      </c>
      <c r="M1155">
        <v>1</v>
      </c>
      <c r="N1155">
        <v>1</v>
      </c>
      <c r="O1155">
        <v>1</v>
      </c>
      <c r="P1155">
        <v>1</v>
      </c>
      <c r="R1155">
        <v>39</v>
      </c>
      <c r="S1155">
        <v>1</v>
      </c>
      <c r="T1155">
        <v>1</v>
      </c>
      <c r="U1155">
        <v>1</v>
      </c>
      <c r="V1155">
        <v>1</v>
      </c>
      <c r="W1155">
        <v>1</v>
      </c>
      <c r="X1155">
        <v>1</v>
      </c>
      <c r="AA1155">
        <v>-7399.3923999999997</v>
      </c>
      <c r="AB1155">
        <v>-7399.3923999999997</v>
      </c>
      <c r="AC1155">
        <v>-7399.3923999999997</v>
      </c>
      <c r="AD1155">
        <v>-7399.3923999999997</v>
      </c>
      <c r="AE1155">
        <v>-7399.3923999999997</v>
      </c>
      <c r="AF1155">
        <v>-7399.3923999999997</v>
      </c>
    </row>
    <row r="1156" spans="2:32" x14ac:dyDescent="0.25">
      <c r="B1156">
        <v>40</v>
      </c>
      <c r="C1156">
        <v>1</v>
      </c>
      <c r="D1156">
        <v>1</v>
      </c>
      <c r="E1156">
        <v>1</v>
      </c>
      <c r="F1156">
        <v>1</v>
      </c>
      <c r="G1156">
        <v>1</v>
      </c>
      <c r="H1156">
        <v>1</v>
      </c>
      <c r="J1156">
        <v>40</v>
      </c>
      <c r="K1156">
        <v>1</v>
      </c>
      <c r="L1156">
        <v>1</v>
      </c>
      <c r="M1156">
        <v>1</v>
      </c>
      <c r="N1156">
        <v>1</v>
      </c>
      <c r="O1156">
        <v>1</v>
      </c>
      <c r="P1156">
        <v>1</v>
      </c>
      <c r="R1156">
        <v>40</v>
      </c>
      <c r="S1156">
        <v>1</v>
      </c>
      <c r="T1156">
        <v>1</v>
      </c>
      <c r="U1156">
        <v>1</v>
      </c>
      <c r="V1156">
        <v>1</v>
      </c>
      <c r="W1156">
        <v>1</v>
      </c>
      <c r="X1156">
        <v>1</v>
      </c>
      <c r="AA1156">
        <v>-7394.1365999999998</v>
      </c>
      <c r="AB1156">
        <v>-7394.1365999999998</v>
      </c>
      <c r="AC1156">
        <v>-7394.1365999999998</v>
      </c>
      <c r="AD1156">
        <v>-7394.1365999999998</v>
      </c>
      <c r="AE1156">
        <v>-7394.1365999999998</v>
      </c>
      <c r="AF1156">
        <v>-7394.1365999999998</v>
      </c>
    </row>
    <row r="1157" spans="2:32" x14ac:dyDescent="0.25">
      <c r="B1157">
        <v>41</v>
      </c>
      <c r="C1157">
        <v>1</v>
      </c>
      <c r="D1157">
        <v>1</v>
      </c>
      <c r="E1157">
        <v>1</v>
      </c>
      <c r="F1157">
        <v>1</v>
      </c>
      <c r="G1157">
        <v>1</v>
      </c>
      <c r="H1157">
        <v>1</v>
      </c>
      <c r="J1157">
        <v>41</v>
      </c>
      <c r="K1157">
        <v>1</v>
      </c>
      <c r="L1157">
        <v>1</v>
      </c>
      <c r="M1157">
        <v>1</v>
      </c>
      <c r="N1157">
        <v>1</v>
      </c>
      <c r="O1157">
        <v>1</v>
      </c>
      <c r="P1157">
        <v>1</v>
      </c>
      <c r="R1157">
        <v>41</v>
      </c>
      <c r="S1157">
        <v>1</v>
      </c>
      <c r="T1157">
        <v>1</v>
      </c>
      <c r="U1157">
        <v>1</v>
      </c>
      <c r="V1157">
        <v>1</v>
      </c>
      <c r="W1157">
        <v>1</v>
      </c>
      <c r="X1157">
        <v>1</v>
      </c>
      <c r="AA1157">
        <v>-7388.3469999999998</v>
      </c>
      <c r="AB1157">
        <v>-7388.3469999999998</v>
      </c>
      <c r="AC1157">
        <v>-7388.3469999999998</v>
      </c>
      <c r="AD1157">
        <v>-7388.3469999999998</v>
      </c>
      <c r="AE1157">
        <v>-7388.3469999999998</v>
      </c>
      <c r="AF1157">
        <v>-7388.3469999999998</v>
      </c>
    </row>
    <row r="1158" spans="2:32" x14ac:dyDescent="0.25">
      <c r="B1158">
        <v>42</v>
      </c>
      <c r="C1158">
        <v>1</v>
      </c>
      <c r="D1158">
        <v>1</v>
      </c>
      <c r="E1158">
        <v>1</v>
      </c>
      <c r="F1158">
        <v>1</v>
      </c>
      <c r="G1158">
        <v>1</v>
      </c>
      <c r="H1158">
        <v>1</v>
      </c>
      <c r="J1158">
        <v>42</v>
      </c>
      <c r="K1158">
        <v>1</v>
      </c>
      <c r="L1158">
        <v>1</v>
      </c>
      <c r="M1158">
        <v>1</v>
      </c>
      <c r="N1158">
        <v>1</v>
      </c>
      <c r="O1158">
        <v>1</v>
      </c>
      <c r="P1158">
        <v>1</v>
      </c>
      <c r="R1158">
        <v>42</v>
      </c>
      <c r="S1158">
        <v>1</v>
      </c>
      <c r="T1158">
        <v>1</v>
      </c>
      <c r="U1158">
        <v>1</v>
      </c>
      <c r="V1158">
        <v>1</v>
      </c>
      <c r="W1158">
        <v>1</v>
      </c>
      <c r="X1158">
        <v>1</v>
      </c>
      <c r="AA1158">
        <v>-7381.9919</v>
      </c>
      <c r="AB1158">
        <v>-7381.9919</v>
      </c>
      <c r="AC1158">
        <v>-7381.9919</v>
      </c>
      <c r="AD1158">
        <v>-7381.9919</v>
      </c>
      <c r="AE1158">
        <v>-7381.9919</v>
      </c>
      <c r="AF1158">
        <v>-7381.9919</v>
      </c>
    </row>
    <row r="1159" spans="2:32" x14ac:dyDescent="0.25">
      <c r="B1159">
        <v>43</v>
      </c>
      <c r="C1159">
        <v>1</v>
      </c>
      <c r="D1159">
        <v>1</v>
      </c>
      <c r="E1159">
        <v>1</v>
      </c>
      <c r="F1159">
        <v>1</v>
      </c>
      <c r="G1159">
        <v>1</v>
      </c>
      <c r="H1159">
        <v>1</v>
      </c>
      <c r="J1159">
        <v>43</v>
      </c>
      <c r="K1159">
        <v>1</v>
      </c>
      <c r="L1159">
        <v>1</v>
      </c>
      <c r="M1159">
        <v>1</v>
      </c>
      <c r="N1159">
        <v>1</v>
      </c>
      <c r="O1159">
        <v>1</v>
      </c>
      <c r="P1159">
        <v>1</v>
      </c>
      <c r="R1159">
        <v>43</v>
      </c>
      <c r="S1159">
        <v>1</v>
      </c>
      <c r="T1159">
        <v>1</v>
      </c>
      <c r="U1159">
        <v>1</v>
      </c>
      <c r="V1159">
        <v>1</v>
      </c>
      <c r="W1159">
        <v>1</v>
      </c>
      <c r="X1159">
        <v>1</v>
      </c>
      <c r="AA1159">
        <v>-7374.9579999999996</v>
      </c>
      <c r="AB1159">
        <v>-7374.9579999999996</v>
      </c>
      <c r="AC1159">
        <v>-7374.9579999999996</v>
      </c>
      <c r="AD1159">
        <v>-7374.9579999999996</v>
      </c>
      <c r="AE1159">
        <v>-7374.9579999999996</v>
      </c>
      <c r="AF1159">
        <v>-7374.9579999999996</v>
      </c>
    </row>
    <row r="1160" spans="2:32" x14ac:dyDescent="0.25">
      <c r="B1160">
        <v>44</v>
      </c>
      <c r="C1160">
        <v>1</v>
      </c>
      <c r="D1160">
        <v>1</v>
      </c>
      <c r="E1160">
        <v>1</v>
      </c>
      <c r="F1160">
        <v>1</v>
      </c>
      <c r="G1160">
        <v>1</v>
      </c>
      <c r="H1160">
        <v>1</v>
      </c>
      <c r="J1160">
        <v>44</v>
      </c>
      <c r="K1160">
        <v>1</v>
      </c>
      <c r="L1160">
        <v>1</v>
      </c>
      <c r="M1160">
        <v>1</v>
      </c>
      <c r="N1160">
        <v>1</v>
      </c>
      <c r="O1160">
        <v>1</v>
      </c>
      <c r="P1160">
        <v>1</v>
      </c>
      <c r="R1160">
        <v>44</v>
      </c>
      <c r="S1160">
        <v>1</v>
      </c>
      <c r="T1160">
        <v>1</v>
      </c>
      <c r="U1160">
        <v>1</v>
      </c>
      <c r="V1160">
        <v>1</v>
      </c>
      <c r="W1160">
        <v>1</v>
      </c>
      <c r="X1160">
        <v>1</v>
      </c>
      <c r="AA1160">
        <v>-7367.2034999999996</v>
      </c>
      <c r="AB1160">
        <v>-7367.2034999999996</v>
      </c>
      <c r="AC1160">
        <v>-7367.2034999999996</v>
      </c>
      <c r="AD1160">
        <v>-7367.2034999999996</v>
      </c>
      <c r="AE1160">
        <v>-7367.2034999999996</v>
      </c>
      <c r="AF1160">
        <v>-7367.2034999999996</v>
      </c>
    </row>
    <row r="1161" spans="2:32" x14ac:dyDescent="0.25">
      <c r="B1161">
        <v>45</v>
      </c>
      <c r="C1161">
        <v>1</v>
      </c>
      <c r="D1161">
        <v>1</v>
      </c>
      <c r="E1161">
        <v>1</v>
      </c>
      <c r="F1161">
        <v>1</v>
      </c>
      <c r="G1161">
        <v>1</v>
      </c>
      <c r="H1161">
        <v>1</v>
      </c>
      <c r="J1161">
        <v>45</v>
      </c>
      <c r="K1161">
        <v>1</v>
      </c>
      <c r="L1161">
        <v>1</v>
      </c>
      <c r="M1161">
        <v>1</v>
      </c>
      <c r="N1161">
        <v>1</v>
      </c>
      <c r="O1161">
        <v>1</v>
      </c>
      <c r="P1161">
        <v>1</v>
      </c>
      <c r="R1161">
        <v>45</v>
      </c>
      <c r="S1161">
        <v>1</v>
      </c>
      <c r="T1161">
        <v>1</v>
      </c>
      <c r="U1161">
        <v>1</v>
      </c>
      <c r="V1161">
        <v>1</v>
      </c>
      <c r="W1161">
        <v>1</v>
      </c>
      <c r="X1161">
        <v>1</v>
      </c>
      <c r="AA1161">
        <v>-7358.6491999999998</v>
      </c>
      <c r="AB1161">
        <v>-7358.6491999999998</v>
      </c>
      <c r="AC1161">
        <v>-7358.6491999999998</v>
      </c>
      <c r="AD1161">
        <v>-7358.6491999999998</v>
      </c>
      <c r="AE1161">
        <v>-7358.6491999999998</v>
      </c>
      <c r="AF1161">
        <v>-7358.6491999999998</v>
      </c>
    </row>
    <row r="1162" spans="2:32" x14ac:dyDescent="0.25">
      <c r="B1162">
        <v>46</v>
      </c>
      <c r="C1162">
        <v>1</v>
      </c>
      <c r="D1162">
        <v>1</v>
      </c>
      <c r="E1162">
        <v>1</v>
      </c>
      <c r="F1162">
        <v>1</v>
      </c>
      <c r="G1162">
        <v>1</v>
      </c>
      <c r="H1162">
        <v>1</v>
      </c>
      <c r="J1162">
        <v>46</v>
      </c>
      <c r="K1162">
        <v>1</v>
      </c>
      <c r="L1162">
        <v>1</v>
      </c>
      <c r="M1162">
        <v>1</v>
      </c>
      <c r="N1162">
        <v>1</v>
      </c>
      <c r="O1162">
        <v>1</v>
      </c>
      <c r="P1162">
        <v>1</v>
      </c>
      <c r="R1162">
        <v>46</v>
      </c>
      <c r="S1162">
        <v>1</v>
      </c>
      <c r="T1162">
        <v>1</v>
      </c>
      <c r="U1162">
        <v>1</v>
      </c>
      <c r="V1162">
        <v>1</v>
      </c>
      <c r="W1162">
        <v>1</v>
      </c>
      <c r="X1162">
        <v>1</v>
      </c>
      <c r="AA1162">
        <v>-7349.2232000000004</v>
      </c>
      <c r="AB1162">
        <v>-7349.2232000000004</v>
      </c>
      <c r="AC1162">
        <v>-7349.2232000000004</v>
      </c>
      <c r="AD1162">
        <v>-7349.2232000000004</v>
      </c>
      <c r="AE1162">
        <v>-7349.2232000000004</v>
      </c>
      <c r="AF1162">
        <v>-7349.2232000000004</v>
      </c>
    </row>
    <row r="1163" spans="2:32" x14ac:dyDescent="0.25">
      <c r="B1163">
        <v>47</v>
      </c>
      <c r="C1163">
        <v>1</v>
      </c>
      <c r="D1163">
        <v>1</v>
      </c>
      <c r="E1163">
        <v>1</v>
      </c>
      <c r="F1163">
        <v>1</v>
      </c>
      <c r="G1163">
        <v>1</v>
      </c>
      <c r="H1163">
        <v>1</v>
      </c>
      <c r="J1163">
        <v>47</v>
      </c>
      <c r="K1163">
        <v>1</v>
      </c>
      <c r="L1163">
        <v>1</v>
      </c>
      <c r="M1163">
        <v>1</v>
      </c>
      <c r="N1163">
        <v>1</v>
      </c>
      <c r="O1163">
        <v>1</v>
      </c>
      <c r="P1163">
        <v>1</v>
      </c>
      <c r="R1163">
        <v>47</v>
      </c>
      <c r="S1163">
        <v>1</v>
      </c>
      <c r="T1163">
        <v>1</v>
      </c>
      <c r="U1163">
        <v>1</v>
      </c>
      <c r="V1163">
        <v>1</v>
      </c>
      <c r="W1163">
        <v>1</v>
      </c>
      <c r="X1163">
        <v>1</v>
      </c>
      <c r="AA1163">
        <v>-7338.8310000000001</v>
      </c>
      <c r="AB1163">
        <v>-7338.8310000000001</v>
      </c>
      <c r="AC1163">
        <v>-7338.8310000000001</v>
      </c>
      <c r="AD1163">
        <v>-7338.8310000000001</v>
      </c>
      <c r="AE1163">
        <v>-7338.8310000000001</v>
      </c>
      <c r="AF1163">
        <v>-7338.8310000000001</v>
      </c>
    </row>
    <row r="1164" spans="2:32" x14ac:dyDescent="0.25">
      <c r="B1164">
        <v>48</v>
      </c>
      <c r="C1164">
        <v>1</v>
      </c>
      <c r="D1164">
        <v>1</v>
      </c>
      <c r="E1164">
        <v>1</v>
      </c>
      <c r="F1164">
        <v>1</v>
      </c>
      <c r="G1164">
        <v>1</v>
      </c>
      <c r="H1164">
        <v>1</v>
      </c>
      <c r="J1164">
        <v>48</v>
      </c>
      <c r="K1164">
        <v>1</v>
      </c>
      <c r="L1164">
        <v>1</v>
      </c>
      <c r="M1164">
        <v>1</v>
      </c>
      <c r="N1164">
        <v>1</v>
      </c>
      <c r="O1164">
        <v>1</v>
      </c>
      <c r="P1164">
        <v>1</v>
      </c>
      <c r="R1164">
        <v>48</v>
      </c>
      <c r="S1164">
        <v>1</v>
      </c>
      <c r="T1164">
        <v>1</v>
      </c>
      <c r="U1164">
        <v>1</v>
      </c>
      <c r="V1164">
        <v>1</v>
      </c>
      <c r="W1164">
        <v>1</v>
      </c>
      <c r="X1164">
        <v>1</v>
      </c>
      <c r="AA1164">
        <v>-7327.4297999999999</v>
      </c>
      <c r="AB1164">
        <v>-7327.4297999999999</v>
      </c>
      <c r="AC1164">
        <v>-7327.4297999999999</v>
      </c>
      <c r="AD1164">
        <v>-7327.4297999999999</v>
      </c>
      <c r="AE1164">
        <v>-7327.4297999999999</v>
      </c>
      <c r="AF1164">
        <v>-7327.4297999999999</v>
      </c>
    </row>
    <row r="1165" spans="2:32" x14ac:dyDescent="0.25">
      <c r="B1165">
        <v>49</v>
      </c>
      <c r="C1165">
        <v>1</v>
      </c>
      <c r="D1165">
        <v>1</v>
      </c>
      <c r="E1165">
        <v>1</v>
      </c>
      <c r="F1165">
        <v>1</v>
      </c>
      <c r="G1165">
        <v>1</v>
      </c>
      <c r="H1165">
        <v>1</v>
      </c>
      <c r="J1165">
        <v>49</v>
      </c>
      <c r="K1165">
        <v>1</v>
      </c>
      <c r="L1165">
        <v>1</v>
      </c>
      <c r="M1165">
        <v>1</v>
      </c>
      <c r="N1165">
        <v>1</v>
      </c>
      <c r="O1165">
        <v>1</v>
      </c>
      <c r="P1165">
        <v>1</v>
      </c>
      <c r="R1165">
        <v>49</v>
      </c>
      <c r="S1165">
        <v>1</v>
      </c>
      <c r="T1165">
        <v>1</v>
      </c>
      <c r="U1165">
        <v>1</v>
      </c>
      <c r="V1165">
        <v>1</v>
      </c>
      <c r="W1165">
        <v>1</v>
      </c>
      <c r="X1165">
        <v>1</v>
      </c>
      <c r="AA1165">
        <v>-7314.951</v>
      </c>
      <c r="AB1165">
        <v>-7314.951</v>
      </c>
      <c r="AC1165">
        <v>-7314.951</v>
      </c>
      <c r="AD1165">
        <v>-7314.951</v>
      </c>
      <c r="AE1165">
        <v>-7314.951</v>
      </c>
      <c r="AF1165">
        <v>-7314.951</v>
      </c>
    </row>
    <row r="1166" spans="2:32" x14ac:dyDescent="0.25">
      <c r="B1166">
        <v>50</v>
      </c>
      <c r="C1166">
        <v>1</v>
      </c>
      <c r="D1166">
        <v>1</v>
      </c>
      <c r="E1166">
        <v>1</v>
      </c>
      <c r="F1166">
        <v>1</v>
      </c>
      <c r="G1166">
        <v>1</v>
      </c>
      <c r="H1166">
        <v>1</v>
      </c>
      <c r="J1166">
        <v>50</v>
      </c>
      <c r="K1166">
        <v>1</v>
      </c>
      <c r="L1166">
        <v>1</v>
      </c>
      <c r="M1166">
        <v>1</v>
      </c>
      <c r="N1166">
        <v>1</v>
      </c>
      <c r="O1166">
        <v>1</v>
      </c>
      <c r="P1166">
        <v>1</v>
      </c>
      <c r="R1166">
        <v>50</v>
      </c>
      <c r="S1166">
        <v>1</v>
      </c>
      <c r="T1166">
        <v>1</v>
      </c>
      <c r="U1166">
        <v>1</v>
      </c>
      <c r="V1166">
        <v>1</v>
      </c>
      <c r="W1166">
        <v>1</v>
      </c>
      <c r="X1166">
        <v>1</v>
      </c>
      <c r="AA1166">
        <v>-7301.2851000000001</v>
      </c>
      <c r="AB1166">
        <v>-7301.2851000000001</v>
      </c>
      <c r="AC1166">
        <v>-7301.2851000000001</v>
      </c>
      <c r="AD1166">
        <v>-7301.2851000000001</v>
      </c>
      <c r="AE1166">
        <v>-7301.2851000000001</v>
      </c>
      <c r="AF1166">
        <v>-7301.2851000000001</v>
      </c>
    </row>
    <row r="1167" spans="2:32" x14ac:dyDescent="0.25">
      <c r="B1167">
        <v>51</v>
      </c>
      <c r="C1167">
        <v>1</v>
      </c>
      <c r="D1167">
        <v>1</v>
      </c>
      <c r="E1167">
        <v>1</v>
      </c>
      <c r="F1167">
        <v>1</v>
      </c>
      <c r="G1167">
        <v>1</v>
      </c>
      <c r="H1167">
        <v>1</v>
      </c>
      <c r="J1167">
        <v>51</v>
      </c>
      <c r="K1167">
        <v>1</v>
      </c>
      <c r="L1167">
        <v>1</v>
      </c>
      <c r="M1167">
        <v>1</v>
      </c>
      <c r="N1167">
        <v>1</v>
      </c>
      <c r="O1167">
        <v>1</v>
      </c>
      <c r="P1167">
        <v>1</v>
      </c>
      <c r="R1167">
        <v>51</v>
      </c>
      <c r="S1167">
        <v>1</v>
      </c>
      <c r="T1167">
        <v>1</v>
      </c>
      <c r="U1167">
        <v>1</v>
      </c>
      <c r="V1167">
        <v>1</v>
      </c>
      <c r="W1167">
        <v>1</v>
      </c>
      <c r="X1167">
        <v>1</v>
      </c>
      <c r="AA1167">
        <v>-7286.3271000000004</v>
      </c>
      <c r="AB1167">
        <v>-7286.3271000000004</v>
      </c>
      <c r="AC1167">
        <v>-7286.3271000000004</v>
      </c>
      <c r="AD1167">
        <v>-7286.3271000000004</v>
      </c>
      <c r="AE1167">
        <v>-7286.3271000000004</v>
      </c>
      <c r="AF1167">
        <v>-7286.3271000000004</v>
      </c>
    </row>
    <row r="1168" spans="2:32" x14ac:dyDescent="0.25">
      <c r="B1168">
        <v>52</v>
      </c>
      <c r="C1168">
        <v>1</v>
      </c>
      <c r="D1168">
        <v>1</v>
      </c>
      <c r="E1168">
        <v>1</v>
      </c>
      <c r="F1168">
        <v>1</v>
      </c>
      <c r="G1168">
        <v>1</v>
      </c>
      <c r="H1168">
        <v>1</v>
      </c>
      <c r="J1168">
        <v>52</v>
      </c>
      <c r="K1168">
        <v>1</v>
      </c>
      <c r="L1168">
        <v>1</v>
      </c>
      <c r="M1168">
        <v>1</v>
      </c>
      <c r="N1168">
        <v>1</v>
      </c>
      <c r="O1168">
        <v>1</v>
      </c>
      <c r="P1168">
        <v>1</v>
      </c>
      <c r="R1168">
        <v>52</v>
      </c>
      <c r="S1168">
        <v>1</v>
      </c>
      <c r="T1168">
        <v>1</v>
      </c>
      <c r="U1168">
        <v>1</v>
      </c>
      <c r="V1168">
        <v>1</v>
      </c>
      <c r="W1168">
        <v>1</v>
      </c>
      <c r="X1168">
        <v>1</v>
      </c>
      <c r="AA1168">
        <v>-7269.9448000000002</v>
      </c>
      <c r="AB1168">
        <v>-7269.9448000000002</v>
      </c>
      <c r="AC1168">
        <v>-7269.9448000000002</v>
      </c>
      <c r="AD1168">
        <v>-7269.9448000000002</v>
      </c>
      <c r="AE1168">
        <v>-7269.9448000000002</v>
      </c>
      <c r="AF1168">
        <v>-7269.9448000000002</v>
      </c>
    </row>
    <row r="1169" spans="2:32" x14ac:dyDescent="0.25">
      <c r="B1169">
        <v>53</v>
      </c>
      <c r="C1169">
        <v>1</v>
      </c>
      <c r="D1169">
        <v>1</v>
      </c>
      <c r="E1169">
        <v>1</v>
      </c>
      <c r="F1169">
        <v>1</v>
      </c>
      <c r="G1169">
        <v>1</v>
      </c>
      <c r="H1169">
        <v>1</v>
      </c>
      <c r="J1169">
        <v>53</v>
      </c>
      <c r="K1169">
        <v>1</v>
      </c>
      <c r="L1169">
        <v>1</v>
      </c>
      <c r="M1169">
        <v>1</v>
      </c>
      <c r="N1169">
        <v>1</v>
      </c>
      <c r="O1169">
        <v>1</v>
      </c>
      <c r="P1169">
        <v>1</v>
      </c>
      <c r="R1169">
        <v>53</v>
      </c>
      <c r="S1169">
        <v>1</v>
      </c>
      <c r="T1169">
        <v>1</v>
      </c>
      <c r="U1169">
        <v>1</v>
      </c>
      <c r="V1169">
        <v>1</v>
      </c>
      <c r="W1169">
        <v>1</v>
      </c>
      <c r="X1169">
        <v>1</v>
      </c>
      <c r="AA1169">
        <v>-7252.0574999999999</v>
      </c>
      <c r="AB1169">
        <v>-7252.0574999999999</v>
      </c>
      <c r="AC1169">
        <v>-7252.0574999999999</v>
      </c>
      <c r="AD1169">
        <v>-7252.0574999999999</v>
      </c>
      <c r="AE1169">
        <v>-7252.0574999999999</v>
      </c>
      <c r="AF1169">
        <v>-7252.0574999999999</v>
      </c>
    </row>
    <row r="1170" spans="2:32" x14ac:dyDescent="0.25">
      <c r="B1170">
        <v>54</v>
      </c>
      <c r="C1170">
        <v>1</v>
      </c>
      <c r="D1170">
        <v>1</v>
      </c>
      <c r="E1170">
        <v>1</v>
      </c>
      <c r="F1170">
        <v>1</v>
      </c>
      <c r="G1170">
        <v>1</v>
      </c>
      <c r="H1170">
        <v>1</v>
      </c>
      <c r="J1170">
        <v>54</v>
      </c>
      <c r="K1170">
        <v>1</v>
      </c>
      <c r="L1170">
        <v>1</v>
      </c>
      <c r="M1170">
        <v>1</v>
      </c>
      <c r="N1170">
        <v>1</v>
      </c>
      <c r="O1170">
        <v>1</v>
      </c>
      <c r="P1170">
        <v>1</v>
      </c>
      <c r="R1170">
        <v>54</v>
      </c>
      <c r="S1170">
        <v>1</v>
      </c>
      <c r="T1170">
        <v>1</v>
      </c>
      <c r="U1170">
        <v>1</v>
      </c>
      <c r="V1170">
        <v>1</v>
      </c>
      <c r="W1170">
        <v>1</v>
      </c>
      <c r="X1170">
        <v>1</v>
      </c>
      <c r="AA1170">
        <v>-7232.5680000000002</v>
      </c>
      <c r="AB1170">
        <v>-7232.5680000000002</v>
      </c>
      <c r="AC1170">
        <v>-7232.5680000000002</v>
      </c>
      <c r="AD1170">
        <v>-7232.5680000000002</v>
      </c>
      <c r="AE1170">
        <v>-7232.5680000000002</v>
      </c>
      <c r="AF1170">
        <v>-7232.5680000000002</v>
      </c>
    </row>
    <row r="1171" spans="2:32" x14ac:dyDescent="0.25">
      <c r="B1171">
        <v>55</v>
      </c>
      <c r="C1171">
        <v>1</v>
      </c>
      <c r="D1171">
        <v>1</v>
      </c>
      <c r="E1171">
        <v>1</v>
      </c>
      <c r="F1171">
        <v>1</v>
      </c>
      <c r="G1171">
        <v>1</v>
      </c>
      <c r="H1171">
        <v>1</v>
      </c>
      <c r="J1171">
        <v>55</v>
      </c>
      <c r="K1171">
        <v>1</v>
      </c>
      <c r="L1171">
        <v>1</v>
      </c>
      <c r="M1171">
        <v>1</v>
      </c>
      <c r="N1171">
        <v>1</v>
      </c>
      <c r="O1171">
        <v>1</v>
      </c>
      <c r="P1171">
        <v>1</v>
      </c>
      <c r="R1171">
        <v>55</v>
      </c>
      <c r="S1171">
        <v>1</v>
      </c>
      <c r="T1171">
        <v>1</v>
      </c>
      <c r="U1171">
        <v>1</v>
      </c>
      <c r="V1171">
        <v>1</v>
      </c>
      <c r="W1171">
        <v>1</v>
      </c>
      <c r="X1171">
        <v>1</v>
      </c>
      <c r="AA1171">
        <v>-7211.3207000000002</v>
      </c>
      <c r="AB1171">
        <v>-7211.3207000000002</v>
      </c>
      <c r="AC1171">
        <v>-7211.3207000000002</v>
      </c>
      <c r="AD1171">
        <v>-7211.3207000000002</v>
      </c>
      <c r="AE1171">
        <v>-7211.3207000000002</v>
      </c>
      <c r="AF1171">
        <v>-7211.3207000000002</v>
      </c>
    </row>
    <row r="1174" spans="2:32" x14ac:dyDescent="0.25">
      <c r="B1174" t="s">
        <v>46</v>
      </c>
      <c r="C1174">
        <v>100000</v>
      </c>
      <c r="D1174">
        <v>250000</v>
      </c>
      <c r="E1174">
        <v>500000</v>
      </c>
      <c r="F1174">
        <v>1000000</v>
      </c>
      <c r="G1174">
        <v>2000000</v>
      </c>
      <c r="J1174" t="s">
        <v>32</v>
      </c>
      <c r="K1174">
        <v>100000</v>
      </c>
      <c r="L1174">
        <v>250000</v>
      </c>
      <c r="M1174">
        <v>500000</v>
      </c>
      <c r="N1174">
        <v>1000000</v>
      </c>
      <c r="O1174">
        <v>2000000</v>
      </c>
      <c r="R1174" t="s">
        <v>48</v>
      </c>
      <c r="S1174">
        <v>100000</v>
      </c>
      <c r="T1174">
        <v>250000</v>
      </c>
      <c r="U1174">
        <v>500000</v>
      </c>
      <c r="V1174">
        <v>1000000</v>
      </c>
      <c r="W1174">
        <v>2000000</v>
      </c>
    </row>
    <row r="1175" spans="2:32" x14ac:dyDescent="0.25">
      <c r="B1175">
        <v>35</v>
      </c>
      <c r="C1175">
        <v>1</v>
      </c>
      <c r="D1175">
        <v>1</v>
      </c>
      <c r="E1175">
        <v>1</v>
      </c>
      <c r="F1175">
        <v>1</v>
      </c>
      <c r="G1175">
        <v>1</v>
      </c>
      <c r="J1175">
        <v>35</v>
      </c>
      <c r="K1175">
        <v>1</v>
      </c>
      <c r="L1175">
        <v>1</v>
      </c>
      <c r="M1175">
        <v>1</v>
      </c>
      <c r="N1175">
        <v>1</v>
      </c>
      <c r="O1175">
        <v>1</v>
      </c>
      <c r="R1175">
        <v>35</v>
      </c>
      <c r="S1175">
        <v>1</v>
      </c>
      <c r="T1175">
        <v>1</v>
      </c>
      <c r="U1175">
        <v>1</v>
      </c>
      <c r="V1175">
        <v>1</v>
      </c>
      <c r="W1175">
        <v>1</v>
      </c>
      <c r="AA1175">
        <v>-11308.6893</v>
      </c>
      <c r="AB1175">
        <v>-11308.6893</v>
      </c>
      <c r="AC1175">
        <v>-11308.6893</v>
      </c>
      <c r="AD1175">
        <v>-11308.6893</v>
      </c>
      <c r="AE1175">
        <v>-11308.6893</v>
      </c>
      <c r="AF1175">
        <v>-759112.79520000005</v>
      </c>
    </row>
    <row r="1176" spans="2:32" x14ac:dyDescent="0.25">
      <c r="B1176">
        <f t="shared" ref="B1176:B1205" si="51">B1175+1</f>
        <v>36</v>
      </c>
      <c r="C1176">
        <v>1</v>
      </c>
      <c r="D1176">
        <v>1</v>
      </c>
      <c r="E1176">
        <v>1</v>
      </c>
      <c r="F1176">
        <v>1</v>
      </c>
      <c r="G1176">
        <v>1</v>
      </c>
      <c r="J1176">
        <f t="shared" ref="J1176:J1205" si="52">J1175+1</f>
        <v>36</v>
      </c>
      <c r="K1176">
        <v>1</v>
      </c>
      <c r="L1176">
        <v>1</v>
      </c>
      <c r="M1176">
        <v>1</v>
      </c>
      <c r="N1176">
        <v>1</v>
      </c>
      <c r="O1176">
        <v>1</v>
      </c>
      <c r="R1176">
        <f t="shared" ref="R1176:R1205" si="53">R1175+1</f>
        <v>36</v>
      </c>
      <c r="S1176">
        <v>1</v>
      </c>
      <c r="T1176">
        <v>1</v>
      </c>
      <c r="U1176">
        <v>1</v>
      </c>
      <c r="V1176">
        <v>1</v>
      </c>
      <c r="W1176">
        <v>1</v>
      </c>
      <c r="AA1176">
        <v>-11214.2592</v>
      </c>
      <c r="AB1176">
        <v>-11214.2592</v>
      </c>
      <c r="AC1176">
        <v>-11214.2592</v>
      </c>
      <c r="AD1176">
        <v>-11214.2592</v>
      </c>
      <c r="AE1176">
        <v>-11214.2592</v>
      </c>
      <c r="AF1176">
        <v>-737070.86179999996</v>
      </c>
    </row>
    <row r="1177" spans="2:32" x14ac:dyDescent="0.25">
      <c r="B1177">
        <f t="shared" si="51"/>
        <v>37</v>
      </c>
      <c r="C1177">
        <v>1</v>
      </c>
      <c r="D1177">
        <v>1</v>
      </c>
      <c r="E1177">
        <v>1</v>
      </c>
      <c r="F1177">
        <v>1</v>
      </c>
      <c r="G1177">
        <v>1</v>
      </c>
      <c r="J1177">
        <f t="shared" si="52"/>
        <v>37</v>
      </c>
      <c r="K1177">
        <v>1</v>
      </c>
      <c r="L1177">
        <v>1</v>
      </c>
      <c r="M1177">
        <v>1</v>
      </c>
      <c r="N1177">
        <v>1</v>
      </c>
      <c r="O1177">
        <v>1</v>
      </c>
      <c r="R1177">
        <f t="shared" si="53"/>
        <v>37</v>
      </c>
      <c r="S1177">
        <v>1</v>
      </c>
      <c r="T1177">
        <v>1</v>
      </c>
      <c r="U1177">
        <v>1</v>
      </c>
      <c r="V1177">
        <v>1</v>
      </c>
      <c r="W1177">
        <v>1</v>
      </c>
      <c r="AA1177">
        <v>-11117.406199999999</v>
      </c>
      <c r="AB1177">
        <v>-11117.406199999999</v>
      </c>
      <c r="AC1177">
        <v>-11117.406199999999</v>
      </c>
      <c r="AD1177">
        <v>-11117.406199999999</v>
      </c>
      <c r="AE1177">
        <v>-11117.406199999999</v>
      </c>
      <c r="AF1177">
        <v>-737070.86179999996</v>
      </c>
    </row>
    <row r="1178" spans="2:32" x14ac:dyDescent="0.25">
      <c r="B1178">
        <f t="shared" si="51"/>
        <v>38</v>
      </c>
      <c r="C1178">
        <v>1</v>
      </c>
      <c r="D1178">
        <v>1</v>
      </c>
      <c r="E1178">
        <v>1</v>
      </c>
      <c r="F1178">
        <v>1</v>
      </c>
      <c r="G1178">
        <v>1</v>
      </c>
      <c r="J1178">
        <f t="shared" si="52"/>
        <v>38</v>
      </c>
      <c r="K1178">
        <v>1</v>
      </c>
      <c r="L1178">
        <v>1</v>
      </c>
      <c r="M1178">
        <v>1</v>
      </c>
      <c r="N1178">
        <v>1</v>
      </c>
      <c r="O1178">
        <v>1</v>
      </c>
      <c r="R1178">
        <f t="shared" si="53"/>
        <v>38</v>
      </c>
      <c r="S1178">
        <v>1</v>
      </c>
      <c r="T1178">
        <v>1</v>
      </c>
      <c r="U1178">
        <v>1</v>
      </c>
      <c r="V1178">
        <v>1</v>
      </c>
      <c r="W1178">
        <v>1</v>
      </c>
      <c r="AA1178">
        <v>-11018.229799999999</v>
      </c>
      <c r="AB1178">
        <v>-11018.229799999999</v>
      </c>
      <c r="AC1178">
        <v>-11018.229799999999</v>
      </c>
      <c r="AD1178">
        <v>-11018.229799999999</v>
      </c>
      <c r="AE1178">
        <v>-11018.229799999999</v>
      </c>
      <c r="AF1178">
        <v>-783780.576</v>
      </c>
    </row>
    <row r="1179" spans="2:32" x14ac:dyDescent="0.25">
      <c r="B1179">
        <f t="shared" si="51"/>
        <v>39</v>
      </c>
      <c r="C1179">
        <v>1</v>
      </c>
      <c r="D1179">
        <v>1</v>
      </c>
      <c r="E1179">
        <v>1</v>
      </c>
      <c r="F1179">
        <v>1</v>
      </c>
      <c r="G1179">
        <v>1</v>
      </c>
      <c r="J1179">
        <f t="shared" si="52"/>
        <v>39</v>
      </c>
      <c r="K1179">
        <v>1</v>
      </c>
      <c r="L1179">
        <v>1</v>
      </c>
      <c r="M1179">
        <v>1</v>
      </c>
      <c r="N1179">
        <v>1</v>
      </c>
      <c r="O1179">
        <v>1</v>
      </c>
      <c r="R1179">
        <f t="shared" si="53"/>
        <v>39</v>
      </c>
      <c r="S1179">
        <v>1</v>
      </c>
      <c r="T1179">
        <v>1</v>
      </c>
      <c r="U1179">
        <v>1</v>
      </c>
      <c r="V1179">
        <v>1</v>
      </c>
      <c r="W1179">
        <v>1</v>
      </c>
      <c r="AA1179">
        <v>-10916.737999999999</v>
      </c>
      <c r="AB1179">
        <v>-10916.737999999999</v>
      </c>
      <c r="AC1179">
        <v>-10916.737999999999</v>
      </c>
      <c r="AD1179">
        <v>-10916.737999999999</v>
      </c>
      <c r="AE1179">
        <v>-10916.737999999999</v>
      </c>
      <c r="AF1179">
        <v>-769662.22069999995</v>
      </c>
    </row>
    <row r="1180" spans="2:32" x14ac:dyDescent="0.25">
      <c r="B1180">
        <f t="shared" si="51"/>
        <v>40</v>
      </c>
      <c r="C1180">
        <v>1</v>
      </c>
      <c r="D1180">
        <v>1</v>
      </c>
      <c r="E1180">
        <v>1</v>
      </c>
      <c r="F1180">
        <v>1</v>
      </c>
      <c r="G1180">
        <v>1</v>
      </c>
      <c r="J1180">
        <f t="shared" si="52"/>
        <v>40</v>
      </c>
      <c r="K1180">
        <v>1</v>
      </c>
      <c r="L1180">
        <v>1</v>
      </c>
      <c r="M1180">
        <v>1</v>
      </c>
      <c r="N1180">
        <v>1</v>
      </c>
      <c r="O1180">
        <v>1</v>
      </c>
      <c r="R1180">
        <f t="shared" si="53"/>
        <v>40</v>
      </c>
      <c r="S1180">
        <v>1</v>
      </c>
      <c r="T1180">
        <v>1</v>
      </c>
      <c r="U1180">
        <v>1</v>
      </c>
      <c r="V1180">
        <v>1</v>
      </c>
      <c r="W1180">
        <v>1</v>
      </c>
      <c r="AA1180">
        <v>-10812.8714</v>
      </c>
      <c r="AB1180">
        <v>-10812.8714</v>
      </c>
      <c r="AC1180">
        <v>-10812.8714</v>
      </c>
      <c r="AD1180">
        <v>-10812.8714</v>
      </c>
      <c r="AE1180">
        <v>-10812.8714</v>
      </c>
      <c r="AF1180">
        <v>-798570.41119999997</v>
      </c>
    </row>
    <row r="1181" spans="2:32" x14ac:dyDescent="0.25">
      <c r="B1181">
        <f t="shared" si="51"/>
        <v>41</v>
      </c>
      <c r="C1181">
        <v>1</v>
      </c>
      <c r="D1181">
        <v>1</v>
      </c>
      <c r="E1181">
        <v>1</v>
      </c>
      <c r="F1181">
        <v>1</v>
      </c>
      <c r="G1181">
        <v>1</v>
      </c>
      <c r="J1181">
        <f t="shared" si="52"/>
        <v>41</v>
      </c>
      <c r="K1181">
        <v>1</v>
      </c>
      <c r="L1181">
        <v>1</v>
      </c>
      <c r="M1181">
        <v>1</v>
      </c>
      <c r="N1181">
        <v>1</v>
      </c>
      <c r="O1181">
        <v>1</v>
      </c>
      <c r="R1181">
        <f t="shared" si="53"/>
        <v>41</v>
      </c>
      <c r="S1181">
        <v>1</v>
      </c>
      <c r="T1181">
        <v>1</v>
      </c>
      <c r="U1181">
        <v>1</v>
      </c>
      <c r="V1181">
        <v>1</v>
      </c>
      <c r="W1181">
        <v>1</v>
      </c>
      <c r="AA1181">
        <v>-10706.559600000001</v>
      </c>
      <c r="AB1181">
        <v>-10706.559600000001</v>
      </c>
      <c r="AC1181">
        <v>-10706.559600000001</v>
      </c>
      <c r="AD1181">
        <v>-10706.559600000001</v>
      </c>
      <c r="AE1181">
        <v>-10706.559600000001</v>
      </c>
      <c r="AF1181">
        <v>-803549.96459999995</v>
      </c>
    </row>
    <row r="1182" spans="2:32" x14ac:dyDescent="0.25">
      <c r="B1182">
        <f t="shared" si="51"/>
        <v>42</v>
      </c>
      <c r="C1182">
        <v>1</v>
      </c>
      <c r="D1182">
        <v>1</v>
      </c>
      <c r="E1182">
        <v>1</v>
      </c>
      <c r="F1182">
        <v>1</v>
      </c>
      <c r="G1182">
        <v>1</v>
      </c>
      <c r="J1182">
        <f t="shared" si="52"/>
        <v>42</v>
      </c>
      <c r="K1182">
        <v>1</v>
      </c>
      <c r="L1182">
        <v>1</v>
      </c>
      <c r="M1182">
        <v>1</v>
      </c>
      <c r="N1182">
        <v>1</v>
      </c>
      <c r="O1182">
        <v>1</v>
      </c>
      <c r="R1182">
        <f t="shared" si="53"/>
        <v>42</v>
      </c>
      <c r="S1182">
        <v>1</v>
      </c>
      <c r="T1182">
        <v>1</v>
      </c>
      <c r="U1182">
        <v>1</v>
      </c>
      <c r="V1182">
        <v>1</v>
      </c>
      <c r="W1182">
        <v>1</v>
      </c>
      <c r="AA1182">
        <v>-10597.8485</v>
      </c>
      <c r="AB1182">
        <v>-10597.8485</v>
      </c>
      <c r="AC1182">
        <v>-10597.8485</v>
      </c>
      <c r="AD1182">
        <v>-10597.8485</v>
      </c>
      <c r="AE1182">
        <v>-10597.8485</v>
      </c>
      <c r="AF1182">
        <v>-833551.75890000002</v>
      </c>
    </row>
    <row r="1183" spans="2:32" x14ac:dyDescent="0.25">
      <c r="B1183">
        <f t="shared" si="51"/>
        <v>43</v>
      </c>
      <c r="C1183">
        <v>1</v>
      </c>
      <c r="D1183">
        <v>1</v>
      </c>
      <c r="E1183">
        <v>1</v>
      </c>
      <c r="F1183">
        <v>1</v>
      </c>
      <c r="G1183">
        <v>1</v>
      </c>
      <c r="J1183">
        <f t="shared" si="52"/>
        <v>43</v>
      </c>
      <c r="K1183">
        <v>1</v>
      </c>
      <c r="L1183">
        <v>1</v>
      </c>
      <c r="M1183">
        <v>1</v>
      </c>
      <c r="N1183">
        <v>1</v>
      </c>
      <c r="O1183">
        <v>1</v>
      </c>
      <c r="R1183">
        <f t="shared" si="53"/>
        <v>43</v>
      </c>
      <c r="S1183">
        <v>1</v>
      </c>
      <c r="T1183">
        <v>1</v>
      </c>
      <c r="U1183">
        <v>1</v>
      </c>
      <c r="V1183">
        <v>1</v>
      </c>
      <c r="W1183">
        <v>1</v>
      </c>
      <c r="AA1183">
        <v>-10486.615400000001</v>
      </c>
      <c r="AB1183">
        <v>-10486.615400000001</v>
      </c>
      <c r="AC1183">
        <v>-10486.615400000001</v>
      </c>
      <c r="AD1183">
        <v>-10486.615400000001</v>
      </c>
      <c r="AE1183">
        <v>-10486.615400000001</v>
      </c>
      <c r="AF1183">
        <v>-844950.93949999998</v>
      </c>
    </row>
    <row r="1184" spans="2:32" x14ac:dyDescent="0.25">
      <c r="B1184">
        <f t="shared" si="51"/>
        <v>44</v>
      </c>
      <c r="C1184">
        <v>1</v>
      </c>
      <c r="D1184">
        <v>1</v>
      </c>
      <c r="E1184">
        <v>1</v>
      </c>
      <c r="F1184">
        <v>1</v>
      </c>
      <c r="G1184">
        <v>1</v>
      </c>
      <c r="J1184">
        <f t="shared" si="52"/>
        <v>44</v>
      </c>
      <c r="K1184">
        <v>1</v>
      </c>
      <c r="L1184">
        <v>1</v>
      </c>
      <c r="M1184">
        <v>1</v>
      </c>
      <c r="N1184">
        <v>1</v>
      </c>
      <c r="O1184">
        <v>1</v>
      </c>
      <c r="R1184">
        <f t="shared" si="53"/>
        <v>44</v>
      </c>
      <c r="S1184">
        <v>1</v>
      </c>
      <c r="T1184">
        <v>1</v>
      </c>
      <c r="U1184">
        <v>1</v>
      </c>
      <c r="V1184">
        <v>1</v>
      </c>
      <c r="W1184">
        <v>1</v>
      </c>
      <c r="AA1184">
        <v>-10372.9005</v>
      </c>
      <c r="AB1184">
        <v>-10372.9005</v>
      </c>
      <c r="AC1184">
        <v>-10372.9005</v>
      </c>
      <c r="AD1184">
        <v>-10372.9005</v>
      </c>
      <c r="AE1184">
        <v>-10372.9005</v>
      </c>
      <c r="AF1184">
        <v>-851265.64670000004</v>
      </c>
    </row>
    <row r="1185" spans="2:32" x14ac:dyDescent="0.25">
      <c r="B1185">
        <f t="shared" si="51"/>
        <v>45</v>
      </c>
      <c r="C1185">
        <v>1</v>
      </c>
      <c r="D1185">
        <v>1</v>
      </c>
      <c r="E1185">
        <v>1</v>
      </c>
      <c r="F1185">
        <v>1</v>
      </c>
      <c r="G1185">
        <v>1</v>
      </c>
      <c r="J1185">
        <f t="shared" si="52"/>
        <v>45</v>
      </c>
      <c r="K1185">
        <v>1</v>
      </c>
      <c r="L1185">
        <v>1</v>
      </c>
      <c r="M1185">
        <v>1</v>
      </c>
      <c r="N1185">
        <v>1</v>
      </c>
      <c r="O1185">
        <v>1</v>
      </c>
      <c r="R1185">
        <f t="shared" si="53"/>
        <v>45</v>
      </c>
      <c r="S1185">
        <v>1</v>
      </c>
      <c r="T1185">
        <v>1</v>
      </c>
      <c r="U1185">
        <v>1</v>
      </c>
      <c r="V1185">
        <v>1</v>
      </c>
      <c r="W1185">
        <v>1</v>
      </c>
      <c r="AA1185">
        <v>-10256.650600000001</v>
      </c>
      <c r="AB1185">
        <v>-10256.650600000001</v>
      </c>
      <c r="AC1185">
        <v>-10256.650600000001</v>
      </c>
      <c r="AD1185">
        <v>-10256.650600000001</v>
      </c>
      <c r="AE1185">
        <v>-10256.650600000001</v>
      </c>
      <c r="AF1185">
        <v>-870649.02139999997</v>
      </c>
    </row>
    <row r="1186" spans="2:32" x14ac:dyDescent="0.25">
      <c r="B1186">
        <f t="shared" si="51"/>
        <v>46</v>
      </c>
      <c r="C1186">
        <v>1</v>
      </c>
      <c r="D1186">
        <v>1</v>
      </c>
      <c r="E1186">
        <v>1</v>
      </c>
      <c r="F1186">
        <v>1</v>
      </c>
      <c r="G1186">
        <v>1</v>
      </c>
      <c r="J1186">
        <f t="shared" si="52"/>
        <v>46</v>
      </c>
      <c r="K1186">
        <v>1</v>
      </c>
      <c r="L1186">
        <v>1</v>
      </c>
      <c r="M1186">
        <v>1</v>
      </c>
      <c r="N1186">
        <v>1</v>
      </c>
      <c r="O1186">
        <v>1</v>
      </c>
      <c r="R1186">
        <f t="shared" si="53"/>
        <v>46</v>
      </c>
      <c r="S1186">
        <v>1</v>
      </c>
      <c r="T1186">
        <v>1</v>
      </c>
      <c r="U1186">
        <v>1</v>
      </c>
      <c r="V1186">
        <v>1</v>
      </c>
      <c r="W1186">
        <v>1</v>
      </c>
      <c r="AA1186">
        <v>-10137.871499999999</v>
      </c>
      <c r="AB1186">
        <v>-10137.871499999999</v>
      </c>
      <c r="AC1186">
        <v>-10137.871499999999</v>
      </c>
      <c r="AD1186">
        <v>-10137.871499999999</v>
      </c>
      <c r="AE1186">
        <v>-10137.871499999999</v>
      </c>
      <c r="AF1186">
        <v>-892550.54509999999</v>
      </c>
    </row>
    <row r="1187" spans="2:32" x14ac:dyDescent="0.25">
      <c r="B1187">
        <f t="shared" si="51"/>
        <v>47</v>
      </c>
      <c r="C1187">
        <v>1</v>
      </c>
      <c r="D1187">
        <v>1</v>
      </c>
      <c r="E1187">
        <v>1</v>
      </c>
      <c r="F1187">
        <v>1</v>
      </c>
      <c r="G1187">
        <v>1</v>
      </c>
      <c r="J1187">
        <f t="shared" si="52"/>
        <v>47</v>
      </c>
      <c r="K1187">
        <v>1</v>
      </c>
      <c r="L1187">
        <v>1</v>
      </c>
      <c r="M1187">
        <v>1</v>
      </c>
      <c r="N1187">
        <v>1</v>
      </c>
      <c r="O1187">
        <v>1</v>
      </c>
      <c r="R1187">
        <f t="shared" si="53"/>
        <v>47</v>
      </c>
      <c r="S1187">
        <v>1</v>
      </c>
      <c r="T1187">
        <v>1</v>
      </c>
      <c r="U1187">
        <v>1</v>
      </c>
      <c r="V1187">
        <v>1</v>
      </c>
      <c r="W1187">
        <v>1</v>
      </c>
      <c r="AA1187">
        <v>-10016.4967</v>
      </c>
      <c r="AB1187">
        <v>-10016.4967</v>
      </c>
      <c r="AC1187">
        <v>-10016.4967</v>
      </c>
      <c r="AD1187">
        <v>-10016.4967</v>
      </c>
      <c r="AE1187">
        <v>-10016.4967</v>
      </c>
      <c r="AF1187">
        <v>-910915.81969999999</v>
      </c>
    </row>
    <row r="1188" spans="2:32" x14ac:dyDescent="0.25">
      <c r="B1188">
        <f t="shared" si="51"/>
        <v>48</v>
      </c>
      <c r="C1188">
        <v>1</v>
      </c>
      <c r="D1188">
        <v>1</v>
      </c>
      <c r="E1188">
        <v>1</v>
      </c>
      <c r="F1188">
        <v>1</v>
      </c>
      <c r="G1188">
        <v>1</v>
      </c>
      <c r="J1188">
        <f t="shared" si="52"/>
        <v>48</v>
      </c>
      <c r="K1188">
        <v>1</v>
      </c>
      <c r="L1188">
        <v>1</v>
      </c>
      <c r="M1188">
        <v>1</v>
      </c>
      <c r="N1188">
        <v>1</v>
      </c>
      <c r="O1188">
        <v>1</v>
      </c>
      <c r="R1188">
        <f t="shared" si="53"/>
        <v>48</v>
      </c>
      <c r="S1188">
        <v>1</v>
      </c>
      <c r="T1188">
        <v>1</v>
      </c>
      <c r="U1188">
        <v>1</v>
      </c>
      <c r="V1188">
        <v>1</v>
      </c>
      <c r="W1188">
        <v>1</v>
      </c>
      <c r="AA1188">
        <v>-9892.6355000000003</v>
      </c>
      <c r="AB1188">
        <v>-9892.6355000000003</v>
      </c>
      <c r="AC1188">
        <v>-9892.6355000000003</v>
      </c>
      <c r="AD1188">
        <v>-9892.6355000000003</v>
      </c>
      <c r="AE1188">
        <v>-9892.6355000000003</v>
      </c>
      <c r="AF1188">
        <v>-917891.87360000005</v>
      </c>
    </row>
    <row r="1189" spans="2:32" x14ac:dyDescent="0.25">
      <c r="B1189">
        <f t="shared" si="51"/>
        <v>49</v>
      </c>
      <c r="C1189">
        <v>1</v>
      </c>
      <c r="D1189">
        <v>1</v>
      </c>
      <c r="E1189">
        <v>1</v>
      </c>
      <c r="F1189">
        <v>1</v>
      </c>
      <c r="G1189">
        <v>1</v>
      </c>
      <c r="J1189">
        <f t="shared" si="52"/>
        <v>49</v>
      </c>
      <c r="K1189">
        <v>1</v>
      </c>
      <c r="L1189">
        <v>1</v>
      </c>
      <c r="M1189">
        <v>1</v>
      </c>
      <c r="N1189">
        <v>1</v>
      </c>
      <c r="O1189">
        <v>1</v>
      </c>
      <c r="R1189">
        <f t="shared" si="53"/>
        <v>49</v>
      </c>
      <c r="S1189">
        <v>1</v>
      </c>
      <c r="T1189">
        <v>1</v>
      </c>
      <c r="U1189">
        <v>1</v>
      </c>
      <c r="V1189">
        <v>1</v>
      </c>
      <c r="W1189">
        <v>1</v>
      </c>
      <c r="AA1189">
        <v>-9766.3366999999998</v>
      </c>
      <c r="AB1189">
        <v>-9766.3366999999998</v>
      </c>
      <c r="AC1189">
        <v>-9766.3366999999998</v>
      </c>
      <c r="AD1189">
        <v>-9766.3366999999998</v>
      </c>
      <c r="AE1189">
        <v>-9766.3366999999998</v>
      </c>
      <c r="AF1189">
        <v>-944521.72470000002</v>
      </c>
    </row>
    <row r="1190" spans="2:32" x14ac:dyDescent="0.25">
      <c r="B1190">
        <f t="shared" si="51"/>
        <v>50</v>
      </c>
      <c r="C1190">
        <v>1</v>
      </c>
      <c r="D1190">
        <v>1</v>
      </c>
      <c r="E1190">
        <v>1</v>
      </c>
      <c r="F1190">
        <v>1</v>
      </c>
      <c r="G1190">
        <v>1</v>
      </c>
      <c r="J1190">
        <f t="shared" si="52"/>
        <v>50</v>
      </c>
      <c r="K1190">
        <v>1</v>
      </c>
      <c r="L1190">
        <v>1</v>
      </c>
      <c r="M1190">
        <v>1</v>
      </c>
      <c r="N1190">
        <v>1</v>
      </c>
      <c r="O1190">
        <v>1</v>
      </c>
      <c r="R1190">
        <f t="shared" si="53"/>
        <v>50</v>
      </c>
      <c r="S1190">
        <v>1</v>
      </c>
      <c r="T1190">
        <v>1</v>
      </c>
      <c r="U1190">
        <v>1</v>
      </c>
      <c r="V1190">
        <v>1</v>
      </c>
      <c r="W1190">
        <v>1</v>
      </c>
      <c r="AA1190">
        <v>-9637.5864000000001</v>
      </c>
      <c r="AB1190">
        <v>-9637.5864000000001</v>
      </c>
      <c r="AC1190">
        <v>-9637.5864000000001</v>
      </c>
      <c r="AD1190">
        <v>-9637.5864000000001</v>
      </c>
      <c r="AE1190">
        <v>-9637.5864000000001</v>
      </c>
      <c r="AF1190">
        <v>-963257.14989999996</v>
      </c>
    </row>
    <row r="1191" spans="2:32" x14ac:dyDescent="0.25">
      <c r="B1191">
        <f t="shared" si="51"/>
        <v>51</v>
      </c>
      <c r="C1191">
        <v>1</v>
      </c>
      <c r="D1191">
        <v>1</v>
      </c>
      <c r="E1191">
        <v>1</v>
      </c>
      <c r="F1191">
        <v>1</v>
      </c>
      <c r="G1191">
        <v>1</v>
      </c>
      <c r="J1191">
        <f t="shared" si="52"/>
        <v>51</v>
      </c>
      <c r="K1191">
        <v>1</v>
      </c>
      <c r="L1191">
        <v>1</v>
      </c>
      <c r="M1191">
        <v>1</v>
      </c>
      <c r="N1191">
        <v>1</v>
      </c>
      <c r="O1191">
        <v>1</v>
      </c>
      <c r="R1191">
        <f t="shared" si="53"/>
        <v>51</v>
      </c>
      <c r="S1191">
        <v>1</v>
      </c>
      <c r="T1191">
        <v>1</v>
      </c>
      <c r="U1191">
        <v>1</v>
      </c>
      <c r="V1191">
        <v>1</v>
      </c>
      <c r="W1191">
        <v>1</v>
      </c>
      <c r="AA1191">
        <v>-9506.3734000000004</v>
      </c>
      <c r="AB1191">
        <v>-9506.3734000000004</v>
      </c>
      <c r="AC1191">
        <v>-9506.3734000000004</v>
      </c>
      <c r="AD1191">
        <v>-9506.3734000000004</v>
      </c>
      <c r="AE1191">
        <v>-9506.3734000000004</v>
      </c>
      <c r="AF1191">
        <v>-981592.90729999996</v>
      </c>
    </row>
    <row r="1192" spans="2:32" x14ac:dyDescent="0.25">
      <c r="B1192">
        <f t="shared" si="51"/>
        <v>52</v>
      </c>
      <c r="C1192">
        <v>1</v>
      </c>
      <c r="D1192">
        <v>1</v>
      </c>
      <c r="E1192">
        <v>1</v>
      </c>
      <c r="F1192">
        <v>1</v>
      </c>
      <c r="G1192">
        <v>1</v>
      </c>
      <c r="J1192">
        <f t="shared" si="52"/>
        <v>52</v>
      </c>
      <c r="K1192">
        <v>1</v>
      </c>
      <c r="L1192">
        <v>1</v>
      </c>
      <c r="M1192">
        <v>1</v>
      </c>
      <c r="N1192">
        <v>1</v>
      </c>
      <c r="O1192">
        <v>1</v>
      </c>
      <c r="R1192">
        <f t="shared" si="53"/>
        <v>52</v>
      </c>
      <c r="S1192">
        <v>1</v>
      </c>
      <c r="T1192">
        <v>1</v>
      </c>
      <c r="U1192">
        <v>1</v>
      </c>
      <c r="V1192">
        <v>1</v>
      </c>
      <c r="W1192">
        <v>1</v>
      </c>
      <c r="AA1192">
        <v>-9372.7019</v>
      </c>
      <c r="AB1192">
        <v>-9372.7019</v>
      </c>
      <c r="AC1192">
        <v>-9372.7019</v>
      </c>
      <c r="AD1192">
        <v>-9372.7019</v>
      </c>
      <c r="AE1192">
        <v>-9372.7019</v>
      </c>
      <c r="AF1192">
        <v>-998556.10360000003</v>
      </c>
    </row>
    <row r="1193" spans="2:32" x14ac:dyDescent="0.25">
      <c r="B1193">
        <f t="shared" si="51"/>
        <v>53</v>
      </c>
      <c r="C1193">
        <v>1</v>
      </c>
      <c r="D1193">
        <v>1</v>
      </c>
      <c r="E1193">
        <v>1</v>
      </c>
      <c r="F1193">
        <v>1</v>
      </c>
      <c r="G1193">
        <v>1</v>
      </c>
      <c r="J1193">
        <f t="shared" si="52"/>
        <v>53</v>
      </c>
      <c r="K1193">
        <v>1</v>
      </c>
      <c r="L1193">
        <v>1</v>
      </c>
      <c r="M1193">
        <v>1</v>
      </c>
      <c r="N1193">
        <v>1</v>
      </c>
      <c r="O1193">
        <v>1</v>
      </c>
      <c r="R1193">
        <f t="shared" si="53"/>
        <v>53</v>
      </c>
      <c r="S1193">
        <v>1</v>
      </c>
      <c r="T1193">
        <v>1</v>
      </c>
      <c r="U1193">
        <v>1</v>
      </c>
      <c r="V1193">
        <v>1</v>
      </c>
      <c r="W1193">
        <v>1</v>
      </c>
      <c r="AA1193">
        <v>-9236.6705000000002</v>
      </c>
      <c r="AB1193">
        <v>-9236.6705000000002</v>
      </c>
      <c r="AC1193">
        <v>-9236.6705000000002</v>
      </c>
      <c r="AD1193">
        <v>-9236.6705000000002</v>
      </c>
      <c r="AE1193">
        <v>-9236.6705000000002</v>
      </c>
      <c r="AF1193">
        <v>-1015461.3278</v>
      </c>
    </row>
    <row r="1194" spans="2:32" x14ac:dyDescent="0.25">
      <c r="B1194">
        <f t="shared" si="51"/>
        <v>54</v>
      </c>
      <c r="C1194">
        <v>1</v>
      </c>
      <c r="D1194">
        <v>1</v>
      </c>
      <c r="E1194">
        <v>1</v>
      </c>
      <c r="F1194">
        <v>1</v>
      </c>
      <c r="G1194">
        <v>1</v>
      </c>
      <c r="J1194">
        <f t="shared" si="52"/>
        <v>54</v>
      </c>
      <c r="K1194">
        <v>1</v>
      </c>
      <c r="L1194">
        <v>1</v>
      </c>
      <c r="M1194">
        <v>1</v>
      </c>
      <c r="N1194">
        <v>1</v>
      </c>
      <c r="O1194">
        <v>1</v>
      </c>
      <c r="R1194">
        <f t="shared" si="53"/>
        <v>54</v>
      </c>
      <c r="S1194">
        <v>1</v>
      </c>
      <c r="T1194">
        <v>1</v>
      </c>
      <c r="U1194">
        <v>1</v>
      </c>
      <c r="V1194">
        <v>1</v>
      </c>
      <c r="W1194">
        <v>1</v>
      </c>
      <c r="AA1194">
        <v>-9098.4312000000009</v>
      </c>
      <c r="AB1194">
        <v>-9098.4312000000009</v>
      </c>
      <c r="AC1194">
        <v>-9098.4312000000009</v>
      </c>
      <c r="AD1194">
        <v>-9098.4312000000009</v>
      </c>
      <c r="AE1194">
        <v>-9098.4312000000009</v>
      </c>
      <c r="AF1194">
        <v>-1033869.6813000001</v>
      </c>
    </row>
    <row r="1195" spans="2:32" x14ac:dyDescent="0.25">
      <c r="B1195">
        <f t="shared" si="51"/>
        <v>55</v>
      </c>
      <c r="C1195">
        <v>1</v>
      </c>
      <c r="D1195">
        <v>1</v>
      </c>
      <c r="E1195">
        <v>1</v>
      </c>
      <c r="F1195">
        <v>1</v>
      </c>
      <c r="G1195">
        <v>1</v>
      </c>
      <c r="J1195">
        <f t="shared" si="52"/>
        <v>55</v>
      </c>
      <c r="K1195">
        <v>1</v>
      </c>
      <c r="L1195">
        <v>1</v>
      </c>
      <c r="M1195">
        <v>1</v>
      </c>
      <c r="N1195">
        <v>1</v>
      </c>
      <c r="O1195">
        <v>1</v>
      </c>
      <c r="R1195">
        <f t="shared" si="53"/>
        <v>55</v>
      </c>
      <c r="S1195">
        <v>1</v>
      </c>
      <c r="T1195">
        <v>1</v>
      </c>
      <c r="U1195">
        <v>1</v>
      </c>
      <c r="V1195">
        <v>1</v>
      </c>
      <c r="W1195">
        <v>1</v>
      </c>
      <c r="AA1195">
        <v>-8958.0210999999999</v>
      </c>
      <c r="AB1195">
        <v>-8958.0210999999999</v>
      </c>
      <c r="AC1195">
        <v>-8958.0210999999999</v>
      </c>
      <c r="AD1195">
        <v>-8958.0210999999999</v>
      </c>
      <c r="AE1195">
        <v>-8958.0210999999999</v>
      </c>
      <c r="AF1195">
        <v>-1050810.2549999999</v>
      </c>
    </row>
    <row r="1196" spans="2:32" x14ac:dyDescent="0.25">
      <c r="B1196">
        <f t="shared" si="51"/>
        <v>56</v>
      </c>
      <c r="C1196">
        <v>1</v>
      </c>
      <c r="D1196">
        <v>1</v>
      </c>
      <c r="E1196">
        <v>1</v>
      </c>
      <c r="F1196">
        <v>1</v>
      </c>
      <c r="G1196">
        <v>1</v>
      </c>
      <c r="J1196">
        <f t="shared" si="52"/>
        <v>56</v>
      </c>
      <c r="K1196">
        <v>1</v>
      </c>
      <c r="L1196">
        <v>1</v>
      </c>
      <c r="M1196">
        <v>1</v>
      </c>
      <c r="N1196">
        <v>1</v>
      </c>
      <c r="O1196">
        <v>1</v>
      </c>
      <c r="R1196">
        <f t="shared" si="53"/>
        <v>56</v>
      </c>
      <c r="S1196">
        <v>1</v>
      </c>
      <c r="T1196">
        <v>1</v>
      </c>
      <c r="U1196">
        <v>1</v>
      </c>
      <c r="V1196">
        <v>1</v>
      </c>
      <c r="W1196">
        <v>1</v>
      </c>
      <c r="AA1196">
        <v>-8815.6316999999999</v>
      </c>
      <c r="AB1196">
        <v>-8815.6316999999999</v>
      </c>
      <c r="AC1196">
        <v>-8815.6316999999999</v>
      </c>
      <c r="AD1196">
        <v>-8815.6316999999999</v>
      </c>
      <c r="AE1196">
        <v>-8815.6316999999999</v>
      </c>
      <c r="AF1196">
        <v>-1073295.8774000001</v>
      </c>
    </row>
    <row r="1197" spans="2:32" x14ac:dyDescent="0.25">
      <c r="B1197">
        <f t="shared" si="51"/>
        <v>57</v>
      </c>
      <c r="C1197">
        <v>1</v>
      </c>
      <c r="D1197">
        <v>1</v>
      </c>
      <c r="E1197">
        <v>1</v>
      </c>
      <c r="F1197">
        <v>1</v>
      </c>
      <c r="G1197">
        <v>1</v>
      </c>
      <c r="J1197">
        <f t="shared" si="52"/>
        <v>57</v>
      </c>
      <c r="K1197">
        <v>1</v>
      </c>
      <c r="L1197">
        <v>1</v>
      </c>
      <c r="M1197">
        <v>1</v>
      </c>
      <c r="N1197">
        <v>1</v>
      </c>
      <c r="O1197">
        <v>1</v>
      </c>
      <c r="R1197">
        <f t="shared" si="53"/>
        <v>57</v>
      </c>
      <c r="S1197">
        <v>1</v>
      </c>
      <c r="T1197">
        <v>1</v>
      </c>
      <c r="U1197">
        <v>1</v>
      </c>
      <c r="V1197">
        <v>1</v>
      </c>
      <c r="W1197">
        <v>1</v>
      </c>
      <c r="AA1197">
        <v>-8671.3991999999998</v>
      </c>
      <c r="AB1197">
        <v>-8671.3991999999998</v>
      </c>
      <c r="AC1197">
        <v>-8671.3991999999998</v>
      </c>
      <c r="AD1197">
        <v>-8671.3991999999998</v>
      </c>
      <c r="AE1197">
        <v>-8671.3991999999998</v>
      </c>
      <c r="AF1197">
        <v>-1093242.6832999999</v>
      </c>
    </row>
    <row r="1198" spans="2:32" x14ac:dyDescent="0.25">
      <c r="B1198">
        <f t="shared" si="51"/>
        <v>58</v>
      </c>
      <c r="C1198">
        <v>1</v>
      </c>
      <c r="D1198">
        <v>1</v>
      </c>
      <c r="E1198">
        <v>1</v>
      </c>
      <c r="F1198">
        <v>1</v>
      </c>
      <c r="G1198">
        <v>1</v>
      </c>
      <c r="J1198">
        <f t="shared" si="52"/>
        <v>58</v>
      </c>
      <c r="K1198">
        <v>1</v>
      </c>
      <c r="L1198">
        <v>1</v>
      </c>
      <c r="M1198">
        <v>1</v>
      </c>
      <c r="N1198">
        <v>1</v>
      </c>
      <c r="O1198">
        <v>1</v>
      </c>
      <c r="R1198">
        <f t="shared" si="53"/>
        <v>58</v>
      </c>
      <c r="S1198">
        <v>1</v>
      </c>
      <c r="T1198">
        <v>1</v>
      </c>
      <c r="U1198">
        <v>1</v>
      </c>
      <c r="V1198">
        <v>1</v>
      </c>
      <c r="W1198">
        <v>1</v>
      </c>
      <c r="AA1198">
        <v>-8525.2759999999998</v>
      </c>
      <c r="AB1198">
        <v>-8525.2759999999998</v>
      </c>
      <c r="AC1198">
        <v>-8525.2759999999998</v>
      </c>
      <c r="AD1198">
        <v>-8525.2759999999998</v>
      </c>
      <c r="AE1198">
        <v>-8525.2759999999998</v>
      </c>
      <c r="AF1198">
        <v>-1114366.6444000001</v>
      </c>
    </row>
    <row r="1199" spans="2:32" x14ac:dyDescent="0.25">
      <c r="B1199">
        <f t="shared" si="51"/>
        <v>59</v>
      </c>
      <c r="C1199">
        <v>1</v>
      </c>
      <c r="D1199">
        <v>1</v>
      </c>
      <c r="E1199">
        <v>1</v>
      </c>
      <c r="F1199">
        <v>1</v>
      </c>
      <c r="G1199">
        <v>1</v>
      </c>
      <c r="J1199">
        <f t="shared" si="52"/>
        <v>59</v>
      </c>
      <c r="K1199">
        <v>1</v>
      </c>
      <c r="L1199">
        <v>1</v>
      </c>
      <c r="M1199">
        <v>1</v>
      </c>
      <c r="N1199">
        <v>1</v>
      </c>
      <c r="O1199">
        <v>1</v>
      </c>
      <c r="R1199">
        <f t="shared" si="53"/>
        <v>59</v>
      </c>
      <c r="S1199">
        <v>1</v>
      </c>
      <c r="T1199">
        <v>1</v>
      </c>
      <c r="U1199">
        <v>1</v>
      </c>
      <c r="V1199">
        <v>1</v>
      </c>
      <c r="W1199">
        <v>1</v>
      </c>
      <c r="AA1199">
        <v>-8377.2351999999992</v>
      </c>
      <c r="AB1199">
        <v>-8377.2351999999992</v>
      </c>
      <c r="AC1199">
        <v>-8377.2351999999992</v>
      </c>
      <c r="AD1199">
        <v>-8377.2351999999992</v>
      </c>
      <c r="AE1199">
        <v>-8377.2351999999992</v>
      </c>
      <c r="AF1199">
        <v>-1136284.0146999999</v>
      </c>
    </row>
    <row r="1200" spans="2:32" x14ac:dyDescent="0.25">
      <c r="B1200">
        <f t="shared" si="51"/>
        <v>60</v>
      </c>
      <c r="C1200">
        <v>1</v>
      </c>
      <c r="D1200">
        <v>1</v>
      </c>
      <c r="E1200">
        <v>1</v>
      </c>
      <c r="F1200">
        <v>1</v>
      </c>
      <c r="G1200">
        <v>1</v>
      </c>
      <c r="J1200">
        <f t="shared" si="52"/>
        <v>60</v>
      </c>
      <c r="K1200">
        <v>1</v>
      </c>
      <c r="L1200">
        <v>1</v>
      </c>
      <c r="M1200">
        <v>1</v>
      </c>
      <c r="N1200">
        <v>1</v>
      </c>
      <c r="O1200">
        <v>1</v>
      </c>
      <c r="R1200">
        <f t="shared" si="53"/>
        <v>60</v>
      </c>
      <c r="S1200">
        <v>1</v>
      </c>
      <c r="T1200">
        <v>1</v>
      </c>
      <c r="U1200">
        <v>1</v>
      </c>
      <c r="V1200">
        <v>1</v>
      </c>
      <c r="W1200">
        <v>1</v>
      </c>
      <c r="AA1200">
        <v>-8227.3953999999994</v>
      </c>
      <c r="AB1200">
        <v>-8227.3953999999994</v>
      </c>
      <c r="AC1200">
        <v>-8227.3953999999994</v>
      </c>
      <c r="AD1200">
        <v>-8227.3953999999994</v>
      </c>
      <c r="AE1200">
        <v>-8227.3953999999994</v>
      </c>
      <c r="AF1200">
        <v>-1157801.6717999999</v>
      </c>
    </row>
    <row r="1201" spans="2:32" x14ac:dyDescent="0.25">
      <c r="B1201">
        <f t="shared" si="51"/>
        <v>61</v>
      </c>
      <c r="C1201">
        <v>1</v>
      </c>
      <c r="D1201">
        <v>1</v>
      </c>
      <c r="E1201">
        <v>1</v>
      </c>
      <c r="F1201">
        <v>1</v>
      </c>
      <c r="G1201">
        <v>1</v>
      </c>
      <c r="J1201">
        <f t="shared" si="52"/>
        <v>61</v>
      </c>
      <c r="K1201">
        <v>1</v>
      </c>
      <c r="L1201">
        <v>1</v>
      </c>
      <c r="M1201">
        <v>1</v>
      </c>
      <c r="N1201">
        <v>1</v>
      </c>
      <c r="O1201">
        <v>1</v>
      </c>
      <c r="R1201">
        <f t="shared" si="53"/>
        <v>61</v>
      </c>
      <c r="S1201">
        <v>1</v>
      </c>
      <c r="T1201">
        <v>1</v>
      </c>
      <c r="U1201">
        <v>1</v>
      </c>
      <c r="V1201">
        <v>1</v>
      </c>
      <c r="W1201">
        <v>1</v>
      </c>
      <c r="AA1201">
        <v>-8076.1778999999997</v>
      </c>
      <c r="AB1201">
        <v>-8076.1778999999997</v>
      </c>
      <c r="AC1201">
        <v>-8076.1778999999997</v>
      </c>
      <c r="AD1201">
        <v>-8076.1778999999997</v>
      </c>
      <c r="AE1201">
        <v>-8076.1778999999997</v>
      </c>
      <c r="AF1201">
        <v>-1178581.4038</v>
      </c>
    </row>
    <row r="1202" spans="2:32" x14ac:dyDescent="0.25">
      <c r="B1202">
        <f t="shared" si="51"/>
        <v>62</v>
      </c>
      <c r="C1202">
        <v>1</v>
      </c>
      <c r="D1202">
        <v>1</v>
      </c>
      <c r="E1202">
        <v>1</v>
      </c>
      <c r="F1202">
        <v>1</v>
      </c>
      <c r="G1202">
        <v>1</v>
      </c>
      <c r="J1202">
        <f t="shared" si="52"/>
        <v>62</v>
      </c>
      <c r="K1202">
        <v>1</v>
      </c>
      <c r="L1202">
        <v>1</v>
      </c>
      <c r="M1202">
        <v>1</v>
      </c>
      <c r="N1202">
        <v>1</v>
      </c>
      <c r="O1202">
        <v>1</v>
      </c>
      <c r="R1202">
        <f t="shared" si="53"/>
        <v>62</v>
      </c>
      <c r="S1202">
        <v>1</v>
      </c>
      <c r="T1202">
        <v>1</v>
      </c>
      <c r="U1202">
        <v>1</v>
      </c>
      <c r="V1202">
        <v>1</v>
      </c>
      <c r="W1202">
        <v>1</v>
      </c>
      <c r="AA1202">
        <v>-7923.5816000000004</v>
      </c>
      <c r="AB1202">
        <v>-7923.5816000000004</v>
      </c>
      <c r="AC1202">
        <v>-7923.5816000000004</v>
      </c>
      <c r="AD1202">
        <v>-7923.5816000000004</v>
      </c>
      <c r="AE1202">
        <v>-7923.5816000000004</v>
      </c>
      <c r="AF1202">
        <v>-1199521.5327000001</v>
      </c>
    </row>
    <row r="1203" spans="2:32" x14ac:dyDescent="0.25">
      <c r="B1203">
        <f t="shared" si="51"/>
        <v>63</v>
      </c>
      <c r="C1203">
        <v>1</v>
      </c>
      <c r="D1203">
        <v>1</v>
      </c>
      <c r="E1203">
        <v>1</v>
      </c>
      <c r="F1203">
        <v>1</v>
      </c>
      <c r="G1203">
        <v>1</v>
      </c>
      <c r="J1203">
        <f t="shared" si="52"/>
        <v>63</v>
      </c>
      <c r="K1203">
        <v>1</v>
      </c>
      <c r="L1203">
        <v>1</v>
      </c>
      <c r="M1203">
        <v>1</v>
      </c>
      <c r="N1203">
        <v>1</v>
      </c>
      <c r="O1203">
        <v>1</v>
      </c>
      <c r="R1203">
        <f t="shared" si="53"/>
        <v>63</v>
      </c>
      <c r="S1203">
        <v>1</v>
      </c>
      <c r="T1203">
        <v>1</v>
      </c>
      <c r="U1203">
        <v>1</v>
      </c>
      <c r="V1203">
        <v>1</v>
      </c>
      <c r="W1203">
        <v>1</v>
      </c>
      <c r="AA1203">
        <v>-7769.2775000000001</v>
      </c>
      <c r="AB1203">
        <v>-7769.2775000000001</v>
      </c>
      <c r="AC1203">
        <v>-7769.2775000000001</v>
      </c>
      <c r="AD1203">
        <v>-7769.2775000000001</v>
      </c>
      <c r="AE1203">
        <v>-7769.2775000000001</v>
      </c>
      <c r="AF1203">
        <v>-1220461.6269</v>
      </c>
    </row>
    <row r="1204" spans="2:32" x14ac:dyDescent="0.25">
      <c r="B1204">
        <f t="shared" si="51"/>
        <v>64</v>
      </c>
      <c r="C1204">
        <v>1</v>
      </c>
      <c r="D1204">
        <v>1</v>
      </c>
      <c r="E1204">
        <v>1</v>
      </c>
      <c r="F1204">
        <v>1</v>
      </c>
      <c r="G1204">
        <v>1</v>
      </c>
      <c r="J1204">
        <f t="shared" si="52"/>
        <v>64</v>
      </c>
      <c r="K1204">
        <v>1</v>
      </c>
      <c r="L1204">
        <v>1</v>
      </c>
      <c r="M1204">
        <v>1</v>
      </c>
      <c r="N1204">
        <v>1</v>
      </c>
      <c r="O1204">
        <v>1</v>
      </c>
      <c r="R1204">
        <f t="shared" si="53"/>
        <v>64</v>
      </c>
      <c r="S1204">
        <v>1</v>
      </c>
      <c r="T1204">
        <v>1</v>
      </c>
      <c r="U1204">
        <v>1</v>
      </c>
      <c r="V1204">
        <v>1</v>
      </c>
      <c r="W1204">
        <v>1</v>
      </c>
      <c r="AA1204">
        <v>-7613.3999000000003</v>
      </c>
      <c r="AB1204">
        <v>-7613.3999000000003</v>
      </c>
      <c r="AC1204">
        <v>-7613.3999000000003</v>
      </c>
      <c r="AD1204">
        <v>-7613.3999000000003</v>
      </c>
      <c r="AE1204">
        <v>-7613.3999000000003</v>
      </c>
      <c r="AF1204">
        <v>-1240652.2526</v>
      </c>
    </row>
    <row r="1205" spans="2:32" x14ac:dyDescent="0.25">
      <c r="B1205">
        <f t="shared" si="51"/>
        <v>65</v>
      </c>
      <c r="C1205">
        <v>1</v>
      </c>
      <c r="D1205">
        <v>1</v>
      </c>
      <c r="E1205">
        <v>1</v>
      </c>
      <c r="F1205">
        <v>1</v>
      </c>
      <c r="G1205">
        <v>1</v>
      </c>
      <c r="J1205">
        <f t="shared" si="52"/>
        <v>65</v>
      </c>
      <c r="K1205">
        <v>1</v>
      </c>
      <c r="L1205">
        <v>1</v>
      </c>
      <c r="M1205">
        <v>1</v>
      </c>
      <c r="N1205">
        <v>1</v>
      </c>
      <c r="O1205">
        <v>1</v>
      </c>
      <c r="R1205">
        <f t="shared" si="53"/>
        <v>65</v>
      </c>
      <c r="S1205">
        <v>1</v>
      </c>
      <c r="T1205">
        <v>1</v>
      </c>
      <c r="U1205">
        <v>1</v>
      </c>
      <c r="V1205">
        <v>1</v>
      </c>
      <c r="W1205">
        <v>1</v>
      </c>
      <c r="AA1205">
        <v>-7455.8590000000004</v>
      </c>
      <c r="AB1205">
        <v>-7455.8590000000004</v>
      </c>
      <c r="AC1205">
        <v>-7455.8590000000004</v>
      </c>
      <c r="AD1205">
        <v>-7455.8590000000004</v>
      </c>
      <c r="AE1205">
        <v>-7455.8590000000004</v>
      </c>
      <c r="AF1205">
        <v>-1260049.8302</v>
      </c>
    </row>
    <row r="1208" spans="2:32" x14ac:dyDescent="0.25">
      <c r="B1208" t="s">
        <v>46</v>
      </c>
      <c r="C1208">
        <v>50000</v>
      </c>
      <c r="D1208">
        <v>100000</v>
      </c>
      <c r="E1208">
        <v>250000</v>
      </c>
      <c r="F1208">
        <v>500000</v>
      </c>
      <c r="G1208">
        <v>1000000</v>
      </c>
      <c r="H1208">
        <v>2000000</v>
      </c>
      <c r="J1208" t="s">
        <v>47</v>
      </c>
      <c r="K1208">
        <v>50000</v>
      </c>
      <c r="L1208">
        <v>100000</v>
      </c>
      <c r="M1208">
        <v>250000</v>
      </c>
      <c r="N1208">
        <v>500000</v>
      </c>
      <c r="O1208">
        <v>1000000</v>
      </c>
      <c r="P1208">
        <v>2000000</v>
      </c>
      <c r="R1208" t="s">
        <v>48</v>
      </c>
      <c r="S1208">
        <v>50000</v>
      </c>
      <c r="T1208">
        <v>100000</v>
      </c>
      <c r="U1208">
        <v>250000</v>
      </c>
      <c r="V1208">
        <v>500000</v>
      </c>
      <c r="W1208">
        <v>1000000</v>
      </c>
      <c r="X1208">
        <v>2000000</v>
      </c>
    </row>
    <row r="1209" spans="2:32" x14ac:dyDescent="0.25">
      <c r="B1209">
        <v>26</v>
      </c>
      <c r="C1209">
        <v>1</v>
      </c>
      <c r="D1209">
        <v>1</v>
      </c>
      <c r="E1209">
        <v>1</v>
      </c>
      <c r="F1209">
        <v>1</v>
      </c>
      <c r="G1209">
        <v>1</v>
      </c>
      <c r="H1209">
        <v>1</v>
      </c>
      <c r="J1209">
        <v>26</v>
      </c>
      <c r="K1209">
        <v>1</v>
      </c>
      <c r="L1209">
        <v>1</v>
      </c>
      <c r="M1209">
        <v>1</v>
      </c>
      <c r="N1209">
        <v>1</v>
      </c>
      <c r="O1209">
        <v>1</v>
      </c>
      <c r="P1209">
        <v>1</v>
      </c>
      <c r="R1209">
        <v>26</v>
      </c>
      <c r="S1209">
        <v>1</v>
      </c>
      <c r="T1209">
        <v>1</v>
      </c>
      <c r="U1209">
        <v>1</v>
      </c>
      <c r="V1209">
        <v>1</v>
      </c>
      <c r="W1209">
        <v>1</v>
      </c>
      <c r="X1209">
        <v>1</v>
      </c>
      <c r="AA1209">
        <v>-7435.5060999999996</v>
      </c>
      <c r="AB1209">
        <v>-7435.5060999999996</v>
      </c>
      <c r="AC1209">
        <v>-7435.5060999999996</v>
      </c>
      <c r="AD1209">
        <v>-7435.5060999999996</v>
      </c>
      <c r="AE1209">
        <v>-7435.5060999999996</v>
      </c>
      <c r="AF1209">
        <v>-7435.5060999999996</v>
      </c>
    </row>
    <row r="1210" spans="2:32" x14ac:dyDescent="0.25">
      <c r="B1210">
        <v>27</v>
      </c>
      <c r="C1210">
        <v>1</v>
      </c>
      <c r="D1210">
        <v>1</v>
      </c>
      <c r="E1210">
        <v>1</v>
      </c>
      <c r="F1210">
        <v>1</v>
      </c>
      <c r="G1210">
        <v>1</v>
      </c>
      <c r="H1210">
        <v>1</v>
      </c>
      <c r="J1210">
        <v>27</v>
      </c>
      <c r="K1210">
        <v>1</v>
      </c>
      <c r="L1210">
        <v>1</v>
      </c>
      <c r="M1210">
        <v>1</v>
      </c>
      <c r="N1210">
        <v>1</v>
      </c>
      <c r="O1210">
        <v>1</v>
      </c>
      <c r="P1210">
        <v>1</v>
      </c>
      <c r="R1210">
        <v>27</v>
      </c>
      <c r="S1210">
        <v>1</v>
      </c>
      <c r="T1210">
        <v>1</v>
      </c>
      <c r="U1210">
        <v>1</v>
      </c>
      <c r="V1210">
        <v>1</v>
      </c>
      <c r="W1210">
        <v>1</v>
      </c>
      <c r="X1210">
        <v>1</v>
      </c>
      <c r="AA1210">
        <v>-7434.2619000000004</v>
      </c>
      <c r="AB1210">
        <v>-7434.2619000000004</v>
      </c>
      <c r="AC1210">
        <v>-7434.2619000000004</v>
      </c>
      <c r="AD1210">
        <v>-7434.2619000000004</v>
      </c>
      <c r="AE1210">
        <v>-7434.2619000000004</v>
      </c>
      <c r="AF1210">
        <v>-7434.2619000000004</v>
      </c>
    </row>
    <row r="1211" spans="2:32" x14ac:dyDescent="0.25">
      <c r="B1211">
        <v>28</v>
      </c>
      <c r="C1211">
        <v>1</v>
      </c>
      <c r="D1211">
        <v>1</v>
      </c>
      <c r="E1211">
        <v>1</v>
      </c>
      <c r="F1211">
        <v>1</v>
      </c>
      <c r="G1211">
        <v>1</v>
      </c>
      <c r="H1211">
        <v>1</v>
      </c>
      <c r="J1211">
        <v>28</v>
      </c>
      <c r="K1211">
        <v>1</v>
      </c>
      <c r="L1211">
        <v>1</v>
      </c>
      <c r="M1211">
        <v>1</v>
      </c>
      <c r="N1211">
        <v>1</v>
      </c>
      <c r="O1211">
        <v>1</v>
      </c>
      <c r="P1211">
        <v>1</v>
      </c>
      <c r="R1211">
        <v>28</v>
      </c>
      <c r="S1211">
        <v>1</v>
      </c>
      <c r="T1211">
        <v>1</v>
      </c>
      <c r="U1211">
        <v>1</v>
      </c>
      <c r="V1211">
        <v>1</v>
      </c>
      <c r="W1211">
        <v>1</v>
      </c>
      <c r="X1211">
        <v>1</v>
      </c>
      <c r="AA1211">
        <v>-7432.8334999999997</v>
      </c>
      <c r="AB1211">
        <v>-7432.8334999999997</v>
      </c>
      <c r="AC1211">
        <v>-7432.8334999999997</v>
      </c>
      <c r="AD1211">
        <v>-7432.8334999999997</v>
      </c>
      <c r="AE1211">
        <v>-7432.8334999999997</v>
      </c>
      <c r="AF1211">
        <v>-7432.8334999999997</v>
      </c>
    </row>
    <row r="1212" spans="2:32" x14ac:dyDescent="0.25">
      <c r="B1212">
        <v>29</v>
      </c>
      <c r="C1212">
        <v>1</v>
      </c>
      <c r="D1212">
        <v>1</v>
      </c>
      <c r="E1212">
        <v>1</v>
      </c>
      <c r="F1212">
        <v>1</v>
      </c>
      <c r="G1212">
        <v>1</v>
      </c>
      <c r="H1212">
        <v>1</v>
      </c>
      <c r="J1212">
        <v>29</v>
      </c>
      <c r="K1212">
        <v>1</v>
      </c>
      <c r="L1212">
        <v>1</v>
      </c>
      <c r="M1212">
        <v>1</v>
      </c>
      <c r="N1212">
        <v>1</v>
      </c>
      <c r="O1212">
        <v>1</v>
      </c>
      <c r="P1212">
        <v>1</v>
      </c>
      <c r="R1212">
        <v>29</v>
      </c>
      <c r="S1212">
        <v>1</v>
      </c>
      <c r="T1212">
        <v>1</v>
      </c>
      <c r="U1212">
        <v>1</v>
      </c>
      <c r="V1212">
        <v>1</v>
      </c>
      <c r="W1212">
        <v>1</v>
      </c>
      <c r="X1212">
        <v>1</v>
      </c>
      <c r="AA1212">
        <v>-7431.2058999999999</v>
      </c>
      <c r="AB1212">
        <v>-7431.2058999999999</v>
      </c>
      <c r="AC1212">
        <v>-7431.2058999999999</v>
      </c>
      <c r="AD1212">
        <v>-7431.2058999999999</v>
      </c>
      <c r="AE1212">
        <v>-7431.2058999999999</v>
      </c>
      <c r="AF1212">
        <v>-7431.2058999999999</v>
      </c>
    </row>
    <row r="1213" spans="2:32" x14ac:dyDescent="0.25">
      <c r="B1213">
        <v>30</v>
      </c>
      <c r="C1213">
        <v>1</v>
      </c>
      <c r="D1213">
        <v>1</v>
      </c>
      <c r="E1213">
        <v>1</v>
      </c>
      <c r="F1213">
        <v>1</v>
      </c>
      <c r="G1213">
        <v>1</v>
      </c>
      <c r="H1213">
        <v>1</v>
      </c>
      <c r="J1213">
        <v>30</v>
      </c>
      <c r="K1213">
        <v>1</v>
      </c>
      <c r="L1213">
        <v>1</v>
      </c>
      <c r="M1213">
        <v>1</v>
      </c>
      <c r="N1213">
        <v>1</v>
      </c>
      <c r="O1213">
        <v>1</v>
      </c>
      <c r="P1213">
        <v>1</v>
      </c>
      <c r="R1213">
        <v>30</v>
      </c>
      <c r="S1213">
        <v>1</v>
      </c>
      <c r="T1213">
        <v>1</v>
      </c>
      <c r="U1213">
        <v>1</v>
      </c>
      <c r="V1213">
        <v>1</v>
      </c>
      <c r="W1213">
        <v>1</v>
      </c>
      <c r="X1213">
        <v>1</v>
      </c>
      <c r="AA1213">
        <v>-7429.3476000000001</v>
      </c>
      <c r="AB1213">
        <v>-7429.3476000000001</v>
      </c>
      <c r="AC1213">
        <v>-7429.3476000000001</v>
      </c>
      <c r="AD1213">
        <v>-7429.3476000000001</v>
      </c>
      <c r="AE1213">
        <v>-7429.3476000000001</v>
      </c>
      <c r="AF1213">
        <v>-7429.3476000000001</v>
      </c>
    </row>
    <row r="1214" spans="2:32" x14ac:dyDescent="0.25">
      <c r="B1214">
        <v>31</v>
      </c>
      <c r="C1214">
        <v>1</v>
      </c>
      <c r="D1214">
        <v>1</v>
      </c>
      <c r="E1214">
        <v>1</v>
      </c>
      <c r="F1214">
        <v>1</v>
      </c>
      <c r="G1214">
        <v>1</v>
      </c>
      <c r="H1214">
        <v>1</v>
      </c>
      <c r="J1214">
        <v>31</v>
      </c>
      <c r="K1214">
        <v>1</v>
      </c>
      <c r="L1214">
        <v>1</v>
      </c>
      <c r="M1214">
        <v>1</v>
      </c>
      <c r="N1214">
        <v>1</v>
      </c>
      <c r="O1214">
        <v>1</v>
      </c>
      <c r="P1214">
        <v>1</v>
      </c>
      <c r="R1214">
        <v>31</v>
      </c>
      <c r="S1214">
        <v>1</v>
      </c>
      <c r="T1214">
        <v>1</v>
      </c>
      <c r="U1214">
        <v>1</v>
      </c>
      <c r="V1214">
        <v>1</v>
      </c>
      <c r="W1214">
        <v>1</v>
      </c>
      <c r="X1214">
        <v>1</v>
      </c>
      <c r="AA1214">
        <v>-7427.2446</v>
      </c>
      <c r="AB1214">
        <v>-7427.2446</v>
      </c>
      <c r="AC1214">
        <v>-7427.2446</v>
      </c>
      <c r="AD1214">
        <v>-7427.2446</v>
      </c>
      <c r="AE1214">
        <v>-7427.2446</v>
      </c>
      <c r="AF1214">
        <v>-7427.2446</v>
      </c>
    </row>
    <row r="1215" spans="2:32" x14ac:dyDescent="0.25">
      <c r="B1215">
        <v>32</v>
      </c>
      <c r="C1215">
        <v>1</v>
      </c>
      <c r="D1215">
        <v>1</v>
      </c>
      <c r="E1215">
        <v>1</v>
      </c>
      <c r="F1215">
        <v>1</v>
      </c>
      <c r="G1215">
        <v>1</v>
      </c>
      <c r="H1215">
        <v>1</v>
      </c>
      <c r="J1215">
        <v>32</v>
      </c>
      <c r="K1215">
        <v>1</v>
      </c>
      <c r="L1215">
        <v>1</v>
      </c>
      <c r="M1215">
        <v>1</v>
      </c>
      <c r="N1215">
        <v>1</v>
      </c>
      <c r="O1215">
        <v>1</v>
      </c>
      <c r="P1215">
        <v>1</v>
      </c>
      <c r="R1215">
        <v>32</v>
      </c>
      <c r="S1215">
        <v>1</v>
      </c>
      <c r="T1215">
        <v>1</v>
      </c>
      <c r="U1215">
        <v>1</v>
      </c>
      <c r="V1215">
        <v>1</v>
      </c>
      <c r="W1215">
        <v>1</v>
      </c>
      <c r="X1215">
        <v>1</v>
      </c>
      <c r="AA1215">
        <v>-7424.8944000000001</v>
      </c>
      <c r="AB1215">
        <v>-7424.8944000000001</v>
      </c>
      <c r="AC1215">
        <v>-7424.8944000000001</v>
      </c>
      <c r="AD1215">
        <v>-7424.8944000000001</v>
      </c>
      <c r="AE1215">
        <v>-7424.8944000000001</v>
      </c>
      <c r="AF1215">
        <v>-7424.8944000000001</v>
      </c>
    </row>
    <row r="1216" spans="2:32" x14ac:dyDescent="0.25">
      <c r="B1216">
        <v>33</v>
      </c>
      <c r="C1216">
        <v>1</v>
      </c>
      <c r="D1216">
        <v>1</v>
      </c>
      <c r="E1216">
        <v>1</v>
      </c>
      <c r="F1216">
        <v>1</v>
      </c>
      <c r="G1216">
        <v>1</v>
      </c>
      <c r="H1216">
        <v>1</v>
      </c>
      <c r="J1216">
        <v>33</v>
      </c>
      <c r="K1216">
        <v>1</v>
      </c>
      <c r="L1216">
        <v>1</v>
      </c>
      <c r="M1216">
        <v>1</v>
      </c>
      <c r="N1216">
        <v>1</v>
      </c>
      <c r="O1216">
        <v>1</v>
      </c>
      <c r="P1216">
        <v>1</v>
      </c>
      <c r="R1216">
        <v>33</v>
      </c>
      <c r="S1216">
        <v>1</v>
      </c>
      <c r="T1216">
        <v>1</v>
      </c>
      <c r="U1216">
        <v>1</v>
      </c>
      <c r="V1216">
        <v>1</v>
      </c>
      <c r="W1216">
        <v>1</v>
      </c>
      <c r="X1216">
        <v>1</v>
      </c>
      <c r="AA1216">
        <v>-7422.2834000000003</v>
      </c>
      <c r="AB1216">
        <v>-7422.2834000000003</v>
      </c>
      <c r="AC1216">
        <v>-7422.2834000000003</v>
      </c>
      <c r="AD1216">
        <v>-7422.2834000000003</v>
      </c>
      <c r="AE1216">
        <v>-7422.2834000000003</v>
      </c>
      <c r="AF1216">
        <v>-7422.2834000000003</v>
      </c>
    </row>
    <row r="1217" spans="2:32" x14ac:dyDescent="0.25">
      <c r="B1217">
        <v>34</v>
      </c>
      <c r="C1217">
        <v>1</v>
      </c>
      <c r="D1217">
        <v>1</v>
      </c>
      <c r="E1217">
        <v>1</v>
      </c>
      <c r="F1217">
        <v>1</v>
      </c>
      <c r="G1217">
        <v>1</v>
      </c>
      <c r="H1217">
        <v>1</v>
      </c>
      <c r="J1217">
        <v>34</v>
      </c>
      <c r="K1217">
        <v>1</v>
      </c>
      <c r="L1217">
        <v>1</v>
      </c>
      <c r="M1217">
        <v>1</v>
      </c>
      <c r="N1217">
        <v>1</v>
      </c>
      <c r="O1217">
        <v>1</v>
      </c>
      <c r="P1217">
        <v>1</v>
      </c>
      <c r="R1217">
        <v>34</v>
      </c>
      <c r="S1217">
        <v>1</v>
      </c>
      <c r="T1217">
        <v>1</v>
      </c>
      <c r="U1217">
        <v>1</v>
      </c>
      <c r="V1217">
        <v>1</v>
      </c>
      <c r="W1217">
        <v>1</v>
      </c>
      <c r="X1217">
        <v>1</v>
      </c>
      <c r="AA1217">
        <v>-7419.3683000000001</v>
      </c>
      <c r="AB1217">
        <v>-7419.3683000000001</v>
      </c>
      <c r="AC1217">
        <v>-7419.3683000000001</v>
      </c>
      <c r="AD1217">
        <v>-7419.3683000000001</v>
      </c>
      <c r="AE1217">
        <v>-7419.3683000000001</v>
      </c>
      <c r="AF1217">
        <v>-7419.3683000000001</v>
      </c>
    </row>
    <row r="1218" spans="2:32" x14ac:dyDescent="0.25">
      <c r="B1218">
        <v>35</v>
      </c>
      <c r="C1218">
        <v>1</v>
      </c>
      <c r="D1218">
        <v>1</v>
      </c>
      <c r="E1218">
        <v>1</v>
      </c>
      <c r="F1218">
        <v>1</v>
      </c>
      <c r="G1218">
        <v>1</v>
      </c>
      <c r="H1218">
        <v>1</v>
      </c>
      <c r="J1218">
        <v>35</v>
      </c>
      <c r="K1218">
        <v>1</v>
      </c>
      <c r="L1218">
        <v>1</v>
      </c>
      <c r="M1218">
        <v>1</v>
      </c>
      <c r="N1218">
        <v>1</v>
      </c>
      <c r="O1218">
        <v>1</v>
      </c>
      <c r="P1218">
        <v>1</v>
      </c>
      <c r="R1218">
        <v>35</v>
      </c>
      <c r="S1218">
        <v>1</v>
      </c>
      <c r="T1218">
        <v>1</v>
      </c>
      <c r="U1218">
        <v>1</v>
      </c>
      <c r="V1218">
        <v>1</v>
      </c>
      <c r="W1218">
        <v>1</v>
      </c>
      <c r="X1218">
        <v>1</v>
      </c>
      <c r="AA1218">
        <v>-7416.1363000000001</v>
      </c>
      <c r="AB1218">
        <v>-7416.1363000000001</v>
      </c>
      <c r="AC1218">
        <v>-7416.1363000000001</v>
      </c>
      <c r="AD1218">
        <v>-7416.1363000000001</v>
      </c>
      <c r="AE1218">
        <v>-7416.1363000000001</v>
      </c>
      <c r="AF1218">
        <v>-7416.1363000000001</v>
      </c>
    </row>
    <row r="1219" spans="2:32" x14ac:dyDescent="0.25">
      <c r="B1219">
        <v>36</v>
      </c>
      <c r="C1219">
        <v>1</v>
      </c>
      <c r="D1219">
        <v>1</v>
      </c>
      <c r="E1219">
        <v>1</v>
      </c>
      <c r="F1219">
        <v>1</v>
      </c>
      <c r="G1219">
        <v>1</v>
      </c>
      <c r="H1219">
        <v>1</v>
      </c>
      <c r="J1219">
        <v>36</v>
      </c>
      <c r="K1219">
        <v>1</v>
      </c>
      <c r="L1219">
        <v>1</v>
      </c>
      <c r="M1219">
        <v>1</v>
      </c>
      <c r="N1219">
        <v>1</v>
      </c>
      <c r="O1219">
        <v>1</v>
      </c>
      <c r="P1219">
        <v>1</v>
      </c>
      <c r="R1219">
        <v>36</v>
      </c>
      <c r="S1219">
        <v>1</v>
      </c>
      <c r="T1219">
        <v>1</v>
      </c>
      <c r="U1219">
        <v>1</v>
      </c>
      <c r="V1219">
        <v>1</v>
      </c>
      <c r="W1219">
        <v>1</v>
      </c>
      <c r="X1219">
        <v>1</v>
      </c>
      <c r="AA1219">
        <v>-7412.5378000000001</v>
      </c>
      <c r="AB1219">
        <v>-7412.5378000000001</v>
      </c>
      <c r="AC1219">
        <v>-7412.5378000000001</v>
      </c>
      <c r="AD1219">
        <v>-7412.5378000000001</v>
      </c>
      <c r="AE1219">
        <v>-7412.5378000000001</v>
      </c>
      <c r="AF1219">
        <v>-7412.5378000000001</v>
      </c>
    </row>
    <row r="1220" spans="2:32" x14ac:dyDescent="0.25">
      <c r="B1220">
        <v>37</v>
      </c>
      <c r="C1220">
        <v>1</v>
      </c>
      <c r="D1220">
        <v>1</v>
      </c>
      <c r="E1220">
        <v>1</v>
      </c>
      <c r="F1220">
        <v>1</v>
      </c>
      <c r="G1220">
        <v>1</v>
      </c>
      <c r="H1220">
        <v>1</v>
      </c>
      <c r="J1220">
        <v>37</v>
      </c>
      <c r="K1220">
        <v>1</v>
      </c>
      <c r="L1220">
        <v>1</v>
      </c>
      <c r="M1220">
        <v>1</v>
      </c>
      <c r="N1220">
        <v>1</v>
      </c>
      <c r="O1220">
        <v>1</v>
      </c>
      <c r="P1220">
        <v>1</v>
      </c>
      <c r="R1220">
        <v>37</v>
      </c>
      <c r="S1220">
        <v>1</v>
      </c>
      <c r="T1220">
        <v>1</v>
      </c>
      <c r="U1220">
        <v>1</v>
      </c>
      <c r="V1220">
        <v>1</v>
      </c>
      <c r="W1220">
        <v>1</v>
      </c>
      <c r="X1220">
        <v>1</v>
      </c>
      <c r="AA1220">
        <v>-7408.55</v>
      </c>
      <c r="AB1220">
        <v>-7408.55</v>
      </c>
      <c r="AC1220">
        <v>-7408.55</v>
      </c>
      <c r="AD1220">
        <v>-7408.55</v>
      </c>
      <c r="AE1220">
        <v>-7408.55</v>
      </c>
      <c r="AF1220">
        <v>-7408.55</v>
      </c>
    </row>
    <row r="1221" spans="2:32" x14ac:dyDescent="0.25">
      <c r="B1221">
        <v>38</v>
      </c>
      <c r="C1221">
        <v>1</v>
      </c>
      <c r="D1221">
        <v>1</v>
      </c>
      <c r="E1221">
        <v>1</v>
      </c>
      <c r="F1221">
        <v>1</v>
      </c>
      <c r="G1221">
        <v>1</v>
      </c>
      <c r="H1221">
        <v>1</v>
      </c>
      <c r="J1221">
        <v>38</v>
      </c>
      <c r="K1221">
        <v>1</v>
      </c>
      <c r="L1221">
        <v>1</v>
      </c>
      <c r="M1221">
        <v>1</v>
      </c>
      <c r="N1221">
        <v>1</v>
      </c>
      <c r="O1221">
        <v>1</v>
      </c>
      <c r="P1221">
        <v>1</v>
      </c>
      <c r="R1221">
        <v>38</v>
      </c>
      <c r="S1221">
        <v>1</v>
      </c>
      <c r="T1221">
        <v>1</v>
      </c>
      <c r="U1221">
        <v>1</v>
      </c>
      <c r="V1221">
        <v>1</v>
      </c>
      <c r="W1221">
        <v>1</v>
      </c>
      <c r="X1221">
        <v>1</v>
      </c>
      <c r="AA1221">
        <v>-7404.1752999999999</v>
      </c>
      <c r="AB1221">
        <v>-7404.1752999999999</v>
      </c>
      <c r="AC1221">
        <v>-7404.1752999999999</v>
      </c>
      <c r="AD1221">
        <v>-7404.1752999999999</v>
      </c>
      <c r="AE1221">
        <v>-7404.1752999999999</v>
      </c>
      <c r="AF1221">
        <v>-7404.1752999999999</v>
      </c>
    </row>
    <row r="1222" spans="2:32" x14ac:dyDescent="0.25">
      <c r="B1222">
        <v>39</v>
      </c>
      <c r="C1222">
        <v>1</v>
      </c>
      <c r="D1222">
        <v>1</v>
      </c>
      <c r="E1222">
        <v>1</v>
      </c>
      <c r="F1222">
        <v>1</v>
      </c>
      <c r="G1222">
        <v>1</v>
      </c>
      <c r="H1222">
        <v>1</v>
      </c>
      <c r="J1222">
        <v>39</v>
      </c>
      <c r="K1222">
        <v>1</v>
      </c>
      <c r="L1222">
        <v>1</v>
      </c>
      <c r="M1222">
        <v>1</v>
      </c>
      <c r="N1222">
        <v>1</v>
      </c>
      <c r="O1222">
        <v>1</v>
      </c>
      <c r="P1222">
        <v>1</v>
      </c>
      <c r="R1222">
        <v>39</v>
      </c>
      <c r="S1222">
        <v>1</v>
      </c>
      <c r="T1222">
        <v>1</v>
      </c>
      <c r="U1222">
        <v>1</v>
      </c>
      <c r="V1222">
        <v>1</v>
      </c>
      <c r="W1222">
        <v>1</v>
      </c>
      <c r="X1222">
        <v>1</v>
      </c>
      <c r="AA1222">
        <v>-7399.3923999999997</v>
      </c>
      <c r="AB1222">
        <v>-7399.3923999999997</v>
      </c>
      <c r="AC1222">
        <v>-7399.3923999999997</v>
      </c>
      <c r="AD1222">
        <v>-7399.3923999999997</v>
      </c>
      <c r="AE1222">
        <v>-7399.3923999999997</v>
      </c>
      <c r="AF1222">
        <v>-7399.3923999999997</v>
      </c>
    </row>
    <row r="1223" spans="2:32" x14ac:dyDescent="0.25">
      <c r="B1223">
        <v>40</v>
      </c>
      <c r="C1223">
        <v>1</v>
      </c>
      <c r="D1223">
        <v>1</v>
      </c>
      <c r="E1223">
        <v>1</v>
      </c>
      <c r="F1223">
        <v>1</v>
      </c>
      <c r="G1223">
        <v>1</v>
      </c>
      <c r="H1223">
        <v>1</v>
      </c>
      <c r="J1223">
        <v>40</v>
      </c>
      <c r="K1223">
        <v>1</v>
      </c>
      <c r="L1223">
        <v>1</v>
      </c>
      <c r="M1223">
        <v>1</v>
      </c>
      <c r="N1223">
        <v>1</v>
      </c>
      <c r="O1223">
        <v>1</v>
      </c>
      <c r="P1223">
        <v>1</v>
      </c>
      <c r="R1223">
        <v>40</v>
      </c>
      <c r="S1223">
        <v>1</v>
      </c>
      <c r="T1223">
        <v>1</v>
      </c>
      <c r="U1223">
        <v>1</v>
      </c>
      <c r="V1223">
        <v>1</v>
      </c>
      <c r="W1223">
        <v>1</v>
      </c>
      <c r="X1223">
        <v>1</v>
      </c>
      <c r="AA1223">
        <v>-7394.1365999999998</v>
      </c>
      <c r="AB1223">
        <v>-7394.1365999999998</v>
      </c>
      <c r="AC1223">
        <v>-7394.1365999999998</v>
      </c>
      <c r="AD1223">
        <v>-7394.1365999999998</v>
      </c>
      <c r="AE1223">
        <v>-7394.1365999999998</v>
      </c>
      <c r="AF1223">
        <v>-7394.1365999999998</v>
      </c>
    </row>
    <row r="1224" spans="2:32" x14ac:dyDescent="0.25">
      <c r="B1224">
        <v>41</v>
      </c>
      <c r="C1224">
        <v>1</v>
      </c>
      <c r="D1224">
        <v>1</v>
      </c>
      <c r="E1224">
        <v>1</v>
      </c>
      <c r="F1224">
        <v>1</v>
      </c>
      <c r="G1224">
        <v>1</v>
      </c>
      <c r="H1224">
        <v>1</v>
      </c>
      <c r="J1224">
        <v>41</v>
      </c>
      <c r="K1224">
        <v>1</v>
      </c>
      <c r="L1224">
        <v>1</v>
      </c>
      <c r="M1224">
        <v>1</v>
      </c>
      <c r="N1224">
        <v>1</v>
      </c>
      <c r="O1224">
        <v>1</v>
      </c>
      <c r="P1224">
        <v>1</v>
      </c>
      <c r="R1224">
        <v>41</v>
      </c>
      <c r="S1224">
        <v>1</v>
      </c>
      <c r="T1224">
        <v>1</v>
      </c>
      <c r="U1224">
        <v>1</v>
      </c>
      <c r="V1224">
        <v>1</v>
      </c>
      <c r="W1224">
        <v>1</v>
      </c>
      <c r="X1224">
        <v>1</v>
      </c>
      <c r="AA1224">
        <v>-7388.3469999999998</v>
      </c>
      <c r="AB1224">
        <v>-7388.3469999999998</v>
      </c>
      <c r="AC1224">
        <v>-7388.3469999999998</v>
      </c>
      <c r="AD1224">
        <v>-7388.3469999999998</v>
      </c>
      <c r="AE1224">
        <v>-7388.3469999999998</v>
      </c>
      <c r="AF1224">
        <v>-7388.3469999999998</v>
      </c>
    </row>
    <row r="1225" spans="2:32" x14ac:dyDescent="0.25">
      <c r="B1225">
        <v>42</v>
      </c>
      <c r="C1225">
        <v>1</v>
      </c>
      <c r="D1225">
        <v>1</v>
      </c>
      <c r="E1225">
        <v>1</v>
      </c>
      <c r="F1225">
        <v>1</v>
      </c>
      <c r="G1225">
        <v>1</v>
      </c>
      <c r="H1225">
        <v>1</v>
      </c>
      <c r="J1225">
        <v>42</v>
      </c>
      <c r="K1225">
        <v>1</v>
      </c>
      <c r="L1225">
        <v>1</v>
      </c>
      <c r="M1225">
        <v>1</v>
      </c>
      <c r="N1225">
        <v>1</v>
      </c>
      <c r="O1225">
        <v>1</v>
      </c>
      <c r="P1225">
        <v>1</v>
      </c>
      <c r="R1225">
        <v>42</v>
      </c>
      <c r="S1225">
        <v>1</v>
      </c>
      <c r="T1225">
        <v>1</v>
      </c>
      <c r="U1225">
        <v>1</v>
      </c>
      <c r="V1225">
        <v>1</v>
      </c>
      <c r="W1225">
        <v>1</v>
      </c>
      <c r="X1225">
        <v>1</v>
      </c>
      <c r="AA1225">
        <v>-7381.9919</v>
      </c>
      <c r="AB1225">
        <v>-7381.9919</v>
      </c>
      <c r="AC1225">
        <v>-7381.9919</v>
      </c>
      <c r="AD1225">
        <v>-7381.9919</v>
      </c>
      <c r="AE1225">
        <v>-7381.9919</v>
      </c>
      <c r="AF1225">
        <v>-7381.9919</v>
      </c>
    </row>
    <row r="1226" spans="2:32" x14ac:dyDescent="0.25">
      <c r="B1226">
        <v>43</v>
      </c>
      <c r="C1226">
        <v>1</v>
      </c>
      <c r="D1226">
        <v>1</v>
      </c>
      <c r="E1226">
        <v>1</v>
      </c>
      <c r="F1226">
        <v>1</v>
      </c>
      <c r="G1226">
        <v>1</v>
      </c>
      <c r="H1226">
        <v>1</v>
      </c>
      <c r="J1226">
        <v>43</v>
      </c>
      <c r="K1226">
        <v>1</v>
      </c>
      <c r="L1226">
        <v>1</v>
      </c>
      <c r="M1226">
        <v>1</v>
      </c>
      <c r="N1226">
        <v>1</v>
      </c>
      <c r="O1226">
        <v>1</v>
      </c>
      <c r="P1226">
        <v>1</v>
      </c>
      <c r="R1226">
        <v>43</v>
      </c>
      <c r="S1226">
        <v>1</v>
      </c>
      <c r="T1226">
        <v>1</v>
      </c>
      <c r="U1226">
        <v>1</v>
      </c>
      <c r="V1226">
        <v>1</v>
      </c>
      <c r="W1226">
        <v>1</v>
      </c>
      <c r="X1226">
        <v>1</v>
      </c>
      <c r="AA1226">
        <v>-7374.9579999999996</v>
      </c>
      <c r="AB1226">
        <v>-7374.9579999999996</v>
      </c>
      <c r="AC1226">
        <v>-7374.9579999999996</v>
      </c>
      <c r="AD1226">
        <v>-7374.9579999999996</v>
      </c>
      <c r="AE1226">
        <v>-7374.9579999999996</v>
      </c>
      <c r="AF1226">
        <v>-7374.9579999999996</v>
      </c>
    </row>
    <row r="1227" spans="2:32" x14ac:dyDescent="0.25">
      <c r="B1227">
        <v>44</v>
      </c>
      <c r="C1227">
        <v>1</v>
      </c>
      <c r="D1227">
        <v>1</v>
      </c>
      <c r="E1227">
        <v>1</v>
      </c>
      <c r="F1227">
        <v>1</v>
      </c>
      <c r="G1227">
        <v>1</v>
      </c>
      <c r="H1227">
        <v>1</v>
      </c>
      <c r="J1227">
        <v>44</v>
      </c>
      <c r="K1227">
        <v>1</v>
      </c>
      <c r="L1227">
        <v>1</v>
      </c>
      <c r="M1227">
        <v>1</v>
      </c>
      <c r="N1227">
        <v>1</v>
      </c>
      <c r="O1227">
        <v>1</v>
      </c>
      <c r="P1227">
        <v>1</v>
      </c>
      <c r="R1227">
        <v>44</v>
      </c>
      <c r="S1227">
        <v>1</v>
      </c>
      <c r="T1227">
        <v>1</v>
      </c>
      <c r="U1227">
        <v>1</v>
      </c>
      <c r="V1227">
        <v>1</v>
      </c>
      <c r="W1227">
        <v>1</v>
      </c>
      <c r="X1227">
        <v>1</v>
      </c>
      <c r="AA1227">
        <v>-7367.2034999999996</v>
      </c>
      <c r="AB1227">
        <v>-7367.2034999999996</v>
      </c>
      <c r="AC1227">
        <v>-7367.2034999999996</v>
      </c>
      <c r="AD1227">
        <v>-7367.2034999999996</v>
      </c>
      <c r="AE1227">
        <v>-7367.2034999999996</v>
      </c>
      <c r="AF1227">
        <v>-7367.2034999999996</v>
      </c>
    </row>
    <row r="1228" spans="2:32" x14ac:dyDescent="0.25">
      <c r="B1228">
        <v>45</v>
      </c>
      <c r="C1228">
        <v>1</v>
      </c>
      <c r="D1228">
        <v>1</v>
      </c>
      <c r="E1228">
        <v>1</v>
      </c>
      <c r="F1228">
        <v>1</v>
      </c>
      <c r="G1228">
        <v>1</v>
      </c>
      <c r="H1228">
        <v>1</v>
      </c>
      <c r="J1228">
        <v>45</v>
      </c>
      <c r="K1228">
        <v>1</v>
      </c>
      <c r="L1228">
        <v>1</v>
      </c>
      <c r="M1228">
        <v>1</v>
      </c>
      <c r="N1228">
        <v>1</v>
      </c>
      <c r="O1228">
        <v>1</v>
      </c>
      <c r="P1228">
        <v>1</v>
      </c>
      <c r="R1228">
        <v>45</v>
      </c>
      <c r="S1228">
        <v>1</v>
      </c>
      <c r="T1228">
        <v>1</v>
      </c>
      <c r="U1228">
        <v>1</v>
      </c>
      <c r="V1228">
        <v>1</v>
      </c>
      <c r="W1228">
        <v>1</v>
      </c>
      <c r="X1228">
        <v>1</v>
      </c>
      <c r="AA1228">
        <v>-7358.6491999999998</v>
      </c>
      <c r="AB1228">
        <v>-7358.6491999999998</v>
      </c>
      <c r="AC1228">
        <v>-7358.6491999999998</v>
      </c>
      <c r="AD1228">
        <v>-7358.6491999999998</v>
      </c>
      <c r="AE1228">
        <v>-7358.6491999999998</v>
      </c>
      <c r="AF1228">
        <v>-7358.6491999999998</v>
      </c>
    </row>
    <row r="1229" spans="2:32" x14ac:dyDescent="0.25">
      <c r="B1229">
        <v>46</v>
      </c>
      <c r="C1229">
        <v>1</v>
      </c>
      <c r="D1229">
        <v>1</v>
      </c>
      <c r="E1229">
        <v>1</v>
      </c>
      <c r="F1229">
        <v>1</v>
      </c>
      <c r="G1229">
        <v>1</v>
      </c>
      <c r="H1229">
        <v>1</v>
      </c>
      <c r="J1229">
        <v>46</v>
      </c>
      <c r="K1229">
        <v>1</v>
      </c>
      <c r="L1229">
        <v>1</v>
      </c>
      <c r="M1229">
        <v>1</v>
      </c>
      <c r="N1229">
        <v>1</v>
      </c>
      <c r="O1229">
        <v>1</v>
      </c>
      <c r="P1229">
        <v>1</v>
      </c>
      <c r="R1229">
        <v>46</v>
      </c>
      <c r="S1229">
        <v>1</v>
      </c>
      <c r="T1229">
        <v>1</v>
      </c>
      <c r="U1229">
        <v>1</v>
      </c>
      <c r="V1229">
        <v>1</v>
      </c>
      <c r="W1229">
        <v>1</v>
      </c>
      <c r="X1229">
        <v>1</v>
      </c>
      <c r="AA1229">
        <v>-7349.2232000000004</v>
      </c>
      <c r="AB1229">
        <v>-7349.2232000000004</v>
      </c>
      <c r="AC1229">
        <v>-7349.2232000000004</v>
      </c>
      <c r="AD1229">
        <v>-7349.2232000000004</v>
      </c>
      <c r="AE1229">
        <v>-7349.2232000000004</v>
      </c>
      <c r="AF1229">
        <v>-7349.2232000000004</v>
      </c>
    </row>
    <row r="1230" spans="2:32" x14ac:dyDescent="0.25">
      <c r="B1230">
        <v>47</v>
      </c>
      <c r="C1230">
        <v>1</v>
      </c>
      <c r="D1230">
        <v>1</v>
      </c>
      <c r="E1230">
        <v>1</v>
      </c>
      <c r="F1230">
        <v>1</v>
      </c>
      <c r="G1230">
        <v>1</v>
      </c>
      <c r="H1230">
        <v>1</v>
      </c>
      <c r="J1230">
        <v>47</v>
      </c>
      <c r="K1230">
        <v>1</v>
      </c>
      <c r="L1230">
        <v>1</v>
      </c>
      <c r="M1230">
        <v>1</v>
      </c>
      <c r="N1230">
        <v>1</v>
      </c>
      <c r="O1230">
        <v>1</v>
      </c>
      <c r="P1230">
        <v>1</v>
      </c>
      <c r="R1230">
        <v>47</v>
      </c>
      <c r="S1230">
        <v>1</v>
      </c>
      <c r="T1230">
        <v>1</v>
      </c>
      <c r="U1230">
        <v>1</v>
      </c>
      <c r="V1230">
        <v>1</v>
      </c>
      <c r="W1230">
        <v>1</v>
      </c>
      <c r="X1230">
        <v>1</v>
      </c>
      <c r="AA1230">
        <v>-7338.8310000000001</v>
      </c>
      <c r="AB1230">
        <v>-7338.8310000000001</v>
      </c>
      <c r="AC1230">
        <v>-7338.8310000000001</v>
      </c>
      <c r="AD1230">
        <v>-7338.8310000000001</v>
      </c>
      <c r="AE1230">
        <v>-7338.8310000000001</v>
      </c>
      <c r="AF1230">
        <v>-7338.8310000000001</v>
      </c>
    </row>
    <row r="1231" spans="2:32" x14ac:dyDescent="0.25">
      <c r="B1231">
        <v>48</v>
      </c>
      <c r="C1231">
        <v>1</v>
      </c>
      <c r="D1231">
        <v>1</v>
      </c>
      <c r="E1231">
        <v>1</v>
      </c>
      <c r="F1231">
        <v>1</v>
      </c>
      <c r="G1231">
        <v>1</v>
      </c>
      <c r="H1231">
        <v>1</v>
      </c>
      <c r="J1231">
        <v>48</v>
      </c>
      <c r="K1231">
        <v>1</v>
      </c>
      <c r="L1231">
        <v>1</v>
      </c>
      <c r="M1231">
        <v>1</v>
      </c>
      <c r="N1231">
        <v>1</v>
      </c>
      <c r="O1231">
        <v>1</v>
      </c>
      <c r="P1231">
        <v>1</v>
      </c>
      <c r="R1231">
        <v>48</v>
      </c>
      <c r="S1231">
        <v>1</v>
      </c>
      <c r="T1231">
        <v>1</v>
      </c>
      <c r="U1231">
        <v>1</v>
      </c>
      <c r="V1231">
        <v>1</v>
      </c>
      <c r="W1231">
        <v>1</v>
      </c>
      <c r="X1231">
        <v>1</v>
      </c>
      <c r="AA1231">
        <v>-7327.4297999999999</v>
      </c>
      <c r="AB1231">
        <v>-7327.4297999999999</v>
      </c>
      <c r="AC1231">
        <v>-7327.4297999999999</v>
      </c>
      <c r="AD1231">
        <v>-7327.4297999999999</v>
      </c>
      <c r="AE1231">
        <v>-7327.4297999999999</v>
      </c>
      <c r="AF1231">
        <v>-7327.4297999999999</v>
      </c>
    </row>
    <row r="1232" spans="2:32" x14ac:dyDescent="0.25">
      <c r="B1232">
        <v>49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v>1</v>
      </c>
      <c r="J1232">
        <v>49</v>
      </c>
      <c r="K1232">
        <v>1</v>
      </c>
      <c r="L1232">
        <v>1</v>
      </c>
      <c r="M1232">
        <v>1</v>
      </c>
      <c r="N1232">
        <v>1</v>
      </c>
      <c r="O1232">
        <v>1</v>
      </c>
      <c r="P1232">
        <v>1</v>
      </c>
      <c r="R1232">
        <v>49</v>
      </c>
      <c r="S1232">
        <v>1</v>
      </c>
      <c r="T1232">
        <v>1</v>
      </c>
      <c r="U1232">
        <v>1</v>
      </c>
      <c r="V1232">
        <v>1</v>
      </c>
      <c r="W1232">
        <v>1</v>
      </c>
      <c r="X1232">
        <v>1</v>
      </c>
      <c r="AA1232">
        <v>-7314.951</v>
      </c>
      <c r="AB1232">
        <v>-7314.951</v>
      </c>
      <c r="AC1232">
        <v>-7314.951</v>
      </c>
      <c r="AD1232">
        <v>-7314.951</v>
      </c>
      <c r="AE1232">
        <v>-7314.951</v>
      </c>
      <c r="AF1232">
        <v>-7314.951</v>
      </c>
    </row>
    <row r="1233" spans="2:32" x14ac:dyDescent="0.25">
      <c r="B1233">
        <v>50</v>
      </c>
      <c r="C1233">
        <v>1</v>
      </c>
      <c r="D1233">
        <v>1</v>
      </c>
      <c r="E1233">
        <v>1</v>
      </c>
      <c r="F1233">
        <v>1</v>
      </c>
      <c r="G1233">
        <v>1</v>
      </c>
      <c r="H1233">
        <v>1</v>
      </c>
      <c r="J1233">
        <v>50</v>
      </c>
      <c r="K1233">
        <v>1</v>
      </c>
      <c r="L1233">
        <v>1</v>
      </c>
      <c r="M1233">
        <v>1</v>
      </c>
      <c r="N1233">
        <v>1</v>
      </c>
      <c r="O1233">
        <v>1</v>
      </c>
      <c r="P1233">
        <v>1</v>
      </c>
      <c r="R1233">
        <v>50</v>
      </c>
      <c r="S1233">
        <v>1</v>
      </c>
      <c r="T1233">
        <v>1</v>
      </c>
      <c r="U1233">
        <v>1</v>
      </c>
      <c r="V1233">
        <v>1</v>
      </c>
      <c r="W1233">
        <v>1</v>
      </c>
      <c r="X1233">
        <v>1</v>
      </c>
      <c r="AA1233">
        <v>-7301.2851000000001</v>
      </c>
      <c r="AB1233">
        <v>-7301.2851000000001</v>
      </c>
      <c r="AC1233">
        <v>-7301.2851000000001</v>
      </c>
      <c r="AD1233">
        <v>-7301.2851000000001</v>
      </c>
      <c r="AE1233">
        <v>-7301.2851000000001</v>
      </c>
      <c r="AF1233">
        <v>-7301.2851000000001</v>
      </c>
    </row>
    <row r="1234" spans="2:32" x14ac:dyDescent="0.25">
      <c r="B1234">
        <v>51</v>
      </c>
      <c r="C1234">
        <v>1</v>
      </c>
      <c r="D1234">
        <v>1</v>
      </c>
      <c r="E1234">
        <v>1</v>
      </c>
      <c r="F1234">
        <v>1</v>
      </c>
      <c r="G1234">
        <v>1</v>
      </c>
      <c r="H1234">
        <v>1</v>
      </c>
      <c r="J1234">
        <v>51</v>
      </c>
      <c r="K1234">
        <v>1</v>
      </c>
      <c r="L1234">
        <v>1</v>
      </c>
      <c r="M1234">
        <v>1</v>
      </c>
      <c r="N1234">
        <v>1</v>
      </c>
      <c r="O1234">
        <v>1</v>
      </c>
      <c r="P1234">
        <v>1</v>
      </c>
      <c r="R1234">
        <v>51</v>
      </c>
      <c r="S1234">
        <v>1</v>
      </c>
      <c r="T1234">
        <v>1</v>
      </c>
      <c r="U1234">
        <v>1</v>
      </c>
      <c r="V1234">
        <v>1</v>
      </c>
      <c r="W1234">
        <v>1</v>
      </c>
      <c r="X1234">
        <v>1</v>
      </c>
      <c r="AA1234">
        <v>-7286.3271000000004</v>
      </c>
      <c r="AB1234">
        <v>-7286.3271000000004</v>
      </c>
      <c r="AC1234">
        <v>-7286.3271000000004</v>
      </c>
      <c r="AD1234">
        <v>-7286.3271000000004</v>
      </c>
      <c r="AE1234">
        <v>-7286.3271000000004</v>
      </c>
      <c r="AF1234">
        <v>-7286.3271000000004</v>
      </c>
    </row>
    <row r="1235" spans="2:32" x14ac:dyDescent="0.25">
      <c r="B1235">
        <v>52</v>
      </c>
      <c r="C1235">
        <v>1</v>
      </c>
      <c r="D1235">
        <v>1</v>
      </c>
      <c r="E1235">
        <v>1</v>
      </c>
      <c r="F1235">
        <v>1</v>
      </c>
      <c r="G1235">
        <v>1</v>
      </c>
      <c r="H1235">
        <v>1</v>
      </c>
      <c r="J1235">
        <v>52</v>
      </c>
      <c r="K1235">
        <v>1</v>
      </c>
      <c r="L1235">
        <v>1</v>
      </c>
      <c r="M1235">
        <v>1</v>
      </c>
      <c r="N1235">
        <v>1</v>
      </c>
      <c r="O1235">
        <v>1</v>
      </c>
      <c r="P1235">
        <v>1</v>
      </c>
      <c r="R1235">
        <v>52</v>
      </c>
      <c r="S1235">
        <v>1</v>
      </c>
      <c r="T1235">
        <v>1</v>
      </c>
      <c r="U1235">
        <v>1</v>
      </c>
      <c r="V1235">
        <v>1</v>
      </c>
      <c r="W1235">
        <v>1</v>
      </c>
      <c r="X1235">
        <v>1</v>
      </c>
      <c r="AA1235">
        <v>-7269.9448000000002</v>
      </c>
      <c r="AB1235">
        <v>-7269.9448000000002</v>
      </c>
      <c r="AC1235">
        <v>-7269.9448000000002</v>
      </c>
      <c r="AD1235">
        <v>-7269.9448000000002</v>
      </c>
      <c r="AE1235">
        <v>-7269.9448000000002</v>
      </c>
      <c r="AF1235">
        <v>-7269.9448000000002</v>
      </c>
    </row>
    <row r="1236" spans="2:32" x14ac:dyDescent="0.25">
      <c r="B1236">
        <v>53</v>
      </c>
      <c r="C1236">
        <v>1</v>
      </c>
      <c r="D1236">
        <v>1</v>
      </c>
      <c r="E1236">
        <v>1</v>
      </c>
      <c r="F1236">
        <v>1</v>
      </c>
      <c r="G1236">
        <v>1</v>
      </c>
      <c r="H1236">
        <v>1</v>
      </c>
      <c r="J1236">
        <v>53</v>
      </c>
      <c r="K1236">
        <v>1</v>
      </c>
      <c r="L1236">
        <v>1</v>
      </c>
      <c r="M1236">
        <v>1</v>
      </c>
      <c r="N1236">
        <v>1</v>
      </c>
      <c r="O1236">
        <v>1</v>
      </c>
      <c r="P1236">
        <v>1</v>
      </c>
      <c r="R1236">
        <v>53</v>
      </c>
      <c r="S1236">
        <v>1</v>
      </c>
      <c r="T1236">
        <v>1</v>
      </c>
      <c r="U1236">
        <v>1</v>
      </c>
      <c r="V1236">
        <v>1</v>
      </c>
      <c r="W1236">
        <v>1</v>
      </c>
      <c r="X1236">
        <v>1</v>
      </c>
      <c r="AA1236">
        <v>-7252.0574999999999</v>
      </c>
      <c r="AB1236">
        <v>-7252.0574999999999</v>
      </c>
      <c r="AC1236">
        <v>-7252.0574999999999</v>
      </c>
      <c r="AD1236">
        <v>-7252.0574999999999</v>
      </c>
      <c r="AE1236">
        <v>-7252.0574999999999</v>
      </c>
      <c r="AF1236">
        <v>-7252.0574999999999</v>
      </c>
    </row>
    <row r="1237" spans="2:32" x14ac:dyDescent="0.25">
      <c r="B1237">
        <v>54</v>
      </c>
      <c r="C1237">
        <v>1</v>
      </c>
      <c r="D1237">
        <v>1</v>
      </c>
      <c r="E1237">
        <v>1</v>
      </c>
      <c r="F1237">
        <v>1</v>
      </c>
      <c r="G1237">
        <v>1</v>
      </c>
      <c r="H1237">
        <v>1</v>
      </c>
      <c r="J1237">
        <v>54</v>
      </c>
      <c r="K1237">
        <v>1</v>
      </c>
      <c r="L1237">
        <v>1</v>
      </c>
      <c r="M1237">
        <v>1</v>
      </c>
      <c r="N1237">
        <v>1</v>
      </c>
      <c r="O1237">
        <v>1</v>
      </c>
      <c r="P1237">
        <v>1</v>
      </c>
      <c r="R1237">
        <v>54</v>
      </c>
      <c r="S1237">
        <v>1</v>
      </c>
      <c r="T1237">
        <v>1</v>
      </c>
      <c r="U1237">
        <v>1</v>
      </c>
      <c r="V1237">
        <v>1</v>
      </c>
      <c r="W1237">
        <v>1</v>
      </c>
      <c r="X1237">
        <v>1</v>
      </c>
      <c r="AA1237">
        <v>-7232.5680000000002</v>
      </c>
      <c r="AB1237">
        <v>-7232.5680000000002</v>
      </c>
      <c r="AC1237">
        <v>-7232.5680000000002</v>
      </c>
      <c r="AD1237">
        <v>-7232.5680000000002</v>
      </c>
      <c r="AE1237">
        <v>-7232.5680000000002</v>
      </c>
      <c r="AF1237">
        <v>-7232.5680000000002</v>
      </c>
    </row>
    <row r="1238" spans="2:32" x14ac:dyDescent="0.25">
      <c r="B1238">
        <v>55</v>
      </c>
      <c r="C1238">
        <v>1</v>
      </c>
      <c r="D1238">
        <v>1</v>
      </c>
      <c r="E1238">
        <v>1</v>
      </c>
      <c r="F1238">
        <v>1</v>
      </c>
      <c r="G1238">
        <v>1</v>
      </c>
      <c r="H1238">
        <v>1</v>
      </c>
      <c r="J1238">
        <v>55</v>
      </c>
      <c r="K1238">
        <v>1</v>
      </c>
      <c r="L1238">
        <v>1</v>
      </c>
      <c r="M1238">
        <v>1</v>
      </c>
      <c r="N1238">
        <v>1</v>
      </c>
      <c r="O1238">
        <v>1</v>
      </c>
      <c r="P1238">
        <v>1</v>
      </c>
      <c r="R1238">
        <v>55</v>
      </c>
      <c r="S1238">
        <v>1</v>
      </c>
      <c r="T1238">
        <v>1</v>
      </c>
      <c r="U1238">
        <v>1</v>
      </c>
      <c r="V1238">
        <v>1</v>
      </c>
      <c r="W1238">
        <v>1</v>
      </c>
      <c r="X1238">
        <v>1</v>
      </c>
      <c r="AA1238">
        <v>-7211.3207000000002</v>
      </c>
      <c r="AB1238">
        <v>-7211.3207000000002</v>
      </c>
      <c r="AC1238">
        <v>-7211.3207000000002</v>
      </c>
      <c r="AD1238">
        <v>-7211.3207000000002</v>
      </c>
      <c r="AE1238">
        <v>-7211.3207000000002</v>
      </c>
      <c r="AF1238">
        <v>-7211.3207000000002</v>
      </c>
    </row>
    <row r="1241" spans="2:32" x14ac:dyDescent="0.25">
      <c r="B1241" t="s">
        <v>46</v>
      </c>
      <c r="C1241">
        <v>100000</v>
      </c>
      <c r="D1241">
        <v>250000</v>
      </c>
      <c r="E1241">
        <v>500000</v>
      </c>
      <c r="F1241">
        <v>1000000</v>
      </c>
      <c r="G1241">
        <v>2000000</v>
      </c>
      <c r="J1241" t="s">
        <v>32</v>
      </c>
      <c r="K1241">
        <v>100000</v>
      </c>
      <c r="L1241">
        <v>250000</v>
      </c>
      <c r="M1241">
        <v>500000</v>
      </c>
      <c r="N1241">
        <v>1000000</v>
      </c>
      <c r="O1241">
        <v>2000000</v>
      </c>
      <c r="R1241" t="s">
        <v>48</v>
      </c>
      <c r="S1241">
        <v>100000</v>
      </c>
      <c r="T1241">
        <v>250000</v>
      </c>
      <c r="U1241">
        <v>500000</v>
      </c>
      <c r="V1241">
        <v>1000000</v>
      </c>
      <c r="W1241">
        <v>2000000</v>
      </c>
    </row>
    <row r="1242" spans="2:32" x14ac:dyDescent="0.25">
      <c r="B1242">
        <v>35</v>
      </c>
      <c r="C1242">
        <v>1</v>
      </c>
      <c r="D1242">
        <v>1</v>
      </c>
      <c r="E1242">
        <v>1</v>
      </c>
      <c r="F1242">
        <v>1</v>
      </c>
      <c r="G1242">
        <v>1</v>
      </c>
      <c r="J1242">
        <v>35</v>
      </c>
      <c r="K1242">
        <v>1</v>
      </c>
      <c r="L1242">
        <v>1</v>
      </c>
      <c r="M1242">
        <v>1</v>
      </c>
      <c r="N1242">
        <v>1</v>
      </c>
      <c r="O1242">
        <v>1</v>
      </c>
      <c r="R1242">
        <v>35</v>
      </c>
      <c r="S1242">
        <v>1</v>
      </c>
      <c r="T1242">
        <v>1</v>
      </c>
      <c r="U1242">
        <v>1</v>
      </c>
      <c r="V1242">
        <v>1</v>
      </c>
      <c r="W1242">
        <v>1</v>
      </c>
      <c r="AA1242">
        <v>-11308.6893</v>
      </c>
      <c r="AB1242">
        <v>-11308.6893</v>
      </c>
      <c r="AC1242">
        <v>-11308.6893</v>
      </c>
      <c r="AD1242">
        <v>-11308.6893</v>
      </c>
      <c r="AE1242">
        <v>-11308.6893</v>
      </c>
      <c r="AF1242">
        <v>-759112.79520000005</v>
      </c>
    </row>
    <row r="1243" spans="2:32" x14ac:dyDescent="0.25">
      <c r="B1243">
        <f t="shared" ref="B1243:B1272" si="54">B1242+1</f>
        <v>36</v>
      </c>
      <c r="C1243">
        <v>1</v>
      </c>
      <c r="D1243">
        <v>1</v>
      </c>
      <c r="E1243">
        <v>1</v>
      </c>
      <c r="F1243">
        <v>1</v>
      </c>
      <c r="G1243">
        <v>1</v>
      </c>
      <c r="J1243">
        <f t="shared" ref="J1243:J1272" si="55">J1242+1</f>
        <v>36</v>
      </c>
      <c r="K1243">
        <v>1</v>
      </c>
      <c r="L1243">
        <v>1</v>
      </c>
      <c r="M1243">
        <v>1</v>
      </c>
      <c r="N1243">
        <v>1</v>
      </c>
      <c r="O1243">
        <v>1</v>
      </c>
      <c r="R1243">
        <f t="shared" ref="R1243:R1272" si="56">R1242+1</f>
        <v>36</v>
      </c>
      <c r="S1243">
        <v>1</v>
      </c>
      <c r="T1243">
        <v>1</v>
      </c>
      <c r="U1243">
        <v>1</v>
      </c>
      <c r="V1243">
        <v>1</v>
      </c>
      <c r="W1243">
        <v>1</v>
      </c>
      <c r="AA1243">
        <v>-11214.2592</v>
      </c>
      <c r="AB1243">
        <v>-11214.2592</v>
      </c>
      <c r="AC1243">
        <v>-11214.2592</v>
      </c>
      <c r="AD1243">
        <v>-11214.2592</v>
      </c>
      <c r="AE1243">
        <v>-11214.2592</v>
      </c>
      <c r="AF1243">
        <v>-737070.86179999996</v>
      </c>
    </row>
    <row r="1244" spans="2:32" x14ac:dyDescent="0.25">
      <c r="B1244">
        <f t="shared" si="54"/>
        <v>37</v>
      </c>
      <c r="C1244">
        <v>1</v>
      </c>
      <c r="D1244">
        <v>1</v>
      </c>
      <c r="E1244">
        <v>1</v>
      </c>
      <c r="F1244">
        <v>1</v>
      </c>
      <c r="G1244">
        <v>1</v>
      </c>
      <c r="J1244">
        <f t="shared" si="55"/>
        <v>37</v>
      </c>
      <c r="K1244">
        <v>1</v>
      </c>
      <c r="L1244">
        <v>1</v>
      </c>
      <c r="M1244">
        <v>1</v>
      </c>
      <c r="N1244">
        <v>1</v>
      </c>
      <c r="O1244">
        <v>1</v>
      </c>
      <c r="R1244">
        <f t="shared" si="56"/>
        <v>37</v>
      </c>
      <c r="S1244">
        <v>1</v>
      </c>
      <c r="T1244">
        <v>1</v>
      </c>
      <c r="U1244">
        <v>1</v>
      </c>
      <c r="V1244">
        <v>1</v>
      </c>
      <c r="W1244">
        <v>1</v>
      </c>
      <c r="AA1244">
        <v>-11117.406199999999</v>
      </c>
      <c r="AB1244">
        <v>-11117.406199999999</v>
      </c>
      <c r="AC1244">
        <v>-11117.406199999999</v>
      </c>
      <c r="AD1244">
        <v>-11117.406199999999</v>
      </c>
      <c r="AE1244">
        <v>-11117.406199999999</v>
      </c>
      <c r="AF1244">
        <v>-737070.86179999996</v>
      </c>
    </row>
    <row r="1245" spans="2:32" x14ac:dyDescent="0.25">
      <c r="B1245">
        <f t="shared" si="54"/>
        <v>38</v>
      </c>
      <c r="C1245">
        <v>1</v>
      </c>
      <c r="D1245">
        <v>1</v>
      </c>
      <c r="E1245">
        <v>1</v>
      </c>
      <c r="F1245">
        <v>1</v>
      </c>
      <c r="G1245">
        <v>1</v>
      </c>
      <c r="J1245">
        <f t="shared" si="55"/>
        <v>38</v>
      </c>
      <c r="K1245">
        <v>1</v>
      </c>
      <c r="L1245">
        <v>1</v>
      </c>
      <c r="M1245">
        <v>1</v>
      </c>
      <c r="N1245">
        <v>1</v>
      </c>
      <c r="O1245">
        <v>1</v>
      </c>
      <c r="R1245">
        <f t="shared" si="56"/>
        <v>38</v>
      </c>
      <c r="S1245">
        <v>1</v>
      </c>
      <c r="T1245">
        <v>1</v>
      </c>
      <c r="U1245">
        <v>1</v>
      </c>
      <c r="V1245">
        <v>1</v>
      </c>
      <c r="W1245">
        <v>1</v>
      </c>
      <c r="AA1245">
        <v>-11018.229799999999</v>
      </c>
      <c r="AB1245">
        <v>-11018.229799999999</v>
      </c>
      <c r="AC1245">
        <v>-11018.229799999999</v>
      </c>
      <c r="AD1245">
        <v>-11018.229799999999</v>
      </c>
      <c r="AE1245">
        <v>-11018.229799999999</v>
      </c>
      <c r="AF1245">
        <v>-783780.576</v>
      </c>
    </row>
    <row r="1246" spans="2:32" x14ac:dyDescent="0.25">
      <c r="B1246">
        <f t="shared" si="54"/>
        <v>39</v>
      </c>
      <c r="C1246">
        <v>1</v>
      </c>
      <c r="D1246">
        <v>1</v>
      </c>
      <c r="E1246">
        <v>1</v>
      </c>
      <c r="F1246">
        <v>1</v>
      </c>
      <c r="G1246">
        <v>1</v>
      </c>
      <c r="J1246">
        <f t="shared" si="55"/>
        <v>39</v>
      </c>
      <c r="K1246">
        <v>1</v>
      </c>
      <c r="L1246">
        <v>1</v>
      </c>
      <c r="M1246">
        <v>1</v>
      </c>
      <c r="N1246">
        <v>1</v>
      </c>
      <c r="O1246">
        <v>1</v>
      </c>
      <c r="R1246">
        <f t="shared" si="56"/>
        <v>39</v>
      </c>
      <c r="S1246">
        <v>1</v>
      </c>
      <c r="T1246">
        <v>1</v>
      </c>
      <c r="U1246">
        <v>1</v>
      </c>
      <c r="V1246">
        <v>1</v>
      </c>
      <c r="W1246">
        <v>1</v>
      </c>
      <c r="AA1246">
        <v>-10916.737999999999</v>
      </c>
      <c r="AB1246">
        <v>-10916.737999999999</v>
      </c>
      <c r="AC1246">
        <v>-10916.737999999999</v>
      </c>
      <c r="AD1246">
        <v>-10916.737999999999</v>
      </c>
      <c r="AE1246">
        <v>-10916.737999999999</v>
      </c>
      <c r="AF1246">
        <v>-769662.22069999995</v>
      </c>
    </row>
    <row r="1247" spans="2:32" x14ac:dyDescent="0.25">
      <c r="B1247">
        <f t="shared" si="54"/>
        <v>40</v>
      </c>
      <c r="C1247">
        <v>1</v>
      </c>
      <c r="D1247">
        <v>1</v>
      </c>
      <c r="E1247">
        <v>1</v>
      </c>
      <c r="F1247">
        <v>1</v>
      </c>
      <c r="G1247">
        <v>1</v>
      </c>
      <c r="J1247">
        <f t="shared" si="55"/>
        <v>40</v>
      </c>
      <c r="K1247">
        <v>1</v>
      </c>
      <c r="L1247">
        <v>1</v>
      </c>
      <c r="M1247">
        <v>1</v>
      </c>
      <c r="N1247">
        <v>1</v>
      </c>
      <c r="O1247">
        <v>1</v>
      </c>
      <c r="R1247">
        <f t="shared" si="56"/>
        <v>40</v>
      </c>
      <c r="S1247">
        <v>1</v>
      </c>
      <c r="T1247">
        <v>1</v>
      </c>
      <c r="U1247">
        <v>1</v>
      </c>
      <c r="V1247">
        <v>1</v>
      </c>
      <c r="W1247">
        <v>1</v>
      </c>
      <c r="AA1247">
        <v>-10812.8714</v>
      </c>
      <c r="AB1247">
        <v>-10812.8714</v>
      </c>
      <c r="AC1247">
        <v>-10812.8714</v>
      </c>
      <c r="AD1247">
        <v>-10812.8714</v>
      </c>
      <c r="AE1247">
        <v>-10812.8714</v>
      </c>
      <c r="AF1247">
        <v>-798570.41119999997</v>
      </c>
    </row>
    <row r="1248" spans="2:32" x14ac:dyDescent="0.25">
      <c r="B1248">
        <f t="shared" si="54"/>
        <v>41</v>
      </c>
      <c r="C1248">
        <v>1</v>
      </c>
      <c r="D1248">
        <v>1</v>
      </c>
      <c r="E1248">
        <v>1</v>
      </c>
      <c r="F1248">
        <v>1</v>
      </c>
      <c r="G1248">
        <v>1</v>
      </c>
      <c r="J1248">
        <f t="shared" si="55"/>
        <v>41</v>
      </c>
      <c r="K1248">
        <v>1</v>
      </c>
      <c r="L1248">
        <v>1</v>
      </c>
      <c r="M1248">
        <v>1</v>
      </c>
      <c r="N1248">
        <v>1</v>
      </c>
      <c r="O1248">
        <v>1</v>
      </c>
      <c r="R1248">
        <f t="shared" si="56"/>
        <v>41</v>
      </c>
      <c r="S1248">
        <v>1</v>
      </c>
      <c r="T1248">
        <v>1</v>
      </c>
      <c r="U1248">
        <v>1</v>
      </c>
      <c r="V1248">
        <v>1</v>
      </c>
      <c r="W1248">
        <v>1</v>
      </c>
      <c r="AA1248">
        <v>-10706.559600000001</v>
      </c>
      <c r="AB1248">
        <v>-10706.559600000001</v>
      </c>
      <c r="AC1248">
        <v>-10706.559600000001</v>
      </c>
      <c r="AD1248">
        <v>-10706.559600000001</v>
      </c>
      <c r="AE1248">
        <v>-10706.559600000001</v>
      </c>
      <c r="AF1248">
        <v>-803549.96459999995</v>
      </c>
    </row>
    <row r="1249" spans="2:32" x14ac:dyDescent="0.25">
      <c r="B1249">
        <f t="shared" si="54"/>
        <v>42</v>
      </c>
      <c r="C1249">
        <v>1</v>
      </c>
      <c r="D1249">
        <v>1</v>
      </c>
      <c r="E1249">
        <v>1</v>
      </c>
      <c r="F1249">
        <v>1</v>
      </c>
      <c r="G1249">
        <v>1</v>
      </c>
      <c r="J1249">
        <f t="shared" si="55"/>
        <v>42</v>
      </c>
      <c r="K1249">
        <v>1</v>
      </c>
      <c r="L1249">
        <v>1</v>
      </c>
      <c r="M1249">
        <v>1</v>
      </c>
      <c r="N1249">
        <v>1</v>
      </c>
      <c r="O1249">
        <v>1</v>
      </c>
      <c r="R1249">
        <f t="shared" si="56"/>
        <v>42</v>
      </c>
      <c r="S1249">
        <v>1</v>
      </c>
      <c r="T1249">
        <v>1</v>
      </c>
      <c r="U1249">
        <v>1</v>
      </c>
      <c r="V1249">
        <v>1</v>
      </c>
      <c r="W1249">
        <v>1</v>
      </c>
      <c r="AA1249">
        <v>-10597.8485</v>
      </c>
      <c r="AB1249">
        <v>-10597.8485</v>
      </c>
      <c r="AC1249">
        <v>-10597.8485</v>
      </c>
      <c r="AD1249">
        <v>-10597.8485</v>
      </c>
      <c r="AE1249">
        <v>-10597.8485</v>
      </c>
      <c r="AF1249">
        <v>-833551.75890000002</v>
      </c>
    </row>
    <row r="1250" spans="2:32" x14ac:dyDescent="0.25">
      <c r="B1250">
        <f t="shared" si="54"/>
        <v>43</v>
      </c>
      <c r="C1250">
        <v>1</v>
      </c>
      <c r="D1250">
        <v>1</v>
      </c>
      <c r="E1250">
        <v>1</v>
      </c>
      <c r="F1250">
        <v>1</v>
      </c>
      <c r="G1250">
        <v>1</v>
      </c>
      <c r="J1250">
        <f t="shared" si="55"/>
        <v>43</v>
      </c>
      <c r="K1250">
        <v>1</v>
      </c>
      <c r="L1250">
        <v>1</v>
      </c>
      <c r="M1250">
        <v>1</v>
      </c>
      <c r="N1250">
        <v>1</v>
      </c>
      <c r="O1250">
        <v>1</v>
      </c>
      <c r="R1250">
        <f t="shared" si="56"/>
        <v>43</v>
      </c>
      <c r="S1250">
        <v>1</v>
      </c>
      <c r="T1250">
        <v>1</v>
      </c>
      <c r="U1250">
        <v>1</v>
      </c>
      <c r="V1250">
        <v>1</v>
      </c>
      <c r="W1250">
        <v>1</v>
      </c>
      <c r="AA1250">
        <v>-10486.615400000001</v>
      </c>
      <c r="AB1250">
        <v>-10486.615400000001</v>
      </c>
      <c r="AC1250">
        <v>-10486.615400000001</v>
      </c>
      <c r="AD1250">
        <v>-10486.615400000001</v>
      </c>
      <c r="AE1250">
        <v>-10486.615400000001</v>
      </c>
      <c r="AF1250">
        <v>-844950.93949999998</v>
      </c>
    </row>
    <row r="1251" spans="2:32" x14ac:dyDescent="0.25">
      <c r="B1251">
        <f t="shared" si="54"/>
        <v>44</v>
      </c>
      <c r="C1251">
        <v>1</v>
      </c>
      <c r="D1251">
        <v>1</v>
      </c>
      <c r="E1251">
        <v>1</v>
      </c>
      <c r="F1251">
        <v>1</v>
      </c>
      <c r="G1251">
        <v>1</v>
      </c>
      <c r="J1251">
        <f t="shared" si="55"/>
        <v>44</v>
      </c>
      <c r="K1251">
        <v>1</v>
      </c>
      <c r="L1251">
        <v>1</v>
      </c>
      <c r="M1251">
        <v>1</v>
      </c>
      <c r="N1251">
        <v>1</v>
      </c>
      <c r="O1251">
        <v>1</v>
      </c>
      <c r="R1251">
        <f t="shared" si="56"/>
        <v>44</v>
      </c>
      <c r="S1251">
        <v>1</v>
      </c>
      <c r="T1251">
        <v>1</v>
      </c>
      <c r="U1251">
        <v>1</v>
      </c>
      <c r="V1251">
        <v>1</v>
      </c>
      <c r="W1251">
        <v>1</v>
      </c>
      <c r="AA1251">
        <v>-10372.9005</v>
      </c>
      <c r="AB1251">
        <v>-10372.9005</v>
      </c>
      <c r="AC1251">
        <v>-10372.9005</v>
      </c>
      <c r="AD1251">
        <v>-10372.9005</v>
      </c>
      <c r="AE1251">
        <v>-10372.9005</v>
      </c>
      <c r="AF1251">
        <v>-851265.64670000004</v>
      </c>
    </row>
    <row r="1252" spans="2:32" x14ac:dyDescent="0.25">
      <c r="B1252">
        <f t="shared" si="54"/>
        <v>45</v>
      </c>
      <c r="C1252">
        <v>1</v>
      </c>
      <c r="D1252">
        <v>1</v>
      </c>
      <c r="E1252">
        <v>1</v>
      </c>
      <c r="F1252">
        <v>1</v>
      </c>
      <c r="G1252">
        <v>1</v>
      </c>
      <c r="J1252">
        <f t="shared" si="55"/>
        <v>45</v>
      </c>
      <c r="K1252">
        <v>1</v>
      </c>
      <c r="L1252">
        <v>1</v>
      </c>
      <c r="M1252">
        <v>1</v>
      </c>
      <c r="N1252">
        <v>1</v>
      </c>
      <c r="O1252">
        <v>1</v>
      </c>
      <c r="R1252">
        <f t="shared" si="56"/>
        <v>45</v>
      </c>
      <c r="S1252">
        <v>1</v>
      </c>
      <c r="T1252">
        <v>1</v>
      </c>
      <c r="U1252">
        <v>1</v>
      </c>
      <c r="V1252">
        <v>1</v>
      </c>
      <c r="W1252">
        <v>1</v>
      </c>
      <c r="AA1252">
        <v>-10256.650600000001</v>
      </c>
      <c r="AB1252">
        <v>-10256.650600000001</v>
      </c>
      <c r="AC1252">
        <v>-10256.650600000001</v>
      </c>
      <c r="AD1252">
        <v>-10256.650600000001</v>
      </c>
      <c r="AE1252">
        <v>-10256.650600000001</v>
      </c>
      <c r="AF1252">
        <v>-870649.02139999997</v>
      </c>
    </row>
    <row r="1253" spans="2:32" x14ac:dyDescent="0.25">
      <c r="B1253">
        <f t="shared" si="54"/>
        <v>46</v>
      </c>
      <c r="C1253">
        <v>1</v>
      </c>
      <c r="D1253">
        <v>1</v>
      </c>
      <c r="E1253">
        <v>1</v>
      </c>
      <c r="F1253">
        <v>1</v>
      </c>
      <c r="G1253">
        <v>1</v>
      </c>
      <c r="J1253">
        <f t="shared" si="55"/>
        <v>46</v>
      </c>
      <c r="K1253">
        <v>1</v>
      </c>
      <c r="L1253">
        <v>1</v>
      </c>
      <c r="M1253">
        <v>1</v>
      </c>
      <c r="N1253">
        <v>1</v>
      </c>
      <c r="O1253">
        <v>1</v>
      </c>
      <c r="R1253">
        <f t="shared" si="56"/>
        <v>46</v>
      </c>
      <c r="S1253">
        <v>1</v>
      </c>
      <c r="T1253">
        <v>1</v>
      </c>
      <c r="U1253">
        <v>1</v>
      </c>
      <c r="V1253">
        <v>1</v>
      </c>
      <c r="W1253">
        <v>1</v>
      </c>
      <c r="AA1253">
        <v>-10137.871499999999</v>
      </c>
      <c r="AB1253">
        <v>-10137.871499999999</v>
      </c>
      <c r="AC1253">
        <v>-10137.871499999999</v>
      </c>
      <c r="AD1253">
        <v>-10137.871499999999</v>
      </c>
      <c r="AE1253">
        <v>-10137.871499999999</v>
      </c>
      <c r="AF1253">
        <v>-870649.02139999997</v>
      </c>
    </row>
    <row r="1254" spans="2:32" x14ac:dyDescent="0.25">
      <c r="B1254">
        <f t="shared" si="54"/>
        <v>47</v>
      </c>
      <c r="C1254">
        <v>1</v>
      </c>
      <c r="D1254">
        <v>1</v>
      </c>
      <c r="E1254">
        <v>1</v>
      </c>
      <c r="F1254">
        <v>1</v>
      </c>
      <c r="G1254">
        <v>1</v>
      </c>
      <c r="J1254">
        <f t="shared" si="55"/>
        <v>47</v>
      </c>
      <c r="K1254">
        <v>1</v>
      </c>
      <c r="L1254">
        <v>1</v>
      </c>
      <c r="M1254">
        <v>1</v>
      </c>
      <c r="N1254">
        <v>1</v>
      </c>
      <c r="O1254">
        <v>1</v>
      </c>
      <c r="R1254">
        <f t="shared" si="56"/>
        <v>47</v>
      </c>
      <c r="S1254">
        <v>1</v>
      </c>
      <c r="T1254">
        <v>1</v>
      </c>
      <c r="U1254">
        <v>1</v>
      </c>
      <c r="V1254">
        <v>1</v>
      </c>
      <c r="W1254">
        <v>1</v>
      </c>
      <c r="AA1254">
        <v>-10016.4967</v>
      </c>
      <c r="AB1254">
        <v>-10016.4967</v>
      </c>
      <c r="AC1254">
        <v>-10016.4967</v>
      </c>
      <c r="AD1254">
        <v>-10016.4967</v>
      </c>
      <c r="AE1254">
        <v>-10016.4967</v>
      </c>
      <c r="AF1254">
        <v>-910915.81969999999</v>
      </c>
    </row>
    <row r="1255" spans="2:32" x14ac:dyDescent="0.25">
      <c r="B1255">
        <f t="shared" si="54"/>
        <v>48</v>
      </c>
      <c r="C1255">
        <v>1</v>
      </c>
      <c r="D1255">
        <v>1</v>
      </c>
      <c r="E1255">
        <v>1</v>
      </c>
      <c r="F1255">
        <v>1</v>
      </c>
      <c r="G1255">
        <v>1</v>
      </c>
      <c r="J1255">
        <f t="shared" si="55"/>
        <v>48</v>
      </c>
      <c r="K1255">
        <v>1</v>
      </c>
      <c r="L1255">
        <v>1</v>
      </c>
      <c r="M1255">
        <v>1</v>
      </c>
      <c r="N1255">
        <v>1</v>
      </c>
      <c r="O1255">
        <v>1</v>
      </c>
      <c r="R1255">
        <f t="shared" si="56"/>
        <v>48</v>
      </c>
      <c r="S1255">
        <v>1</v>
      </c>
      <c r="T1255">
        <v>1</v>
      </c>
      <c r="U1255">
        <v>1</v>
      </c>
      <c r="V1255">
        <v>1</v>
      </c>
      <c r="W1255">
        <v>1</v>
      </c>
      <c r="AA1255">
        <v>-9892.6355000000003</v>
      </c>
      <c r="AB1255">
        <v>-9892.6355000000003</v>
      </c>
      <c r="AC1255">
        <v>-9892.6355000000003</v>
      </c>
      <c r="AD1255">
        <v>-9892.6355000000003</v>
      </c>
      <c r="AE1255">
        <v>-9892.6355000000003</v>
      </c>
      <c r="AF1255">
        <v>-917891.87360000005</v>
      </c>
    </row>
    <row r="1256" spans="2:32" x14ac:dyDescent="0.25">
      <c r="B1256">
        <f t="shared" si="54"/>
        <v>49</v>
      </c>
      <c r="C1256">
        <v>1</v>
      </c>
      <c r="D1256">
        <v>1</v>
      </c>
      <c r="E1256">
        <v>1</v>
      </c>
      <c r="F1256">
        <v>1</v>
      </c>
      <c r="G1256">
        <v>1</v>
      </c>
      <c r="J1256">
        <f t="shared" si="55"/>
        <v>49</v>
      </c>
      <c r="K1256">
        <v>1</v>
      </c>
      <c r="L1256">
        <v>1</v>
      </c>
      <c r="M1256">
        <v>1</v>
      </c>
      <c r="N1256">
        <v>1</v>
      </c>
      <c r="O1256">
        <v>1</v>
      </c>
      <c r="R1256">
        <f t="shared" si="56"/>
        <v>49</v>
      </c>
      <c r="S1256">
        <v>1</v>
      </c>
      <c r="T1256">
        <v>1</v>
      </c>
      <c r="U1256">
        <v>1</v>
      </c>
      <c r="V1256">
        <v>1</v>
      </c>
      <c r="W1256">
        <v>1</v>
      </c>
      <c r="AA1256">
        <v>-9766.3366999999998</v>
      </c>
      <c r="AB1256">
        <v>-9766.3366999999998</v>
      </c>
      <c r="AC1256">
        <v>-9766.3366999999998</v>
      </c>
      <c r="AD1256">
        <v>-9766.3366999999998</v>
      </c>
      <c r="AE1256">
        <v>-9766.3366999999998</v>
      </c>
      <c r="AF1256">
        <v>-944521.72470000002</v>
      </c>
    </row>
    <row r="1257" spans="2:32" x14ac:dyDescent="0.25">
      <c r="B1257">
        <f t="shared" si="54"/>
        <v>50</v>
      </c>
      <c r="C1257">
        <v>1</v>
      </c>
      <c r="D1257">
        <v>1</v>
      </c>
      <c r="E1257">
        <v>1</v>
      </c>
      <c r="F1257">
        <v>1</v>
      </c>
      <c r="G1257">
        <v>1</v>
      </c>
      <c r="J1257">
        <f t="shared" si="55"/>
        <v>50</v>
      </c>
      <c r="K1257">
        <v>1</v>
      </c>
      <c r="L1257">
        <v>1</v>
      </c>
      <c r="M1257">
        <v>1</v>
      </c>
      <c r="N1257">
        <v>1</v>
      </c>
      <c r="O1257">
        <v>1</v>
      </c>
      <c r="R1257">
        <f t="shared" si="56"/>
        <v>50</v>
      </c>
      <c r="S1257">
        <v>1</v>
      </c>
      <c r="T1257">
        <v>1</v>
      </c>
      <c r="U1257">
        <v>1</v>
      </c>
      <c r="V1257">
        <v>1</v>
      </c>
      <c r="W1257">
        <v>1</v>
      </c>
      <c r="AA1257">
        <v>-9637.5864000000001</v>
      </c>
      <c r="AB1257">
        <v>-9637.5864000000001</v>
      </c>
      <c r="AC1257">
        <v>-9637.5864000000001</v>
      </c>
      <c r="AD1257">
        <v>-9637.5864000000001</v>
      </c>
      <c r="AE1257">
        <v>-9637.5864000000001</v>
      </c>
      <c r="AF1257">
        <v>-963257.14989999996</v>
      </c>
    </row>
    <row r="1258" spans="2:32" x14ac:dyDescent="0.25">
      <c r="B1258">
        <f t="shared" si="54"/>
        <v>51</v>
      </c>
      <c r="C1258">
        <v>1</v>
      </c>
      <c r="D1258">
        <v>1</v>
      </c>
      <c r="E1258">
        <v>1</v>
      </c>
      <c r="F1258">
        <v>1</v>
      </c>
      <c r="G1258">
        <v>1</v>
      </c>
      <c r="J1258">
        <f t="shared" si="55"/>
        <v>51</v>
      </c>
      <c r="K1258">
        <v>1</v>
      </c>
      <c r="L1258">
        <v>1</v>
      </c>
      <c r="M1258">
        <v>1</v>
      </c>
      <c r="N1258">
        <v>1</v>
      </c>
      <c r="O1258">
        <v>1</v>
      </c>
      <c r="R1258">
        <f t="shared" si="56"/>
        <v>51</v>
      </c>
      <c r="S1258">
        <v>1</v>
      </c>
      <c r="T1258">
        <v>1</v>
      </c>
      <c r="U1258">
        <v>1</v>
      </c>
      <c r="V1258">
        <v>1</v>
      </c>
      <c r="W1258">
        <v>1</v>
      </c>
      <c r="AA1258">
        <v>-9506.3734000000004</v>
      </c>
      <c r="AB1258">
        <v>-9506.3734000000004</v>
      </c>
      <c r="AC1258">
        <v>-9506.3734000000004</v>
      </c>
      <c r="AD1258">
        <v>-9506.3734000000004</v>
      </c>
      <c r="AE1258">
        <v>-9506.3734000000004</v>
      </c>
      <c r="AF1258">
        <v>-981592.90729999996</v>
      </c>
    </row>
    <row r="1259" spans="2:32" x14ac:dyDescent="0.25">
      <c r="B1259">
        <f t="shared" si="54"/>
        <v>52</v>
      </c>
      <c r="C1259">
        <v>1</v>
      </c>
      <c r="D1259">
        <v>1</v>
      </c>
      <c r="E1259">
        <v>1</v>
      </c>
      <c r="F1259">
        <v>1</v>
      </c>
      <c r="G1259">
        <v>1</v>
      </c>
      <c r="J1259">
        <f t="shared" si="55"/>
        <v>52</v>
      </c>
      <c r="K1259">
        <v>1</v>
      </c>
      <c r="L1259">
        <v>1</v>
      </c>
      <c r="M1259">
        <v>1</v>
      </c>
      <c r="N1259">
        <v>1</v>
      </c>
      <c r="O1259">
        <v>1</v>
      </c>
      <c r="R1259">
        <f t="shared" si="56"/>
        <v>52</v>
      </c>
      <c r="S1259">
        <v>1</v>
      </c>
      <c r="T1259">
        <v>1</v>
      </c>
      <c r="U1259">
        <v>1</v>
      </c>
      <c r="V1259">
        <v>1</v>
      </c>
      <c r="W1259">
        <v>1</v>
      </c>
      <c r="AA1259">
        <v>-9372.7019</v>
      </c>
      <c r="AB1259">
        <v>-9372.7019</v>
      </c>
      <c r="AC1259">
        <v>-9372.7019</v>
      </c>
      <c r="AD1259">
        <v>-9372.7019</v>
      </c>
      <c r="AE1259">
        <v>-9372.7019</v>
      </c>
      <c r="AF1259">
        <v>-998556.10360000003</v>
      </c>
    </row>
    <row r="1260" spans="2:32" x14ac:dyDescent="0.25">
      <c r="B1260">
        <f t="shared" si="54"/>
        <v>53</v>
      </c>
      <c r="C1260">
        <v>1</v>
      </c>
      <c r="D1260">
        <v>1</v>
      </c>
      <c r="E1260">
        <v>1</v>
      </c>
      <c r="F1260">
        <v>1</v>
      </c>
      <c r="G1260">
        <v>1</v>
      </c>
      <c r="J1260">
        <f t="shared" si="55"/>
        <v>53</v>
      </c>
      <c r="K1260">
        <v>1</v>
      </c>
      <c r="L1260">
        <v>1</v>
      </c>
      <c r="M1260">
        <v>1</v>
      </c>
      <c r="N1260">
        <v>1</v>
      </c>
      <c r="O1260">
        <v>1</v>
      </c>
      <c r="R1260">
        <f t="shared" si="56"/>
        <v>53</v>
      </c>
      <c r="S1260">
        <v>1</v>
      </c>
      <c r="T1260">
        <v>1</v>
      </c>
      <c r="U1260">
        <v>1</v>
      </c>
      <c r="V1260">
        <v>1</v>
      </c>
      <c r="W1260">
        <v>1</v>
      </c>
      <c r="AA1260">
        <v>-9236.6705000000002</v>
      </c>
      <c r="AB1260">
        <v>-9236.6705000000002</v>
      </c>
      <c r="AC1260">
        <v>-9236.6705000000002</v>
      </c>
      <c r="AD1260">
        <v>-9236.6705000000002</v>
      </c>
      <c r="AE1260">
        <v>-9236.6705000000002</v>
      </c>
      <c r="AF1260">
        <v>-1015461.3278</v>
      </c>
    </row>
    <row r="1261" spans="2:32" x14ac:dyDescent="0.25">
      <c r="B1261">
        <f t="shared" si="54"/>
        <v>54</v>
      </c>
      <c r="C1261">
        <v>1</v>
      </c>
      <c r="D1261">
        <v>1</v>
      </c>
      <c r="E1261">
        <v>1</v>
      </c>
      <c r="F1261">
        <v>1</v>
      </c>
      <c r="G1261">
        <v>1</v>
      </c>
      <c r="J1261">
        <f t="shared" si="55"/>
        <v>54</v>
      </c>
      <c r="K1261">
        <v>1</v>
      </c>
      <c r="L1261">
        <v>1</v>
      </c>
      <c r="M1261">
        <v>1</v>
      </c>
      <c r="N1261">
        <v>1</v>
      </c>
      <c r="O1261">
        <v>1</v>
      </c>
      <c r="R1261">
        <f t="shared" si="56"/>
        <v>54</v>
      </c>
      <c r="S1261">
        <v>1</v>
      </c>
      <c r="T1261">
        <v>1</v>
      </c>
      <c r="U1261">
        <v>1</v>
      </c>
      <c r="V1261">
        <v>1</v>
      </c>
      <c r="W1261">
        <v>1</v>
      </c>
      <c r="AA1261">
        <v>-9098.4312000000009</v>
      </c>
      <c r="AB1261">
        <v>-9098.4312000000009</v>
      </c>
      <c r="AC1261">
        <v>-9098.4312000000009</v>
      </c>
      <c r="AD1261">
        <v>-9098.4312000000009</v>
      </c>
      <c r="AE1261">
        <v>-9098.4312000000009</v>
      </c>
      <c r="AF1261">
        <v>-1033869.6813000001</v>
      </c>
    </row>
    <row r="1262" spans="2:32" x14ac:dyDescent="0.25">
      <c r="B1262">
        <f t="shared" si="54"/>
        <v>55</v>
      </c>
      <c r="C1262">
        <v>1</v>
      </c>
      <c r="D1262">
        <v>1</v>
      </c>
      <c r="E1262">
        <v>1</v>
      </c>
      <c r="F1262">
        <v>1</v>
      </c>
      <c r="G1262">
        <v>1</v>
      </c>
      <c r="J1262">
        <f t="shared" si="55"/>
        <v>55</v>
      </c>
      <c r="K1262">
        <v>1</v>
      </c>
      <c r="L1262">
        <v>1</v>
      </c>
      <c r="M1262">
        <v>1</v>
      </c>
      <c r="N1262">
        <v>1</v>
      </c>
      <c r="O1262">
        <v>1</v>
      </c>
      <c r="R1262">
        <f t="shared" si="56"/>
        <v>55</v>
      </c>
      <c r="S1262">
        <v>1</v>
      </c>
      <c r="T1262">
        <v>1</v>
      </c>
      <c r="U1262">
        <v>1</v>
      </c>
      <c r="V1262">
        <v>1</v>
      </c>
      <c r="W1262">
        <v>1</v>
      </c>
      <c r="AA1262">
        <v>-8958.0210999999999</v>
      </c>
      <c r="AB1262">
        <v>-8958.0210999999999</v>
      </c>
      <c r="AC1262">
        <v>-8958.0210999999999</v>
      </c>
      <c r="AD1262">
        <v>-8958.0210999999999</v>
      </c>
      <c r="AE1262">
        <v>-8958.0210999999999</v>
      </c>
      <c r="AF1262">
        <v>-1050810.2549999999</v>
      </c>
    </row>
    <row r="1263" spans="2:32" x14ac:dyDescent="0.25">
      <c r="B1263">
        <f t="shared" si="54"/>
        <v>56</v>
      </c>
      <c r="C1263">
        <v>1</v>
      </c>
      <c r="D1263">
        <v>1</v>
      </c>
      <c r="E1263">
        <v>1</v>
      </c>
      <c r="F1263">
        <v>1</v>
      </c>
      <c r="G1263">
        <v>1</v>
      </c>
      <c r="J1263">
        <f t="shared" si="55"/>
        <v>56</v>
      </c>
      <c r="K1263">
        <v>1</v>
      </c>
      <c r="L1263">
        <v>1</v>
      </c>
      <c r="M1263">
        <v>1</v>
      </c>
      <c r="N1263">
        <v>1</v>
      </c>
      <c r="O1263">
        <v>1</v>
      </c>
      <c r="R1263">
        <f t="shared" si="56"/>
        <v>56</v>
      </c>
      <c r="S1263">
        <v>1</v>
      </c>
      <c r="T1263">
        <v>1</v>
      </c>
      <c r="U1263">
        <v>1</v>
      </c>
      <c r="V1263">
        <v>1</v>
      </c>
      <c r="W1263">
        <v>1</v>
      </c>
      <c r="AA1263">
        <v>-8815.6316999999999</v>
      </c>
      <c r="AB1263">
        <v>-8815.6316999999999</v>
      </c>
      <c r="AC1263">
        <v>-8815.6316999999999</v>
      </c>
      <c r="AD1263">
        <v>-8815.6316999999999</v>
      </c>
      <c r="AE1263">
        <v>-8815.6316999999999</v>
      </c>
      <c r="AF1263">
        <v>-1073295.8774000001</v>
      </c>
    </row>
    <row r="1264" spans="2:32" x14ac:dyDescent="0.25">
      <c r="B1264">
        <f t="shared" si="54"/>
        <v>57</v>
      </c>
      <c r="C1264">
        <v>1</v>
      </c>
      <c r="D1264">
        <v>1</v>
      </c>
      <c r="E1264">
        <v>1</v>
      </c>
      <c r="F1264">
        <v>1</v>
      </c>
      <c r="G1264">
        <v>1</v>
      </c>
      <c r="J1264">
        <f t="shared" si="55"/>
        <v>57</v>
      </c>
      <c r="K1264">
        <v>1</v>
      </c>
      <c r="L1264">
        <v>1</v>
      </c>
      <c r="M1264">
        <v>1</v>
      </c>
      <c r="N1264">
        <v>1</v>
      </c>
      <c r="O1264">
        <v>1</v>
      </c>
      <c r="R1264">
        <f t="shared" si="56"/>
        <v>57</v>
      </c>
      <c r="S1264">
        <v>1</v>
      </c>
      <c r="T1264">
        <v>1</v>
      </c>
      <c r="U1264">
        <v>1</v>
      </c>
      <c r="V1264">
        <v>1</v>
      </c>
      <c r="W1264">
        <v>1</v>
      </c>
      <c r="AA1264">
        <v>-8671.3991999999998</v>
      </c>
      <c r="AB1264">
        <v>-8671.3991999999998</v>
      </c>
      <c r="AC1264">
        <v>-8671.3991999999998</v>
      </c>
      <c r="AD1264">
        <v>-8671.3991999999998</v>
      </c>
      <c r="AE1264">
        <v>-8671.3991999999998</v>
      </c>
      <c r="AF1264">
        <v>-1093242.6832999999</v>
      </c>
    </row>
    <row r="1265" spans="2:32" x14ac:dyDescent="0.25">
      <c r="B1265">
        <f t="shared" si="54"/>
        <v>58</v>
      </c>
      <c r="C1265">
        <v>1</v>
      </c>
      <c r="D1265">
        <v>1</v>
      </c>
      <c r="E1265">
        <v>1</v>
      </c>
      <c r="F1265">
        <v>1</v>
      </c>
      <c r="G1265">
        <v>1</v>
      </c>
      <c r="J1265">
        <f t="shared" si="55"/>
        <v>58</v>
      </c>
      <c r="K1265">
        <v>1</v>
      </c>
      <c r="L1265">
        <v>1</v>
      </c>
      <c r="M1265">
        <v>1</v>
      </c>
      <c r="N1265">
        <v>1</v>
      </c>
      <c r="O1265">
        <v>1</v>
      </c>
      <c r="R1265">
        <f t="shared" si="56"/>
        <v>58</v>
      </c>
      <c r="S1265">
        <v>1</v>
      </c>
      <c r="T1265">
        <v>1</v>
      </c>
      <c r="U1265">
        <v>1</v>
      </c>
      <c r="V1265">
        <v>1</v>
      </c>
      <c r="W1265">
        <v>1</v>
      </c>
      <c r="AA1265">
        <v>-8525.2759999999998</v>
      </c>
      <c r="AB1265">
        <v>-8525.2759999999998</v>
      </c>
      <c r="AC1265">
        <v>-8525.2759999999998</v>
      </c>
      <c r="AD1265">
        <v>-8525.2759999999998</v>
      </c>
      <c r="AE1265">
        <v>-8525.2759999999998</v>
      </c>
      <c r="AF1265">
        <v>-1114366.6444000001</v>
      </c>
    </row>
    <row r="1266" spans="2:32" x14ac:dyDescent="0.25">
      <c r="B1266">
        <f t="shared" si="54"/>
        <v>59</v>
      </c>
      <c r="C1266">
        <v>1</v>
      </c>
      <c r="D1266">
        <v>1</v>
      </c>
      <c r="E1266">
        <v>1</v>
      </c>
      <c r="F1266">
        <v>1</v>
      </c>
      <c r="G1266">
        <v>1</v>
      </c>
      <c r="J1266">
        <f t="shared" si="55"/>
        <v>59</v>
      </c>
      <c r="K1266">
        <v>1</v>
      </c>
      <c r="L1266">
        <v>1</v>
      </c>
      <c r="M1266">
        <v>1</v>
      </c>
      <c r="N1266">
        <v>1</v>
      </c>
      <c r="O1266">
        <v>1</v>
      </c>
      <c r="R1266">
        <f t="shared" si="56"/>
        <v>59</v>
      </c>
      <c r="S1266">
        <v>1</v>
      </c>
      <c r="T1266">
        <v>1</v>
      </c>
      <c r="U1266">
        <v>1</v>
      </c>
      <c r="V1266">
        <v>1</v>
      </c>
      <c r="W1266">
        <v>1</v>
      </c>
      <c r="AA1266">
        <v>-8377.2351999999992</v>
      </c>
      <c r="AB1266">
        <v>-8377.2351999999992</v>
      </c>
      <c r="AC1266">
        <v>-8377.2351999999992</v>
      </c>
      <c r="AD1266">
        <v>-8377.2351999999992</v>
      </c>
      <c r="AE1266">
        <v>-8377.2351999999992</v>
      </c>
      <c r="AF1266">
        <v>-1136284.0146999999</v>
      </c>
    </row>
    <row r="1267" spans="2:32" x14ac:dyDescent="0.25">
      <c r="B1267">
        <f t="shared" si="54"/>
        <v>60</v>
      </c>
      <c r="C1267">
        <v>1</v>
      </c>
      <c r="D1267">
        <v>1</v>
      </c>
      <c r="E1267">
        <v>1</v>
      </c>
      <c r="F1267">
        <v>1</v>
      </c>
      <c r="G1267">
        <v>1</v>
      </c>
      <c r="J1267">
        <f t="shared" si="55"/>
        <v>60</v>
      </c>
      <c r="K1267">
        <v>1</v>
      </c>
      <c r="L1267">
        <v>1</v>
      </c>
      <c r="M1267">
        <v>1</v>
      </c>
      <c r="N1267">
        <v>1</v>
      </c>
      <c r="O1267">
        <v>1</v>
      </c>
      <c r="R1267">
        <f t="shared" si="56"/>
        <v>60</v>
      </c>
      <c r="S1267">
        <v>1</v>
      </c>
      <c r="T1267">
        <v>1</v>
      </c>
      <c r="U1267">
        <v>1</v>
      </c>
      <c r="V1267">
        <v>1</v>
      </c>
      <c r="W1267">
        <v>1</v>
      </c>
      <c r="AA1267">
        <v>-8227.3953999999994</v>
      </c>
      <c r="AB1267">
        <v>-8227.3953999999994</v>
      </c>
      <c r="AC1267">
        <v>-8227.3953999999994</v>
      </c>
      <c r="AD1267">
        <v>-8227.3953999999994</v>
      </c>
      <c r="AE1267">
        <v>-8227.3953999999994</v>
      </c>
      <c r="AF1267">
        <v>-1157801.6717999999</v>
      </c>
    </row>
    <row r="1268" spans="2:32" x14ac:dyDescent="0.25">
      <c r="B1268">
        <f t="shared" si="54"/>
        <v>61</v>
      </c>
      <c r="C1268">
        <v>1</v>
      </c>
      <c r="D1268">
        <v>1</v>
      </c>
      <c r="E1268">
        <v>1</v>
      </c>
      <c r="F1268">
        <v>1</v>
      </c>
      <c r="G1268">
        <v>1</v>
      </c>
      <c r="J1268">
        <f t="shared" si="55"/>
        <v>61</v>
      </c>
      <c r="K1268">
        <v>1</v>
      </c>
      <c r="L1268">
        <v>1</v>
      </c>
      <c r="M1268">
        <v>1</v>
      </c>
      <c r="N1268">
        <v>1</v>
      </c>
      <c r="O1268">
        <v>1</v>
      </c>
      <c r="R1268">
        <f t="shared" si="56"/>
        <v>61</v>
      </c>
      <c r="S1268">
        <v>1</v>
      </c>
      <c r="T1268">
        <v>1</v>
      </c>
      <c r="U1268">
        <v>1</v>
      </c>
      <c r="V1268">
        <v>1</v>
      </c>
      <c r="W1268">
        <v>1</v>
      </c>
      <c r="AA1268">
        <v>-8076.1778999999997</v>
      </c>
      <c r="AB1268">
        <v>-8076.1778999999997</v>
      </c>
      <c r="AC1268">
        <v>-8076.1778999999997</v>
      </c>
      <c r="AD1268">
        <v>-8076.1778999999997</v>
      </c>
      <c r="AE1268">
        <v>-8076.1778999999997</v>
      </c>
      <c r="AF1268">
        <v>-1178581.4038</v>
      </c>
    </row>
    <row r="1269" spans="2:32" x14ac:dyDescent="0.25">
      <c r="B1269">
        <f t="shared" si="54"/>
        <v>62</v>
      </c>
      <c r="C1269">
        <v>1</v>
      </c>
      <c r="D1269">
        <v>1</v>
      </c>
      <c r="E1269">
        <v>1</v>
      </c>
      <c r="F1269">
        <v>1</v>
      </c>
      <c r="G1269">
        <v>1</v>
      </c>
      <c r="J1269">
        <f t="shared" si="55"/>
        <v>62</v>
      </c>
      <c r="K1269">
        <v>1</v>
      </c>
      <c r="L1269">
        <v>1</v>
      </c>
      <c r="M1269">
        <v>1</v>
      </c>
      <c r="N1269">
        <v>1</v>
      </c>
      <c r="O1269">
        <v>1</v>
      </c>
      <c r="R1269">
        <f t="shared" si="56"/>
        <v>62</v>
      </c>
      <c r="S1269">
        <v>1</v>
      </c>
      <c r="T1269">
        <v>1</v>
      </c>
      <c r="U1269">
        <v>1</v>
      </c>
      <c r="V1269">
        <v>1</v>
      </c>
      <c r="W1269">
        <v>1</v>
      </c>
      <c r="AA1269">
        <v>-7923.5816000000004</v>
      </c>
      <c r="AB1269">
        <v>-7923.5816000000004</v>
      </c>
      <c r="AC1269">
        <v>-7923.5816000000004</v>
      </c>
      <c r="AD1269">
        <v>-7923.5816000000004</v>
      </c>
      <c r="AE1269">
        <v>-7923.5816000000004</v>
      </c>
      <c r="AF1269">
        <v>-1199521.5327000001</v>
      </c>
    </row>
    <row r="1270" spans="2:32" x14ac:dyDescent="0.25">
      <c r="B1270">
        <f t="shared" si="54"/>
        <v>63</v>
      </c>
      <c r="C1270">
        <v>1</v>
      </c>
      <c r="D1270">
        <v>1</v>
      </c>
      <c r="E1270">
        <v>1</v>
      </c>
      <c r="F1270">
        <v>1</v>
      </c>
      <c r="G1270">
        <v>1</v>
      </c>
      <c r="J1270">
        <f t="shared" si="55"/>
        <v>63</v>
      </c>
      <c r="K1270">
        <v>1</v>
      </c>
      <c r="L1270">
        <v>1</v>
      </c>
      <c r="M1270">
        <v>1</v>
      </c>
      <c r="N1270">
        <v>1</v>
      </c>
      <c r="O1270">
        <v>1</v>
      </c>
      <c r="R1270">
        <f t="shared" si="56"/>
        <v>63</v>
      </c>
      <c r="S1270">
        <v>1</v>
      </c>
      <c r="T1270">
        <v>1</v>
      </c>
      <c r="U1270">
        <v>1</v>
      </c>
      <c r="V1270">
        <v>1</v>
      </c>
      <c r="W1270">
        <v>1</v>
      </c>
      <c r="AA1270">
        <v>-7769.2775000000001</v>
      </c>
      <c r="AB1270">
        <v>-7769.2775000000001</v>
      </c>
      <c r="AC1270">
        <v>-7769.2775000000001</v>
      </c>
      <c r="AD1270">
        <v>-7769.2775000000001</v>
      </c>
      <c r="AE1270">
        <v>-7769.2775000000001</v>
      </c>
      <c r="AF1270">
        <v>-1220461.6269</v>
      </c>
    </row>
    <row r="1271" spans="2:32" x14ac:dyDescent="0.25">
      <c r="B1271">
        <f t="shared" si="54"/>
        <v>64</v>
      </c>
      <c r="C1271">
        <v>1</v>
      </c>
      <c r="D1271">
        <v>1</v>
      </c>
      <c r="E1271">
        <v>1</v>
      </c>
      <c r="F1271">
        <v>1</v>
      </c>
      <c r="G1271">
        <v>1</v>
      </c>
      <c r="J1271">
        <f t="shared" si="55"/>
        <v>64</v>
      </c>
      <c r="K1271">
        <v>1</v>
      </c>
      <c r="L1271">
        <v>1</v>
      </c>
      <c r="M1271">
        <v>1</v>
      </c>
      <c r="N1271">
        <v>1</v>
      </c>
      <c r="O1271">
        <v>1</v>
      </c>
      <c r="R1271">
        <f t="shared" si="56"/>
        <v>64</v>
      </c>
      <c r="S1271">
        <v>1</v>
      </c>
      <c r="T1271">
        <v>1</v>
      </c>
      <c r="U1271">
        <v>1</v>
      </c>
      <c r="V1271">
        <v>1</v>
      </c>
      <c r="W1271">
        <v>1</v>
      </c>
      <c r="AA1271">
        <v>-7613.3999000000003</v>
      </c>
      <c r="AB1271">
        <v>-7613.3999000000003</v>
      </c>
      <c r="AC1271">
        <v>-7613.3999000000003</v>
      </c>
      <c r="AD1271">
        <v>-7613.3999000000003</v>
      </c>
      <c r="AE1271">
        <v>-7613.3999000000003</v>
      </c>
      <c r="AF1271">
        <v>-1240652.2526</v>
      </c>
    </row>
    <row r="1272" spans="2:32" x14ac:dyDescent="0.25">
      <c r="B1272">
        <f t="shared" si="54"/>
        <v>65</v>
      </c>
      <c r="C1272">
        <v>1</v>
      </c>
      <c r="D1272">
        <v>1</v>
      </c>
      <c r="E1272">
        <v>1</v>
      </c>
      <c r="F1272">
        <v>1</v>
      </c>
      <c r="G1272">
        <v>1</v>
      </c>
      <c r="J1272">
        <f t="shared" si="55"/>
        <v>65</v>
      </c>
      <c r="K1272">
        <v>1</v>
      </c>
      <c r="L1272">
        <v>1</v>
      </c>
      <c r="M1272">
        <v>1</v>
      </c>
      <c r="N1272">
        <v>1</v>
      </c>
      <c r="O1272">
        <v>1</v>
      </c>
      <c r="R1272">
        <f t="shared" si="56"/>
        <v>65</v>
      </c>
      <c r="S1272">
        <v>1</v>
      </c>
      <c r="T1272">
        <v>1</v>
      </c>
      <c r="U1272">
        <v>1</v>
      </c>
      <c r="V1272">
        <v>1</v>
      </c>
      <c r="W1272">
        <v>1</v>
      </c>
      <c r="AA1272">
        <v>-7455.8590000000004</v>
      </c>
      <c r="AB1272">
        <v>-7455.8590000000004</v>
      </c>
      <c r="AC1272">
        <v>-7455.8590000000004</v>
      </c>
      <c r="AD1272">
        <v>-7455.8590000000004</v>
      </c>
      <c r="AE1272">
        <v>-7455.8590000000004</v>
      </c>
      <c r="AF1272">
        <v>-1260049.8302</v>
      </c>
    </row>
    <row r="1275" spans="2:32" x14ac:dyDescent="0.25">
      <c r="B1275" t="s">
        <v>46</v>
      </c>
      <c r="C1275">
        <v>50000</v>
      </c>
      <c r="D1275">
        <v>100000</v>
      </c>
      <c r="E1275">
        <v>250000</v>
      </c>
      <c r="F1275">
        <v>500000</v>
      </c>
      <c r="G1275">
        <v>1000000</v>
      </c>
      <c r="H1275">
        <v>2000000</v>
      </c>
      <c r="J1275" t="s">
        <v>47</v>
      </c>
      <c r="K1275">
        <v>50000</v>
      </c>
      <c r="L1275">
        <v>100000</v>
      </c>
      <c r="M1275">
        <v>250000</v>
      </c>
      <c r="N1275">
        <v>500000</v>
      </c>
      <c r="O1275">
        <v>1000000</v>
      </c>
      <c r="P1275">
        <v>2000000</v>
      </c>
      <c r="R1275" t="s">
        <v>48</v>
      </c>
      <c r="S1275">
        <v>50000</v>
      </c>
      <c r="T1275">
        <v>100000</v>
      </c>
      <c r="U1275">
        <v>250000</v>
      </c>
      <c r="V1275">
        <v>500000</v>
      </c>
      <c r="W1275">
        <v>1000000</v>
      </c>
      <c r="X1275">
        <v>2000000</v>
      </c>
    </row>
    <row r="1276" spans="2:32" x14ac:dyDescent="0.25">
      <c r="B1276">
        <v>26</v>
      </c>
      <c r="C1276">
        <v>1</v>
      </c>
      <c r="D1276">
        <v>1</v>
      </c>
      <c r="E1276">
        <v>1</v>
      </c>
      <c r="F1276">
        <v>1</v>
      </c>
      <c r="G1276">
        <v>1</v>
      </c>
      <c r="H1276">
        <v>1</v>
      </c>
      <c r="J1276">
        <v>26</v>
      </c>
      <c r="K1276">
        <v>1</v>
      </c>
      <c r="L1276">
        <v>1</v>
      </c>
      <c r="M1276">
        <v>1</v>
      </c>
      <c r="N1276">
        <v>1</v>
      </c>
      <c r="O1276">
        <v>1</v>
      </c>
      <c r="P1276">
        <v>1</v>
      </c>
      <c r="R1276">
        <v>26</v>
      </c>
      <c r="S1276">
        <v>1</v>
      </c>
      <c r="T1276">
        <v>1</v>
      </c>
      <c r="U1276">
        <v>1</v>
      </c>
      <c r="V1276">
        <v>1</v>
      </c>
      <c r="W1276">
        <v>1</v>
      </c>
      <c r="X1276">
        <v>1</v>
      </c>
      <c r="AA1276">
        <v>-7435.5060999999996</v>
      </c>
      <c r="AB1276">
        <v>-7435.5060999999996</v>
      </c>
      <c r="AC1276">
        <v>-7435.5060999999996</v>
      </c>
      <c r="AD1276">
        <v>-7435.5060999999996</v>
      </c>
      <c r="AE1276">
        <v>-7435.5060999999996</v>
      </c>
      <c r="AF1276">
        <v>-7435.5060999999996</v>
      </c>
    </row>
    <row r="1277" spans="2:32" x14ac:dyDescent="0.25">
      <c r="B1277">
        <v>27</v>
      </c>
      <c r="C1277">
        <v>1</v>
      </c>
      <c r="D1277">
        <v>1</v>
      </c>
      <c r="E1277">
        <v>1</v>
      </c>
      <c r="F1277">
        <v>1</v>
      </c>
      <c r="G1277">
        <v>1</v>
      </c>
      <c r="H1277">
        <v>1</v>
      </c>
      <c r="J1277">
        <v>27</v>
      </c>
      <c r="K1277">
        <v>1</v>
      </c>
      <c r="L1277">
        <v>1</v>
      </c>
      <c r="M1277">
        <v>1</v>
      </c>
      <c r="N1277">
        <v>1</v>
      </c>
      <c r="O1277">
        <v>1</v>
      </c>
      <c r="P1277">
        <v>1</v>
      </c>
      <c r="R1277">
        <v>27</v>
      </c>
      <c r="S1277">
        <v>1</v>
      </c>
      <c r="T1277">
        <v>1</v>
      </c>
      <c r="U1277">
        <v>1</v>
      </c>
      <c r="V1277">
        <v>1</v>
      </c>
      <c r="W1277">
        <v>1</v>
      </c>
      <c r="X1277">
        <v>1</v>
      </c>
      <c r="AA1277">
        <v>-7434.2619000000004</v>
      </c>
      <c r="AB1277">
        <v>-7434.2619000000004</v>
      </c>
      <c r="AC1277">
        <v>-7434.2619000000004</v>
      </c>
      <c r="AD1277">
        <v>-7434.2619000000004</v>
      </c>
      <c r="AE1277">
        <v>-7434.2619000000004</v>
      </c>
      <c r="AF1277">
        <v>-7434.2619000000004</v>
      </c>
    </row>
    <row r="1278" spans="2:32" x14ac:dyDescent="0.25">
      <c r="B1278">
        <v>28</v>
      </c>
      <c r="C1278">
        <v>1</v>
      </c>
      <c r="D1278">
        <v>1</v>
      </c>
      <c r="E1278">
        <v>1</v>
      </c>
      <c r="F1278">
        <v>1</v>
      </c>
      <c r="G1278">
        <v>1</v>
      </c>
      <c r="H1278">
        <v>1</v>
      </c>
      <c r="J1278">
        <v>28</v>
      </c>
      <c r="K1278">
        <v>1</v>
      </c>
      <c r="L1278">
        <v>1</v>
      </c>
      <c r="M1278">
        <v>1</v>
      </c>
      <c r="N1278">
        <v>1</v>
      </c>
      <c r="O1278">
        <v>1</v>
      </c>
      <c r="P1278">
        <v>1</v>
      </c>
      <c r="R1278">
        <v>28</v>
      </c>
      <c r="S1278">
        <v>1</v>
      </c>
      <c r="T1278">
        <v>1</v>
      </c>
      <c r="U1278">
        <v>1</v>
      </c>
      <c r="V1278">
        <v>1</v>
      </c>
      <c r="W1278">
        <v>1</v>
      </c>
      <c r="X1278">
        <v>1</v>
      </c>
      <c r="AA1278">
        <v>-7432.8334999999997</v>
      </c>
      <c r="AB1278">
        <v>-7432.8334999999997</v>
      </c>
      <c r="AC1278">
        <v>-7432.8334999999997</v>
      </c>
      <c r="AD1278">
        <v>-7432.8334999999997</v>
      </c>
      <c r="AE1278">
        <v>-7432.8334999999997</v>
      </c>
      <c r="AF1278">
        <v>-7432.8334999999997</v>
      </c>
    </row>
    <row r="1279" spans="2:32" x14ac:dyDescent="0.25">
      <c r="B1279">
        <v>29</v>
      </c>
      <c r="C1279">
        <v>1</v>
      </c>
      <c r="D1279">
        <v>1</v>
      </c>
      <c r="E1279">
        <v>1</v>
      </c>
      <c r="F1279">
        <v>1</v>
      </c>
      <c r="G1279">
        <v>1</v>
      </c>
      <c r="H1279">
        <v>1</v>
      </c>
      <c r="J1279">
        <v>29</v>
      </c>
      <c r="K1279">
        <v>1</v>
      </c>
      <c r="L1279">
        <v>1</v>
      </c>
      <c r="M1279">
        <v>1</v>
      </c>
      <c r="N1279">
        <v>1</v>
      </c>
      <c r="O1279">
        <v>1</v>
      </c>
      <c r="P1279">
        <v>1</v>
      </c>
      <c r="R1279">
        <v>29</v>
      </c>
      <c r="S1279">
        <v>1</v>
      </c>
      <c r="T1279">
        <v>1</v>
      </c>
      <c r="U1279">
        <v>1</v>
      </c>
      <c r="V1279">
        <v>1</v>
      </c>
      <c r="W1279">
        <v>1</v>
      </c>
      <c r="X1279">
        <v>1</v>
      </c>
      <c r="AA1279">
        <v>-7431.2058999999999</v>
      </c>
      <c r="AB1279">
        <v>-7431.2058999999999</v>
      </c>
      <c r="AC1279">
        <v>-7431.2058999999999</v>
      </c>
      <c r="AD1279">
        <v>-7431.2058999999999</v>
      </c>
      <c r="AE1279">
        <v>-7431.2058999999999</v>
      </c>
      <c r="AF1279">
        <v>-7431.2058999999999</v>
      </c>
    </row>
    <row r="1280" spans="2:32" x14ac:dyDescent="0.25">
      <c r="B1280">
        <v>30</v>
      </c>
      <c r="C1280">
        <v>1</v>
      </c>
      <c r="D1280">
        <v>1</v>
      </c>
      <c r="E1280">
        <v>1</v>
      </c>
      <c r="F1280">
        <v>1</v>
      </c>
      <c r="G1280">
        <v>1</v>
      </c>
      <c r="H1280">
        <v>1</v>
      </c>
      <c r="J1280">
        <v>30</v>
      </c>
      <c r="K1280">
        <v>1</v>
      </c>
      <c r="L1280">
        <v>1</v>
      </c>
      <c r="M1280">
        <v>1</v>
      </c>
      <c r="N1280">
        <v>1</v>
      </c>
      <c r="O1280">
        <v>1</v>
      </c>
      <c r="P1280">
        <v>1</v>
      </c>
      <c r="R1280">
        <v>30</v>
      </c>
      <c r="S1280">
        <v>1</v>
      </c>
      <c r="T1280">
        <v>1</v>
      </c>
      <c r="U1280">
        <v>1</v>
      </c>
      <c r="V1280">
        <v>1</v>
      </c>
      <c r="W1280">
        <v>1</v>
      </c>
      <c r="X1280">
        <v>1</v>
      </c>
      <c r="AA1280">
        <v>-7429.3476000000001</v>
      </c>
      <c r="AB1280">
        <v>-7429.3476000000001</v>
      </c>
      <c r="AC1280">
        <v>-7429.3476000000001</v>
      </c>
      <c r="AD1280">
        <v>-7429.3476000000001</v>
      </c>
      <c r="AE1280">
        <v>-7429.3476000000001</v>
      </c>
      <c r="AF1280">
        <v>-7429.3476000000001</v>
      </c>
    </row>
    <row r="1281" spans="2:32" x14ac:dyDescent="0.25">
      <c r="B1281">
        <v>31</v>
      </c>
      <c r="C1281">
        <v>1</v>
      </c>
      <c r="D1281">
        <v>1</v>
      </c>
      <c r="E1281">
        <v>1</v>
      </c>
      <c r="F1281">
        <v>1</v>
      </c>
      <c r="G1281">
        <v>1</v>
      </c>
      <c r="H1281">
        <v>1</v>
      </c>
      <c r="J1281">
        <v>31</v>
      </c>
      <c r="K1281">
        <v>1</v>
      </c>
      <c r="L1281">
        <v>1</v>
      </c>
      <c r="M1281">
        <v>1</v>
      </c>
      <c r="N1281">
        <v>1</v>
      </c>
      <c r="O1281">
        <v>1</v>
      </c>
      <c r="P1281">
        <v>1</v>
      </c>
      <c r="R1281">
        <v>31</v>
      </c>
      <c r="S1281">
        <v>1</v>
      </c>
      <c r="T1281">
        <v>1</v>
      </c>
      <c r="U1281">
        <v>1</v>
      </c>
      <c r="V1281">
        <v>1</v>
      </c>
      <c r="W1281">
        <v>1</v>
      </c>
      <c r="X1281">
        <v>1</v>
      </c>
      <c r="AA1281">
        <v>-7427.2446</v>
      </c>
      <c r="AB1281">
        <v>-7427.2446</v>
      </c>
      <c r="AC1281">
        <v>-7427.2446</v>
      </c>
      <c r="AD1281">
        <v>-7427.2446</v>
      </c>
      <c r="AE1281">
        <v>-7427.2446</v>
      </c>
      <c r="AF1281">
        <v>-7427.2446</v>
      </c>
    </row>
    <row r="1282" spans="2:32" x14ac:dyDescent="0.25">
      <c r="B1282">
        <v>32</v>
      </c>
      <c r="C1282">
        <v>1</v>
      </c>
      <c r="D1282">
        <v>1</v>
      </c>
      <c r="E1282">
        <v>1</v>
      </c>
      <c r="F1282">
        <v>1</v>
      </c>
      <c r="G1282">
        <v>1</v>
      </c>
      <c r="H1282">
        <v>1</v>
      </c>
      <c r="J1282">
        <v>32</v>
      </c>
      <c r="K1282">
        <v>1</v>
      </c>
      <c r="L1282">
        <v>1</v>
      </c>
      <c r="M1282">
        <v>1</v>
      </c>
      <c r="N1282">
        <v>1</v>
      </c>
      <c r="O1282">
        <v>1</v>
      </c>
      <c r="P1282">
        <v>1</v>
      </c>
      <c r="R1282">
        <v>32</v>
      </c>
      <c r="S1282">
        <v>1</v>
      </c>
      <c r="T1282">
        <v>1</v>
      </c>
      <c r="U1282">
        <v>1</v>
      </c>
      <c r="V1282">
        <v>1</v>
      </c>
      <c r="W1282">
        <v>1</v>
      </c>
      <c r="X1282">
        <v>1</v>
      </c>
      <c r="AA1282">
        <v>-7424.8944000000001</v>
      </c>
      <c r="AB1282">
        <v>-7424.8944000000001</v>
      </c>
      <c r="AC1282">
        <v>-7424.8944000000001</v>
      </c>
      <c r="AD1282">
        <v>-7424.8944000000001</v>
      </c>
      <c r="AE1282">
        <v>-7424.8944000000001</v>
      </c>
      <c r="AF1282">
        <v>-7424.8944000000001</v>
      </c>
    </row>
    <row r="1283" spans="2:32" x14ac:dyDescent="0.25">
      <c r="B1283">
        <v>33</v>
      </c>
      <c r="C1283">
        <v>1</v>
      </c>
      <c r="D1283">
        <v>1</v>
      </c>
      <c r="E1283">
        <v>1</v>
      </c>
      <c r="F1283">
        <v>1</v>
      </c>
      <c r="G1283">
        <v>1</v>
      </c>
      <c r="H1283">
        <v>1</v>
      </c>
      <c r="J1283">
        <v>33</v>
      </c>
      <c r="K1283">
        <v>1</v>
      </c>
      <c r="L1283">
        <v>1</v>
      </c>
      <c r="M1283">
        <v>1</v>
      </c>
      <c r="N1283">
        <v>1</v>
      </c>
      <c r="O1283">
        <v>1</v>
      </c>
      <c r="P1283">
        <v>1</v>
      </c>
      <c r="R1283">
        <v>33</v>
      </c>
      <c r="S1283">
        <v>1</v>
      </c>
      <c r="T1283">
        <v>1</v>
      </c>
      <c r="U1283">
        <v>1</v>
      </c>
      <c r="V1283">
        <v>1</v>
      </c>
      <c r="W1283">
        <v>1</v>
      </c>
      <c r="X1283">
        <v>1</v>
      </c>
      <c r="AA1283">
        <v>-7422.2834000000003</v>
      </c>
      <c r="AB1283">
        <v>-7422.2834000000003</v>
      </c>
      <c r="AC1283">
        <v>-7422.2834000000003</v>
      </c>
      <c r="AD1283">
        <v>-7422.2834000000003</v>
      </c>
      <c r="AE1283">
        <v>-7422.2834000000003</v>
      </c>
      <c r="AF1283">
        <v>-7422.2834000000003</v>
      </c>
    </row>
    <row r="1284" spans="2:32" x14ac:dyDescent="0.25">
      <c r="B1284">
        <v>34</v>
      </c>
      <c r="C1284">
        <v>1</v>
      </c>
      <c r="D1284">
        <v>1</v>
      </c>
      <c r="E1284">
        <v>1</v>
      </c>
      <c r="F1284">
        <v>1</v>
      </c>
      <c r="G1284">
        <v>1</v>
      </c>
      <c r="H1284">
        <v>1</v>
      </c>
      <c r="J1284">
        <v>34</v>
      </c>
      <c r="K1284">
        <v>1</v>
      </c>
      <c r="L1284">
        <v>1</v>
      </c>
      <c r="M1284">
        <v>1</v>
      </c>
      <c r="N1284">
        <v>1</v>
      </c>
      <c r="O1284">
        <v>1</v>
      </c>
      <c r="P1284">
        <v>1</v>
      </c>
      <c r="R1284">
        <v>34</v>
      </c>
      <c r="S1284">
        <v>1</v>
      </c>
      <c r="T1284">
        <v>1</v>
      </c>
      <c r="U1284">
        <v>1</v>
      </c>
      <c r="V1284">
        <v>1</v>
      </c>
      <c r="W1284">
        <v>1</v>
      </c>
      <c r="X1284">
        <v>1</v>
      </c>
      <c r="AA1284">
        <v>-7419.3683000000001</v>
      </c>
      <c r="AB1284">
        <v>-7419.3683000000001</v>
      </c>
      <c r="AC1284">
        <v>-7419.3683000000001</v>
      </c>
      <c r="AD1284">
        <v>-7419.3683000000001</v>
      </c>
      <c r="AE1284">
        <v>-7419.3683000000001</v>
      </c>
      <c r="AF1284">
        <v>-7419.3683000000001</v>
      </c>
    </row>
    <row r="1285" spans="2:32" x14ac:dyDescent="0.25">
      <c r="B1285">
        <v>35</v>
      </c>
      <c r="C1285">
        <v>1</v>
      </c>
      <c r="D1285">
        <v>1</v>
      </c>
      <c r="E1285">
        <v>1</v>
      </c>
      <c r="F1285">
        <v>1</v>
      </c>
      <c r="G1285">
        <v>1</v>
      </c>
      <c r="H1285">
        <v>1</v>
      </c>
      <c r="J1285">
        <v>35</v>
      </c>
      <c r="K1285">
        <v>1</v>
      </c>
      <c r="L1285">
        <v>1</v>
      </c>
      <c r="M1285">
        <v>1</v>
      </c>
      <c r="N1285">
        <v>1</v>
      </c>
      <c r="O1285">
        <v>1</v>
      </c>
      <c r="P1285">
        <v>1</v>
      </c>
      <c r="R1285">
        <v>35</v>
      </c>
      <c r="S1285">
        <v>1</v>
      </c>
      <c r="T1285">
        <v>1</v>
      </c>
      <c r="U1285">
        <v>1</v>
      </c>
      <c r="V1285">
        <v>1</v>
      </c>
      <c r="W1285">
        <v>1</v>
      </c>
      <c r="X1285">
        <v>1</v>
      </c>
      <c r="AA1285">
        <v>-7416.1363000000001</v>
      </c>
      <c r="AB1285">
        <v>-7416.1363000000001</v>
      </c>
      <c r="AC1285">
        <v>-7416.1363000000001</v>
      </c>
      <c r="AD1285">
        <v>-7416.1363000000001</v>
      </c>
      <c r="AE1285">
        <v>-7416.1363000000001</v>
      </c>
      <c r="AF1285">
        <v>-7416.1363000000001</v>
      </c>
    </row>
    <row r="1286" spans="2:32" x14ac:dyDescent="0.25">
      <c r="B1286">
        <v>36</v>
      </c>
      <c r="C1286">
        <v>1</v>
      </c>
      <c r="D1286">
        <v>1</v>
      </c>
      <c r="E1286">
        <v>1</v>
      </c>
      <c r="F1286">
        <v>1</v>
      </c>
      <c r="G1286">
        <v>1</v>
      </c>
      <c r="H1286">
        <v>1</v>
      </c>
      <c r="J1286">
        <v>36</v>
      </c>
      <c r="K1286">
        <v>1</v>
      </c>
      <c r="L1286">
        <v>1</v>
      </c>
      <c r="M1286">
        <v>1</v>
      </c>
      <c r="N1286">
        <v>1</v>
      </c>
      <c r="O1286">
        <v>1</v>
      </c>
      <c r="P1286">
        <v>1</v>
      </c>
      <c r="R1286">
        <v>36</v>
      </c>
      <c r="S1286">
        <v>1</v>
      </c>
      <c r="T1286">
        <v>1</v>
      </c>
      <c r="U1286">
        <v>1</v>
      </c>
      <c r="V1286">
        <v>1</v>
      </c>
      <c r="W1286">
        <v>1</v>
      </c>
      <c r="X1286">
        <v>1</v>
      </c>
      <c r="AA1286">
        <v>-7412.5378000000001</v>
      </c>
      <c r="AB1286">
        <v>-7412.5378000000001</v>
      </c>
      <c r="AC1286">
        <v>-7412.5378000000001</v>
      </c>
      <c r="AD1286">
        <v>-7412.5378000000001</v>
      </c>
      <c r="AE1286">
        <v>-7412.5378000000001</v>
      </c>
      <c r="AF1286">
        <v>-7412.5378000000001</v>
      </c>
    </row>
    <row r="1287" spans="2:32" x14ac:dyDescent="0.25">
      <c r="B1287">
        <v>37</v>
      </c>
      <c r="C1287">
        <v>1</v>
      </c>
      <c r="D1287">
        <v>1</v>
      </c>
      <c r="E1287">
        <v>1</v>
      </c>
      <c r="F1287">
        <v>1</v>
      </c>
      <c r="G1287">
        <v>1</v>
      </c>
      <c r="H1287">
        <v>1</v>
      </c>
      <c r="J1287">
        <v>37</v>
      </c>
      <c r="K1287">
        <v>1</v>
      </c>
      <c r="L1287">
        <v>1</v>
      </c>
      <c r="M1287">
        <v>1</v>
      </c>
      <c r="N1287">
        <v>1</v>
      </c>
      <c r="O1287">
        <v>1</v>
      </c>
      <c r="P1287">
        <v>1</v>
      </c>
      <c r="R1287">
        <v>37</v>
      </c>
      <c r="S1287">
        <v>1</v>
      </c>
      <c r="T1287">
        <v>1</v>
      </c>
      <c r="U1287">
        <v>1</v>
      </c>
      <c r="V1287">
        <v>1</v>
      </c>
      <c r="W1287">
        <v>1</v>
      </c>
      <c r="X1287">
        <v>1</v>
      </c>
      <c r="AA1287">
        <v>-7408.55</v>
      </c>
      <c r="AB1287">
        <v>-7408.55</v>
      </c>
      <c r="AC1287">
        <v>-7408.55</v>
      </c>
      <c r="AD1287">
        <v>-7408.55</v>
      </c>
      <c r="AE1287">
        <v>-7408.55</v>
      </c>
      <c r="AF1287">
        <v>-7408.55</v>
      </c>
    </row>
    <row r="1288" spans="2:32" x14ac:dyDescent="0.25">
      <c r="B1288">
        <v>38</v>
      </c>
      <c r="C1288">
        <v>1</v>
      </c>
      <c r="D1288">
        <v>1</v>
      </c>
      <c r="E1288">
        <v>1</v>
      </c>
      <c r="F1288">
        <v>1</v>
      </c>
      <c r="G1288">
        <v>1</v>
      </c>
      <c r="H1288">
        <v>1</v>
      </c>
      <c r="J1288">
        <v>38</v>
      </c>
      <c r="K1288">
        <v>1</v>
      </c>
      <c r="L1288">
        <v>1</v>
      </c>
      <c r="M1288">
        <v>1</v>
      </c>
      <c r="N1288">
        <v>1</v>
      </c>
      <c r="O1288">
        <v>1</v>
      </c>
      <c r="P1288">
        <v>1</v>
      </c>
      <c r="R1288">
        <v>38</v>
      </c>
      <c r="S1288">
        <v>1</v>
      </c>
      <c r="T1288">
        <v>1</v>
      </c>
      <c r="U1288">
        <v>1</v>
      </c>
      <c r="V1288">
        <v>1</v>
      </c>
      <c r="W1288">
        <v>1</v>
      </c>
      <c r="X1288">
        <v>1</v>
      </c>
      <c r="AA1288">
        <v>-7404.1752999999999</v>
      </c>
      <c r="AB1288">
        <v>-7404.1752999999999</v>
      </c>
      <c r="AC1288">
        <v>-7404.1752999999999</v>
      </c>
      <c r="AD1288">
        <v>-7404.1752999999999</v>
      </c>
      <c r="AE1288">
        <v>-7404.1752999999999</v>
      </c>
      <c r="AF1288">
        <v>-7404.1752999999999</v>
      </c>
    </row>
    <row r="1289" spans="2:32" x14ac:dyDescent="0.25">
      <c r="B1289">
        <v>39</v>
      </c>
      <c r="C1289">
        <v>1</v>
      </c>
      <c r="D1289">
        <v>1</v>
      </c>
      <c r="E1289">
        <v>1</v>
      </c>
      <c r="F1289">
        <v>1</v>
      </c>
      <c r="G1289">
        <v>1</v>
      </c>
      <c r="H1289">
        <v>1</v>
      </c>
      <c r="J1289">
        <v>39</v>
      </c>
      <c r="K1289">
        <v>1</v>
      </c>
      <c r="L1289">
        <v>1</v>
      </c>
      <c r="M1289">
        <v>1</v>
      </c>
      <c r="N1289">
        <v>1</v>
      </c>
      <c r="O1289">
        <v>1</v>
      </c>
      <c r="P1289">
        <v>1</v>
      </c>
      <c r="R1289">
        <v>39</v>
      </c>
      <c r="S1289">
        <v>1</v>
      </c>
      <c r="T1289">
        <v>1</v>
      </c>
      <c r="U1289">
        <v>1</v>
      </c>
      <c r="V1289">
        <v>1</v>
      </c>
      <c r="W1289">
        <v>1</v>
      </c>
      <c r="X1289">
        <v>1</v>
      </c>
      <c r="AA1289">
        <v>-7399.3923999999997</v>
      </c>
      <c r="AB1289">
        <v>-7399.3923999999997</v>
      </c>
      <c r="AC1289">
        <v>-7399.3923999999997</v>
      </c>
      <c r="AD1289">
        <v>-7399.3923999999997</v>
      </c>
      <c r="AE1289">
        <v>-7399.3923999999997</v>
      </c>
      <c r="AF1289">
        <v>-7399.3923999999997</v>
      </c>
    </row>
    <row r="1290" spans="2:32" x14ac:dyDescent="0.25">
      <c r="B1290">
        <v>40</v>
      </c>
      <c r="C1290">
        <v>1</v>
      </c>
      <c r="D1290">
        <v>1</v>
      </c>
      <c r="E1290">
        <v>1</v>
      </c>
      <c r="F1290">
        <v>1</v>
      </c>
      <c r="G1290">
        <v>1</v>
      </c>
      <c r="H1290">
        <v>1</v>
      </c>
      <c r="J1290">
        <v>40</v>
      </c>
      <c r="K1290">
        <v>1</v>
      </c>
      <c r="L1290">
        <v>1</v>
      </c>
      <c r="M1290">
        <v>1</v>
      </c>
      <c r="N1290">
        <v>1</v>
      </c>
      <c r="O1290">
        <v>1</v>
      </c>
      <c r="P1290">
        <v>1</v>
      </c>
      <c r="R1290">
        <v>40</v>
      </c>
      <c r="S1290">
        <v>1</v>
      </c>
      <c r="T1290">
        <v>1</v>
      </c>
      <c r="U1290">
        <v>1</v>
      </c>
      <c r="V1290">
        <v>1</v>
      </c>
      <c r="W1290">
        <v>1</v>
      </c>
      <c r="X1290">
        <v>1</v>
      </c>
      <c r="AA1290">
        <v>-7394.1365999999998</v>
      </c>
      <c r="AB1290">
        <v>-7394.1365999999998</v>
      </c>
      <c r="AC1290">
        <v>-7394.1365999999998</v>
      </c>
      <c r="AD1290">
        <v>-7394.1365999999998</v>
      </c>
      <c r="AE1290">
        <v>-7394.1365999999998</v>
      </c>
      <c r="AF1290">
        <v>-7394.1365999999998</v>
      </c>
    </row>
    <row r="1291" spans="2:32" x14ac:dyDescent="0.25">
      <c r="B1291">
        <v>41</v>
      </c>
      <c r="C1291">
        <v>1</v>
      </c>
      <c r="D1291">
        <v>1</v>
      </c>
      <c r="E1291">
        <v>1</v>
      </c>
      <c r="F1291">
        <v>1</v>
      </c>
      <c r="G1291">
        <v>1</v>
      </c>
      <c r="H1291">
        <v>1</v>
      </c>
      <c r="J1291">
        <v>41</v>
      </c>
      <c r="K1291">
        <v>1</v>
      </c>
      <c r="L1291">
        <v>1</v>
      </c>
      <c r="M1291">
        <v>1</v>
      </c>
      <c r="N1291">
        <v>1</v>
      </c>
      <c r="O1291">
        <v>1</v>
      </c>
      <c r="P1291">
        <v>1</v>
      </c>
      <c r="R1291">
        <v>41</v>
      </c>
      <c r="S1291">
        <v>1</v>
      </c>
      <c r="T1291">
        <v>1</v>
      </c>
      <c r="U1291">
        <v>1</v>
      </c>
      <c r="V1291">
        <v>1</v>
      </c>
      <c r="W1291">
        <v>1</v>
      </c>
      <c r="X1291">
        <v>1</v>
      </c>
      <c r="AA1291">
        <v>-7388.3469999999998</v>
      </c>
      <c r="AB1291">
        <v>-7388.3469999999998</v>
      </c>
      <c r="AC1291">
        <v>-7388.3469999999998</v>
      </c>
      <c r="AD1291">
        <v>-7388.3469999999998</v>
      </c>
      <c r="AE1291">
        <v>-7388.3469999999998</v>
      </c>
      <c r="AF1291">
        <v>-7388.3469999999998</v>
      </c>
    </row>
    <row r="1292" spans="2:32" x14ac:dyDescent="0.25">
      <c r="B1292">
        <v>42</v>
      </c>
      <c r="C1292">
        <v>1</v>
      </c>
      <c r="D1292">
        <v>1</v>
      </c>
      <c r="E1292">
        <v>1</v>
      </c>
      <c r="F1292">
        <v>1</v>
      </c>
      <c r="G1292">
        <v>1</v>
      </c>
      <c r="H1292">
        <v>1</v>
      </c>
      <c r="J1292">
        <v>42</v>
      </c>
      <c r="K1292">
        <v>1</v>
      </c>
      <c r="L1292">
        <v>1</v>
      </c>
      <c r="M1292">
        <v>1</v>
      </c>
      <c r="N1292">
        <v>1</v>
      </c>
      <c r="O1292">
        <v>1</v>
      </c>
      <c r="P1292">
        <v>1</v>
      </c>
      <c r="R1292">
        <v>42</v>
      </c>
      <c r="S1292">
        <v>1</v>
      </c>
      <c r="T1292">
        <v>1</v>
      </c>
      <c r="U1292">
        <v>1</v>
      </c>
      <c r="V1292">
        <v>1</v>
      </c>
      <c r="W1292">
        <v>1</v>
      </c>
      <c r="X1292">
        <v>1</v>
      </c>
      <c r="AA1292">
        <v>-7381.9919</v>
      </c>
      <c r="AB1292">
        <v>-7381.9919</v>
      </c>
      <c r="AC1292">
        <v>-7381.9919</v>
      </c>
      <c r="AD1292">
        <v>-7381.9919</v>
      </c>
      <c r="AE1292">
        <v>-7381.9919</v>
      </c>
      <c r="AF1292">
        <v>-7381.9919</v>
      </c>
    </row>
    <row r="1293" spans="2:32" x14ac:dyDescent="0.25">
      <c r="B1293">
        <v>43</v>
      </c>
      <c r="C1293">
        <v>1</v>
      </c>
      <c r="D1293">
        <v>1</v>
      </c>
      <c r="E1293">
        <v>1</v>
      </c>
      <c r="F1293">
        <v>1</v>
      </c>
      <c r="G1293">
        <v>1</v>
      </c>
      <c r="H1293">
        <v>1</v>
      </c>
      <c r="J1293">
        <v>43</v>
      </c>
      <c r="K1293">
        <v>1</v>
      </c>
      <c r="L1293">
        <v>1</v>
      </c>
      <c r="M1293">
        <v>1</v>
      </c>
      <c r="N1293">
        <v>1</v>
      </c>
      <c r="O1293">
        <v>1</v>
      </c>
      <c r="P1293">
        <v>1</v>
      </c>
      <c r="R1293">
        <v>43</v>
      </c>
      <c r="S1293">
        <v>1</v>
      </c>
      <c r="T1293">
        <v>1</v>
      </c>
      <c r="U1293">
        <v>1</v>
      </c>
      <c r="V1293">
        <v>1</v>
      </c>
      <c r="W1293">
        <v>1</v>
      </c>
      <c r="X1293">
        <v>1</v>
      </c>
      <c r="AA1293">
        <v>-7374.9579999999996</v>
      </c>
      <c r="AB1293">
        <v>-7374.9579999999996</v>
      </c>
      <c r="AC1293">
        <v>-7374.9579999999996</v>
      </c>
      <c r="AD1293">
        <v>-7374.9579999999996</v>
      </c>
      <c r="AE1293">
        <v>-7374.9579999999996</v>
      </c>
      <c r="AF1293">
        <v>-7374.9579999999996</v>
      </c>
    </row>
    <row r="1294" spans="2:32" x14ac:dyDescent="0.25">
      <c r="B1294">
        <v>44</v>
      </c>
      <c r="C1294">
        <v>1</v>
      </c>
      <c r="D1294">
        <v>1</v>
      </c>
      <c r="E1294">
        <v>1</v>
      </c>
      <c r="F1294">
        <v>1</v>
      </c>
      <c r="G1294">
        <v>1</v>
      </c>
      <c r="H1294">
        <v>1</v>
      </c>
      <c r="J1294">
        <v>44</v>
      </c>
      <c r="K1294">
        <v>1</v>
      </c>
      <c r="L1294">
        <v>1</v>
      </c>
      <c r="M1294">
        <v>1</v>
      </c>
      <c r="N1294">
        <v>1</v>
      </c>
      <c r="O1294">
        <v>1</v>
      </c>
      <c r="P1294">
        <v>1</v>
      </c>
      <c r="R1294">
        <v>44</v>
      </c>
      <c r="S1294">
        <v>1</v>
      </c>
      <c r="T1294">
        <v>1</v>
      </c>
      <c r="U1294">
        <v>1</v>
      </c>
      <c r="V1294">
        <v>1</v>
      </c>
      <c r="W1294">
        <v>1</v>
      </c>
      <c r="X1294">
        <v>1</v>
      </c>
      <c r="AA1294">
        <v>-7367.2034999999996</v>
      </c>
      <c r="AB1294">
        <v>-7367.2034999999996</v>
      </c>
      <c r="AC1294">
        <v>-7367.2034999999996</v>
      </c>
      <c r="AD1294">
        <v>-7367.2034999999996</v>
      </c>
      <c r="AE1294">
        <v>-7367.2034999999996</v>
      </c>
      <c r="AF1294">
        <v>-7367.2034999999996</v>
      </c>
    </row>
    <row r="1295" spans="2:32" x14ac:dyDescent="0.25">
      <c r="B1295">
        <v>45</v>
      </c>
      <c r="C1295">
        <v>1</v>
      </c>
      <c r="D1295">
        <v>1</v>
      </c>
      <c r="E1295">
        <v>1</v>
      </c>
      <c r="F1295">
        <v>1</v>
      </c>
      <c r="G1295">
        <v>1</v>
      </c>
      <c r="H1295">
        <v>1</v>
      </c>
      <c r="J1295">
        <v>45</v>
      </c>
      <c r="K1295">
        <v>1</v>
      </c>
      <c r="L1295">
        <v>1</v>
      </c>
      <c r="M1295">
        <v>1</v>
      </c>
      <c r="N1295">
        <v>1</v>
      </c>
      <c r="O1295">
        <v>1</v>
      </c>
      <c r="P1295">
        <v>1</v>
      </c>
      <c r="R1295">
        <v>45</v>
      </c>
      <c r="S1295">
        <v>1</v>
      </c>
      <c r="T1295">
        <v>1</v>
      </c>
      <c r="U1295">
        <v>1</v>
      </c>
      <c r="V1295">
        <v>1</v>
      </c>
      <c r="W1295">
        <v>1</v>
      </c>
      <c r="X1295">
        <v>1</v>
      </c>
      <c r="AA1295">
        <v>-7358.6491999999998</v>
      </c>
      <c r="AB1295">
        <v>-7358.6491999999998</v>
      </c>
      <c r="AC1295">
        <v>-7358.6491999999998</v>
      </c>
      <c r="AD1295">
        <v>-7358.6491999999998</v>
      </c>
      <c r="AE1295">
        <v>-7358.6491999999998</v>
      </c>
      <c r="AF1295">
        <v>-7358.6491999999998</v>
      </c>
    </row>
    <row r="1296" spans="2:32" x14ac:dyDescent="0.25">
      <c r="B1296">
        <v>46</v>
      </c>
      <c r="C1296">
        <v>1</v>
      </c>
      <c r="D1296">
        <v>1</v>
      </c>
      <c r="E1296">
        <v>1</v>
      </c>
      <c r="F1296">
        <v>1</v>
      </c>
      <c r="G1296">
        <v>1</v>
      </c>
      <c r="H1296">
        <v>1</v>
      </c>
      <c r="J1296">
        <v>46</v>
      </c>
      <c r="K1296">
        <v>1</v>
      </c>
      <c r="L1296">
        <v>1</v>
      </c>
      <c r="M1296">
        <v>1</v>
      </c>
      <c r="N1296">
        <v>1</v>
      </c>
      <c r="O1296">
        <v>1</v>
      </c>
      <c r="P1296">
        <v>1</v>
      </c>
      <c r="R1296">
        <v>46</v>
      </c>
      <c r="S1296">
        <v>1</v>
      </c>
      <c r="T1296">
        <v>1</v>
      </c>
      <c r="U1296">
        <v>1</v>
      </c>
      <c r="V1296">
        <v>1</v>
      </c>
      <c r="W1296">
        <v>1</v>
      </c>
      <c r="X1296">
        <v>1</v>
      </c>
      <c r="AA1296">
        <v>-7349.2232000000004</v>
      </c>
      <c r="AB1296">
        <v>-7349.2232000000004</v>
      </c>
      <c r="AC1296">
        <v>-7349.2232000000004</v>
      </c>
      <c r="AD1296">
        <v>-7349.2232000000004</v>
      </c>
      <c r="AE1296">
        <v>-7349.2232000000004</v>
      </c>
      <c r="AF1296">
        <v>-7349.2232000000004</v>
      </c>
    </row>
    <row r="1297" spans="2:32" x14ac:dyDescent="0.25">
      <c r="B1297">
        <v>47</v>
      </c>
      <c r="C1297">
        <v>1</v>
      </c>
      <c r="D1297">
        <v>1</v>
      </c>
      <c r="E1297">
        <v>1</v>
      </c>
      <c r="F1297">
        <v>1</v>
      </c>
      <c r="G1297">
        <v>1</v>
      </c>
      <c r="H1297">
        <v>1</v>
      </c>
      <c r="J1297">
        <v>47</v>
      </c>
      <c r="K1297">
        <v>1</v>
      </c>
      <c r="L1297">
        <v>1</v>
      </c>
      <c r="M1297">
        <v>1</v>
      </c>
      <c r="N1297">
        <v>1</v>
      </c>
      <c r="O1297">
        <v>1</v>
      </c>
      <c r="P1297">
        <v>1</v>
      </c>
      <c r="R1297">
        <v>47</v>
      </c>
      <c r="S1297">
        <v>1</v>
      </c>
      <c r="T1297">
        <v>1</v>
      </c>
      <c r="U1297">
        <v>1</v>
      </c>
      <c r="V1297">
        <v>1</v>
      </c>
      <c r="W1297">
        <v>1</v>
      </c>
      <c r="X1297">
        <v>1</v>
      </c>
      <c r="AA1297">
        <v>-7338.8310000000001</v>
      </c>
      <c r="AB1297">
        <v>-7338.8310000000001</v>
      </c>
      <c r="AC1297">
        <v>-7338.8310000000001</v>
      </c>
      <c r="AD1297">
        <v>-7338.8310000000001</v>
      </c>
      <c r="AE1297">
        <v>-7338.8310000000001</v>
      </c>
      <c r="AF1297">
        <v>-7338.8310000000001</v>
      </c>
    </row>
    <row r="1298" spans="2:32" x14ac:dyDescent="0.25">
      <c r="B1298">
        <v>48</v>
      </c>
      <c r="C1298">
        <v>1</v>
      </c>
      <c r="D1298">
        <v>1</v>
      </c>
      <c r="E1298">
        <v>1</v>
      </c>
      <c r="F1298">
        <v>1</v>
      </c>
      <c r="G1298">
        <v>1</v>
      </c>
      <c r="H1298">
        <v>1</v>
      </c>
      <c r="J1298">
        <v>48</v>
      </c>
      <c r="K1298">
        <v>1</v>
      </c>
      <c r="L1298">
        <v>1</v>
      </c>
      <c r="M1298">
        <v>1</v>
      </c>
      <c r="N1298">
        <v>1</v>
      </c>
      <c r="O1298">
        <v>1</v>
      </c>
      <c r="P1298">
        <v>1</v>
      </c>
      <c r="R1298">
        <v>48</v>
      </c>
      <c r="S1298">
        <v>1</v>
      </c>
      <c r="T1298">
        <v>1</v>
      </c>
      <c r="U1298">
        <v>1</v>
      </c>
      <c r="V1298">
        <v>1</v>
      </c>
      <c r="W1298">
        <v>1</v>
      </c>
      <c r="X1298">
        <v>1</v>
      </c>
      <c r="AA1298">
        <v>-7327.4297999999999</v>
      </c>
      <c r="AB1298">
        <v>-7327.4297999999999</v>
      </c>
      <c r="AC1298">
        <v>-7327.4297999999999</v>
      </c>
      <c r="AD1298">
        <v>-7327.4297999999999</v>
      </c>
      <c r="AE1298">
        <v>-7327.4297999999999</v>
      </c>
      <c r="AF1298">
        <v>-7327.4297999999999</v>
      </c>
    </row>
    <row r="1299" spans="2:32" x14ac:dyDescent="0.25">
      <c r="B1299">
        <v>49</v>
      </c>
      <c r="C1299">
        <v>1</v>
      </c>
      <c r="D1299">
        <v>1</v>
      </c>
      <c r="E1299">
        <v>1</v>
      </c>
      <c r="F1299">
        <v>1</v>
      </c>
      <c r="G1299">
        <v>1</v>
      </c>
      <c r="H1299">
        <v>1</v>
      </c>
      <c r="J1299">
        <v>49</v>
      </c>
      <c r="K1299">
        <v>1</v>
      </c>
      <c r="L1299">
        <v>1</v>
      </c>
      <c r="M1299">
        <v>1</v>
      </c>
      <c r="N1299">
        <v>1</v>
      </c>
      <c r="O1299">
        <v>1</v>
      </c>
      <c r="P1299">
        <v>1</v>
      </c>
      <c r="R1299">
        <v>49</v>
      </c>
      <c r="S1299">
        <v>1</v>
      </c>
      <c r="T1299">
        <v>1</v>
      </c>
      <c r="U1299">
        <v>1</v>
      </c>
      <c r="V1299">
        <v>1</v>
      </c>
      <c r="W1299">
        <v>1</v>
      </c>
      <c r="X1299">
        <v>1</v>
      </c>
      <c r="AA1299">
        <v>-7314.951</v>
      </c>
      <c r="AB1299">
        <v>-7314.951</v>
      </c>
      <c r="AC1299">
        <v>-7314.951</v>
      </c>
      <c r="AD1299">
        <v>-7314.951</v>
      </c>
      <c r="AE1299">
        <v>-7314.951</v>
      </c>
      <c r="AF1299">
        <v>-7314.951</v>
      </c>
    </row>
    <row r="1300" spans="2:32" x14ac:dyDescent="0.25">
      <c r="B1300">
        <v>50</v>
      </c>
      <c r="C1300">
        <v>1</v>
      </c>
      <c r="D1300">
        <v>1</v>
      </c>
      <c r="E1300">
        <v>1</v>
      </c>
      <c r="F1300">
        <v>1</v>
      </c>
      <c r="G1300">
        <v>1</v>
      </c>
      <c r="H1300">
        <v>1</v>
      </c>
      <c r="J1300">
        <v>50</v>
      </c>
      <c r="K1300">
        <v>1</v>
      </c>
      <c r="L1300">
        <v>1</v>
      </c>
      <c r="M1300">
        <v>1</v>
      </c>
      <c r="N1300">
        <v>1</v>
      </c>
      <c r="O1300">
        <v>1</v>
      </c>
      <c r="P1300">
        <v>1</v>
      </c>
      <c r="R1300">
        <v>50</v>
      </c>
      <c r="S1300">
        <v>1</v>
      </c>
      <c r="T1300">
        <v>1</v>
      </c>
      <c r="U1300">
        <v>1</v>
      </c>
      <c r="V1300">
        <v>1</v>
      </c>
      <c r="W1300">
        <v>1</v>
      </c>
      <c r="X1300">
        <v>1</v>
      </c>
      <c r="AA1300">
        <v>-7301.2851000000001</v>
      </c>
      <c r="AB1300">
        <v>-7301.2851000000001</v>
      </c>
      <c r="AC1300">
        <v>-7301.2851000000001</v>
      </c>
      <c r="AD1300">
        <v>-7301.2851000000001</v>
      </c>
      <c r="AE1300">
        <v>-7301.2851000000001</v>
      </c>
      <c r="AF1300">
        <v>-7301.2851000000001</v>
      </c>
    </row>
    <row r="1301" spans="2:32" x14ac:dyDescent="0.25">
      <c r="B1301">
        <v>51</v>
      </c>
      <c r="C1301">
        <v>1</v>
      </c>
      <c r="D1301">
        <v>1</v>
      </c>
      <c r="E1301">
        <v>1</v>
      </c>
      <c r="F1301">
        <v>1</v>
      </c>
      <c r="G1301">
        <v>1</v>
      </c>
      <c r="H1301">
        <v>1</v>
      </c>
      <c r="J1301">
        <v>51</v>
      </c>
      <c r="K1301">
        <v>1</v>
      </c>
      <c r="L1301">
        <v>1</v>
      </c>
      <c r="M1301">
        <v>1</v>
      </c>
      <c r="N1301">
        <v>1</v>
      </c>
      <c r="O1301">
        <v>1</v>
      </c>
      <c r="P1301">
        <v>1</v>
      </c>
      <c r="R1301">
        <v>51</v>
      </c>
      <c r="S1301">
        <v>1</v>
      </c>
      <c r="T1301">
        <v>1</v>
      </c>
      <c r="U1301">
        <v>1</v>
      </c>
      <c r="V1301">
        <v>1</v>
      </c>
      <c r="W1301">
        <v>1</v>
      </c>
      <c r="X1301">
        <v>1</v>
      </c>
      <c r="AA1301">
        <v>-7286.3271000000004</v>
      </c>
      <c r="AB1301">
        <v>-7286.3271000000004</v>
      </c>
      <c r="AC1301">
        <v>-7286.3271000000004</v>
      </c>
      <c r="AD1301">
        <v>-7286.3271000000004</v>
      </c>
      <c r="AE1301">
        <v>-7286.3271000000004</v>
      </c>
      <c r="AF1301">
        <v>-7286.3271000000004</v>
      </c>
    </row>
    <row r="1302" spans="2:32" x14ac:dyDescent="0.25">
      <c r="B1302">
        <v>52</v>
      </c>
      <c r="C1302">
        <v>1</v>
      </c>
      <c r="D1302">
        <v>1</v>
      </c>
      <c r="E1302">
        <v>1</v>
      </c>
      <c r="F1302">
        <v>1</v>
      </c>
      <c r="G1302">
        <v>1</v>
      </c>
      <c r="H1302">
        <v>1</v>
      </c>
      <c r="J1302">
        <v>52</v>
      </c>
      <c r="K1302">
        <v>1</v>
      </c>
      <c r="L1302">
        <v>1</v>
      </c>
      <c r="M1302">
        <v>1</v>
      </c>
      <c r="N1302">
        <v>1</v>
      </c>
      <c r="O1302">
        <v>1</v>
      </c>
      <c r="P1302">
        <v>1</v>
      </c>
      <c r="R1302">
        <v>52</v>
      </c>
      <c r="S1302">
        <v>1</v>
      </c>
      <c r="T1302">
        <v>1</v>
      </c>
      <c r="U1302">
        <v>1</v>
      </c>
      <c r="V1302">
        <v>1</v>
      </c>
      <c r="W1302">
        <v>1</v>
      </c>
      <c r="X1302">
        <v>1</v>
      </c>
      <c r="AA1302">
        <v>-7269.9448000000002</v>
      </c>
      <c r="AB1302">
        <v>-7269.9448000000002</v>
      </c>
      <c r="AC1302">
        <v>-7269.9448000000002</v>
      </c>
      <c r="AD1302">
        <v>-7269.9448000000002</v>
      </c>
      <c r="AE1302">
        <v>-7269.9448000000002</v>
      </c>
      <c r="AF1302">
        <v>-7269.9448000000002</v>
      </c>
    </row>
    <row r="1303" spans="2:32" x14ac:dyDescent="0.25">
      <c r="B1303">
        <v>53</v>
      </c>
      <c r="C1303">
        <v>1</v>
      </c>
      <c r="D1303">
        <v>1</v>
      </c>
      <c r="E1303">
        <v>1</v>
      </c>
      <c r="F1303">
        <v>1</v>
      </c>
      <c r="G1303">
        <v>1</v>
      </c>
      <c r="H1303">
        <v>1</v>
      </c>
      <c r="J1303">
        <v>53</v>
      </c>
      <c r="K1303">
        <v>1</v>
      </c>
      <c r="L1303">
        <v>1</v>
      </c>
      <c r="M1303">
        <v>1</v>
      </c>
      <c r="N1303">
        <v>1</v>
      </c>
      <c r="O1303">
        <v>1</v>
      </c>
      <c r="P1303">
        <v>1</v>
      </c>
      <c r="R1303">
        <v>53</v>
      </c>
      <c r="S1303">
        <v>1</v>
      </c>
      <c r="T1303">
        <v>1</v>
      </c>
      <c r="U1303">
        <v>1</v>
      </c>
      <c r="V1303">
        <v>1</v>
      </c>
      <c r="W1303">
        <v>1</v>
      </c>
      <c r="X1303">
        <v>1</v>
      </c>
      <c r="AA1303">
        <v>-7252.0574999999999</v>
      </c>
      <c r="AB1303">
        <v>-7252.0574999999999</v>
      </c>
      <c r="AC1303">
        <v>-7252.0574999999999</v>
      </c>
      <c r="AD1303">
        <v>-7252.0574999999999</v>
      </c>
      <c r="AE1303">
        <v>-7252.0574999999999</v>
      </c>
      <c r="AF1303">
        <v>-7252.0574999999999</v>
      </c>
    </row>
    <row r="1304" spans="2:32" x14ac:dyDescent="0.25">
      <c r="B1304">
        <v>54</v>
      </c>
      <c r="C1304">
        <v>1</v>
      </c>
      <c r="D1304">
        <v>1</v>
      </c>
      <c r="E1304">
        <v>1</v>
      </c>
      <c r="F1304">
        <v>1</v>
      </c>
      <c r="G1304">
        <v>1</v>
      </c>
      <c r="H1304">
        <v>1</v>
      </c>
      <c r="J1304">
        <v>54</v>
      </c>
      <c r="K1304">
        <v>1</v>
      </c>
      <c r="L1304">
        <v>1</v>
      </c>
      <c r="M1304">
        <v>1</v>
      </c>
      <c r="N1304">
        <v>1</v>
      </c>
      <c r="O1304">
        <v>1</v>
      </c>
      <c r="P1304">
        <v>1</v>
      </c>
      <c r="R1304">
        <v>54</v>
      </c>
      <c r="S1304">
        <v>1</v>
      </c>
      <c r="T1304">
        <v>1</v>
      </c>
      <c r="U1304">
        <v>1</v>
      </c>
      <c r="V1304">
        <v>1</v>
      </c>
      <c r="W1304">
        <v>1</v>
      </c>
      <c r="X1304">
        <v>1</v>
      </c>
      <c r="AA1304">
        <v>-7232.5680000000002</v>
      </c>
      <c r="AB1304">
        <v>-7232.5680000000002</v>
      </c>
      <c r="AC1304">
        <v>-7232.5680000000002</v>
      </c>
      <c r="AD1304">
        <v>-7232.5680000000002</v>
      </c>
      <c r="AE1304">
        <v>-7232.5680000000002</v>
      </c>
      <c r="AF1304">
        <v>-7232.5680000000002</v>
      </c>
    </row>
    <row r="1305" spans="2:32" x14ac:dyDescent="0.25">
      <c r="B1305">
        <v>55</v>
      </c>
      <c r="C1305">
        <v>1</v>
      </c>
      <c r="D1305">
        <v>1</v>
      </c>
      <c r="E1305">
        <v>1</v>
      </c>
      <c r="F1305">
        <v>1</v>
      </c>
      <c r="G1305">
        <v>1</v>
      </c>
      <c r="H1305">
        <v>1</v>
      </c>
      <c r="J1305">
        <v>55</v>
      </c>
      <c r="K1305">
        <v>1</v>
      </c>
      <c r="L1305">
        <v>1</v>
      </c>
      <c r="M1305">
        <v>1</v>
      </c>
      <c r="N1305">
        <v>1</v>
      </c>
      <c r="O1305">
        <v>1</v>
      </c>
      <c r="P1305">
        <v>1</v>
      </c>
      <c r="R1305">
        <v>55</v>
      </c>
      <c r="S1305">
        <v>1</v>
      </c>
      <c r="T1305">
        <v>1</v>
      </c>
      <c r="U1305">
        <v>1</v>
      </c>
      <c r="V1305">
        <v>1</v>
      </c>
      <c r="W1305">
        <v>1</v>
      </c>
      <c r="X1305">
        <v>1</v>
      </c>
      <c r="AA1305">
        <v>-7211.3207000000002</v>
      </c>
      <c r="AB1305">
        <v>-7211.3207000000002</v>
      </c>
      <c r="AC1305">
        <v>-7211.3207000000002</v>
      </c>
      <c r="AD1305">
        <v>-7211.3207000000002</v>
      </c>
      <c r="AE1305">
        <v>-7211.3207000000002</v>
      </c>
      <c r="AF1305">
        <v>-7211.3207000000002</v>
      </c>
    </row>
    <row r="1308" spans="2:32" x14ac:dyDescent="0.25">
      <c r="B1308" t="s">
        <v>46</v>
      </c>
      <c r="C1308">
        <v>100000</v>
      </c>
      <c r="D1308">
        <v>250000</v>
      </c>
      <c r="E1308">
        <v>500000</v>
      </c>
      <c r="F1308">
        <v>1000000</v>
      </c>
      <c r="G1308">
        <v>2000000</v>
      </c>
      <c r="J1308" t="s">
        <v>32</v>
      </c>
      <c r="K1308">
        <v>100000</v>
      </c>
      <c r="L1308">
        <v>250000</v>
      </c>
      <c r="M1308">
        <v>500000</v>
      </c>
      <c r="N1308">
        <v>1000000</v>
      </c>
      <c r="O1308">
        <v>2000000</v>
      </c>
      <c r="R1308" t="s">
        <v>48</v>
      </c>
      <c r="S1308">
        <v>100000</v>
      </c>
      <c r="T1308">
        <v>250000</v>
      </c>
      <c r="U1308">
        <v>500000</v>
      </c>
      <c r="V1308">
        <v>1000000</v>
      </c>
      <c r="W1308">
        <v>2000000</v>
      </c>
    </row>
    <row r="1309" spans="2:32" x14ac:dyDescent="0.25">
      <c r="B1309">
        <v>35</v>
      </c>
      <c r="C1309">
        <v>1</v>
      </c>
      <c r="D1309">
        <v>1</v>
      </c>
      <c r="E1309">
        <v>1</v>
      </c>
      <c r="F1309">
        <v>1</v>
      </c>
      <c r="G1309">
        <v>1</v>
      </c>
      <c r="J1309">
        <v>35</v>
      </c>
      <c r="K1309">
        <v>1</v>
      </c>
      <c r="L1309">
        <v>1</v>
      </c>
      <c r="M1309">
        <v>1</v>
      </c>
      <c r="N1309">
        <v>1</v>
      </c>
      <c r="O1309">
        <v>1</v>
      </c>
      <c r="R1309">
        <v>35</v>
      </c>
      <c r="S1309">
        <v>1</v>
      </c>
      <c r="T1309">
        <v>1</v>
      </c>
      <c r="U1309">
        <v>1</v>
      </c>
      <c r="V1309">
        <v>1</v>
      </c>
      <c r="W1309">
        <v>1</v>
      </c>
      <c r="AA1309">
        <v>-11308.6893</v>
      </c>
      <c r="AB1309">
        <v>-11308.6893</v>
      </c>
      <c r="AC1309">
        <v>-11308.6893</v>
      </c>
      <c r="AD1309">
        <v>-11308.6893</v>
      </c>
      <c r="AE1309">
        <v>-11308.6893</v>
      </c>
    </row>
    <row r="1310" spans="2:32" x14ac:dyDescent="0.25">
      <c r="B1310">
        <f t="shared" ref="B1310:B1339" si="57">B1309+1</f>
        <v>36</v>
      </c>
      <c r="C1310">
        <v>1</v>
      </c>
      <c r="D1310">
        <v>1</v>
      </c>
      <c r="E1310">
        <v>1</v>
      </c>
      <c r="F1310">
        <v>1</v>
      </c>
      <c r="G1310">
        <v>1</v>
      </c>
      <c r="J1310">
        <f t="shared" ref="J1310:J1339" si="58">J1309+1</f>
        <v>36</v>
      </c>
      <c r="K1310">
        <v>1</v>
      </c>
      <c r="L1310">
        <v>1</v>
      </c>
      <c r="M1310">
        <v>1</v>
      </c>
      <c r="N1310">
        <v>1</v>
      </c>
      <c r="O1310">
        <v>1</v>
      </c>
      <c r="R1310">
        <f t="shared" ref="R1310:R1339" si="59">R1309+1</f>
        <v>36</v>
      </c>
      <c r="S1310">
        <v>1</v>
      </c>
      <c r="T1310">
        <v>1</v>
      </c>
      <c r="U1310">
        <v>1</v>
      </c>
      <c r="V1310">
        <v>1</v>
      </c>
      <c r="W1310">
        <v>1</v>
      </c>
      <c r="AA1310">
        <v>-11214.2592</v>
      </c>
      <c r="AB1310">
        <v>-11214.2592</v>
      </c>
      <c r="AC1310">
        <v>-11214.2592</v>
      </c>
      <c r="AD1310">
        <v>-11214.2592</v>
      </c>
      <c r="AE1310">
        <v>-11214.2592</v>
      </c>
    </row>
    <row r="1311" spans="2:32" x14ac:dyDescent="0.25">
      <c r="B1311">
        <f t="shared" si="57"/>
        <v>37</v>
      </c>
      <c r="C1311">
        <v>1</v>
      </c>
      <c r="D1311">
        <v>1</v>
      </c>
      <c r="E1311">
        <v>1</v>
      </c>
      <c r="F1311">
        <v>1</v>
      </c>
      <c r="G1311">
        <v>1</v>
      </c>
      <c r="J1311">
        <f t="shared" si="58"/>
        <v>37</v>
      </c>
      <c r="K1311">
        <v>1</v>
      </c>
      <c r="L1311">
        <v>1</v>
      </c>
      <c r="M1311">
        <v>1</v>
      </c>
      <c r="N1311">
        <v>1</v>
      </c>
      <c r="O1311">
        <v>1</v>
      </c>
      <c r="R1311">
        <f t="shared" si="59"/>
        <v>37</v>
      </c>
      <c r="S1311">
        <v>1</v>
      </c>
      <c r="T1311">
        <v>1</v>
      </c>
      <c r="U1311">
        <v>1</v>
      </c>
      <c r="V1311">
        <v>1</v>
      </c>
      <c r="W1311">
        <v>1</v>
      </c>
      <c r="AA1311">
        <v>-11117.406199999999</v>
      </c>
      <c r="AB1311">
        <v>-11117.406199999999</v>
      </c>
      <c r="AC1311">
        <v>-11117.406199999999</v>
      </c>
      <c r="AD1311">
        <v>-11117.406199999999</v>
      </c>
      <c r="AE1311">
        <v>-11117.406199999999</v>
      </c>
    </row>
    <row r="1312" spans="2:32" x14ac:dyDescent="0.25">
      <c r="B1312">
        <f t="shared" si="57"/>
        <v>38</v>
      </c>
      <c r="C1312">
        <v>1</v>
      </c>
      <c r="D1312">
        <v>1</v>
      </c>
      <c r="E1312">
        <v>1</v>
      </c>
      <c r="F1312">
        <v>1</v>
      </c>
      <c r="G1312">
        <v>1</v>
      </c>
      <c r="J1312">
        <f t="shared" si="58"/>
        <v>38</v>
      </c>
      <c r="K1312">
        <v>1</v>
      </c>
      <c r="L1312">
        <v>1</v>
      </c>
      <c r="M1312">
        <v>1</v>
      </c>
      <c r="N1312">
        <v>1</v>
      </c>
      <c r="O1312">
        <v>1</v>
      </c>
      <c r="R1312">
        <f t="shared" si="59"/>
        <v>38</v>
      </c>
      <c r="S1312">
        <v>1</v>
      </c>
      <c r="T1312">
        <v>1</v>
      </c>
      <c r="U1312">
        <v>1</v>
      </c>
      <c r="V1312">
        <v>1</v>
      </c>
      <c r="W1312">
        <v>1</v>
      </c>
      <c r="AA1312">
        <v>-11018.229799999999</v>
      </c>
      <c r="AB1312">
        <v>-11018.229799999999</v>
      </c>
      <c r="AC1312">
        <v>-11018.229799999999</v>
      </c>
      <c r="AD1312">
        <v>-11018.229799999999</v>
      </c>
      <c r="AE1312">
        <v>-11018.229799999999</v>
      </c>
    </row>
    <row r="1313" spans="2:31" x14ac:dyDescent="0.25">
      <c r="B1313">
        <f t="shared" si="57"/>
        <v>39</v>
      </c>
      <c r="C1313">
        <v>1</v>
      </c>
      <c r="D1313">
        <v>1</v>
      </c>
      <c r="E1313">
        <v>1</v>
      </c>
      <c r="F1313">
        <v>1</v>
      </c>
      <c r="G1313">
        <v>1</v>
      </c>
      <c r="J1313">
        <f t="shared" si="58"/>
        <v>39</v>
      </c>
      <c r="K1313">
        <v>1</v>
      </c>
      <c r="L1313">
        <v>1</v>
      </c>
      <c r="M1313">
        <v>1</v>
      </c>
      <c r="N1313">
        <v>1</v>
      </c>
      <c r="O1313">
        <v>1</v>
      </c>
      <c r="R1313">
        <f t="shared" si="59"/>
        <v>39</v>
      </c>
      <c r="S1313">
        <v>1</v>
      </c>
      <c r="T1313">
        <v>1</v>
      </c>
      <c r="U1313">
        <v>1</v>
      </c>
      <c r="V1313">
        <v>1</v>
      </c>
      <c r="W1313">
        <v>1</v>
      </c>
      <c r="AA1313">
        <v>-10916.737999999999</v>
      </c>
      <c r="AB1313">
        <v>-10916.737999999999</v>
      </c>
      <c r="AC1313">
        <v>-10916.737999999999</v>
      </c>
      <c r="AD1313">
        <v>-10916.737999999999</v>
      </c>
      <c r="AE1313">
        <v>-10916.737999999999</v>
      </c>
    </row>
    <row r="1314" spans="2:31" x14ac:dyDescent="0.25">
      <c r="B1314">
        <f t="shared" si="57"/>
        <v>40</v>
      </c>
      <c r="C1314">
        <v>1</v>
      </c>
      <c r="D1314">
        <v>1</v>
      </c>
      <c r="E1314">
        <v>1</v>
      </c>
      <c r="F1314">
        <v>1</v>
      </c>
      <c r="G1314">
        <v>1</v>
      </c>
      <c r="J1314">
        <f t="shared" si="58"/>
        <v>40</v>
      </c>
      <c r="K1314">
        <v>1</v>
      </c>
      <c r="L1314">
        <v>1</v>
      </c>
      <c r="M1314">
        <v>1</v>
      </c>
      <c r="N1314">
        <v>1</v>
      </c>
      <c r="O1314">
        <v>1</v>
      </c>
      <c r="R1314">
        <f t="shared" si="59"/>
        <v>40</v>
      </c>
      <c r="S1314">
        <v>1</v>
      </c>
      <c r="T1314">
        <v>1</v>
      </c>
      <c r="U1314">
        <v>1</v>
      </c>
      <c r="V1314">
        <v>1</v>
      </c>
      <c r="W1314">
        <v>1</v>
      </c>
      <c r="AA1314">
        <v>-10812.8714</v>
      </c>
      <c r="AB1314">
        <v>-10812.8714</v>
      </c>
      <c r="AC1314">
        <v>-10812.8714</v>
      </c>
      <c r="AD1314">
        <v>-10812.8714</v>
      </c>
      <c r="AE1314">
        <v>-10812.8714</v>
      </c>
    </row>
    <row r="1315" spans="2:31" x14ac:dyDescent="0.25">
      <c r="B1315">
        <f t="shared" si="57"/>
        <v>41</v>
      </c>
      <c r="C1315">
        <v>1</v>
      </c>
      <c r="D1315">
        <v>1</v>
      </c>
      <c r="E1315">
        <v>1</v>
      </c>
      <c r="F1315">
        <v>1</v>
      </c>
      <c r="G1315">
        <v>1</v>
      </c>
      <c r="J1315">
        <f t="shared" si="58"/>
        <v>41</v>
      </c>
      <c r="K1315">
        <v>1</v>
      </c>
      <c r="L1315">
        <v>1</v>
      </c>
      <c r="M1315">
        <v>1</v>
      </c>
      <c r="N1315">
        <v>1</v>
      </c>
      <c r="O1315">
        <v>1</v>
      </c>
      <c r="R1315">
        <f t="shared" si="59"/>
        <v>41</v>
      </c>
      <c r="S1315">
        <v>1</v>
      </c>
      <c r="T1315">
        <v>1</v>
      </c>
      <c r="U1315">
        <v>1</v>
      </c>
      <c r="V1315">
        <v>1</v>
      </c>
      <c r="W1315">
        <v>1</v>
      </c>
      <c r="AA1315">
        <v>-10706.559600000001</v>
      </c>
      <c r="AB1315">
        <v>-10706.559600000001</v>
      </c>
      <c r="AC1315">
        <v>-10706.559600000001</v>
      </c>
      <c r="AD1315">
        <v>-10706.559600000001</v>
      </c>
      <c r="AE1315">
        <v>-10706.559600000001</v>
      </c>
    </row>
    <row r="1316" spans="2:31" x14ac:dyDescent="0.25">
      <c r="B1316">
        <f t="shared" si="57"/>
        <v>42</v>
      </c>
      <c r="C1316">
        <v>1</v>
      </c>
      <c r="D1316">
        <v>1</v>
      </c>
      <c r="E1316">
        <v>1</v>
      </c>
      <c r="F1316">
        <v>1</v>
      </c>
      <c r="G1316">
        <v>1</v>
      </c>
      <c r="J1316">
        <f t="shared" si="58"/>
        <v>42</v>
      </c>
      <c r="K1316">
        <v>1</v>
      </c>
      <c r="L1316">
        <v>1</v>
      </c>
      <c r="M1316">
        <v>1</v>
      </c>
      <c r="N1316">
        <v>1</v>
      </c>
      <c r="O1316">
        <v>1</v>
      </c>
      <c r="R1316">
        <f t="shared" si="59"/>
        <v>42</v>
      </c>
      <c r="S1316">
        <v>1</v>
      </c>
      <c r="T1316">
        <v>1</v>
      </c>
      <c r="U1316">
        <v>1</v>
      </c>
      <c r="V1316">
        <v>1</v>
      </c>
      <c r="W1316">
        <v>1</v>
      </c>
      <c r="AA1316">
        <v>-10597.8485</v>
      </c>
      <c r="AB1316">
        <v>-10597.8485</v>
      </c>
      <c r="AC1316">
        <v>-10597.8485</v>
      </c>
      <c r="AD1316">
        <v>-10597.8485</v>
      </c>
      <c r="AE1316">
        <v>-10597.8485</v>
      </c>
    </row>
    <row r="1317" spans="2:31" x14ac:dyDescent="0.25">
      <c r="B1317">
        <f t="shared" si="57"/>
        <v>43</v>
      </c>
      <c r="C1317">
        <v>1</v>
      </c>
      <c r="D1317">
        <v>1</v>
      </c>
      <c r="E1317">
        <v>1</v>
      </c>
      <c r="F1317">
        <v>1</v>
      </c>
      <c r="G1317">
        <v>1</v>
      </c>
      <c r="J1317">
        <f t="shared" si="58"/>
        <v>43</v>
      </c>
      <c r="K1317">
        <v>1</v>
      </c>
      <c r="L1317">
        <v>1</v>
      </c>
      <c r="M1317">
        <v>1</v>
      </c>
      <c r="N1317">
        <v>1</v>
      </c>
      <c r="O1317">
        <v>1</v>
      </c>
      <c r="R1317">
        <f t="shared" si="59"/>
        <v>43</v>
      </c>
      <c r="S1317">
        <v>1</v>
      </c>
      <c r="T1317">
        <v>1</v>
      </c>
      <c r="U1317">
        <v>1</v>
      </c>
      <c r="V1317">
        <v>1</v>
      </c>
      <c r="W1317">
        <v>1</v>
      </c>
      <c r="AA1317">
        <v>-10486.615400000001</v>
      </c>
      <c r="AB1317">
        <v>-10486.615400000001</v>
      </c>
      <c r="AC1317">
        <v>-10486.615400000001</v>
      </c>
      <c r="AD1317">
        <v>-10486.615400000001</v>
      </c>
      <c r="AE1317">
        <v>-10486.615400000001</v>
      </c>
    </row>
    <row r="1318" spans="2:31" x14ac:dyDescent="0.25">
      <c r="B1318">
        <f t="shared" si="57"/>
        <v>44</v>
      </c>
      <c r="C1318">
        <v>1</v>
      </c>
      <c r="D1318">
        <v>1</v>
      </c>
      <c r="E1318">
        <v>1</v>
      </c>
      <c r="F1318">
        <v>1</v>
      </c>
      <c r="G1318">
        <v>1</v>
      </c>
      <c r="J1318">
        <f t="shared" si="58"/>
        <v>44</v>
      </c>
      <c r="K1318">
        <v>1</v>
      </c>
      <c r="L1318">
        <v>1</v>
      </c>
      <c r="M1318">
        <v>1</v>
      </c>
      <c r="N1318">
        <v>1</v>
      </c>
      <c r="O1318">
        <v>1</v>
      </c>
      <c r="R1318">
        <f t="shared" si="59"/>
        <v>44</v>
      </c>
      <c r="S1318">
        <v>1</v>
      </c>
      <c r="T1318">
        <v>1</v>
      </c>
      <c r="U1318">
        <v>1</v>
      </c>
      <c r="V1318">
        <v>1</v>
      </c>
      <c r="W1318">
        <v>1</v>
      </c>
      <c r="AA1318">
        <v>-10372.9005</v>
      </c>
      <c r="AB1318">
        <v>-10372.9005</v>
      </c>
      <c r="AC1318">
        <v>-10372.9005</v>
      </c>
      <c r="AD1318">
        <v>-10372.9005</v>
      </c>
      <c r="AE1318">
        <v>-10372.9005</v>
      </c>
    </row>
    <row r="1319" spans="2:31" x14ac:dyDescent="0.25">
      <c r="B1319">
        <f t="shared" si="57"/>
        <v>45</v>
      </c>
      <c r="C1319">
        <v>1</v>
      </c>
      <c r="D1319">
        <v>1</v>
      </c>
      <c r="E1319">
        <v>1</v>
      </c>
      <c r="F1319">
        <v>1</v>
      </c>
      <c r="G1319">
        <v>1</v>
      </c>
      <c r="J1319">
        <f t="shared" si="58"/>
        <v>45</v>
      </c>
      <c r="K1319">
        <v>1</v>
      </c>
      <c r="L1319">
        <v>1</v>
      </c>
      <c r="M1319">
        <v>1</v>
      </c>
      <c r="N1319">
        <v>1</v>
      </c>
      <c r="O1319">
        <v>1</v>
      </c>
      <c r="R1319">
        <f t="shared" si="59"/>
        <v>45</v>
      </c>
      <c r="S1319">
        <v>1</v>
      </c>
      <c r="T1319">
        <v>1</v>
      </c>
      <c r="U1319">
        <v>1</v>
      </c>
      <c r="V1319">
        <v>1</v>
      </c>
      <c r="W1319">
        <v>1</v>
      </c>
      <c r="AA1319">
        <v>-10256.650600000001</v>
      </c>
      <c r="AB1319">
        <v>-10256.650600000001</v>
      </c>
      <c r="AC1319">
        <v>-10256.650600000001</v>
      </c>
      <c r="AD1319">
        <v>-10256.650600000001</v>
      </c>
      <c r="AE1319">
        <v>-10256.650600000001</v>
      </c>
    </row>
    <row r="1320" spans="2:31" x14ac:dyDescent="0.25">
      <c r="B1320">
        <f t="shared" si="57"/>
        <v>46</v>
      </c>
      <c r="C1320">
        <v>1</v>
      </c>
      <c r="D1320">
        <v>1</v>
      </c>
      <c r="E1320">
        <v>1</v>
      </c>
      <c r="F1320">
        <v>1</v>
      </c>
      <c r="G1320">
        <v>1</v>
      </c>
      <c r="J1320">
        <f t="shared" si="58"/>
        <v>46</v>
      </c>
      <c r="K1320">
        <v>1</v>
      </c>
      <c r="L1320">
        <v>1</v>
      </c>
      <c r="M1320">
        <v>1</v>
      </c>
      <c r="N1320">
        <v>1</v>
      </c>
      <c r="O1320">
        <v>1</v>
      </c>
      <c r="R1320">
        <f t="shared" si="59"/>
        <v>46</v>
      </c>
      <c r="S1320">
        <v>1</v>
      </c>
      <c r="T1320">
        <v>1</v>
      </c>
      <c r="U1320">
        <v>1</v>
      </c>
      <c r="V1320">
        <v>1</v>
      </c>
      <c r="W1320">
        <v>1</v>
      </c>
      <c r="AA1320">
        <v>-10137.871499999999</v>
      </c>
      <c r="AB1320">
        <v>-10137.871499999999</v>
      </c>
      <c r="AC1320">
        <v>-10137.871499999999</v>
      </c>
      <c r="AD1320">
        <v>-10137.871499999999</v>
      </c>
      <c r="AE1320">
        <v>-10137.871499999999</v>
      </c>
    </row>
    <row r="1321" spans="2:31" x14ac:dyDescent="0.25">
      <c r="B1321">
        <f t="shared" si="57"/>
        <v>47</v>
      </c>
      <c r="C1321">
        <v>1</v>
      </c>
      <c r="D1321">
        <v>1</v>
      </c>
      <c r="E1321">
        <v>1</v>
      </c>
      <c r="F1321">
        <v>1</v>
      </c>
      <c r="G1321">
        <v>1</v>
      </c>
      <c r="J1321">
        <f t="shared" si="58"/>
        <v>47</v>
      </c>
      <c r="K1321">
        <v>1</v>
      </c>
      <c r="L1321">
        <v>1</v>
      </c>
      <c r="M1321">
        <v>1</v>
      </c>
      <c r="N1321">
        <v>1</v>
      </c>
      <c r="O1321">
        <v>1</v>
      </c>
      <c r="R1321">
        <f t="shared" si="59"/>
        <v>47</v>
      </c>
      <c r="S1321">
        <v>1</v>
      </c>
      <c r="T1321">
        <v>1</v>
      </c>
      <c r="U1321">
        <v>1</v>
      </c>
      <c r="V1321">
        <v>1</v>
      </c>
      <c r="W1321">
        <v>1</v>
      </c>
      <c r="AA1321">
        <v>-10016.4967</v>
      </c>
      <c r="AB1321">
        <v>-10016.4967</v>
      </c>
      <c r="AC1321">
        <v>-10016.4967</v>
      </c>
      <c r="AD1321">
        <v>-10016.4967</v>
      </c>
      <c r="AE1321">
        <v>-10016.4967</v>
      </c>
    </row>
    <row r="1322" spans="2:31" x14ac:dyDescent="0.25">
      <c r="B1322">
        <f t="shared" si="57"/>
        <v>48</v>
      </c>
      <c r="C1322">
        <v>1</v>
      </c>
      <c r="D1322">
        <v>1</v>
      </c>
      <c r="E1322">
        <v>1</v>
      </c>
      <c r="F1322">
        <v>1</v>
      </c>
      <c r="G1322">
        <v>1</v>
      </c>
      <c r="J1322">
        <f t="shared" si="58"/>
        <v>48</v>
      </c>
      <c r="K1322">
        <v>1</v>
      </c>
      <c r="L1322">
        <v>1</v>
      </c>
      <c r="M1322">
        <v>1</v>
      </c>
      <c r="N1322">
        <v>1</v>
      </c>
      <c r="O1322">
        <v>1</v>
      </c>
      <c r="R1322">
        <f t="shared" si="59"/>
        <v>48</v>
      </c>
      <c r="S1322">
        <v>1</v>
      </c>
      <c r="T1322">
        <v>1</v>
      </c>
      <c r="U1322">
        <v>1</v>
      </c>
      <c r="V1322">
        <v>1</v>
      </c>
      <c r="W1322">
        <v>1</v>
      </c>
      <c r="AA1322">
        <v>-9892.6355000000003</v>
      </c>
      <c r="AB1322">
        <v>-9892.6355000000003</v>
      </c>
      <c r="AC1322">
        <v>-9892.6355000000003</v>
      </c>
      <c r="AD1322">
        <v>-9892.6355000000003</v>
      </c>
      <c r="AE1322">
        <v>-9892.6355000000003</v>
      </c>
    </row>
    <row r="1323" spans="2:31" x14ac:dyDescent="0.25">
      <c r="B1323">
        <f t="shared" si="57"/>
        <v>49</v>
      </c>
      <c r="C1323">
        <v>1</v>
      </c>
      <c r="D1323">
        <v>1</v>
      </c>
      <c r="E1323">
        <v>1</v>
      </c>
      <c r="F1323">
        <v>1</v>
      </c>
      <c r="G1323">
        <v>1</v>
      </c>
      <c r="J1323">
        <f t="shared" si="58"/>
        <v>49</v>
      </c>
      <c r="K1323">
        <v>1</v>
      </c>
      <c r="L1323">
        <v>1</v>
      </c>
      <c r="M1323">
        <v>1</v>
      </c>
      <c r="N1323">
        <v>1</v>
      </c>
      <c r="O1323">
        <v>1</v>
      </c>
      <c r="R1323">
        <f t="shared" si="59"/>
        <v>49</v>
      </c>
      <c r="S1323">
        <v>1</v>
      </c>
      <c r="T1323">
        <v>1</v>
      </c>
      <c r="U1323">
        <v>1</v>
      </c>
      <c r="V1323">
        <v>1</v>
      </c>
      <c r="W1323">
        <v>1</v>
      </c>
      <c r="AA1323">
        <v>-9766.3366999999998</v>
      </c>
      <c r="AB1323">
        <v>-9766.3366999999998</v>
      </c>
      <c r="AC1323">
        <v>-9766.3366999999998</v>
      </c>
      <c r="AD1323">
        <v>-9766.3366999999998</v>
      </c>
      <c r="AE1323">
        <v>-9766.3366999999998</v>
      </c>
    </row>
    <row r="1324" spans="2:31" x14ac:dyDescent="0.25">
      <c r="B1324">
        <f t="shared" si="57"/>
        <v>50</v>
      </c>
      <c r="C1324">
        <v>1</v>
      </c>
      <c r="D1324">
        <v>1</v>
      </c>
      <c r="E1324">
        <v>1</v>
      </c>
      <c r="F1324">
        <v>1</v>
      </c>
      <c r="G1324">
        <v>1</v>
      </c>
      <c r="J1324">
        <f t="shared" si="58"/>
        <v>50</v>
      </c>
      <c r="K1324">
        <v>1</v>
      </c>
      <c r="L1324">
        <v>1</v>
      </c>
      <c r="M1324">
        <v>1</v>
      </c>
      <c r="N1324">
        <v>1</v>
      </c>
      <c r="O1324">
        <v>1</v>
      </c>
      <c r="R1324">
        <f t="shared" si="59"/>
        <v>50</v>
      </c>
      <c r="S1324">
        <v>1</v>
      </c>
      <c r="T1324">
        <v>1</v>
      </c>
      <c r="U1324">
        <v>1</v>
      </c>
      <c r="V1324">
        <v>1</v>
      </c>
      <c r="W1324">
        <v>1</v>
      </c>
      <c r="AA1324">
        <v>-9637.5864000000001</v>
      </c>
      <c r="AB1324">
        <v>-9637.5864000000001</v>
      </c>
      <c r="AC1324">
        <v>-9637.5864000000001</v>
      </c>
      <c r="AD1324">
        <v>-9637.5864000000001</v>
      </c>
      <c r="AE1324">
        <v>-9637.5864000000001</v>
      </c>
    </row>
    <row r="1325" spans="2:31" x14ac:dyDescent="0.25">
      <c r="B1325">
        <f t="shared" si="57"/>
        <v>51</v>
      </c>
      <c r="C1325">
        <v>1</v>
      </c>
      <c r="D1325">
        <v>1</v>
      </c>
      <c r="E1325">
        <v>1</v>
      </c>
      <c r="F1325">
        <v>1</v>
      </c>
      <c r="G1325">
        <v>1</v>
      </c>
      <c r="J1325">
        <f t="shared" si="58"/>
        <v>51</v>
      </c>
      <c r="K1325">
        <v>1</v>
      </c>
      <c r="L1325">
        <v>1</v>
      </c>
      <c r="M1325">
        <v>1</v>
      </c>
      <c r="N1325">
        <v>1</v>
      </c>
      <c r="O1325">
        <v>1</v>
      </c>
      <c r="R1325">
        <f t="shared" si="59"/>
        <v>51</v>
      </c>
      <c r="S1325">
        <v>1</v>
      </c>
      <c r="T1325">
        <v>1</v>
      </c>
      <c r="U1325">
        <v>1</v>
      </c>
      <c r="V1325">
        <v>1</v>
      </c>
      <c r="W1325">
        <v>1</v>
      </c>
      <c r="AA1325">
        <v>-9506.3734000000004</v>
      </c>
      <c r="AB1325">
        <v>-9506.3734000000004</v>
      </c>
      <c r="AC1325">
        <v>-9506.3734000000004</v>
      </c>
      <c r="AD1325">
        <v>-9506.3734000000004</v>
      </c>
      <c r="AE1325">
        <v>-9506.3734000000004</v>
      </c>
    </row>
    <row r="1326" spans="2:31" x14ac:dyDescent="0.25">
      <c r="B1326">
        <f t="shared" si="57"/>
        <v>52</v>
      </c>
      <c r="C1326">
        <v>1</v>
      </c>
      <c r="D1326">
        <v>1</v>
      </c>
      <c r="E1326">
        <v>1</v>
      </c>
      <c r="F1326">
        <v>1</v>
      </c>
      <c r="G1326">
        <v>1</v>
      </c>
      <c r="J1326">
        <f t="shared" si="58"/>
        <v>52</v>
      </c>
      <c r="K1326">
        <v>1</v>
      </c>
      <c r="L1326">
        <v>1</v>
      </c>
      <c r="M1326">
        <v>1</v>
      </c>
      <c r="N1326">
        <v>1</v>
      </c>
      <c r="O1326">
        <v>1</v>
      </c>
      <c r="R1326">
        <f t="shared" si="59"/>
        <v>52</v>
      </c>
      <c r="S1326">
        <v>1</v>
      </c>
      <c r="T1326">
        <v>1</v>
      </c>
      <c r="U1326">
        <v>1</v>
      </c>
      <c r="V1326">
        <v>1</v>
      </c>
      <c r="W1326">
        <v>1</v>
      </c>
      <c r="AA1326">
        <v>-9372.7019</v>
      </c>
      <c r="AB1326">
        <v>-9372.7019</v>
      </c>
      <c r="AC1326">
        <v>-9372.7019</v>
      </c>
      <c r="AD1326">
        <v>-9372.7019</v>
      </c>
      <c r="AE1326">
        <v>-9372.7019</v>
      </c>
    </row>
    <row r="1327" spans="2:31" x14ac:dyDescent="0.25">
      <c r="B1327">
        <f t="shared" si="57"/>
        <v>53</v>
      </c>
      <c r="C1327">
        <v>1</v>
      </c>
      <c r="D1327">
        <v>1</v>
      </c>
      <c r="E1327">
        <v>1</v>
      </c>
      <c r="F1327">
        <v>1</v>
      </c>
      <c r="G1327">
        <v>1</v>
      </c>
      <c r="J1327">
        <f t="shared" si="58"/>
        <v>53</v>
      </c>
      <c r="K1327">
        <v>1</v>
      </c>
      <c r="L1327">
        <v>1</v>
      </c>
      <c r="M1327">
        <v>1</v>
      </c>
      <c r="N1327">
        <v>1</v>
      </c>
      <c r="O1327">
        <v>1</v>
      </c>
      <c r="R1327">
        <f t="shared" si="59"/>
        <v>53</v>
      </c>
      <c r="S1327">
        <v>1</v>
      </c>
      <c r="T1327">
        <v>1</v>
      </c>
      <c r="U1327">
        <v>1</v>
      </c>
      <c r="V1327">
        <v>1</v>
      </c>
      <c r="W1327">
        <v>1</v>
      </c>
      <c r="AA1327">
        <v>-9236.6705000000002</v>
      </c>
      <c r="AB1327">
        <v>-9236.6705000000002</v>
      </c>
      <c r="AC1327">
        <v>-9236.6705000000002</v>
      </c>
      <c r="AD1327">
        <v>-9236.6705000000002</v>
      </c>
      <c r="AE1327">
        <v>-9236.6705000000002</v>
      </c>
    </row>
    <row r="1328" spans="2:31" x14ac:dyDescent="0.25">
      <c r="B1328">
        <f t="shared" si="57"/>
        <v>54</v>
      </c>
      <c r="C1328">
        <v>1</v>
      </c>
      <c r="D1328">
        <v>1</v>
      </c>
      <c r="E1328">
        <v>1</v>
      </c>
      <c r="F1328">
        <v>1</v>
      </c>
      <c r="G1328">
        <v>1</v>
      </c>
      <c r="J1328">
        <f t="shared" si="58"/>
        <v>54</v>
      </c>
      <c r="K1328">
        <v>1</v>
      </c>
      <c r="L1328">
        <v>1</v>
      </c>
      <c r="M1328">
        <v>1</v>
      </c>
      <c r="N1328">
        <v>1</v>
      </c>
      <c r="O1328">
        <v>1</v>
      </c>
      <c r="R1328">
        <f t="shared" si="59"/>
        <v>54</v>
      </c>
      <c r="S1328">
        <v>1</v>
      </c>
      <c r="T1328">
        <v>1</v>
      </c>
      <c r="U1328">
        <v>1</v>
      </c>
      <c r="V1328">
        <v>1</v>
      </c>
      <c r="W1328">
        <v>1</v>
      </c>
      <c r="AA1328">
        <v>-9098.4312000000009</v>
      </c>
      <c r="AB1328">
        <v>-9098.4312000000009</v>
      </c>
      <c r="AC1328">
        <v>-9098.4312000000009</v>
      </c>
      <c r="AD1328">
        <v>-9098.4312000000009</v>
      </c>
      <c r="AE1328">
        <v>-9098.4312000000009</v>
      </c>
    </row>
    <row r="1329" spans="2:31" x14ac:dyDescent="0.25">
      <c r="B1329">
        <f t="shared" si="57"/>
        <v>55</v>
      </c>
      <c r="C1329">
        <v>1</v>
      </c>
      <c r="D1329">
        <v>1</v>
      </c>
      <c r="E1329">
        <v>1</v>
      </c>
      <c r="F1329">
        <v>1</v>
      </c>
      <c r="G1329">
        <v>1</v>
      </c>
      <c r="J1329">
        <f t="shared" si="58"/>
        <v>55</v>
      </c>
      <c r="K1329">
        <v>1</v>
      </c>
      <c r="L1329">
        <v>1</v>
      </c>
      <c r="M1329">
        <v>1</v>
      </c>
      <c r="N1329">
        <v>1</v>
      </c>
      <c r="O1329">
        <v>1</v>
      </c>
      <c r="R1329">
        <f t="shared" si="59"/>
        <v>55</v>
      </c>
      <c r="S1329">
        <v>1</v>
      </c>
      <c r="T1329">
        <v>1</v>
      </c>
      <c r="U1329">
        <v>1</v>
      </c>
      <c r="V1329">
        <v>1</v>
      </c>
      <c r="W1329">
        <v>1</v>
      </c>
      <c r="AA1329">
        <v>-8958.0210999999999</v>
      </c>
      <c r="AB1329">
        <v>-8958.0210999999999</v>
      </c>
      <c r="AC1329">
        <v>-8958.0210999999999</v>
      </c>
      <c r="AD1329">
        <v>-8958.0210999999999</v>
      </c>
      <c r="AE1329">
        <v>-8958.0210999999999</v>
      </c>
    </row>
    <row r="1330" spans="2:31" x14ac:dyDescent="0.25">
      <c r="B1330">
        <f t="shared" si="57"/>
        <v>56</v>
      </c>
      <c r="C1330">
        <v>1</v>
      </c>
      <c r="D1330">
        <v>1</v>
      </c>
      <c r="E1330">
        <v>1</v>
      </c>
      <c r="F1330">
        <v>1</v>
      </c>
      <c r="G1330">
        <v>1</v>
      </c>
      <c r="J1330">
        <f t="shared" si="58"/>
        <v>56</v>
      </c>
      <c r="K1330">
        <v>1</v>
      </c>
      <c r="L1330">
        <v>1</v>
      </c>
      <c r="M1330">
        <v>1</v>
      </c>
      <c r="N1330">
        <v>1</v>
      </c>
      <c r="O1330">
        <v>1</v>
      </c>
      <c r="R1330">
        <f t="shared" si="59"/>
        <v>56</v>
      </c>
      <c r="S1330">
        <v>1</v>
      </c>
      <c r="T1330">
        <v>1</v>
      </c>
      <c r="U1330">
        <v>1</v>
      </c>
      <c r="V1330">
        <v>1</v>
      </c>
      <c r="W1330">
        <v>1</v>
      </c>
      <c r="AA1330">
        <v>-8815.6316999999999</v>
      </c>
      <c r="AB1330">
        <v>-8815.6316999999999</v>
      </c>
      <c r="AC1330">
        <v>-8815.6316999999999</v>
      </c>
      <c r="AD1330">
        <v>-8815.6316999999999</v>
      </c>
      <c r="AE1330">
        <v>-8815.6316999999999</v>
      </c>
    </row>
    <row r="1331" spans="2:31" x14ac:dyDescent="0.25">
      <c r="B1331">
        <f t="shared" si="57"/>
        <v>57</v>
      </c>
      <c r="C1331">
        <v>1</v>
      </c>
      <c r="D1331">
        <v>1</v>
      </c>
      <c r="E1331">
        <v>1</v>
      </c>
      <c r="F1331">
        <v>1</v>
      </c>
      <c r="G1331">
        <v>1</v>
      </c>
      <c r="J1331">
        <f t="shared" si="58"/>
        <v>57</v>
      </c>
      <c r="K1331">
        <v>1</v>
      </c>
      <c r="L1331">
        <v>1</v>
      </c>
      <c r="M1331">
        <v>1</v>
      </c>
      <c r="N1331">
        <v>1</v>
      </c>
      <c r="O1331">
        <v>1</v>
      </c>
      <c r="R1331">
        <f t="shared" si="59"/>
        <v>57</v>
      </c>
      <c r="S1331">
        <v>1</v>
      </c>
      <c r="T1331">
        <v>1</v>
      </c>
      <c r="U1331">
        <v>1</v>
      </c>
      <c r="V1331">
        <v>1</v>
      </c>
      <c r="W1331">
        <v>1</v>
      </c>
      <c r="AA1331">
        <v>-8671.3991999999998</v>
      </c>
      <c r="AB1331">
        <v>-8671.3991999999998</v>
      </c>
      <c r="AC1331">
        <v>-8671.3991999999998</v>
      </c>
      <c r="AD1331">
        <v>-8671.3991999999998</v>
      </c>
      <c r="AE1331">
        <v>-8671.3991999999998</v>
      </c>
    </row>
    <row r="1332" spans="2:31" x14ac:dyDescent="0.25">
      <c r="B1332">
        <f t="shared" si="57"/>
        <v>58</v>
      </c>
      <c r="C1332">
        <v>1</v>
      </c>
      <c r="D1332">
        <v>1</v>
      </c>
      <c r="E1332">
        <v>1</v>
      </c>
      <c r="F1332">
        <v>1</v>
      </c>
      <c r="G1332">
        <v>1</v>
      </c>
      <c r="J1332">
        <f t="shared" si="58"/>
        <v>58</v>
      </c>
      <c r="K1332">
        <v>1</v>
      </c>
      <c r="L1332">
        <v>1</v>
      </c>
      <c r="M1332">
        <v>1</v>
      </c>
      <c r="N1332">
        <v>1</v>
      </c>
      <c r="O1332">
        <v>1</v>
      </c>
      <c r="R1332">
        <f t="shared" si="59"/>
        <v>58</v>
      </c>
      <c r="S1332">
        <v>1</v>
      </c>
      <c r="T1332">
        <v>1</v>
      </c>
      <c r="U1332">
        <v>1</v>
      </c>
      <c r="V1332">
        <v>1</v>
      </c>
      <c r="W1332">
        <v>1</v>
      </c>
      <c r="AA1332">
        <v>-8525.2759999999998</v>
      </c>
      <c r="AB1332">
        <v>-8525.2759999999998</v>
      </c>
      <c r="AC1332">
        <v>-8525.2759999999998</v>
      </c>
      <c r="AD1332">
        <v>-8525.2759999999998</v>
      </c>
      <c r="AE1332">
        <v>-8525.2759999999998</v>
      </c>
    </row>
    <row r="1333" spans="2:31" x14ac:dyDescent="0.25">
      <c r="B1333">
        <f t="shared" si="57"/>
        <v>59</v>
      </c>
      <c r="C1333">
        <v>1</v>
      </c>
      <c r="D1333">
        <v>1</v>
      </c>
      <c r="E1333">
        <v>1</v>
      </c>
      <c r="F1333">
        <v>1</v>
      </c>
      <c r="G1333">
        <v>1</v>
      </c>
      <c r="J1333">
        <f t="shared" si="58"/>
        <v>59</v>
      </c>
      <c r="K1333">
        <v>1</v>
      </c>
      <c r="L1333">
        <v>1</v>
      </c>
      <c r="M1333">
        <v>1</v>
      </c>
      <c r="N1333">
        <v>1</v>
      </c>
      <c r="O1333">
        <v>1</v>
      </c>
      <c r="R1333">
        <f t="shared" si="59"/>
        <v>59</v>
      </c>
      <c r="S1333">
        <v>1</v>
      </c>
      <c r="T1333">
        <v>1</v>
      </c>
      <c r="U1333">
        <v>1</v>
      </c>
      <c r="V1333">
        <v>1</v>
      </c>
      <c r="W1333">
        <v>1</v>
      </c>
      <c r="AA1333">
        <v>-8377.2351999999992</v>
      </c>
      <c r="AB1333">
        <v>-8377.2351999999992</v>
      </c>
      <c r="AC1333">
        <v>-8377.2351999999992</v>
      </c>
      <c r="AD1333">
        <v>-8377.2351999999992</v>
      </c>
      <c r="AE1333">
        <v>-8377.2351999999992</v>
      </c>
    </row>
    <row r="1334" spans="2:31" x14ac:dyDescent="0.25">
      <c r="B1334">
        <f t="shared" si="57"/>
        <v>60</v>
      </c>
      <c r="C1334">
        <v>1</v>
      </c>
      <c r="D1334">
        <v>1</v>
      </c>
      <c r="E1334">
        <v>1</v>
      </c>
      <c r="F1334">
        <v>1</v>
      </c>
      <c r="G1334">
        <v>1</v>
      </c>
      <c r="J1334">
        <f t="shared" si="58"/>
        <v>60</v>
      </c>
      <c r="K1334">
        <v>1</v>
      </c>
      <c r="L1334">
        <v>1</v>
      </c>
      <c r="M1334">
        <v>1</v>
      </c>
      <c r="N1334">
        <v>1</v>
      </c>
      <c r="O1334">
        <v>1</v>
      </c>
      <c r="R1334">
        <f t="shared" si="59"/>
        <v>60</v>
      </c>
      <c r="S1334">
        <v>1</v>
      </c>
      <c r="T1334">
        <v>1</v>
      </c>
      <c r="U1334">
        <v>1</v>
      </c>
      <c r="V1334">
        <v>1</v>
      </c>
      <c r="W1334">
        <v>1</v>
      </c>
      <c r="AA1334">
        <v>-8227.3953999999994</v>
      </c>
      <c r="AB1334">
        <v>-8227.3953999999994</v>
      </c>
      <c r="AC1334">
        <v>-8227.3953999999994</v>
      </c>
      <c r="AD1334">
        <v>-8227.3953999999994</v>
      </c>
      <c r="AE1334">
        <v>-8227.3953999999994</v>
      </c>
    </row>
    <row r="1335" spans="2:31" x14ac:dyDescent="0.25">
      <c r="B1335">
        <f t="shared" si="57"/>
        <v>61</v>
      </c>
      <c r="C1335">
        <v>1</v>
      </c>
      <c r="D1335">
        <v>1</v>
      </c>
      <c r="E1335">
        <v>1</v>
      </c>
      <c r="F1335">
        <v>1</v>
      </c>
      <c r="G1335">
        <v>1</v>
      </c>
      <c r="J1335">
        <f t="shared" si="58"/>
        <v>61</v>
      </c>
      <c r="K1335">
        <v>1</v>
      </c>
      <c r="L1335">
        <v>1</v>
      </c>
      <c r="M1335">
        <v>1</v>
      </c>
      <c r="N1335">
        <v>1</v>
      </c>
      <c r="O1335">
        <v>1</v>
      </c>
      <c r="R1335">
        <f t="shared" si="59"/>
        <v>61</v>
      </c>
      <c r="S1335">
        <v>1</v>
      </c>
      <c r="T1335">
        <v>1</v>
      </c>
      <c r="U1335">
        <v>1</v>
      </c>
      <c r="V1335">
        <v>1</v>
      </c>
      <c r="W1335">
        <v>1</v>
      </c>
      <c r="AA1335">
        <v>-8076.1778999999997</v>
      </c>
      <c r="AB1335">
        <v>-8076.1778999999997</v>
      </c>
      <c r="AC1335">
        <v>-8076.1778999999997</v>
      </c>
      <c r="AD1335">
        <v>-8076.1778999999997</v>
      </c>
      <c r="AE1335">
        <v>-8076.1778999999997</v>
      </c>
    </row>
    <row r="1336" spans="2:31" x14ac:dyDescent="0.25">
      <c r="B1336">
        <f t="shared" si="57"/>
        <v>62</v>
      </c>
      <c r="C1336">
        <v>1</v>
      </c>
      <c r="D1336">
        <v>1</v>
      </c>
      <c r="E1336">
        <v>1</v>
      </c>
      <c r="F1336">
        <v>1</v>
      </c>
      <c r="G1336">
        <v>1</v>
      </c>
      <c r="J1336">
        <f t="shared" si="58"/>
        <v>62</v>
      </c>
      <c r="K1336">
        <v>1</v>
      </c>
      <c r="L1336">
        <v>1</v>
      </c>
      <c r="M1336">
        <v>1</v>
      </c>
      <c r="N1336">
        <v>1</v>
      </c>
      <c r="O1336">
        <v>1</v>
      </c>
      <c r="R1336">
        <f t="shared" si="59"/>
        <v>62</v>
      </c>
      <c r="S1336">
        <v>1</v>
      </c>
      <c r="T1336">
        <v>1</v>
      </c>
      <c r="U1336">
        <v>1</v>
      </c>
      <c r="V1336">
        <v>1</v>
      </c>
      <c r="W1336">
        <v>1</v>
      </c>
      <c r="AA1336">
        <v>-7923.5816000000004</v>
      </c>
      <c r="AB1336">
        <v>-7923.5816000000004</v>
      </c>
      <c r="AC1336">
        <v>-7923.5816000000004</v>
      </c>
      <c r="AD1336">
        <v>-7923.5816000000004</v>
      </c>
      <c r="AE1336">
        <v>-7923.5816000000004</v>
      </c>
    </row>
    <row r="1337" spans="2:31" x14ac:dyDescent="0.25">
      <c r="B1337">
        <f t="shared" si="57"/>
        <v>63</v>
      </c>
      <c r="C1337">
        <v>1</v>
      </c>
      <c r="D1337">
        <v>1</v>
      </c>
      <c r="E1337">
        <v>1</v>
      </c>
      <c r="F1337">
        <v>1</v>
      </c>
      <c r="G1337">
        <v>1</v>
      </c>
      <c r="J1337">
        <f t="shared" si="58"/>
        <v>63</v>
      </c>
      <c r="K1337">
        <v>1</v>
      </c>
      <c r="L1337">
        <v>1</v>
      </c>
      <c r="M1337">
        <v>1</v>
      </c>
      <c r="N1337">
        <v>1</v>
      </c>
      <c r="O1337">
        <v>1</v>
      </c>
      <c r="R1337">
        <f t="shared" si="59"/>
        <v>63</v>
      </c>
      <c r="S1337">
        <v>1</v>
      </c>
      <c r="T1337">
        <v>1</v>
      </c>
      <c r="U1337">
        <v>1</v>
      </c>
      <c r="V1337">
        <v>1</v>
      </c>
      <c r="W1337">
        <v>1</v>
      </c>
      <c r="AA1337">
        <v>-7769.2775000000001</v>
      </c>
      <c r="AB1337">
        <v>-7769.2775000000001</v>
      </c>
      <c r="AC1337">
        <v>-7769.2775000000001</v>
      </c>
      <c r="AD1337">
        <v>-7769.2775000000001</v>
      </c>
      <c r="AE1337">
        <v>-7769.2775000000001</v>
      </c>
    </row>
    <row r="1338" spans="2:31" x14ac:dyDescent="0.25">
      <c r="B1338">
        <f t="shared" si="57"/>
        <v>64</v>
      </c>
      <c r="C1338">
        <v>1</v>
      </c>
      <c r="D1338">
        <v>1</v>
      </c>
      <c r="E1338">
        <v>1</v>
      </c>
      <c r="F1338">
        <v>1</v>
      </c>
      <c r="G1338">
        <v>1</v>
      </c>
      <c r="J1338">
        <f t="shared" si="58"/>
        <v>64</v>
      </c>
      <c r="K1338">
        <v>1</v>
      </c>
      <c r="L1338">
        <v>1</v>
      </c>
      <c r="M1338">
        <v>1</v>
      </c>
      <c r="N1338">
        <v>1</v>
      </c>
      <c r="O1338">
        <v>1</v>
      </c>
      <c r="R1338">
        <f t="shared" si="59"/>
        <v>64</v>
      </c>
      <c r="S1338">
        <v>1</v>
      </c>
      <c r="T1338">
        <v>1</v>
      </c>
      <c r="U1338">
        <v>1</v>
      </c>
      <c r="V1338">
        <v>1</v>
      </c>
      <c r="W1338">
        <v>1</v>
      </c>
      <c r="AA1338">
        <v>-7613.3999000000003</v>
      </c>
      <c r="AB1338">
        <v>-7613.3999000000003</v>
      </c>
      <c r="AC1338">
        <v>-7613.3999000000003</v>
      </c>
      <c r="AD1338">
        <v>-7613.3999000000003</v>
      </c>
      <c r="AE1338">
        <v>-7613.3999000000003</v>
      </c>
    </row>
    <row r="1339" spans="2:31" x14ac:dyDescent="0.25">
      <c r="B1339">
        <f t="shared" si="57"/>
        <v>65</v>
      </c>
      <c r="C1339">
        <v>1</v>
      </c>
      <c r="D1339">
        <v>1</v>
      </c>
      <c r="E1339">
        <v>1</v>
      </c>
      <c r="F1339">
        <v>1</v>
      </c>
      <c r="G1339">
        <v>1</v>
      </c>
      <c r="J1339">
        <f t="shared" si="58"/>
        <v>65</v>
      </c>
      <c r="K1339">
        <v>1</v>
      </c>
      <c r="L1339">
        <v>1</v>
      </c>
      <c r="M1339">
        <v>1</v>
      </c>
      <c r="N1339">
        <v>1</v>
      </c>
      <c r="O1339">
        <v>1</v>
      </c>
      <c r="R1339">
        <f t="shared" si="59"/>
        <v>65</v>
      </c>
      <c r="S1339">
        <v>1</v>
      </c>
      <c r="T1339">
        <v>1</v>
      </c>
      <c r="U1339">
        <v>1</v>
      </c>
      <c r="V1339">
        <v>1</v>
      </c>
      <c r="W1339">
        <v>1</v>
      </c>
      <c r="AA1339">
        <v>-7455.8590000000004</v>
      </c>
      <c r="AB1339">
        <v>-7455.8590000000004</v>
      </c>
      <c r="AC1339">
        <v>-7455.8590000000004</v>
      </c>
      <c r="AD1339">
        <v>-7455.8590000000004</v>
      </c>
      <c r="AE1339">
        <v>-7455.8590000000004</v>
      </c>
    </row>
    <row r="1342" spans="2:31" x14ac:dyDescent="0.25">
      <c r="B1342" t="s">
        <v>46</v>
      </c>
      <c r="C1342">
        <v>50000</v>
      </c>
      <c r="D1342">
        <v>100000</v>
      </c>
      <c r="E1342">
        <v>250000</v>
      </c>
      <c r="F1342">
        <v>500000</v>
      </c>
      <c r="G1342">
        <v>1000000</v>
      </c>
      <c r="H1342">
        <v>2000000</v>
      </c>
      <c r="J1342" t="s">
        <v>47</v>
      </c>
      <c r="K1342">
        <v>50000</v>
      </c>
      <c r="L1342">
        <v>100000</v>
      </c>
      <c r="M1342">
        <v>250000</v>
      </c>
      <c r="N1342">
        <v>500000</v>
      </c>
      <c r="O1342">
        <v>1000000</v>
      </c>
      <c r="P1342">
        <v>2000000</v>
      </c>
      <c r="R1342" t="s">
        <v>48</v>
      </c>
      <c r="S1342">
        <v>50000</v>
      </c>
      <c r="T1342">
        <v>100000</v>
      </c>
      <c r="U1342">
        <v>250000</v>
      </c>
      <c r="V1342">
        <v>500000</v>
      </c>
      <c r="W1342">
        <v>1000000</v>
      </c>
      <c r="X1342">
        <v>2000000</v>
      </c>
    </row>
    <row r="1343" spans="2:31" x14ac:dyDescent="0.25">
      <c r="B1343">
        <v>26</v>
      </c>
      <c r="C1343">
        <v>1</v>
      </c>
      <c r="D1343">
        <v>1</v>
      </c>
      <c r="E1343">
        <v>1</v>
      </c>
      <c r="F1343">
        <v>1</v>
      </c>
      <c r="G1343">
        <v>1</v>
      </c>
      <c r="H1343">
        <v>1</v>
      </c>
      <c r="J1343">
        <v>26</v>
      </c>
      <c r="K1343">
        <v>1</v>
      </c>
      <c r="L1343">
        <v>1</v>
      </c>
      <c r="M1343">
        <v>1</v>
      </c>
      <c r="N1343">
        <v>1</v>
      </c>
      <c r="O1343">
        <v>1</v>
      </c>
      <c r="P1343">
        <v>1</v>
      </c>
      <c r="R1343">
        <v>26</v>
      </c>
      <c r="S1343">
        <v>1</v>
      </c>
      <c r="T1343">
        <v>1</v>
      </c>
      <c r="U1343">
        <v>1</v>
      </c>
      <c r="V1343">
        <v>1</v>
      </c>
      <c r="W1343">
        <v>1</v>
      </c>
      <c r="X1343">
        <v>1</v>
      </c>
    </row>
    <row r="1344" spans="2:31" x14ac:dyDescent="0.25">
      <c r="B1344">
        <v>27</v>
      </c>
      <c r="C1344">
        <v>1</v>
      </c>
      <c r="D1344">
        <v>1</v>
      </c>
      <c r="E1344">
        <v>1</v>
      </c>
      <c r="F1344">
        <v>1</v>
      </c>
      <c r="G1344">
        <v>1</v>
      </c>
      <c r="H1344">
        <v>1</v>
      </c>
      <c r="J1344">
        <v>27</v>
      </c>
      <c r="K1344">
        <v>1</v>
      </c>
      <c r="L1344">
        <v>1</v>
      </c>
      <c r="M1344">
        <v>1</v>
      </c>
      <c r="N1344">
        <v>1</v>
      </c>
      <c r="O1344">
        <v>1</v>
      </c>
      <c r="P1344">
        <v>1</v>
      </c>
      <c r="R1344">
        <v>27</v>
      </c>
      <c r="S1344">
        <v>1</v>
      </c>
      <c r="T1344">
        <v>1</v>
      </c>
      <c r="U1344">
        <v>1</v>
      </c>
      <c r="V1344">
        <v>1</v>
      </c>
      <c r="W1344">
        <v>1</v>
      </c>
      <c r="X1344">
        <v>1</v>
      </c>
    </row>
    <row r="1345" spans="2:24" x14ac:dyDescent="0.25">
      <c r="B1345">
        <v>28</v>
      </c>
      <c r="C1345">
        <v>1</v>
      </c>
      <c r="D1345">
        <v>1</v>
      </c>
      <c r="E1345">
        <v>1</v>
      </c>
      <c r="F1345">
        <v>1</v>
      </c>
      <c r="G1345">
        <v>1</v>
      </c>
      <c r="H1345">
        <v>1</v>
      </c>
      <c r="J1345">
        <v>28</v>
      </c>
      <c r="K1345">
        <v>1</v>
      </c>
      <c r="L1345">
        <v>1</v>
      </c>
      <c r="M1345">
        <v>1</v>
      </c>
      <c r="N1345">
        <v>1</v>
      </c>
      <c r="O1345">
        <v>1</v>
      </c>
      <c r="P1345">
        <v>1</v>
      </c>
      <c r="R1345">
        <v>28</v>
      </c>
      <c r="S1345">
        <v>1</v>
      </c>
      <c r="T1345">
        <v>1</v>
      </c>
      <c r="U1345">
        <v>1</v>
      </c>
      <c r="V1345">
        <v>1</v>
      </c>
      <c r="W1345">
        <v>1</v>
      </c>
      <c r="X1345">
        <v>1</v>
      </c>
    </row>
    <row r="1346" spans="2:24" x14ac:dyDescent="0.25">
      <c r="B1346">
        <v>29</v>
      </c>
      <c r="C1346">
        <v>1</v>
      </c>
      <c r="D1346">
        <v>1</v>
      </c>
      <c r="E1346">
        <v>1</v>
      </c>
      <c r="F1346">
        <v>1</v>
      </c>
      <c r="G1346">
        <v>1</v>
      </c>
      <c r="H1346">
        <v>1</v>
      </c>
      <c r="J1346">
        <v>29</v>
      </c>
      <c r="K1346">
        <v>1</v>
      </c>
      <c r="L1346">
        <v>1</v>
      </c>
      <c r="M1346">
        <v>1</v>
      </c>
      <c r="N1346">
        <v>1</v>
      </c>
      <c r="O1346">
        <v>1</v>
      </c>
      <c r="P1346">
        <v>1</v>
      </c>
      <c r="R1346">
        <v>29</v>
      </c>
      <c r="S1346">
        <v>1</v>
      </c>
      <c r="T1346">
        <v>1</v>
      </c>
      <c r="U1346">
        <v>1</v>
      </c>
      <c r="V1346">
        <v>1</v>
      </c>
      <c r="W1346">
        <v>1</v>
      </c>
      <c r="X1346">
        <v>1</v>
      </c>
    </row>
    <row r="1347" spans="2:24" x14ac:dyDescent="0.25">
      <c r="B1347">
        <v>30</v>
      </c>
      <c r="C1347">
        <v>1</v>
      </c>
      <c r="D1347">
        <v>1</v>
      </c>
      <c r="E1347">
        <v>1</v>
      </c>
      <c r="F1347">
        <v>1</v>
      </c>
      <c r="G1347">
        <v>1</v>
      </c>
      <c r="H1347">
        <v>1</v>
      </c>
      <c r="J1347">
        <v>30</v>
      </c>
      <c r="K1347">
        <v>1</v>
      </c>
      <c r="L1347">
        <v>1</v>
      </c>
      <c r="M1347">
        <v>1</v>
      </c>
      <c r="N1347">
        <v>1</v>
      </c>
      <c r="O1347">
        <v>1</v>
      </c>
      <c r="P1347">
        <v>1</v>
      </c>
      <c r="R1347">
        <v>30</v>
      </c>
      <c r="S1347">
        <v>1</v>
      </c>
      <c r="T1347">
        <v>1</v>
      </c>
      <c r="U1347">
        <v>1</v>
      </c>
      <c r="V1347">
        <v>1</v>
      </c>
      <c r="W1347">
        <v>1</v>
      </c>
      <c r="X1347">
        <v>1</v>
      </c>
    </row>
    <row r="1348" spans="2:24" x14ac:dyDescent="0.25">
      <c r="B1348">
        <v>31</v>
      </c>
      <c r="C1348">
        <v>1</v>
      </c>
      <c r="D1348">
        <v>1</v>
      </c>
      <c r="E1348">
        <v>1</v>
      </c>
      <c r="F1348">
        <v>1</v>
      </c>
      <c r="G1348">
        <v>1</v>
      </c>
      <c r="H1348">
        <v>1</v>
      </c>
      <c r="J1348">
        <v>31</v>
      </c>
      <c r="K1348">
        <v>1</v>
      </c>
      <c r="L1348">
        <v>1</v>
      </c>
      <c r="M1348">
        <v>1</v>
      </c>
      <c r="N1348">
        <v>1</v>
      </c>
      <c r="O1348">
        <v>1</v>
      </c>
      <c r="P1348">
        <v>1</v>
      </c>
      <c r="R1348">
        <v>31</v>
      </c>
      <c r="S1348">
        <v>1</v>
      </c>
      <c r="T1348">
        <v>1</v>
      </c>
      <c r="U1348">
        <v>1</v>
      </c>
      <c r="V1348">
        <v>1</v>
      </c>
      <c r="W1348">
        <v>1</v>
      </c>
      <c r="X1348">
        <v>1</v>
      </c>
    </row>
    <row r="1349" spans="2:24" x14ac:dyDescent="0.25">
      <c r="B1349">
        <v>32</v>
      </c>
      <c r="C1349">
        <v>1</v>
      </c>
      <c r="D1349">
        <v>1</v>
      </c>
      <c r="E1349">
        <v>1</v>
      </c>
      <c r="F1349">
        <v>1</v>
      </c>
      <c r="G1349">
        <v>1</v>
      </c>
      <c r="H1349">
        <v>1</v>
      </c>
      <c r="J1349">
        <v>32</v>
      </c>
      <c r="K1349">
        <v>1</v>
      </c>
      <c r="L1349">
        <v>1</v>
      </c>
      <c r="M1349">
        <v>1</v>
      </c>
      <c r="N1349">
        <v>1</v>
      </c>
      <c r="O1349">
        <v>1</v>
      </c>
      <c r="P1349">
        <v>1</v>
      </c>
      <c r="R1349">
        <v>32</v>
      </c>
      <c r="S1349">
        <v>1</v>
      </c>
      <c r="T1349">
        <v>1</v>
      </c>
      <c r="U1349">
        <v>1</v>
      </c>
      <c r="V1349">
        <v>1</v>
      </c>
      <c r="W1349">
        <v>1</v>
      </c>
      <c r="X1349">
        <v>1</v>
      </c>
    </row>
    <row r="1350" spans="2:24" x14ac:dyDescent="0.25">
      <c r="B1350">
        <v>33</v>
      </c>
      <c r="C1350">
        <v>1</v>
      </c>
      <c r="D1350">
        <v>1</v>
      </c>
      <c r="E1350">
        <v>1</v>
      </c>
      <c r="F1350">
        <v>1</v>
      </c>
      <c r="G1350">
        <v>1</v>
      </c>
      <c r="H1350">
        <v>1</v>
      </c>
      <c r="J1350">
        <v>33</v>
      </c>
      <c r="K1350">
        <v>1</v>
      </c>
      <c r="L1350">
        <v>1</v>
      </c>
      <c r="M1350">
        <v>1</v>
      </c>
      <c r="N1350">
        <v>1</v>
      </c>
      <c r="O1350">
        <v>1</v>
      </c>
      <c r="P1350">
        <v>1</v>
      </c>
      <c r="R1350">
        <v>33</v>
      </c>
      <c r="S1350">
        <v>1</v>
      </c>
      <c r="T1350">
        <v>1</v>
      </c>
      <c r="U1350">
        <v>1</v>
      </c>
      <c r="V1350">
        <v>1</v>
      </c>
      <c r="W1350">
        <v>1</v>
      </c>
      <c r="X1350">
        <v>1</v>
      </c>
    </row>
    <row r="1351" spans="2:24" x14ac:dyDescent="0.25">
      <c r="B1351">
        <v>34</v>
      </c>
      <c r="C1351">
        <v>1</v>
      </c>
      <c r="D1351">
        <v>1</v>
      </c>
      <c r="E1351">
        <v>1</v>
      </c>
      <c r="F1351">
        <v>1</v>
      </c>
      <c r="G1351">
        <v>1</v>
      </c>
      <c r="H1351">
        <v>1</v>
      </c>
      <c r="J1351">
        <v>34</v>
      </c>
      <c r="K1351">
        <v>1</v>
      </c>
      <c r="L1351">
        <v>1</v>
      </c>
      <c r="M1351">
        <v>1</v>
      </c>
      <c r="N1351">
        <v>1</v>
      </c>
      <c r="O1351">
        <v>1</v>
      </c>
      <c r="P1351">
        <v>1</v>
      </c>
      <c r="R1351">
        <v>34</v>
      </c>
      <c r="S1351">
        <v>1</v>
      </c>
      <c r="T1351">
        <v>1</v>
      </c>
      <c r="U1351">
        <v>1</v>
      </c>
      <c r="V1351">
        <v>1</v>
      </c>
      <c r="W1351">
        <v>1</v>
      </c>
      <c r="X1351">
        <v>1</v>
      </c>
    </row>
    <row r="1352" spans="2:24" x14ac:dyDescent="0.25">
      <c r="B1352">
        <v>35</v>
      </c>
      <c r="C1352">
        <v>1</v>
      </c>
      <c r="D1352">
        <v>1</v>
      </c>
      <c r="E1352">
        <v>1</v>
      </c>
      <c r="F1352">
        <v>1</v>
      </c>
      <c r="G1352">
        <v>1</v>
      </c>
      <c r="H1352">
        <v>1</v>
      </c>
      <c r="J1352">
        <v>35</v>
      </c>
      <c r="K1352">
        <v>1</v>
      </c>
      <c r="L1352">
        <v>1</v>
      </c>
      <c r="M1352">
        <v>1</v>
      </c>
      <c r="N1352">
        <v>1</v>
      </c>
      <c r="O1352">
        <v>1</v>
      </c>
      <c r="P1352">
        <v>1</v>
      </c>
      <c r="R1352">
        <v>35</v>
      </c>
      <c r="S1352">
        <v>1</v>
      </c>
      <c r="T1352">
        <v>1</v>
      </c>
      <c r="U1352">
        <v>1</v>
      </c>
      <c r="V1352">
        <v>1</v>
      </c>
      <c r="W1352">
        <v>1</v>
      </c>
      <c r="X1352">
        <v>1</v>
      </c>
    </row>
    <row r="1353" spans="2:24" x14ac:dyDescent="0.25">
      <c r="B1353">
        <v>36</v>
      </c>
      <c r="C1353">
        <v>1</v>
      </c>
      <c r="D1353">
        <v>1</v>
      </c>
      <c r="E1353">
        <v>1</v>
      </c>
      <c r="F1353">
        <v>1</v>
      </c>
      <c r="G1353">
        <v>1</v>
      </c>
      <c r="H1353">
        <v>1</v>
      </c>
      <c r="J1353">
        <v>36</v>
      </c>
      <c r="K1353">
        <v>1</v>
      </c>
      <c r="L1353">
        <v>1</v>
      </c>
      <c r="M1353">
        <v>1</v>
      </c>
      <c r="N1353">
        <v>1</v>
      </c>
      <c r="O1353">
        <v>1</v>
      </c>
      <c r="P1353">
        <v>1</v>
      </c>
      <c r="R1353">
        <v>36</v>
      </c>
      <c r="S1353">
        <v>1</v>
      </c>
      <c r="T1353">
        <v>1</v>
      </c>
      <c r="U1353">
        <v>1</v>
      </c>
      <c r="V1353">
        <v>1</v>
      </c>
      <c r="W1353">
        <v>1</v>
      </c>
      <c r="X1353">
        <v>1</v>
      </c>
    </row>
    <row r="1354" spans="2:24" x14ac:dyDescent="0.25">
      <c r="B1354">
        <v>37</v>
      </c>
      <c r="C1354">
        <v>1</v>
      </c>
      <c r="D1354">
        <v>1</v>
      </c>
      <c r="E1354">
        <v>1</v>
      </c>
      <c r="F1354">
        <v>1</v>
      </c>
      <c r="G1354">
        <v>1</v>
      </c>
      <c r="H1354">
        <v>1</v>
      </c>
      <c r="J1354">
        <v>37</v>
      </c>
      <c r="K1354">
        <v>1</v>
      </c>
      <c r="L1354">
        <v>1</v>
      </c>
      <c r="M1354">
        <v>1</v>
      </c>
      <c r="N1354">
        <v>1</v>
      </c>
      <c r="O1354">
        <v>1</v>
      </c>
      <c r="P1354">
        <v>1</v>
      </c>
      <c r="R1354">
        <v>37</v>
      </c>
      <c r="S1354">
        <v>1</v>
      </c>
      <c r="T1354">
        <v>1</v>
      </c>
      <c r="U1354">
        <v>1</v>
      </c>
      <c r="V1354">
        <v>1</v>
      </c>
      <c r="W1354">
        <v>1</v>
      </c>
      <c r="X1354">
        <v>1</v>
      </c>
    </row>
    <row r="1355" spans="2:24" x14ac:dyDescent="0.25">
      <c r="B1355">
        <v>38</v>
      </c>
      <c r="C1355">
        <v>1</v>
      </c>
      <c r="D1355">
        <v>1</v>
      </c>
      <c r="E1355">
        <v>1</v>
      </c>
      <c r="F1355">
        <v>1</v>
      </c>
      <c r="G1355">
        <v>1</v>
      </c>
      <c r="H1355">
        <v>1</v>
      </c>
      <c r="J1355">
        <v>38</v>
      </c>
      <c r="K1355">
        <v>1</v>
      </c>
      <c r="L1355">
        <v>1</v>
      </c>
      <c r="M1355">
        <v>1</v>
      </c>
      <c r="N1355">
        <v>1</v>
      </c>
      <c r="O1355">
        <v>1</v>
      </c>
      <c r="P1355">
        <v>1</v>
      </c>
      <c r="R1355">
        <v>38</v>
      </c>
      <c r="S1355">
        <v>1</v>
      </c>
      <c r="T1355">
        <v>1</v>
      </c>
      <c r="U1355">
        <v>1</v>
      </c>
      <c r="V1355">
        <v>1</v>
      </c>
      <c r="W1355">
        <v>1</v>
      </c>
      <c r="X1355">
        <v>1</v>
      </c>
    </row>
    <row r="1356" spans="2:24" x14ac:dyDescent="0.25">
      <c r="B1356">
        <v>39</v>
      </c>
      <c r="C1356">
        <v>1</v>
      </c>
      <c r="D1356">
        <v>1</v>
      </c>
      <c r="E1356">
        <v>1</v>
      </c>
      <c r="F1356">
        <v>1</v>
      </c>
      <c r="G1356">
        <v>1</v>
      </c>
      <c r="H1356">
        <v>1</v>
      </c>
      <c r="J1356">
        <v>39</v>
      </c>
      <c r="K1356">
        <v>1</v>
      </c>
      <c r="L1356">
        <v>1</v>
      </c>
      <c r="M1356">
        <v>1</v>
      </c>
      <c r="N1356">
        <v>1</v>
      </c>
      <c r="O1356">
        <v>1</v>
      </c>
      <c r="P1356">
        <v>1</v>
      </c>
      <c r="R1356">
        <v>39</v>
      </c>
      <c r="S1356">
        <v>1</v>
      </c>
      <c r="T1356">
        <v>1</v>
      </c>
      <c r="U1356">
        <v>1</v>
      </c>
      <c r="V1356">
        <v>1</v>
      </c>
      <c r="W1356">
        <v>1</v>
      </c>
      <c r="X1356">
        <v>1</v>
      </c>
    </row>
    <row r="1357" spans="2:24" x14ac:dyDescent="0.25">
      <c r="B1357">
        <v>40</v>
      </c>
      <c r="C1357">
        <v>1</v>
      </c>
      <c r="D1357">
        <v>1</v>
      </c>
      <c r="E1357">
        <v>1</v>
      </c>
      <c r="F1357">
        <v>1</v>
      </c>
      <c r="G1357">
        <v>1</v>
      </c>
      <c r="H1357">
        <v>1</v>
      </c>
      <c r="J1357">
        <v>40</v>
      </c>
      <c r="K1357">
        <v>1</v>
      </c>
      <c r="L1357">
        <v>1</v>
      </c>
      <c r="M1357">
        <v>1</v>
      </c>
      <c r="N1357">
        <v>1</v>
      </c>
      <c r="O1357">
        <v>1</v>
      </c>
      <c r="P1357">
        <v>1</v>
      </c>
      <c r="R1357">
        <v>40</v>
      </c>
      <c r="S1357">
        <v>1</v>
      </c>
      <c r="T1357">
        <v>1</v>
      </c>
      <c r="U1357">
        <v>1</v>
      </c>
      <c r="V1357">
        <v>1</v>
      </c>
      <c r="W1357">
        <v>1</v>
      </c>
      <c r="X1357">
        <v>1</v>
      </c>
    </row>
    <row r="1358" spans="2:24" x14ac:dyDescent="0.25">
      <c r="B1358">
        <v>41</v>
      </c>
      <c r="C1358">
        <v>1</v>
      </c>
      <c r="D1358">
        <v>1</v>
      </c>
      <c r="E1358">
        <v>1</v>
      </c>
      <c r="F1358">
        <v>1</v>
      </c>
      <c r="G1358">
        <v>1</v>
      </c>
      <c r="H1358">
        <v>1</v>
      </c>
      <c r="J1358">
        <v>41</v>
      </c>
      <c r="K1358">
        <v>1</v>
      </c>
      <c r="L1358">
        <v>1</v>
      </c>
      <c r="M1358">
        <v>1</v>
      </c>
      <c r="N1358">
        <v>1</v>
      </c>
      <c r="O1358">
        <v>1</v>
      </c>
      <c r="P1358">
        <v>1</v>
      </c>
      <c r="R1358">
        <v>41</v>
      </c>
      <c r="S1358">
        <v>1</v>
      </c>
      <c r="T1358">
        <v>1</v>
      </c>
      <c r="U1358">
        <v>1</v>
      </c>
      <c r="V1358">
        <v>1</v>
      </c>
      <c r="W1358">
        <v>1</v>
      </c>
      <c r="X1358">
        <v>1</v>
      </c>
    </row>
    <row r="1359" spans="2:24" x14ac:dyDescent="0.25">
      <c r="B1359">
        <v>42</v>
      </c>
      <c r="C1359">
        <v>1</v>
      </c>
      <c r="D1359">
        <v>1</v>
      </c>
      <c r="E1359">
        <v>1</v>
      </c>
      <c r="F1359">
        <v>1</v>
      </c>
      <c r="G1359">
        <v>1</v>
      </c>
      <c r="H1359">
        <v>1</v>
      </c>
      <c r="J1359">
        <v>42</v>
      </c>
      <c r="K1359">
        <v>1</v>
      </c>
      <c r="L1359">
        <v>1</v>
      </c>
      <c r="M1359">
        <v>1</v>
      </c>
      <c r="N1359">
        <v>1</v>
      </c>
      <c r="O1359">
        <v>1</v>
      </c>
      <c r="P1359">
        <v>1</v>
      </c>
      <c r="R1359">
        <v>42</v>
      </c>
      <c r="S1359">
        <v>1</v>
      </c>
      <c r="T1359">
        <v>1</v>
      </c>
      <c r="U1359">
        <v>1</v>
      </c>
      <c r="V1359">
        <v>1</v>
      </c>
      <c r="W1359">
        <v>1</v>
      </c>
      <c r="X1359">
        <v>1</v>
      </c>
    </row>
    <row r="1360" spans="2:24" x14ac:dyDescent="0.25">
      <c r="B1360">
        <v>43</v>
      </c>
      <c r="C1360">
        <v>1</v>
      </c>
      <c r="D1360">
        <v>1</v>
      </c>
      <c r="E1360">
        <v>1</v>
      </c>
      <c r="F1360">
        <v>1</v>
      </c>
      <c r="G1360">
        <v>1</v>
      </c>
      <c r="H1360">
        <v>1</v>
      </c>
      <c r="J1360">
        <v>43</v>
      </c>
      <c r="K1360">
        <v>1</v>
      </c>
      <c r="L1360">
        <v>1</v>
      </c>
      <c r="M1360">
        <v>1</v>
      </c>
      <c r="N1360">
        <v>1</v>
      </c>
      <c r="O1360">
        <v>1</v>
      </c>
      <c r="P1360">
        <v>1</v>
      </c>
      <c r="R1360">
        <v>43</v>
      </c>
      <c r="S1360">
        <v>1</v>
      </c>
      <c r="T1360">
        <v>1</v>
      </c>
      <c r="U1360">
        <v>1</v>
      </c>
      <c r="V1360">
        <v>1</v>
      </c>
      <c r="W1360">
        <v>1</v>
      </c>
      <c r="X1360">
        <v>1</v>
      </c>
    </row>
    <row r="1361" spans="2:24" x14ac:dyDescent="0.25">
      <c r="B1361">
        <v>44</v>
      </c>
      <c r="C1361">
        <v>1</v>
      </c>
      <c r="D1361">
        <v>1</v>
      </c>
      <c r="E1361">
        <v>1</v>
      </c>
      <c r="F1361">
        <v>1</v>
      </c>
      <c r="G1361">
        <v>1</v>
      </c>
      <c r="H1361">
        <v>1</v>
      </c>
      <c r="J1361">
        <v>44</v>
      </c>
      <c r="K1361">
        <v>1</v>
      </c>
      <c r="L1361">
        <v>1</v>
      </c>
      <c r="M1361">
        <v>1</v>
      </c>
      <c r="N1361">
        <v>1</v>
      </c>
      <c r="O1361">
        <v>1</v>
      </c>
      <c r="P1361">
        <v>1</v>
      </c>
      <c r="R1361">
        <v>44</v>
      </c>
      <c r="S1361">
        <v>1</v>
      </c>
      <c r="T1361">
        <v>1</v>
      </c>
      <c r="U1361">
        <v>1</v>
      </c>
      <c r="V1361">
        <v>1</v>
      </c>
      <c r="W1361">
        <v>1</v>
      </c>
      <c r="X1361">
        <v>1</v>
      </c>
    </row>
    <row r="1362" spans="2:24" x14ac:dyDescent="0.25">
      <c r="B1362">
        <v>45</v>
      </c>
      <c r="C1362">
        <v>1</v>
      </c>
      <c r="D1362">
        <v>1</v>
      </c>
      <c r="E1362">
        <v>1</v>
      </c>
      <c r="F1362">
        <v>1</v>
      </c>
      <c r="G1362">
        <v>1</v>
      </c>
      <c r="H1362">
        <v>1</v>
      </c>
      <c r="J1362">
        <v>45</v>
      </c>
      <c r="K1362">
        <v>1</v>
      </c>
      <c r="L1362">
        <v>1</v>
      </c>
      <c r="M1362">
        <v>1</v>
      </c>
      <c r="N1362">
        <v>1</v>
      </c>
      <c r="O1362">
        <v>1</v>
      </c>
      <c r="P1362">
        <v>1</v>
      </c>
      <c r="R1362">
        <v>45</v>
      </c>
      <c r="S1362">
        <v>1</v>
      </c>
      <c r="T1362">
        <v>1</v>
      </c>
      <c r="U1362">
        <v>1</v>
      </c>
      <c r="V1362">
        <v>1</v>
      </c>
      <c r="W1362">
        <v>1</v>
      </c>
      <c r="X1362">
        <v>1</v>
      </c>
    </row>
    <row r="1363" spans="2:24" x14ac:dyDescent="0.25">
      <c r="B1363">
        <v>46</v>
      </c>
      <c r="C1363">
        <v>1</v>
      </c>
      <c r="D1363">
        <v>1</v>
      </c>
      <c r="E1363">
        <v>1</v>
      </c>
      <c r="F1363">
        <v>1</v>
      </c>
      <c r="G1363">
        <v>1</v>
      </c>
      <c r="H1363">
        <v>1</v>
      </c>
      <c r="J1363">
        <v>46</v>
      </c>
      <c r="K1363">
        <v>1</v>
      </c>
      <c r="L1363">
        <v>1</v>
      </c>
      <c r="M1363">
        <v>1</v>
      </c>
      <c r="N1363">
        <v>1</v>
      </c>
      <c r="O1363">
        <v>1</v>
      </c>
      <c r="P1363">
        <v>1</v>
      </c>
      <c r="R1363">
        <v>46</v>
      </c>
      <c r="S1363">
        <v>1</v>
      </c>
      <c r="T1363">
        <v>1</v>
      </c>
      <c r="U1363">
        <v>1</v>
      </c>
      <c r="V1363">
        <v>1</v>
      </c>
      <c r="W1363">
        <v>1</v>
      </c>
      <c r="X1363">
        <v>1</v>
      </c>
    </row>
    <row r="1364" spans="2:24" x14ac:dyDescent="0.25">
      <c r="B1364">
        <v>47</v>
      </c>
      <c r="C1364">
        <v>1</v>
      </c>
      <c r="D1364">
        <v>1</v>
      </c>
      <c r="E1364">
        <v>1</v>
      </c>
      <c r="F1364">
        <v>1</v>
      </c>
      <c r="G1364">
        <v>1</v>
      </c>
      <c r="H1364">
        <v>1</v>
      </c>
      <c r="J1364">
        <v>47</v>
      </c>
      <c r="K1364">
        <v>1</v>
      </c>
      <c r="L1364">
        <v>1</v>
      </c>
      <c r="M1364">
        <v>1</v>
      </c>
      <c r="N1364">
        <v>1</v>
      </c>
      <c r="O1364">
        <v>1</v>
      </c>
      <c r="P1364">
        <v>1</v>
      </c>
      <c r="R1364">
        <v>47</v>
      </c>
      <c r="S1364">
        <v>1</v>
      </c>
      <c r="T1364">
        <v>1</v>
      </c>
      <c r="U1364">
        <v>1</v>
      </c>
      <c r="V1364">
        <v>1</v>
      </c>
      <c r="W1364">
        <v>1</v>
      </c>
      <c r="X1364">
        <v>1</v>
      </c>
    </row>
    <row r="1365" spans="2:24" x14ac:dyDescent="0.25">
      <c r="B1365">
        <v>48</v>
      </c>
      <c r="C1365">
        <v>1</v>
      </c>
      <c r="D1365">
        <v>1</v>
      </c>
      <c r="E1365">
        <v>1</v>
      </c>
      <c r="F1365">
        <v>1</v>
      </c>
      <c r="G1365">
        <v>1</v>
      </c>
      <c r="H1365">
        <v>1</v>
      </c>
      <c r="J1365">
        <v>48</v>
      </c>
      <c r="K1365">
        <v>1</v>
      </c>
      <c r="L1365">
        <v>1</v>
      </c>
      <c r="M1365">
        <v>1</v>
      </c>
      <c r="N1365">
        <v>1</v>
      </c>
      <c r="O1365">
        <v>1</v>
      </c>
      <c r="P1365">
        <v>1</v>
      </c>
      <c r="R1365">
        <v>48</v>
      </c>
      <c r="S1365">
        <v>1</v>
      </c>
      <c r="T1365">
        <v>1</v>
      </c>
      <c r="U1365">
        <v>1</v>
      </c>
      <c r="V1365">
        <v>1</v>
      </c>
      <c r="W1365">
        <v>1</v>
      </c>
      <c r="X1365">
        <v>1</v>
      </c>
    </row>
    <row r="1366" spans="2:24" x14ac:dyDescent="0.25">
      <c r="B1366">
        <v>49</v>
      </c>
      <c r="C1366">
        <v>1</v>
      </c>
      <c r="D1366">
        <v>1</v>
      </c>
      <c r="E1366">
        <v>1</v>
      </c>
      <c r="F1366">
        <v>1</v>
      </c>
      <c r="G1366">
        <v>1</v>
      </c>
      <c r="H1366">
        <v>1</v>
      </c>
      <c r="J1366">
        <v>49</v>
      </c>
      <c r="K1366">
        <v>1</v>
      </c>
      <c r="L1366">
        <v>1</v>
      </c>
      <c r="M1366">
        <v>1</v>
      </c>
      <c r="N1366">
        <v>1</v>
      </c>
      <c r="O1366">
        <v>1</v>
      </c>
      <c r="P1366">
        <v>1</v>
      </c>
      <c r="R1366">
        <v>49</v>
      </c>
      <c r="S1366">
        <v>1</v>
      </c>
      <c r="T1366">
        <v>1</v>
      </c>
      <c r="U1366">
        <v>1</v>
      </c>
      <c r="V1366">
        <v>1</v>
      </c>
      <c r="W1366">
        <v>1</v>
      </c>
      <c r="X1366">
        <v>1</v>
      </c>
    </row>
    <row r="1367" spans="2:24" x14ac:dyDescent="0.25">
      <c r="B1367">
        <v>50</v>
      </c>
      <c r="C1367">
        <v>1</v>
      </c>
      <c r="D1367">
        <v>1</v>
      </c>
      <c r="E1367">
        <v>1</v>
      </c>
      <c r="F1367">
        <v>1</v>
      </c>
      <c r="G1367">
        <v>1</v>
      </c>
      <c r="H1367">
        <v>1</v>
      </c>
      <c r="J1367">
        <v>50</v>
      </c>
      <c r="K1367">
        <v>1</v>
      </c>
      <c r="L1367">
        <v>1</v>
      </c>
      <c r="M1367">
        <v>1</v>
      </c>
      <c r="N1367">
        <v>1</v>
      </c>
      <c r="O1367">
        <v>1</v>
      </c>
      <c r="P1367">
        <v>1</v>
      </c>
      <c r="R1367">
        <v>50</v>
      </c>
      <c r="S1367">
        <v>1</v>
      </c>
      <c r="T1367">
        <v>1</v>
      </c>
      <c r="U1367">
        <v>1</v>
      </c>
      <c r="V1367">
        <v>1</v>
      </c>
      <c r="W1367">
        <v>1</v>
      </c>
      <c r="X1367">
        <v>1</v>
      </c>
    </row>
    <row r="1368" spans="2:24" x14ac:dyDescent="0.25">
      <c r="B1368">
        <v>51</v>
      </c>
      <c r="C1368">
        <v>1</v>
      </c>
      <c r="D1368">
        <v>1</v>
      </c>
      <c r="E1368">
        <v>1</v>
      </c>
      <c r="F1368">
        <v>1</v>
      </c>
      <c r="G1368">
        <v>1</v>
      </c>
      <c r="H1368">
        <v>1</v>
      </c>
      <c r="J1368">
        <v>51</v>
      </c>
      <c r="K1368">
        <v>1</v>
      </c>
      <c r="L1368">
        <v>1</v>
      </c>
      <c r="M1368">
        <v>1</v>
      </c>
      <c r="N1368">
        <v>1</v>
      </c>
      <c r="O1368">
        <v>1</v>
      </c>
      <c r="P1368">
        <v>1</v>
      </c>
      <c r="R1368">
        <v>51</v>
      </c>
      <c r="S1368">
        <v>1</v>
      </c>
      <c r="T1368">
        <v>1</v>
      </c>
      <c r="U1368">
        <v>1</v>
      </c>
      <c r="V1368">
        <v>1</v>
      </c>
      <c r="W1368">
        <v>1</v>
      </c>
      <c r="X1368">
        <v>1</v>
      </c>
    </row>
    <row r="1369" spans="2:24" x14ac:dyDescent="0.25">
      <c r="B1369">
        <v>52</v>
      </c>
      <c r="C1369">
        <v>1</v>
      </c>
      <c r="D1369">
        <v>1</v>
      </c>
      <c r="E1369">
        <v>1</v>
      </c>
      <c r="F1369">
        <v>1</v>
      </c>
      <c r="G1369">
        <v>1</v>
      </c>
      <c r="H1369">
        <v>1</v>
      </c>
      <c r="J1369">
        <v>52</v>
      </c>
      <c r="K1369">
        <v>1</v>
      </c>
      <c r="L1369">
        <v>1</v>
      </c>
      <c r="M1369">
        <v>1</v>
      </c>
      <c r="N1369">
        <v>1</v>
      </c>
      <c r="O1369">
        <v>1</v>
      </c>
      <c r="P1369">
        <v>1</v>
      </c>
      <c r="R1369">
        <v>52</v>
      </c>
      <c r="S1369">
        <v>1</v>
      </c>
      <c r="T1369">
        <v>1</v>
      </c>
      <c r="U1369">
        <v>1</v>
      </c>
      <c r="V1369">
        <v>1</v>
      </c>
      <c r="W1369">
        <v>1</v>
      </c>
      <c r="X1369">
        <v>1</v>
      </c>
    </row>
    <row r="1370" spans="2:24" x14ac:dyDescent="0.25">
      <c r="B1370">
        <v>53</v>
      </c>
      <c r="C1370">
        <v>1</v>
      </c>
      <c r="D1370">
        <v>1</v>
      </c>
      <c r="E1370">
        <v>1</v>
      </c>
      <c r="F1370">
        <v>1</v>
      </c>
      <c r="G1370">
        <v>1</v>
      </c>
      <c r="H1370">
        <v>1</v>
      </c>
      <c r="J1370">
        <v>53</v>
      </c>
      <c r="K1370">
        <v>1</v>
      </c>
      <c r="L1370">
        <v>1</v>
      </c>
      <c r="M1370">
        <v>1</v>
      </c>
      <c r="N1370">
        <v>1</v>
      </c>
      <c r="O1370">
        <v>1</v>
      </c>
      <c r="P1370">
        <v>1</v>
      </c>
      <c r="R1370">
        <v>53</v>
      </c>
      <c r="S1370">
        <v>1</v>
      </c>
      <c r="T1370">
        <v>1</v>
      </c>
      <c r="U1370">
        <v>1</v>
      </c>
      <c r="V1370">
        <v>1</v>
      </c>
      <c r="W1370">
        <v>1</v>
      </c>
      <c r="X1370">
        <v>1</v>
      </c>
    </row>
    <row r="1371" spans="2:24" x14ac:dyDescent="0.25">
      <c r="B1371">
        <v>54</v>
      </c>
      <c r="C1371">
        <v>1</v>
      </c>
      <c r="D1371">
        <v>1</v>
      </c>
      <c r="E1371">
        <v>1</v>
      </c>
      <c r="F1371">
        <v>1</v>
      </c>
      <c r="G1371">
        <v>1</v>
      </c>
      <c r="H1371">
        <v>1</v>
      </c>
      <c r="J1371">
        <v>54</v>
      </c>
      <c r="K1371">
        <v>1</v>
      </c>
      <c r="L1371">
        <v>1</v>
      </c>
      <c r="M1371">
        <v>1</v>
      </c>
      <c r="N1371">
        <v>1</v>
      </c>
      <c r="O1371">
        <v>1</v>
      </c>
      <c r="P1371">
        <v>1</v>
      </c>
      <c r="R1371">
        <v>54</v>
      </c>
      <c r="S1371">
        <v>1</v>
      </c>
      <c r="T1371">
        <v>1</v>
      </c>
      <c r="U1371">
        <v>1</v>
      </c>
      <c r="V1371">
        <v>1</v>
      </c>
      <c r="W1371">
        <v>1</v>
      </c>
      <c r="X1371">
        <v>1</v>
      </c>
    </row>
    <row r="1372" spans="2:24" x14ac:dyDescent="0.25">
      <c r="B1372">
        <v>55</v>
      </c>
      <c r="C1372">
        <v>1</v>
      </c>
      <c r="D1372">
        <v>1</v>
      </c>
      <c r="E1372">
        <v>1</v>
      </c>
      <c r="F1372">
        <v>1</v>
      </c>
      <c r="G1372">
        <v>1</v>
      </c>
      <c r="H1372">
        <v>1</v>
      </c>
      <c r="J1372">
        <v>55</v>
      </c>
      <c r="K1372">
        <v>1</v>
      </c>
      <c r="L1372">
        <v>1</v>
      </c>
      <c r="M1372">
        <v>1</v>
      </c>
      <c r="N1372">
        <v>1</v>
      </c>
      <c r="O1372">
        <v>1</v>
      </c>
      <c r="P1372">
        <v>1</v>
      </c>
      <c r="R1372">
        <v>55</v>
      </c>
      <c r="S1372">
        <v>1</v>
      </c>
      <c r="T1372">
        <v>1</v>
      </c>
      <c r="U1372">
        <v>1</v>
      </c>
      <c r="V1372">
        <v>1</v>
      </c>
      <c r="W1372">
        <v>1</v>
      </c>
      <c r="X1372">
        <v>1</v>
      </c>
    </row>
    <row r="1375" spans="2:24" x14ac:dyDescent="0.25">
      <c r="B1375" t="s">
        <v>46</v>
      </c>
      <c r="C1375">
        <v>100000</v>
      </c>
      <c r="D1375">
        <v>250000</v>
      </c>
      <c r="E1375">
        <v>500000</v>
      </c>
      <c r="F1375">
        <v>1000000</v>
      </c>
      <c r="G1375">
        <v>2000000</v>
      </c>
      <c r="J1375" t="s">
        <v>32</v>
      </c>
      <c r="K1375">
        <v>100000</v>
      </c>
      <c r="L1375">
        <v>250000</v>
      </c>
      <c r="M1375">
        <v>500000</v>
      </c>
      <c r="N1375">
        <v>1000000</v>
      </c>
      <c r="O1375">
        <v>2000000</v>
      </c>
      <c r="R1375" t="s">
        <v>48</v>
      </c>
      <c r="S1375">
        <v>100000</v>
      </c>
      <c r="T1375">
        <v>250000</v>
      </c>
      <c r="U1375">
        <v>500000</v>
      </c>
      <c r="V1375">
        <v>1000000</v>
      </c>
      <c r="W1375">
        <v>2000000</v>
      </c>
    </row>
    <row r="1376" spans="2:24" x14ac:dyDescent="0.25">
      <c r="B1376">
        <v>35</v>
      </c>
      <c r="C1376">
        <v>1</v>
      </c>
      <c r="D1376">
        <v>1</v>
      </c>
      <c r="E1376">
        <v>1</v>
      </c>
      <c r="F1376">
        <v>1</v>
      </c>
      <c r="G1376">
        <v>1</v>
      </c>
      <c r="J1376">
        <v>35</v>
      </c>
      <c r="K1376">
        <v>1</v>
      </c>
      <c r="L1376">
        <v>1</v>
      </c>
      <c r="M1376">
        <v>1</v>
      </c>
      <c r="N1376">
        <v>1</v>
      </c>
      <c r="O1376">
        <v>1</v>
      </c>
      <c r="R1376">
        <v>35</v>
      </c>
      <c r="S1376">
        <v>1</v>
      </c>
      <c r="T1376">
        <v>1</v>
      </c>
      <c r="U1376">
        <v>1</v>
      </c>
      <c r="V1376">
        <v>1</v>
      </c>
      <c r="W1376">
        <v>1</v>
      </c>
    </row>
    <row r="1377" spans="2:23" x14ac:dyDescent="0.25">
      <c r="B1377">
        <f t="shared" ref="B1377:B1406" si="60">B1376+1</f>
        <v>36</v>
      </c>
      <c r="C1377">
        <v>1</v>
      </c>
      <c r="D1377">
        <v>1</v>
      </c>
      <c r="E1377">
        <v>1</v>
      </c>
      <c r="F1377">
        <v>1</v>
      </c>
      <c r="G1377">
        <v>1</v>
      </c>
      <c r="J1377">
        <f t="shared" ref="J1377:J1406" si="61">J1376+1</f>
        <v>36</v>
      </c>
      <c r="K1377">
        <v>1</v>
      </c>
      <c r="L1377">
        <v>1</v>
      </c>
      <c r="M1377">
        <v>1</v>
      </c>
      <c r="N1377">
        <v>1</v>
      </c>
      <c r="O1377">
        <v>1</v>
      </c>
      <c r="R1377">
        <f t="shared" ref="R1377:R1406" si="62">R1376+1</f>
        <v>36</v>
      </c>
      <c r="S1377">
        <v>1</v>
      </c>
      <c r="T1377">
        <v>1</v>
      </c>
      <c r="U1377">
        <v>1</v>
      </c>
      <c r="V1377">
        <v>1</v>
      </c>
      <c r="W1377">
        <v>1</v>
      </c>
    </row>
    <row r="1378" spans="2:23" x14ac:dyDescent="0.25">
      <c r="B1378">
        <f t="shared" si="60"/>
        <v>37</v>
      </c>
      <c r="C1378">
        <v>1</v>
      </c>
      <c r="D1378">
        <v>1</v>
      </c>
      <c r="E1378">
        <v>1</v>
      </c>
      <c r="F1378">
        <v>1</v>
      </c>
      <c r="G1378">
        <v>1</v>
      </c>
      <c r="J1378">
        <f t="shared" si="61"/>
        <v>37</v>
      </c>
      <c r="K1378">
        <v>1</v>
      </c>
      <c r="L1378">
        <v>1</v>
      </c>
      <c r="M1378">
        <v>1</v>
      </c>
      <c r="N1378">
        <v>1</v>
      </c>
      <c r="O1378">
        <v>1</v>
      </c>
      <c r="R1378">
        <f t="shared" si="62"/>
        <v>37</v>
      </c>
      <c r="S1378">
        <v>1</v>
      </c>
      <c r="T1378">
        <v>1</v>
      </c>
      <c r="U1378">
        <v>1</v>
      </c>
      <c r="V1378">
        <v>1</v>
      </c>
      <c r="W1378">
        <v>1</v>
      </c>
    </row>
    <row r="1379" spans="2:23" x14ac:dyDescent="0.25">
      <c r="B1379">
        <f t="shared" si="60"/>
        <v>38</v>
      </c>
      <c r="C1379">
        <v>1</v>
      </c>
      <c r="D1379">
        <v>1</v>
      </c>
      <c r="E1379">
        <v>1</v>
      </c>
      <c r="F1379">
        <v>1</v>
      </c>
      <c r="G1379">
        <v>1</v>
      </c>
      <c r="J1379">
        <f t="shared" si="61"/>
        <v>38</v>
      </c>
      <c r="K1379">
        <v>1</v>
      </c>
      <c r="L1379">
        <v>1</v>
      </c>
      <c r="M1379">
        <v>1</v>
      </c>
      <c r="N1379">
        <v>1</v>
      </c>
      <c r="O1379">
        <v>1</v>
      </c>
      <c r="R1379">
        <f t="shared" si="62"/>
        <v>38</v>
      </c>
      <c r="S1379">
        <v>1</v>
      </c>
      <c r="T1379">
        <v>1</v>
      </c>
      <c r="U1379">
        <v>1</v>
      </c>
      <c r="V1379">
        <v>1</v>
      </c>
      <c r="W1379">
        <v>1</v>
      </c>
    </row>
    <row r="1380" spans="2:23" x14ac:dyDescent="0.25">
      <c r="B1380">
        <f t="shared" si="60"/>
        <v>39</v>
      </c>
      <c r="C1380">
        <v>1</v>
      </c>
      <c r="D1380">
        <v>1</v>
      </c>
      <c r="E1380">
        <v>1</v>
      </c>
      <c r="F1380">
        <v>1</v>
      </c>
      <c r="G1380">
        <v>1</v>
      </c>
      <c r="J1380">
        <f t="shared" si="61"/>
        <v>39</v>
      </c>
      <c r="K1380">
        <v>1</v>
      </c>
      <c r="L1380">
        <v>1</v>
      </c>
      <c r="M1380">
        <v>1</v>
      </c>
      <c r="N1380">
        <v>1</v>
      </c>
      <c r="O1380">
        <v>1</v>
      </c>
      <c r="R1380">
        <f t="shared" si="62"/>
        <v>39</v>
      </c>
      <c r="S1380">
        <v>1</v>
      </c>
      <c r="T1380">
        <v>1</v>
      </c>
      <c r="U1380">
        <v>1</v>
      </c>
      <c r="V1380">
        <v>1</v>
      </c>
      <c r="W1380">
        <v>1</v>
      </c>
    </row>
    <row r="1381" spans="2:23" x14ac:dyDescent="0.25">
      <c r="B1381">
        <f t="shared" si="60"/>
        <v>40</v>
      </c>
      <c r="C1381">
        <v>1</v>
      </c>
      <c r="D1381">
        <v>1</v>
      </c>
      <c r="E1381">
        <v>1</v>
      </c>
      <c r="F1381">
        <v>1</v>
      </c>
      <c r="G1381">
        <v>1</v>
      </c>
      <c r="J1381">
        <f t="shared" si="61"/>
        <v>40</v>
      </c>
      <c r="K1381">
        <v>1</v>
      </c>
      <c r="L1381">
        <v>1</v>
      </c>
      <c r="M1381">
        <v>1</v>
      </c>
      <c r="N1381">
        <v>1</v>
      </c>
      <c r="O1381">
        <v>1</v>
      </c>
      <c r="R1381">
        <f t="shared" si="62"/>
        <v>40</v>
      </c>
      <c r="S1381">
        <v>1</v>
      </c>
      <c r="T1381">
        <v>1</v>
      </c>
      <c r="U1381">
        <v>1</v>
      </c>
      <c r="V1381">
        <v>1</v>
      </c>
      <c r="W1381">
        <v>1</v>
      </c>
    </row>
    <row r="1382" spans="2:23" x14ac:dyDescent="0.25">
      <c r="B1382">
        <f t="shared" si="60"/>
        <v>41</v>
      </c>
      <c r="C1382">
        <v>1</v>
      </c>
      <c r="D1382">
        <v>1</v>
      </c>
      <c r="E1382">
        <v>1</v>
      </c>
      <c r="F1382">
        <v>1</v>
      </c>
      <c r="G1382">
        <v>1</v>
      </c>
      <c r="J1382">
        <f t="shared" si="61"/>
        <v>41</v>
      </c>
      <c r="K1382">
        <v>1</v>
      </c>
      <c r="L1382">
        <v>1</v>
      </c>
      <c r="M1382">
        <v>1</v>
      </c>
      <c r="N1382">
        <v>1</v>
      </c>
      <c r="O1382">
        <v>1</v>
      </c>
      <c r="R1382">
        <f t="shared" si="62"/>
        <v>41</v>
      </c>
      <c r="S1382">
        <v>1</v>
      </c>
      <c r="T1382">
        <v>1</v>
      </c>
      <c r="U1382">
        <v>1</v>
      </c>
      <c r="V1382">
        <v>1</v>
      </c>
      <c r="W1382">
        <v>1</v>
      </c>
    </row>
    <row r="1383" spans="2:23" x14ac:dyDescent="0.25">
      <c r="B1383">
        <f t="shared" si="60"/>
        <v>42</v>
      </c>
      <c r="C1383">
        <v>1</v>
      </c>
      <c r="D1383">
        <v>1</v>
      </c>
      <c r="E1383">
        <v>1</v>
      </c>
      <c r="F1383">
        <v>1</v>
      </c>
      <c r="G1383">
        <v>1</v>
      </c>
      <c r="J1383">
        <f t="shared" si="61"/>
        <v>42</v>
      </c>
      <c r="K1383">
        <v>1</v>
      </c>
      <c r="L1383">
        <v>1</v>
      </c>
      <c r="M1383">
        <v>1</v>
      </c>
      <c r="N1383">
        <v>1</v>
      </c>
      <c r="O1383">
        <v>1</v>
      </c>
      <c r="R1383">
        <f t="shared" si="62"/>
        <v>42</v>
      </c>
      <c r="S1383">
        <v>1</v>
      </c>
      <c r="T1383">
        <v>1</v>
      </c>
      <c r="U1383">
        <v>1</v>
      </c>
      <c r="V1383">
        <v>1</v>
      </c>
      <c r="W1383">
        <v>1</v>
      </c>
    </row>
    <row r="1384" spans="2:23" x14ac:dyDescent="0.25">
      <c r="B1384">
        <f t="shared" si="60"/>
        <v>43</v>
      </c>
      <c r="C1384">
        <v>1</v>
      </c>
      <c r="D1384">
        <v>1</v>
      </c>
      <c r="E1384">
        <v>1</v>
      </c>
      <c r="F1384">
        <v>1</v>
      </c>
      <c r="G1384">
        <v>1</v>
      </c>
      <c r="J1384">
        <f t="shared" si="61"/>
        <v>43</v>
      </c>
      <c r="K1384">
        <v>1</v>
      </c>
      <c r="L1384">
        <v>1</v>
      </c>
      <c r="M1384">
        <v>1</v>
      </c>
      <c r="N1384">
        <v>1</v>
      </c>
      <c r="O1384">
        <v>1</v>
      </c>
      <c r="R1384">
        <f t="shared" si="62"/>
        <v>43</v>
      </c>
      <c r="S1384">
        <v>1</v>
      </c>
      <c r="T1384">
        <v>1</v>
      </c>
      <c r="U1384">
        <v>1</v>
      </c>
      <c r="V1384">
        <v>1</v>
      </c>
      <c r="W1384">
        <v>1</v>
      </c>
    </row>
    <row r="1385" spans="2:23" x14ac:dyDescent="0.25">
      <c r="B1385">
        <f t="shared" si="60"/>
        <v>44</v>
      </c>
      <c r="C1385">
        <v>1</v>
      </c>
      <c r="D1385">
        <v>1</v>
      </c>
      <c r="E1385">
        <v>1</v>
      </c>
      <c r="F1385">
        <v>1</v>
      </c>
      <c r="G1385">
        <v>1</v>
      </c>
      <c r="J1385">
        <f t="shared" si="61"/>
        <v>44</v>
      </c>
      <c r="K1385">
        <v>1</v>
      </c>
      <c r="L1385">
        <v>1</v>
      </c>
      <c r="M1385">
        <v>1</v>
      </c>
      <c r="N1385">
        <v>1</v>
      </c>
      <c r="O1385">
        <v>1</v>
      </c>
      <c r="R1385">
        <f t="shared" si="62"/>
        <v>44</v>
      </c>
      <c r="S1385">
        <v>1</v>
      </c>
      <c r="T1385">
        <v>1</v>
      </c>
      <c r="U1385">
        <v>1</v>
      </c>
      <c r="V1385">
        <v>1</v>
      </c>
      <c r="W1385">
        <v>1</v>
      </c>
    </row>
    <row r="1386" spans="2:23" x14ac:dyDescent="0.25">
      <c r="B1386">
        <f t="shared" si="60"/>
        <v>45</v>
      </c>
      <c r="C1386">
        <v>1</v>
      </c>
      <c r="D1386">
        <v>1</v>
      </c>
      <c r="E1386">
        <v>1</v>
      </c>
      <c r="F1386">
        <v>1</v>
      </c>
      <c r="G1386">
        <v>1</v>
      </c>
      <c r="J1386">
        <f t="shared" si="61"/>
        <v>45</v>
      </c>
      <c r="K1386">
        <v>1</v>
      </c>
      <c r="L1386">
        <v>1</v>
      </c>
      <c r="M1386">
        <v>1</v>
      </c>
      <c r="N1386">
        <v>1</v>
      </c>
      <c r="O1386">
        <v>1</v>
      </c>
      <c r="R1386">
        <f t="shared" si="62"/>
        <v>45</v>
      </c>
      <c r="S1386">
        <v>1</v>
      </c>
      <c r="T1386">
        <v>1</v>
      </c>
      <c r="U1386">
        <v>1</v>
      </c>
      <c r="V1386">
        <v>1</v>
      </c>
      <c r="W1386">
        <v>1</v>
      </c>
    </row>
    <row r="1387" spans="2:23" x14ac:dyDescent="0.25">
      <c r="B1387">
        <f t="shared" si="60"/>
        <v>46</v>
      </c>
      <c r="C1387">
        <v>1</v>
      </c>
      <c r="D1387">
        <v>1</v>
      </c>
      <c r="E1387">
        <v>1</v>
      </c>
      <c r="F1387">
        <v>1</v>
      </c>
      <c r="G1387">
        <v>1</v>
      </c>
      <c r="J1387">
        <f t="shared" si="61"/>
        <v>46</v>
      </c>
      <c r="K1387">
        <v>1</v>
      </c>
      <c r="L1387">
        <v>1</v>
      </c>
      <c r="M1387">
        <v>1</v>
      </c>
      <c r="N1387">
        <v>1</v>
      </c>
      <c r="O1387">
        <v>1</v>
      </c>
      <c r="R1387">
        <f t="shared" si="62"/>
        <v>46</v>
      </c>
      <c r="S1387">
        <v>1</v>
      </c>
      <c r="T1387">
        <v>1</v>
      </c>
      <c r="U1387">
        <v>1</v>
      </c>
      <c r="V1387">
        <v>1</v>
      </c>
      <c r="W1387">
        <v>1</v>
      </c>
    </row>
    <row r="1388" spans="2:23" x14ac:dyDescent="0.25">
      <c r="B1388">
        <f t="shared" si="60"/>
        <v>47</v>
      </c>
      <c r="C1388">
        <v>1</v>
      </c>
      <c r="D1388">
        <v>1</v>
      </c>
      <c r="E1388">
        <v>1</v>
      </c>
      <c r="F1388">
        <v>1</v>
      </c>
      <c r="G1388">
        <v>1</v>
      </c>
      <c r="J1388">
        <f t="shared" si="61"/>
        <v>47</v>
      </c>
      <c r="K1388">
        <v>1</v>
      </c>
      <c r="L1388">
        <v>1</v>
      </c>
      <c r="M1388">
        <v>1</v>
      </c>
      <c r="N1388">
        <v>1</v>
      </c>
      <c r="O1388">
        <v>1</v>
      </c>
      <c r="R1388">
        <f t="shared" si="62"/>
        <v>47</v>
      </c>
      <c r="S1388">
        <v>1</v>
      </c>
      <c r="T1388">
        <v>1</v>
      </c>
      <c r="U1388">
        <v>1</v>
      </c>
      <c r="V1388">
        <v>1</v>
      </c>
      <c r="W1388">
        <v>1</v>
      </c>
    </row>
    <row r="1389" spans="2:23" x14ac:dyDescent="0.25">
      <c r="B1389">
        <f t="shared" si="60"/>
        <v>48</v>
      </c>
      <c r="C1389">
        <v>1</v>
      </c>
      <c r="D1389">
        <v>1</v>
      </c>
      <c r="E1389">
        <v>1</v>
      </c>
      <c r="F1389">
        <v>1</v>
      </c>
      <c r="G1389">
        <v>1</v>
      </c>
      <c r="J1389">
        <f t="shared" si="61"/>
        <v>48</v>
      </c>
      <c r="K1389">
        <v>1</v>
      </c>
      <c r="L1389">
        <v>1</v>
      </c>
      <c r="M1389">
        <v>1</v>
      </c>
      <c r="N1389">
        <v>1</v>
      </c>
      <c r="O1389">
        <v>1</v>
      </c>
      <c r="R1389">
        <f t="shared" si="62"/>
        <v>48</v>
      </c>
      <c r="S1389">
        <v>1</v>
      </c>
      <c r="T1389">
        <v>1</v>
      </c>
      <c r="U1389">
        <v>1</v>
      </c>
      <c r="V1389">
        <v>1</v>
      </c>
      <c r="W1389">
        <v>1</v>
      </c>
    </row>
    <row r="1390" spans="2:23" x14ac:dyDescent="0.25">
      <c r="B1390">
        <f t="shared" si="60"/>
        <v>49</v>
      </c>
      <c r="C1390">
        <v>1</v>
      </c>
      <c r="D1390">
        <v>1</v>
      </c>
      <c r="E1390">
        <v>1</v>
      </c>
      <c r="F1390">
        <v>1</v>
      </c>
      <c r="G1390">
        <v>1</v>
      </c>
      <c r="J1390">
        <f t="shared" si="61"/>
        <v>49</v>
      </c>
      <c r="K1390">
        <v>1</v>
      </c>
      <c r="L1390">
        <v>1</v>
      </c>
      <c r="M1390">
        <v>1</v>
      </c>
      <c r="N1390">
        <v>1</v>
      </c>
      <c r="O1390">
        <v>1</v>
      </c>
      <c r="R1390">
        <f t="shared" si="62"/>
        <v>49</v>
      </c>
      <c r="S1390">
        <v>1</v>
      </c>
      <c r="T1390">
        <v>1</v>
      </c>
      <c r="U1390">
        <v>1</v>
      </c>
      <c r="V1390">
        <v>1</v>
      </c>
      <c r="W1390">
        <v>1</v>
      </c>
    </row>
    <row r="1391" spans="2:23" x14ac:dyDescent="0.25">
      <c r="B1391">
        <f t="shared" si="60"/>
        <v>50</v>
      </c>
      <c r="C1391">
        <v>1</v>
      </c>
      <c r="D1391">
        <v>1</v>
      </c>
      <c r="E1391">
        <v>1</v>
      </c>
      <c r="F1391">
        <v>1</v>
      </c>
      <c r="G1391">
        <v>1</v>
      </c>
      <c r="J1391">
        <f t="shared" si="61"/>
        <v>50</v>
      </c>
      <c r="K1391">
        <v>1</v>
      </c>
      <c r="L1391">
        <v>1</v>
      </c>
      <c r="M1391">
        <v>1</v>
      </c>
      <c r="N1391">
        <v>1</v>
      </c>
      <c r="O1391">
        <v>1</v>
      </c>
      <c r="R1391">
        <f t="shared" si="62"/>
        <v>50</v>
      </c>
      <c r="S1391">
        <v>1</v>
      </c>
      <c r="T1391">
        <v>1</v>
      </c>
      <c r="U1391">
        <v>1</v>
      </c>
      <c r="V1391">
        <v>1</v>
      </c>
      <c r="W1391">
        <v>1</v>
      </c>
    </row>
    <row r="1392" spans="2:23" x14ac:dyDescent="0.25">
      <c r="B1392">
        <f t="shared" si="60"/>
        <v>51</v>
      </c>
      <c r="C1392">
        <v>1</v>
      </c>
      <c r="D1392">
        <v>1</v>
      </c>
      <c r="E1392">
        <v>1</v>
      </c>
      <c r="F1392">
        <v>1</v>
      </c>
      <c r="G1392">
        <v>1</v>
      </c>
      <c r="J1392">
        <f t="shared" si="61"/>
        <v>51</v>
      </c>
      <c r="K1392">
        <v>1</v>
      </c>
      <c r="L1392">
        <v>1</v>
      </c>
      <c r="M1392">
        <v>1</v>
      </c>
      <c r="N1392">
        <v>1</v>
      </c>
      <c r="O1392">
        <v>1</v>
      </c>
      <c r="R1392">
        <f t="shared" si="62"/>
        <v>51</v>
      </c>
      <c r="S1392">
        <v>1</v>
      </c>
      <c r="T1392">
        <v>1</v>
      </c>
      <c r="U1392">
        <v>1</v>
      </c>
      <c r="V1392">
        <v>1</v>
      </c>
      <c r="W1392">
        <v>1</v>
      </c>
    </row>
    <row r="1393" spans="2:23" x14ac:dyDescent="0.25">
      <c r="B1393">
        <f t="shared" si="60"/>
        <v>52</v>
      </c>
      <c r="C1393">
        <v>1</v>
      </c>
      <c r="D1393">
        <v>1</v>
      </c>
      <c r="E1393">
        <v>1</v>
      </c>
      <c r="F1393">
        <v>1</v>
      </c>
      <c r="G1393">
        <v>1</v>
      </c>
      <c r="J1393">
        <f t="shared" si="61"/>
        <v>52</v>
      </c>
      <c r="K1393">
        <v>1</v>
      </c>
      <c r="L1393">
        <v>1</v>
      </c>
      <c r="M1393">
        <v>1</v>
      </c>
      <c r="N1393">
        <v>1</v>
      </c>
      <c r="O1393">
        <v>1</v>
      </c>
      <c r="R1393">
        <f t="shared" si="62"/>
        <v>52</v>
      </c>
      <c r="S1393">
        <v>1</v>
      </c>
      <c r="T1393">
        <v>1</v>
      </c>
      <c r="U1393">
        <v>1</v>
      </c>
      <c r="V1393">
        <v>1</v>
      </c>
      <c r="W1393">
        <v>1</v>
      </c>
    </row>
    <row r="1394" spans="2:23" x14ac:dyDescent="0.25">
      <c r="B1394">
        <f t="shared" si="60"/>
        <v>53</v>
      </c>
      <c r="C1394">
        <v>1</v>
      </c>
      <c r="D1394">
        <v>1</v>
      </c>
      <c r="E1394">
        <v>1</v>
      </c>
      <c r="F1394">
        <v>1</v>
      </c>
      <c r="G1394">
        <v>1</v>
      </c>
      <c r="J1394">
        <f t="shared" si="61"/>
        <v>53</v>
      </c>
      <c r="K1394">
        <v>1</v>
      </c>
      <c r="L1394">
        <v>1</v>
      </c>
      <c r="M1394">
        <v>1</v>
      </c>
      <c r="N1394">
        <v>1</v>
      </c>
      <c r="O1394">
        <v>1</v>
      </c>
      <c r="R1394">
        <f t="shared" si="62"/>
        <v>53</v>
      </c>
      <c r="S1394">
        <v>1</v>
      </c>
      <c r="T1394">
        <v>1</v>
      </c>
      <c r="U1394">
        <v>1</v>
      </c>
      <c r="V1394">
        <v>1</v>
      </c>
      <c r="W1394">
        <v>1</v>
      </c>
    </row>
    <row r="1395" spans="2:23" x14ac:dyDescent="0.25">
      <c r="B1395">
        <f t="shared" si="60"/>
        <v>54</v>
      </c>
      <c r="C1395">
        <v>1</v>
      </c>
      <c r="D1395">
        <v>1</v>
      </c>
      <c r="E1395">
        <v>1</v>
      </c>
      <c r="F1395">
        <v>1</v>
      </c>
      <c r="G1395">
        <v>1</v>
      </c>
      <c r="J1395">
        <f t="shared" si="61"/>
        <v>54</v>
      </c>
      <c r="K1395">
        <v>1</v>
      </c>
      <c r="L1395">
        <v>1</v>
      </c>
      <c r="M1395">
        <v>1</v>
      </c>
      <c r="N1395">
        <v>1</v>
      </c>
      <c r="O1395">
        <v>1</v>
      </c>
      <c r="R1395">
        <f t="shared" si="62"/>
        <v>54</v>
      </c>
      <c r="S1395">
        <v>1</v>
      </c>
      <c r="T1395">
        <v>1</v>
      </c>
      <c r="U1395">
        <v>1</v>
      </c>
      <c r="V1395">
        <v>1</v>
      </c>
      <c r="W1395">
        <v>1</v>
      </c>
    </row>
    <row r="1396" spans="2:23" x14ac:dyDescent="0.25">
      <c r="B1396">
        <f t="shared" si="60"/>
        <v>55</v>
      </c>
      <c r="C1396">
        <v>1</v>
      </c>
      <c r="D1396">
        <v>1</v>
      </c>
      <c r="E1396">
        <v>1</v>
      </c>
      <c r="F1396">
        <v>1</v>
      </c>
      <c r="G1396">
        <v>1</v>
      </c>
      <c r="J1396">
        <f t="shared" si="61"/>
        <v>55</v>
      </c>
      <c r="K1396">
        <v>1</v>
      </c>
      <c r="L1396">
        <v>1</v>
      </c>
      <c r="M1396">
        <v>1</v>
      </c>
      <c r="N1396">
        <v>1</v>
      </c>
      <c r="O1396">
        <v>1</v>
      </c>
      <c r="R1396">
        <f t="shared" si="62"/>
        <v>55</v>
      </c>
      <c r="S1396">
        <v>1</v>
      </c>
      <c r="T1396">
        <v>1</v>
      </c>
      <c r="U1396">
        <v>1</v>
      </c>
      <c r="V1396">
        <v>1</v>
      </c>
      <c r="W1396">
        <v>1</v>
      </c>
    </row>
    <row r="1397" spans="2:23" x14ac:dyDescent="0.25">
      <c r="B1397">
        <f t="shared" si="60"/>
        <v>56</v>
      </c>
      <c r="C1397">
        <v>1</v>
      </c>
      <c r="D1397">
        <v>1</v>
      </c>
      <c r="E1397">
        <v>1</v>
      </c>
      <c r="F1397">
        <v>1</v>
      </c>
      <c r="G1397">
        <v>1</v>
      </c>
      <c r="J1397">
        <f t="shared" si="61"/>
        <v>56</v>
      </c>
      <c r="K1397">
        <v>1</v>
      </c>
      <c r="L1397">
        <v>1</v>
      </c>
      <c r="M1397">
        <v>1</v>
      </c>
      <c r="N1397">
        <v>1</v>
      </c>
      <c r="O1397">
        <v>1</v>
      </c>
      <c r="R1397">
        <f t="shared" si="62"/>
        <v>56</v>
      </c>
      <c r="S1397">
        <v>1</v>
      </c>
      <c r="T1397">
        <v>1</v>
      </c>
      <c r="U1397">
        <v>1</v>
      </c>
      <c r="V1397">
        <v>1</v>
      </c>
      <c r="W1397">
        <v>1</v>
      </c>
    </row>
    <row r="1398" spans="2:23" x14ac:dyDescent="0.25">
      <c r="B1398">
        <f t="shared" si="60"/>
        <v>57</v>
      </c>
      <c r="C1398">
        <v>1</v>
      </c>
      <c r="D1398">
        <v>1</v>
      </c>
      <c r="E1398">
        <v>1</v>
      </c>
      <c r="F1398">
        <v>1</v>
      </c>
      <c r="G1398">
        <v>1</v>
      </c>
      <c r="J1398">
        <f t="shared" si="61"/>
        <v>57</v>
      </c>
      <c r="K1398">
        <v>1</v>
      </c>
      <c r="L1398">
        <v>1</v>
      </c>
      <c r="M1398">
        <v>1</v>
      </c>
      <c r="N1398">
        <v>1</v>
      </c>
      <c r="O1398">
        <v>1</v>
      </c>
      <c r="R1398">
        <f t="shared" si="62"/>
        <v>57</v>
      </c>
      <c r="S1398">
        <v>1</v>
      </c>
      <c r="T1398">
        <v>1</v>
      </c>
      <c r="U1398">
        <v>1</v>
      </c>
      <c r="V1398">
        <v>1</v>
      </c>
      <c r="W1398">
        <v>1</v>
      </c>
    </row>
    <row r="1399" spans="2:23" x14ac:dyDescent="0.25">
      <c r="B1399">
        <f t="shared" si="60"/>
        <v>58</v>
      </c>
      <c r="C1399">
        <v>1</v>
      </c>
      <c r="D1399">
        <v>1</v>
      </c>
      <c r="E1399">
        <v>1</v>
      </c>
      <c r="F1399">
        <v>1</v>
      </c>
      <c r="G1399">
        <v>1</v>
      </c>
      <c r="J1399">
        <f t="shared" si="61"/>
        <v>58</v>
      </c>
      <c r="K1399">
        <v>1</v>
      </c>
      <c r="L1399">
        <v>1</v>
      </c>
      <c r="M1399">
        <v>1</v>
      </c>
      <c r="N1399">
        <v>1</v>
      </c>
      <c r="O1399">
        <v>1</v>
      </c>
      <c r="R1399">
        <f t="shared" si="62"/>
        <v>58</v>
      </c>
      <c r="S1399">
        <v>1</v>
      </c>
      <c r="T1399">
        <v>1</v>
      </c>
      <c r="U1399">
        <v>1</v>
      </c>
      <c r="V1399">
        <v>1</v>
      </c>
      <c r="W1399">
        <v>1</v>
      </c>
    </row>
    <row r="1400" spans="2:23" x14ac:dyDescent="0.25">
      <c r="B1400">
        <f t="shared" si="60"/>
        <v>59</v>
      </c>
      <c r="C1400">
        <v>1</v>
      </c>
      <c r="D1400">
        <v>1</v>
      </c>
      <c r="E1400">
        <v>1</v>
      </c>
      <c r="F1400">
        <v>1</v>
      </c>
      <c r="G1400">
        <v>1</v>
      </c>
      <c r="J1400">
        <f t="shared" si="61"/>
        <v>59</v>
      </c>
      <c r="K1400">
        <v>1</v>
      </c>
      <c r="L1400">
        <v>1</v>
      </c>
      <c r="M1400">
        <v>1</v>
      </c>
      <c r="N1400">
        <v>1</v>
      </c>
      <c r="O1400">
        <v>1</v>
      </c>
      <c r="R1400">
        <f t="shared" si="62"/>
        <v>59</v>
      </c>
      <c r="S1400">
        <v>1</v>
      </c>
      <c r="T1400">
        <v>1</v>
      </c>
      <c r="U1400">
        <v>1</v>
      </c>
      <c r="V1400">
        <v>1</v>
      </c>
      <c r="W1400">
        <v>1</v>
      </c>
    </row>
    <row r="1401" spans="2:23" x14ac:dyDescent="0.25">
      <c r="B1401">
        <f t="shared" si="60"/>
        <v>60</v>
      </c>
      <c r="C1401">
        <v>1</v>
      </c>
      <c r="D1401">
        <v>1</v>
      </c>
      <c r="E1401">
        <v>1</v>
      </c>
      <c r="F1401">
        <v>1</v>
      </c>
      <c r="G1401">
        <v>1</v>
      </c>
      <c r="J1401">
        <f t="shared" si="61"/>
        <v>60</v>
      </c>
      <c r="K1401">
        <v>1</v>
      </c>
      <c r="L1401">
        <v>1</v>
      </c>
      <c r="M1401">
        <v>1</v>
      </c>
      <c r="N1401">
        <v>1</v>
      </c>
      <c r="O1401">
        <v>1</v>
      </c>
      <c r="R1401">
        <f t="shared" si="62"/>
        <v>60</v>
      </c>
      <c r="S1401">
        <v>1</v>
      </c>
      <c r="T1401">
        <v>1</v>
      </c>
      <c r="U1401">
        <v>1</v>
      </c>
      <c r="V1401">
        <v>1</v>
      </c>
      <c r="W1401">
        <v>1</v>
      </c>
    </row>
    <row r="1402" spans="2:23" x14ac:dyDescent="0.25">
      <c r="B1402">
        <f t="shared" si="60"/>
        <v>61</v>
      </c>
      <c r="C1402">
        <v>1</v>
      </c>
      <c r="D1402">
        <v>1</v>
      </c>
      <c r="E1402">
        <v>1</v>
      </c>
      <c r="F1402">
        <v>1</v>
      </c>
      <c r="G1402">
        <v>1</v>
      </c>
      <c r="J1402">
        <f t="shared" si="61"/>
        <v>61</v>
      </c>
      <c r="K1402">
        <v>1</v>
      </c>
      <c r="L1402">
        <v>1</v>
      </c>
      <c r="M1402">
        <v>1</v>
      </c>
      <c r="N1402">
        <v>1</v>
      </c>
      <c r="O1402">
        <v>1</v>
      </c>
      <c r="R1402">
        <f t="shared" si="62"/>
        <v>61</v>
      </c>
      <c r="S1402">
        <v>1</v>
      </c>
      <c r="T1402">
        <v>1</v>
      </c>
      <c r="U1402">
        <v>1</v>
      </c>
      <c r="V1402">
        <v>1</v>
      </c>
      <c r="W1402">
        <v>1</v>
      </c>
    </row>
    <row r="1403" spans="2:23" x14ac:dyDescent="0.25">
      <c r="B1403">
        <f t="shared" si="60"/>
        <v>62</v>
      </c>
      <c r="C1403">
        <v>1</v>
      </c>
      <c r="D1403">
        <v>1</v>
      </c>
      <c r="E1403">
        <v>1</v>
      </c>
      <c r="F1403">
        <v>1</v>
      </c>
      <c r="G1403">
        <v>1</v>
      </c>
      <c r="J1403">
        <f t="shared" si="61"/>
        <v>62</v>
      </c>
      <c r="K1403">
        <v>1</v>
      </c>
      <c r="L1403">
        <v>1</v>
      </c>
      <c r="M1403">
        <v>1</v>
      </c>
      <c r="N1403">
        <v>1</v>
      </c>
      <c r="O1403">
        <v>1</v>
      </c>
      <c r="R1403">
        <f t="shared" si="62"/>
        <v>62</v>
      </c>
      <c r="S1403">
        <v>1</v>
      </c>
      <c r="T1403">
        <v>1</v>
      </c>
      <c r="U1403">
        <v>1</v>
      </c>
      <c r="V1403">
        <v>1</v>
      </c>
      <c r="W1403">
        <v>1</v>
      </c>
    </row>
    <row r="1404" spans="2:23" x14ac:dyDescent="0.25">
      <c r="B1404">
        <f t="shared" si="60"/>
        <v>63</v>
      </c>
      <c r="C1404">
        <v>1</v>
      </c>
      <c r="D1404">
        <v>1</v>
      </c>
      <c r="E1404">
        <v>1</v>
      </c>
      <c r="F1404">
        <v>1</v>
      </c>
      <c r="G1404">
        <v>1</v>
      </c>
      <c r="J1404">
        <f t="shared" si="61"/>
        <v>63</v>
      </c>
      <c r="K1404">
        <v>1</v>
      </c>
      <c r="L1404">
        <v>1</v>
      </c>
      <c r="M1404">
        <v>1</v>
      </c>
      <c r="N1404">
        <v>1</v>
      </c>
      <c r="O1404">
        <v>1</v>
      </c>
      <c r="R1404">
        <f t="shared" si="62"/>
        <v>63</v>
      </c>
      <c r="S1404">
        <v>1</v>
      </c>
      <c r="T1404">
        <v>1</v>
      </c>
      <c r="U1404">
        <v>1</v>
      </c>
      <c r="V1404">
        <v>1</v>
      </c>
      <c r="W1404">
        <v>1</v>
      </c>
    </row>
    <row r="1405" spans="2:23" x14ac:dyDescent="0.25">
      <c r="B1405">
        <f t="shared" si="60"/>
        <v>64</v>
      </c>
      <c r="C1405">
        <v>1</v>
      </c>
      <c r="D1405">
        <v>1</v>
      </c>
      <c r="E1405">
        <v>1</v>
      </c>
      <c r="F1405">
        <v>1</v>
      </c>
      <c r="G1405">
        <v>1</v>
      </c>
      <c r="J1405">
        <f t="shared" si="61"/>
        <v>64</v>
      </c>
      <c r="K1405">
        <v>1</v>
      </c>
      <c r="L1405">
        <v>1</v>
      </c>
      <c r="M1405">
        <v>1</v>
      </c>
      <c r="N1405">
        <v>1</v>
      </c>
      <c r="O1405">
        <v>1</v>
      </c>
      <c r="R1405">
        <f t="shared" si="62"/>
        <v>64</v>
      </c>
      <c r="S1405">
        <v>1</v>
      </c>
      <c r="T1405">
        <v>1</v>
      </c>
      <c r="U1405">
        <v>1</v>
      </c>
      <c r="V1405">
        <v>1</v>
      </c>
      <c r="W1405">
        <v>1</v>
      </c>
    </row>
    <row r="1406" spans="2:23" x14ac:dyDescent="0.25">
      <c r="B1406">
        <f t="shared" si="60"/>
        <v>65</v>
      </c>
      <c r="C1406">
        <v>1</v>
      </c>
      <c r="D1406">
        <v>1</v>
      </c>
      <c r="E1406">
        <v>1</v>
      </c>
      <c r="F1406">
        <v>1</v>
      </c>
      <c r="G1406">
        <v>1</v>
      </c>
      <c r="J1406">
        <f t="shared" si="61"/>
        <v>65</v>
      </c>
      <c r="K1406">
        <v>1</v>
      </c>
      <c r="L1406">
        <v>1</v>
      </c>
      <c r="M1406">
        <v>1</v>
      </c>
      <c r="N1406">
        <v>1</v>
      </c>
      <c r="O1406">
        <v>1</v>
      </c>
      <c r="R1406">
        <f t="shared" si="62"/>
        <v>65</v>
      </c>
      <c r="S1406">
        <v>1</v>
      </c>
      <c r="T1406">
        <v>1</v>
      </c>
      <c r="U1406">
        <v>1</v>
      </c>
      <c r="V1406">
        <v>1</v>
      </c>
      <c r="W1406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41272-9E1B-42C2-8F0F-9117AA6A7E09}">
  <sheetPr codeName="Sheet4">
    <tabColor theme="8" tint="0.79998168889431442"/>
  </sheetPr>
  <dimension ref="A1:R183"/>
  <sheetViews>
    <sheetView workbookViewId="0">
      <selection activeCell="E13" sqref="E13"/>
    </sheetView>
  </sheetViews>
  <sheetFormatPr defaultColWidth="8.85546875" defaultRowHeight="15" x14ac:dyDescent="0.25"/>
  <cols>
    <col min="2" max="2" width="11" bestFit="1" customWidth="1"/>
    <col min="3" max="3" width="11" customWidth="1"/>
    <col min="4" max="4" width="9" bestFit="1" customWidth="1"/>
    <col min="6" max="6" width="11" bestFit="1" customWidth="1"/>
    <col min="7" max="7" width="11" customWidth="1"/>
    <col min="10" max="10" width="11" bestFit="1" customWidth="1"/>
    <col min="11" max="11" width="11" customWidth="1"/>
    <col min="14" max="14" width="11" bestFit="1" customWidth="1"/>
    <col min="15" max="15" width="11" customWidth="1"/>
    <col min="18" max="18" width="11.42578125" bestFit="1" customWidth="1"/>
  </cols>
  <sheetData>
    <row r="1" spans="1:18" x14ac:dyDescent="0.25">
      <c r="A1" s="82" t="s">
        <v>72</v>
      </c>
      <c r="B1" s="82"/>
      <c r="C1" s="82"/>
      <c r="D1" s="82"/>
      <c r="E1" s="82"/>
      <c r="F1" s="82"/>
      <c r="G1" s="82"/>
      <c r="H1" s="82"/>
      <c r="I1" s="83" t="s">
        <v>73</v>
      </c>
      <c r="J1" s="84"/>
      <c r="K1" s="84"/>
      <c r="L1" s="84"/>
      <c r="M1" s="84"/>
      <c r="N1" s="84"/>
      <c r="O1" s="84"/>
      <c r="P1" s="85"/>
    </row>
    <row r="2" spans="1:18" x14ac:dyDescent="0.25">
      <c r="A2" s="86" t="s">
        <v>51</v>
      </c>
      <c r="B2" s="86"/>
      <c r="C2" s="86"/>
      <c r="D2" s="86"/>
      <c r="E2" s="86" t="s">
        <v>74</v>
      </c>
      <c r="F2" s="86"/>
      <c r="G2" s="86"/>
      <c r="H2" s="86"/>
      <c r="I2" s="87" t="s">
        <v>51</v>
      </c>
      <c r="J2" s="86"/>
      <c r="K2" s="86"/>
      <c r="L2" s="86"/>
      <c r="M2" s="86" t="s">
        <v>74</v>
      </c>
      <c r="N2" s="86"/>
      <c r="O2" s="86"/>
      <c r="P2" s="88"/>
    </row>
    <row r="3" spans="1:18" s="3" customFormat="1" x14ac:dyDescent="0.25">
      <c r="A3" s="14" t="s">
        <v>11</v>
      </c>
      <c r="B3" s="14" t="s">
        <v>75</v>
      </c>
      <c r="C3" s="14"/>
      <c r="D3" s="14" t="s">
        <v>76</v>
      </c>
      <c r="E3" s="15" t="s">
        <v>11</v>
      </c>
      <c r="F3" s="14" t="s">
        <v>75</v>
      </c>
      <c r="G3" s="14"/>
      <c r="H3" s="14" t="s">
        <v>76</v>
      </c>
      <c r="I3" s="15" t="s">
        <v>11</v>
      </c>
      <c r="J3" s="14" t="s">
        <v>75</v>
      </c>
      <c r="K3" s="14"/>
      <c r="L3" s="14" t="s">
        <v>76</v>
      </c>
      <c r="M3" s="15" t="s">
        <v>11</v>
      </c>
      <c r="N3" s="14" t="s">
        <v>75</v>
      </c>
      <c r="O3" s="14"/>
      <c r="P3" s="16" t="s">
        <v>76</v>
      </c>
      <c r="R3" s="17" t="s">
        <v>77</v>
      </c>
    </row>
    <row r="4" spans="1:18" x14ac:dyDescent="0.25">
      <c r="A4" s="18">
        <v>26</v>
      </c>
      <c r="B4" s="18">
        <v>50000</v>
      </c>
      <c r="C4" s="18" t="str">
        <f>A4&amp;"_"&amp;B4</f>
        <v>26_50000</v>
      </c>
      <c r="D4" s="18">
        <v>1.5247787896740061E-4</v>
      </c>
      <c r="E4">
        <v>26</v>
      </c>
      <c r="F4">
        <v>50000</v>
      </c>
      <c r="G4" t="str">
        <f>E4&amp;"_"&amp;F4</f>
        <v>26_50000</v>
      </c>
      <c r="H4">
        <v>1.1042119237283561E-3</v>
      </c>
      <c r="I4" s="19">
        <v>26</v>
      </c>
      <c r="J4">
        <v>50000</v>
      </c>
      <c r="K4" t="str">
        <f>I4&amp;"_"&amp;J4</f>
        <v>26_50000</v>
      </c>
      <c r="L4">
        <v>4.9760713178252614E-4</v>
      </c>
      <c r="M4">
        <v>26</v>
      </c>
      <c r="N4">
        <v>50000</v>
      </c>
      <c r="O4" t="str">
        <f>M4&amp;"_"&amp;N4</f>
        <v>26_50000</v>
      </c>
      <c r="P4" s="20">
        <v>1.7442404035334859E-3</v>
      </c>
      <c r="R4" t="s">
        <v>78</v>
      </c>
    </row>
    <row r="5" spans="1:18" x14ac:dyDescent="0.25">
      <c r="A5">
        <v>26</v>
      </c>
      <c r="B5">
        <v>100000</v>
      </c>
      <c r="C5" t="str">
        <f t="shared" ref="C5:C68" si="0">A5&amp;"_"&amp;B5</f>
        <v>26_100000</v>
      </c>
      <c r="D5">
        <v>1.4680620178701429E-4</v>
      </c>
      <c r="E5">
        <v>26</v>
      </c>
      <c r="F5">
        <v>100000</v>
      </c>
      <c r="G5" t="str">
        <f t="shared" ref="G5:G68" si="1">E5&amp;"_"&amp;F5</f>
        <v>26_100000</v>
      </c>
      <c r="H5">
        <v>1.135186717594181E-3</v>
      </c>
      <c r="I5" s="19">
        <v>26</v>
      </c>
      <c r="J5">
        <v>100000</v>
      </c>
      <c r="K5" t="str">
        <f t="shared" ref="K5:K68" si="2">I5&amp;"_"&amp;J5</f>
        <v>26_100000</v>
      </c>
      <c r="L5">
        <v>4.9885864105427198E-4</v>
      </c>
      <c r="M5">
        <v>26</v>
      </c>
      <c r="N5">
        <v>100000</v>
      </c>
      <c r="O5" t="str">
        <f t="shared" ref="O5:O68" si="3">M5&amp;"_"&amp;N5</f>
        <v>26_100000</v>
      </c>
      <c r="P5" s="20">
        <v>1.7071625924474879E-3</v>
      </c>
    </row>
    <row r="6" spans="1:18" x14ac:dyDescent="0.25">
      <c r="A6">
        <v>26</v>
      </c>
      <c r="B6">
        <v>250000</v>
      </c>
      <c r="C6" t="str">
        <f t="shared" si="0"/>
        <v>26_250000</v>
      </c>
      <c r="D6">
        <v>5.1748866908638447E-4</v>
      </c>
      <c r="E6">
        <v>26</v>
      </c>
      <c r="F6">
        <v>250000</v>
      </c>
      <c r="G6" t="str">
        <f t="shared" si="1"/>
        <v>26_250000</v>
      </c>
      <c r="H6">
        <v>4.5283536903925397E-3</v>
      </c>
      <c r="I6" s="19">
        <v>26</v>
      </c>
      <c r="J6">
        <v>250000</v>
      </c>
      <c r="K6" t="str">
        <f t="shared" si="2"/>
        <v>26_250000</v>
      </c>
      <c r="L6">
        <v>1.0322249491585679E-3</v>
      </c>
      <c r="M6">
        <v>26</v>
      </c>
      <c r="N6">
        <v>250000</v>
      </c>
      <c r="O6" t="str">
        <f t="shared" si="3"/>
        <v>26_250000</v>
      </c>
      <c r="P6" s="20">
        <v>3.6918338912078079E-3</v>
      </c>
    </row>
    <row r="7" spans="1:18" x14ac:dyDescent="0.25">
      <c r="A7">
        <v>26</v>
      </c>
      <c r="B7">
        <v>500000</v>
      </c>
      <c r="C7" t="str">
        <f t="shared" si="0"/>
        <v>26_500000</v>
      </c>
      <c r="D7">
        <v>4.7160414055479641E-4</v>
      </c>
      <c r="E7">
        <v>26</v>
      </c>
      <c r="F7">
        <v>500000</v>
      </c>
      <c r="G7" t="str">
        <f t="shared" si="1"/>
        <v>26_500000</v>
      </c>
      <c r="H7">
        <v>4.4666628489445073E-3</v>
      </c>
      <c r="I7" s="19">
        <v>26</v>
      </c>
      <c r="J7">
        <v>500000</v>
      </c>
      <c r="K7" t="str">
        <f t="shared" si="2"/>
        <v>26_500000</v>
      </c>
      <c r="L7">
        <v>9.0570079337222366E-4</v>
      </c>
      <c r="M7">
        <v>26</v>
      </c>
      <c r="N7">
        <v>500000</v>
      </c>
      <c r="O7" t="str">
        <f t="shared" si="3"/>
        <v>26_500000</v>
      </c>
      <c r="P7" s="20">
        <v>3.6287803083027421E-3</v>
      </c>
    </row>
    <row r="8" spans="1:18" x14ac:dyDescent="0.25">
      <c r="A8">
        <v>26</v>
      </c>
      <c r="B8">
        <v>1000000</v>
      </c>
      <c r="C8" t="str">
        <f t="shared" si="0"/>
        <v>26_1000000</v>
      </c>
      <c r="D8">
        <v>1.6294398141646061E-4</v>
      </c>
      <c r="E8">
        <v>26</v>
      </c>
      <c r="F8">
        <v>1000000</v>
      </c>
      <c r="G8" t="str">
        <f t="shared" si="1"/>
        <v>26_1000000</v>
      </c>
      <c r="H8">
        <v>2.0720539427372671E-3</v>
      </c>
      <c r="I8" s="19">
        <v>26</v>
      </c>
      <c r="J8">
        <v>1000000</v>
      </c>
      <c r="K8" t="str">
        <f t="shared" si="2"/>
        <v>26_1000000</v>
      </c>
      <c r="L8">
        <v>4.5861865811675401E-4</v>
      </c>
      <c r="M8">
        <v>26</v>
      </c>
      <c r="N8">
        <v>1000000</v>
      </c>
      <c r="O8" t="str">
        <f t="shared" si="3"/>
        <v>26_1000000</v>
      </c>
      <c r="P8" s="20">
        <v>2.3604130649357161E-3</v>
      </c>
    </row>
    <row r="9" spans="1:18" x14ac:dyDescent="0.25">
      <c r="A9">
        <v>26</v>
      </c>
      <c r="B9">
        <v>2000000</v>
      </c>
      <c r="C9" t="str">
        <f t="shared" si="0"/>
        <v>26_2000000</v>
      </c>
      <c r="D9">
        <v>3.7721184183818262E-5</v>
      </c>
      <c r="E9">
        <v>26</v>
      </c>
      <c r="F9">
        <v>2000000</v>
      </c>
      <c r="G9" t="str">
        <f t="shared" si="1"/>
        <v>26_2000000</v>
      </c>
      <c r="H9">
        <v>3.4016724312487629E-4</v>
      </c>
      <c r="I9" s="19">
        <v>26</v>
      </c>
      <c r="J9">
        <v>2000000</v>
      </c>
      <c r="K9" t="str">
        <f t="shared" si="2"/>
        <v>26_2000000</v>
      </c>
      <c r="L9">
        <v>2.2412995290419541E-4</v>
      </c>
      <c r="M9">
        <v>26</v>
      </c>
      <c r="N9">
        <v>2000000</v>
      </c>
      <c r="O9" t="str">
        <f t="shared" si="3"/>
        <v>26_2000000</v>
      </c>
      <c r="P9" s="20">
        <v>1.564578975168608E-3</v>
      </c>
    </row>
    <row r="10" spans="1:18" x14ac:dyDescent="0.25">
      <c r="A10">
        <v>27</v>
      </c>
      <c r="B10">
        <v>50000</v>
      </c>
      <c r="C10" t="str">
        <f t="shared" si="0"/>
        <v>27_50000</v>
      </c>
      <c r="D10">
        <v>1.711987986525979E-4</v>
      </c>
      <c r="E10">
        <v>27</v>
      </c>
      <c r="F10">
        <v>50000</v>
      </c>
      <c r="G10" t="str">
        <f t="shared" si="1"/>
        <v>27_50000</v>
      </c>
      <c r="H10">
        <v>1.2869048717210319E-3</v>
      </c>
      <c r="I10" s="19">
        <v>27</v>
      </c>
      <c r="J10">
        <v>50000</v>
      </c>
      <c r="K10" t="str">
        <f t="shared" si="2"/>
        <v>27_50000</v>
      </c>
      <c r="L10">
        <v>5.0305835069703155E-4</v>
      </c>
      <c r="M10">
        <v>27</v>
      </c>
      <c r="N10">
        <v>50000</v>
      </c>
      <c r="O10" t="str">
        <f t="shared" si="3"/>
        <v>27_50000</v>
      </c>
      <c r="P10" s="20">
        <v>1.929566046977598E-3</v>
      </c>
    </row>
    <row r="11" spans="1:18" x14ac:dyDescent="0.25">
      <c r="A11">
        <v>27</v>
      </c>
      <c r="B11">
        <v>100000</v>
      </c>
      <c r="C11" t="str">
        <f t="shared" si="0"/>
        <v>27_100000</v>
      </c>
      <c r="D11">
        <v>1.2890966450897169E-4</v>
      </c>
      <c r="E11">
        <v>27</v>
      </c>
      <c r="F11">
        <v>100000</v>
      </c>
      <c r="G11" t="str">
        <f t="shared" si="1"/>
        <v>27_100000</v>
      </c>
      <c r="H11">
        <v>1.202484771519032E-3</v>
      </c>
      <c r="I11" s="19">
        <v>27</v>
      </c>
      <c r="J11">
        <v>100000</v>
      </c>
      <c r="K11" t="str">
        <f t="shared" si="2"/>
        <v>27_100000</v>
      </c>
      <c r="L11">
        <v>5.1161692579919404E-4</v>
      </c>
      <c r="M11">
        <v>27</v>
      </c>
      <c r="N11">
        <v>100000</v>
      </c>
      <c r="O11" t="str">
        <f t="shared" si="3"/>
        <v>27_100000</v>
      </c>
      <c r="P11" s="20">
        <v>1.826354458144198E-3</v>
      </c>
    </row>
    <row r="12" spans="1:18" x14ac:dyDescent="0.25">
      <c r="A12">
        <v>27</v>
      </c>
      <c r="B12">
        <v>250000</v>
      </c>
      <c r="C12" t="str">
        <f t="shared" si="0"/>
        <v>27_250000</v>
      </c>
      <c r="D12">
        <v>5.1319835923522097E-4</v>
      </c>
      <c r="E12">
        <v>27</v>
      </c>
      <c r="F12">
        <v>250000</v>
      </c>
      <c r="G12" t="str">
        <f t="shared" si="1"/>
        <v>27_250000</v>
      </c>
      <c r="H12">
        <v>3.9587710483552337E-3</v>
      </c>
      <c r="I12" s="19">
        <v>27</v>
      </c>
      <c r="J12">
        <v>250000</v>
      </c>
      <c r="K12" t="str">
        <f t="shared" si="2"/>
        <v>27_250000</v>
      </c>
      <c r="L12">
        <v>9.5099436835070176E-4</v>
      </c>
      <c r="M12">
        <v>27</v>
      </c>
      <c r="N12">
        <v>250000</v>
      </c>
      <c r="O12" t="str">
        <f t="shared" si="3"/>
        <v>27_250000</v>
      </c>
      <c r="P12" s="20">
        <v>3.540983727226566E-3</v>
      </c>
    </row>
    <row r="13" spans="1:18" x14ac:dyDescent="0.25">
      <c r="A13">
        <v>27</v>
      </c>
      <c r="B13">
        <v>500000</v>
      </c>
      <c r="C13" t="str">
        <f t="shared" si="0"/>
        <v>27_500000</v>
      </c>
      <c r="D13">
        <v>4.4582825748647789E-4</v>
      </c>
      <c r="E13">
        <v>27</v>
      </c>
      <c r="F13">
        <v>500000</v>
      </c>
      <c r="G13" t="str">
        <f t="shared" si="1"/>
        <v>27_500000</v>
      </c>
      <c r="H13">
        <v>4.1602095983915531E-3</v>
      </c>
      <c r="I13" s="19">
        <v>27</v>
      </c>
      <c r="J13">
        <v>500000</v>
      </c>
      <c r="K13" t="str">
        <f t="shared" si="2"/>
        <v>27_500000</v>
      </c>
      <c r="L13">
        <v>8.5636934515549929E-4</v>
      </c>
      <c r="M13">
        <v>27</v>
      </c>
      <c r="N13">
        <v>500000</v>
      </c>
      <c r="O13" t="str">
        <f t="shared" si="3"/>
        <v>27_500000</v>
      </c>
      <c r="P13" s="20">
        <v>3.5813166131568618E-3</v>
      </c>
    </row>
    <row r="14" spans="1:18" x14ac:dyDescent="0.25">
      <c r="A14">
        <v>27</v>
      </c>
      <c r="B14">
        <v>1000000</v>
      </c>
      <c r="C14" t="str">
        <f t="shared" si="0"/>
        <v>27_1000000</v>
      </c>
      <c r="D14">
        <v>1.5895424787671351E-4</v>
      </c>
      <c r="E14">
        <v>27</v>
      </c>
      <c r="F14">
        <v>1000000</v>
      </c>
      <c r="G14" t="str">
        <f t="shared" si="1"/>
        <v>27_1000000</v>
      </c>
      <c r="H14">
        <v>2.0061243812164631E-3</v>
      </c>
      <c r="I14" s="19">
        <v>27</v>
      </c>
      <c r="J14">
        <v>1000000</v>
      </c>
      <c r="K14" t="str">
        <f t="shared" si="2"/>
        <v>27_1000000</v>
      </c>
      <c r="L14">
        <v>4.934987045215729E-4</v>
      </c>
      <c r="M14">
        <v>27</v>
      </c>
      <c r="N14">
        <v>1000000</v>
      </c>
      <c r="O14" t="str">
        <f t="shared" si="3"/>
        <v>27_1000000</v>
      </c>
      <c r="P14" s="20">
        <v>2.3823485454485581E-3</v>
      </c>
    </row>
    <row r="15" spans="1:18" x14ac:dyDescent="0.25">
      <c r="A15">
        <v>27</v>
      </c>
      <c r="B15">
        <v>2000000</v>
      </c>
      <c r="C15" t="str">
        <f t="shared" si="0"/>
        <v>27_2000000</v>
      </c>
      <c r="D15">
        <v>4.9953159759746577E-5</v>
      </c>
      <c r="E15">
        <v>27</v>
      </c>
      <c r="F15">
        <v>2000000</v>
      </c>
      <c r="G15" t="str">
        <f t="shared" si="1"/>
        <v>27_2000000</v>
      </c>
      <c r="H15">
        <v>6.2751750015452106E-4</v>
      </c>
      <c r="I15" s="19">
        <v>27</v>
      </c>
      <c r="J15">
        <v>2000000</v>
      </c>
      <c r="K15" t="str">
        <f t="shared" si="2"/>
        <v>27_2000000</v>
      </c>
      <c r="L15">
        <v>2.052613836151436E-4</v>
      </c>
      <c r="M15">
        <v>27</v>
      </c>
      <c r="N15">
        <v>2000000</v>
      </c>
      <c r="O15" t="str">
        <f t="shared" si="3"/>
        <v>27_2000000</v>
      </c>
      <c r="P15" s="20">
        <v>1.56883324835618E-3</v>
      </c>
    </row>
    <row r="16" spans="1:18" x14ac:dyDescent="0.25">
      <c r="A16">
        <v>28</v>
      </c>
      <c r="B16">
        <v>50000</v>
      </c>
      <c r="C16" t="str">
        <f t="shared" si="0"/>
        <v>28_50000</v>
      </c>
      <c r="D16">
        <v>1.910272183145635E-4</v>
      </c>
      <c r="E16">
        <v>28</v>
      </c>
      <c r="F16">
        <v>50000</v>
      </c>
      <c r="G16" t="str">
        <f t="shared" si="1"/>
        <v>28_50000</v>
      </c>
      <c r="H16">
        <v>1.4258242434950759E-3</v>
      </c>
      <c r="I16" s="19">
        <v>28</v>
      </c>
      <c r="J16">
        <v>50000</v>
      </c>
      <c r="K16" t="str">
        <f t="shared" si="2"/>
        <v>28_50000</v>
      </c>
      <c r="L16">
        <v>4.9548085169155069E-4</v>
      </c>
      <c r="M16">
        <v>28</v>
      </c>
      <c r="N16">
        <v>50000</v>
      </c>
      <c r="O16" t="str">
        <f t="shared" si="3"/>
        <v>28_50000</v>
      </c>
      <c r="P16" s="20">
        <v>2.020853542707258E-3</v>
      </c>
    </row>
    <row r="17" spans="1:16" x14ac:dyDescent="0.25">
      <c r="A17">
        <v>28</v>
      </c>
      <c r="B17">
        <v>100000</v>
      </c>
      <c r="C17" t="str">
        <f t="shared" si="0"/>
        <v>28_100000</v>
      </c>
      <c r="D17">
        <v>1.8080045276046861E-4</v>
      </c>
      <c r="E17">
        <v>28</v>
      </c>
      <c r="F17">
        <v>100000</v>
      </c>
      <c r="G17" t="str">
        <f t="shared" si="1"/>
        <v>28_100000</v>
      </c>
      <c r="H17">
        <v>1.3121234179964329E-3</v>
      </c>
      <c r="I17" s="19">
        <v>28</v>
      </c>
      <c r="J17">
        <v>100000</v>
      </c>
      <c r="K17" t="str">
        <f t="shared" si="2"/>
        <v>28_100000</v>
      </c>
      <c r="L17">
        <v>4.647019450391204E-4</v>
      </c>
      <c r="M17">
        <v>28</v>
      </c>
      <c r="N17">
        <v>100000</v>
      </c>
      <c r="O17" t="str">
        <f t="shared" si="3"/>
        <v>28_100000</v>
      </c>
      <c r="P17" s="20">
        <v>1.77496611196301E-3</v>
      </c>
    </row>
    <row r="18" spans="1:16" x14ac:dyDescent="0.25">
      <c r="A18">
        <v>28</v>
      </c>
      <c r="B18">
        <v>250000</v>
      </c>
      <c r="C18" t="str">
        <f t="shared" si="0"/>
        <v>28_250000</v>
      </c>
      <c r="D18">
        <v>4.5658169724522668E-4</v>
      </c>
      <c r="E18">
        <v>28</v>
      </c>
      <c r="F18">
        <v>250000</v>
      </c>
      <c r="G18" t="str">
        <f t="shared" si="1"/>
        <v>28_250000</v>
      </c>
      <c r="H18">
        <v>3.910523089987579E-3</v>
      </c>
      <c r="I18" s="19">
        <v>28</v>
      </c>
      <c r="J18">
        <v>250000</v>
      </c>
      <c r="K18" t="str">
        <f t="shared" si="2"/>
        <v>28_250000</v>
      </c>
      <c r="L18">
        <v>8.1812943011744222E-4</v>
      </c>
      <c r="M18">
        <v>28</v>
      </c>
      <c r="N18">
        <v>250000</v>
      </c>
      <c r="O18" t="str">
        <f t="shared" si="3"/>
        <v>28_250000</v>
      </c>
      <c r="P18" s="20">
        <v>3.382735603106219E-3</v>
      </c>
    </row>
    <row r="19" spans="1:16" x14ac:dyDescent="0.25">
      <c r="A19">
        <v>28</v>
      </c>
      <c r="B19">
        <v>500000</v>
      </c>
      <c r="C19" t="str">
        <f t="shared" si="0"/>
        <v>28_500000</v>
      </c>
      <c r="D19">
        <v>3.8161649528611669E-4</v>
      </c>
      <c r="E19">
        <v>28</v>
      </c>
      <c r="F19">
        <v>500000</v>
      </c>
      <c r="G19" t="str">
        <f t="shared" si="1"/>
        <v>28_500000</v>
      </c>
      <c r="H19">
        <v>4.0191225324698304E-3</v>
      </c>
      <c r="I19" s="19">
        <v>28</v>
      </c>
      <c r="J19">
        <v>500000</v>
      </c>
      <c r="K19" t="str">
        <f t="shared" si="2"/>
        <v>28_500000</v>
      </c>
      <c r="L19">
        <v>7.6959779904452988E-4</v>
      </c>
      <c r="M19">
        <v>28</v>
      </c>
      <c r="N19">
        <v>500000</v>
      </c>
      <c r="O19" t="str">
        <f t="shared" si="3"/>
        <v>28_500000</v>
      </c>
      <c r="P19" s="20">
        <v>3.5331962504843309E-3</v>
      </c>
    </row>
    <row r="20" spans="1:16" x14ac:dyDescent="0.25">
      <c r="A20">
        <v>28</v>
      </c>
      <c r="B20">
        <v>1000000</v>
      </c>
      <c r="C20" t="str">
        <f t="shared" si="0"/>
        <v>28_1000000</v>
      </c>
      <c r="D20">
        <v>1.5221034478673251E-4</v>
      </c>
      <c r="E20">
        <v>28</v>
      </c>
      <c r="F20">
        <v>1000000</v>
      </c>
      <c r="G20" t="str">
        <f t="shared" si="1"/>
        <v>28_1000000</v>
      </c>
      <c r="H20">
        <v>2.151390441798615E-3</v>
      </c>
      <c r="I20" s="19">
        <v>28</v>
      </c>
      <c r="J20">
        <v>1000000</v>
      </c>
      <c r="K20" t="str">
        <f t="shared" si="2"/>
        <v>28_1000000</v>
      </c>
      <c r="L20">
        <v>4.8162189424649061E-4</v>
      </c>
      <c r="M20">
        <v>28</v>
      </c>
      <c r="N20">
        <v>1000000</v>
      </c>
      <c r="O20" t="str">
        <f t="shared" si="3"/>
        <v>28_1000000</v>
      </c>
      <c r="P20" s="20">
        <v>2.4760515473422778E-3</v>
      </c>
    </row>
    <row r="21" spans="1:16" x14ac:dyDescent="0.25">
      <c r="A21">
        <v>28</v>
      </c>
      <c r="B21">
        <v>2000000</v>
      </c>
      <c r="C21" t="str">
        <f t="shared" si="0"/>
        <v>28_2000000</v>
      </c>
      <c r="D21">
        <v>5.7962297430478987E-5</v>
      </c>
      <c r="E21">
        <v>28</v>
      </c>
      <c r="F21">
        <v>2000000</v>
      </c>
      <c r="G21" t="str">
        <f t="shared" si="1"/>
        <v>28_2000000</v>
      </c>
      <c r="H21">
        <v>8.9525742030446343E-4</v>
      </c>
      <c r="I21" s="19">
        <v>28</v>
      </c>
      <c r="J21">
        <v>2000000</v>
      </c>
      <c r="K21" t="str">
        <f t="shared" si="2"/>
        <v>28_2000000</v>
      </c>
      <c r="L21">
        <v>2.1555076656224479E-4</v>
      </c>
      <c r="M21">
        <v>28</v>
      </c>
      <c r="N21">
        <v>2000000</v>
      </c>
      <c r="O21" t="str">
        <f t="shared" si="3"/>
        <v>28_2000000</v>
      </c>
      <c r="P21" s="20">
        <v>1.6855238116505441E-3</v>
      </c>
    </row>
    <row r="22" spans="1:16" x14ac:dyDescent="0.25">
      <c r="A22">
        <v>29</v>
      </c>
      <c r="B22">
        <v>50000</v>
      </c>
      <c r="C22" t="str">
        <f t="shared" si="0"/>
        <v>29_50000</v>
      </c>
      <c r="D22">
        <v>1.4276188498569129E-4</v>
      </c>
      <c r="E22">
        <v>29</v>
      </c>
      <c r="F22">
        <v>50000</v>
      </c>
      <c r="G22" t="str">
        <f t="shared" si="1"/>
        <v>29_50000</v>
      </c>
      <c r="H22">
        <v>1.482177052973471E-3</v>
      </c>
      <c r="I22" s="19">
        <v>29</v>
      </c>
      <c r="J22">
        <v>50000</v>
      </c>
      <c r="K22" t="str">
        <f t="shared" si="2"/>
        <v>29_50000</v>
      </c>
      <c r="L22">
        <v>5.2591059053992586E-4</v>
      </c>
      <c r="M22">
        <v>29</v>
      </c>
      <c r="N22">
        <v>50000</v>
      </c>
      <c r="O22" t="str">
        <f t="shared" si="3"/>
        <v>29_50000</v>
      </c>
      <c r="P22" s="20">
        <v>1.8674658063583421E-3</v>
      </c>
    </row>
    <row r="23" spans="1:16" x14ac:dyDescent="0.25">
      <c r="A23">
        <v>29</v>
      </c>
      <c r="B23">
        <v>100000</v>
      </c>
      <c r="C23" t="str">
        <f t="shared" si="0"/>
        <v>29_100000</v>
      </c>
      <c r="D23">
        <v>1.614582558122529E-4</v>
      </c>
      <c r="E23">
        <v>29</v>
      </c>
      <c r="F23">
        <v>100000</v>
      </c>
      <c r="G23" t="str">
        <f t="shared" si="1"/>
        <v>29_100000</v>
      </c>
      <c r="H23">
        <v>1.5173956319292799E-3</v>
      </c>
      <c r="I23" s="19">
        <v>29</v>
      </c>
      <c r="J23">
        <v>100000</v>
      </c>
      <c r="K23" t="str">
        <f t="shared" si="2"/>
        <v>29_100000</v>
      </c>
      <c r="L23">
        <v>4.872458131981859E-4</v>
      </c>
      <c r="M23">
        <v>29</v>
      </c>
      <c r="N23">
        <v>100000</v>
      </c>
      <c r="O23" t="str">
        <f t="shared" si="3"/>
        <v>29_100000</v>
      </c>
      <c r="P23" s="20">
        <v>1.900878832022138E-3</v>
      </c>
    </row>
    <row r="24" spans="1:16" x14ac:dyDescent="0.25">
      <c r="A24">
        <v>29</v>
      </c>
      <c r="B24">
        <v>250000</v>
      </c>
      <c r="C24" t="str">
        <f t="shared" si="0"/>
        <v>29_250000</v>
      </c>
      <c r="D24">
        <v>3.8068358275026638E-4</v>
      </c>
      <c r="E24">
        <v>29</v>
      </c>
      <c r="F24">
        <v>250000</v>
      </c>
      <c r="G24" t="str">
        <f t="shared" si="1"/>
        <v>29_250000</v>
      </c>
      <c r="H24">
        <v>3.729627507015157E-3</v>
      </c>
      <c r="I24" s="19">
        <v>29</v>
      </c>
      <c r="J24">
        <v>250000</v>
      </c>
      <c r="K24" t="str">
        <f t="shared" si="2"/>
        <v>29_250000</v>
      </c>
      <c r="L24">
        <v>8.3822339624656738E-4</v>
      </c>
      <c r="M24">
        <v>29</v>
      </c>
      <c r="N24">
        <v>250000</v>
      </c>
      <c r="O24" t="str">
        <f t="shared" si="3"/>
        <v>29_250000</v>
      </c>
      <c r="P24" s="20">
        <v>3.315287148975755E-3</v>
      </c>
    </row>
    <row r="25" spans="1:16" x14ac:dyDescent="0.25">
      <c r="A25">
        <v>29</v>
      </c>
      <c r="B25">
        <v>500000</v>
      </c>
      <c r="C25" t="str">
        <f t="shared" si="0"/>
        <v>29_500000</v>
      </c>
      <c r="D25">
        <v>3.3078921902606151E-4</v>
      </c>
      <c r="E25">
        <v>29</v>
      </c>
      <c r="F25">
        <v>500000</v>
      </c>
      <c r="G25" t="str">
        <f t="shared" si="1"/>
        <v>29_500000</v>
      </c>
      <c r="H25">
        <v>3.864166567113296E-3</v>
      </c>
      <c r="I25" s="19">
        <v>29</v>
      </c>
      <c r="J25">
        <v>500000</v>
      </c>
      <c r="K25" t="str">
        <f t="shared" si="2"/>
        <v>29_500000</v>
      </c>
      <c r="L25">
        <v>7.6936500058874156E-4</v>
      </c>
      <c r="M25">
        <v>29</v>
      </c>
      <c r="N25">
        <v>500000</v>
      </c>
      <c r="O25" t="str">
        <f t="shared" si="3"/>
        <v>29_500000</v>
      </c>
      <c r="P25" s="20">
        <v>3.4766264845067568E-3</v>
      </c>
    </row>
    <row r="26" spans="1:16" x14ac:dyDescent="0.25">
      <c r="A26">
        <v>29</v>
      </c>
      <c r="B26">
        <v>1000000</v>
      </c>
      <c r="C26" t="str">
        <f t="shared" si="0"/>
        <v>29_1000000</v>
      </c>
      <c r="D26">
        <v>1.184003276648172E-4</v>
      </c>
      <c r="E26">
        <v>29</v>
      </c>
      <c r="F26">
        <v>1000000</v>
      </c>
      <c r="G26" t="str">
        <f t="shared" si="1"/>
        <v>29_1000000</v>
      </c>
      <c r="H26">
        <v>2.1828136495365409E-3</v>
      </c>
      <c r="I26" s="19">
        <v>29</v>
      </c>
      <c r="J26">
        <v>1000000</v>
      </c>
      <c r="K26" t="str">
        <f t="shared" si="2"/>
        <v>29_1000000</v>
      </c>
      <c r="L26">
        <v>4.6802697869391548E-4</v>
      </c>
      <c r="M26">
        <v>29</v>
      </c>
      <c r="N26">
        <v>1000000</v>
      </c>
      <c r="O26" t="str">
        <f t="shared" si="3"/>
        <v>29_1000000</v>
      </c>
      <c r="P26" s="20">
        <v>2.2999483492784942E-3</v>
      </c>
    </row>
    <row r="27" spans="1:16" x14ac:dyDescent="0.25">
      <c r="A27">
        <v>29</v>
      </c>
      <c r="B27">
        <v>2000000</v>
      </c>
      <c r="C27" t="str">
        <f t="shared" si="0"/>
        <v>29_2000000</v>
      </c>
      <c r="D27">
        <v>4.946297682417215E-5</v>
      </c>
      <c r="E27">
        <v>29</v>
      </c>
      <c r="F27">
        <v>2000000</v>
      </c>
      <c r="G27" t="str">
        <f t="shared" si="1"/>
        <v>29_2000000</v>
      </c>
      <c r="H27">
        <v>1.0318623359837039E-3</v>
      </c>
      <c r="I27" s="19">
        <v>29</v>
      </c>
      <c r="J27">
        <v>2000000</v>
      </c>
      <c r="K27" t="str">
        <f t="shared" si="2"/>
        <v>29_2000000</v>
      </c>
      <c r="L27">
        <v>2.255494274551785E-4</v>
      </c>
      <c r="M27">
        <v>29</v>
      </c>
      <c r="N27">
        <v>2000000</v>
      </c>
      <c r="O27" t="str">
        <f t="shared" si="3"/>
        <v>29_2000000</v>
      </c>
      <c r="P27" s="20">
        <v>1.7518382402796869E-3</v>
      </c>
    </row>
    <row r="28" spans="1:16" x14ac:dyDescent="0.25">
      <c r="A28">
        <v>30</v>
      </c>
      <c r="B28">
        <v>50000</v>
      </c>
      <c r="C28" t="str">
        <f t="shared" si="0"/>
        <v>30_50000</v>
      </c>
      <c r="D28">
        <v>1.9057182750316411E-4</v>
      </c>
      <c r="E28">
        <v>30</v>
      </c>
      <c r="F28">
        <v>50000</v>
      </c>
      <c r="G28" t="str">
        <f t="shared" si="1"/>
        <v>30_50000</v>
      </c>
      <c r="H28">
        <v>1.5614183973233411E-3</v>
      </c>
      <c r="I28" s="19">
        <v>30</v>
      </c>
      <c r="J28">
        <v>50000</v>
      </c>
      <c r="K28" t="str">
        <f t="shared" si="2"/>
        <v>30_50000</v>
      </c>
      <c r="L28">
        <v>5.4233978847804964E-4</v>
      </c>
      <c r="M28">
        <v>30</v>
      </c>
      <c r="N28">
        <v>50000</v>
      </c>
      <c r="O28" t="str">
        <f t="shared" si="3"/>
        <v>30_50000</v>
      </c>
      <c r="P28" s="20">
        <v>2.1682322729046741E-3</v>
      </c>
    </row>
    <row r="29" spans="1:16" x14ac:dyDescent="0.25">
      <c r="A29">
        <v>30</v>
      </c>
      <c r="B29">
        <v>100000</v>
      </c>
      <c r="C29" t="str">
        <f t="shared" si="0"/>
        <v>30_100000</v>
      </c>
      <c r="D29">
        <v>1.5367065494066299E-4</v>
      </c>
      <c r="E29">
        <v>30</v>
      </c>
      <c r="F29">
        <v>100000</v>
      </c>
      <c r="G29" t="str">
        <f t="shared" si="1"/>
        <v>30_100000</v>
      </c>
      <c r="H29">
        <v>1.6833341558428539E-3</v>
      </c>
      <c r="I29" s="19">
        <v>30</v>
      </c>
      <c r="J29">
        <v>100000</v>
      </c>
      <c r="K29" t="str">
        <f t="shared" si="2"/>
        <v>30_100000</v>
      </c>
      <c r="L29">
        <v>4.8040839151721588E-4</v>
      </c>
      <c r="M29">
        <v>30</v>
      </c>
      <c r="N29">
        <v>100000</v>
      </c>
      <c r="O29" t="str">
        <f t="shared" si="3"/>
        <v>30_100000</v>
      </c>
      <c r="P29" s="20">
        <v>1.929513039827429E-3</v>
      </c>
    </row>
    <row r="30" spans="1:16" x14ac:dyDescent="0.25">
      <c r="A30">
        <v>30</v>
      </c>
      <c r="B30">
        <v>250000</v>
      </c>
      <c r="C30" t="str">
        <f t="shared" si="0"/>
        <v>30_250000</v>
      </c>
      <c r="D30">
        <v>3.3894812336339279E-4</v>
      </c>
      <c r="E30">
        <v>30</v>
      </c>
      <c r="F30">
        <v>250000</v>
      </c>
      <c r="G30" t="str">
        <f t="shared" si="1"/>
        <v>30_250000</v>
      </c>
      <c r="H30">
        <v>3.7904913619243039E-3</v>
      </c>
      <c r="I30" s="19">
        <v>30</v>
      </c>
      <c r="J30">
        <v>250000</v>
      </c>
      <c r="K30" t="str">
        <f t="shared" si="2"/>
        <v>30_250000</v>
      </c>
      <c r="L30">
        <v>7.7036511043069103E-4</v>
      </c>
      <c r="M30">
        <v>30</v>
      </c>
      <c r="N30">
        <v>250000</v>
      </c>
      <c r="O30" t="str">
        <f t="shared" si="3"/>
        <v>30_250000</v>
      </c>
      <c r="P30" s="20">
        <v>3.3042498958997832E-3</v>
      </c>
    </row>
    <row r="31" spans="1:16" x14ac:dyDescent="0.25">
      <c r="A31">
        <v>30</v>
      </c>
      <c r="B31">
        <v>500000</v>
      </c>
      <c r="C31" t="str">
        <f t="shared" si="0"/>
        <v>30_500000</v>
      </c>
      <c r="D31">
        <v>3.4836008018905389E-4</v>
      </c>
      <c r="E31">
        <v>30</v>
      </c>
      <c r="F31">
        <v>500000</v>
      </c>
      <c r="G31" t="str">
        <f t="shared" si="1"/>
        <v>30_500000</v>
      </c>
      <c r="H31">
        <v>3.733435701438052E-3</v>
      </c>
      <c r="I31" s="19">
        <v>30</v>
      </c>
      <c r="J31">
        <v>500000</v>
      </c>
      <c r="K31" t="str">
        <f t="shared" si="2"/>
        <v>30_500000</v>
      </c>
      <c r="L31">
        <v>7.0375385874190722E-4</v>
      </c>
      <c r="M31">
        <v>30</v>
      </c>
      <c r="N31">
        <v>500000</v>
      </c>
      <c r="O31" t="str">
        <f t="shared" si="3"/>
        <v>30_500000</v>
      </c>
      <c r="P31" s="20">
        <v>3.2978686746455328E-3</v>
      </c>
    </row>
    <row r="32" spans="1:16" x14ac:dyDescent="0.25">
      <c r="A32">
        <v>30</v>
      </c>
      <c r="B32">
        <v>1000000</v>
      </c>
      <c r="C32" t="str">
        <f t="shared" si="0"/>
        <v>30_1000000</v>
      </c>
      <c r="D32">
        <v>1.202481981217834E-4</v>
      </c>
      <c r="E32">
        <v>30</v>
      </c>
      <c r="F32">
        <v>1000000</v>
      </c>
      <c r="G32" t="str">
        <f t="shared" si="1"/>
        <v>30_1000000</v>
      </c>
      <c r="H32">
        <v>2.1830724450625678E-3</v>
      </c>
      <c r="I32" s="19">
        <v>30</v>
      </c>
      <c r="J32">
        <v>1000000</v>
      </c>
      <c r="K32" t="str">
        <f t="shared" si="2"/>
        <v>30_1000000</v>
      </c>
      <c r="L32">
        <v>4.5996086157504908E-4</v>
      </c>
      <c r="M32">
        <v>30</v>
      </c>
      <c r="N32">
        <v>1000000</v>
      </c>
      <c r="O32" t="str">
        <f t="shared" si="3"/>
        <v>30_1000000</v>
      </c>
      <c r="P32" s="20">
        <v>2.387842722873003E-3</v>
      </c>
    </row>
    <row r="33" spans="1:16" x14ac:dyDescent="0.25">
      <c r="A33">
        <v>30</v>
      </c>
      <c r="B33">
        <v>2000000</v>
      </c>
      <c r="C33" t="str">
        <f t="shared" si="0"/>
        <v>30_2000000</v>
      </c>
      <c r="D33">
        <v>7.0856627412356471E-5</v>
      </c>
      <c r="E33">
        <v>30</v>
      </c>
      <c r="F33">
        <v>2000000</v>
      </c>
      <c r="G33" t="str">
        <f t="shared" si="1"/>
        <v>30_2000000</v>
      </c>
      <c r="H33">
        <v>1.113219154657383E-3</v>
      </c>
      <c r="I33" s="19">
        <v>30</v>
      </c>
      <c r="J33">
        <v>2000000</v>
      </c>
      <c r="K33" t="str">
        <f t="shared" si="2"/>
        <v>30_2000000</v>
      </c>
      <c r="L33">
        <v>2.328945236908117E-4</v>
      </c>
      <c r="M33">
        <v>30</v>
      </c>
      <c r="N33">
        <v>2000000</v>
      </c>
      <c r="O33" t="str">
        <f t="shared" si="3"/>
        <v>30_2000000</v>
      </c>
      <c r="P33" s="20">
        <v>1.8417853118183299E-3</v>
      </c>
    </row>
    <row r="34" spans="1:16" x14ac:dyDescent="0.25">
      <c r="A34">
        <v>31</v>
      </c>
      <c r="B34">
        <v>50000</v>
      </c>
      <c r="C34" t="str">
        <f t="shared" si="0"/>
        <v>31_50000</v>
      </c>
      <c r="D34">
        <v>1.692718285832716E-4</v>
      </c>
      <c r="E34">
        <v>31</v>
      </c>
      <c r="F34">
        <v>50000</v>
      </c>
      <c r="G34" t="str">
        <f t="shared" si="1"/>
        <v>31_50000</v>
      </c>
      <c r="H34">
        <v>1.660780959809041E-3</v>
      </c>
      <c r="I34" s="19">
        <v>31</v>
      </c>
      <c r="J34">
        <v>50000</v>
      </c>
      <c r="K34" t="str">
        <f t="shared" si="2"/>
        <v>31_50000</v>
      </c>
      <c r="L34">
        <v>5.2206752853727772E-4</v>
      </c>
      <c r="M34">
        <v>31</v>
      </c>
      <c r="N34">
        <v>50000</v>
      </c>
      <c r="O34" t="str">
        <f t="shared" si="3"/>
        <v>31_50000</v>
      </c>
      <c r="P34" s="20">
        <v>2.1032201713282882E-3</v>
      </c>
    </row>
    <row r="35" spans="1:16" x14ac:dyDescent="0.25">
      <c r="A35">
        <v>31</v>
      </c>
      <c r="B35">
        <v>100000</v>
      </c>
      <c r="C35" t="str">
        <f t="shared" si="0"/>
        <v>31_100000</v>
      </c>
      <c r="D35">
        <v>1.57038347597034E-4</v>
      </c>
      <c r="E35">
        <v>31</v>
      </c>
      <c r="F35">
        <v>100000</v>
      </c>
      <c r="G35" t="str">
        <f t="shared" si="1"/>
        <v>31_100000</v>
      </c>
      <c r="H35">
        <v>1.584941729767145E-3</v>
      </c>
      <c r="I35" s="19">
        <v>31</v>
      </c>
      <c r="J35">
        <v>100000</v>
      </c>
      <c r="K35" t="str">
        <f t="shared" si="2"/>
        <v>31_100000</v>
      </c>
      <c r="L35">
        <v>5.2917271230445192E-4</v>
      </c>
      <c r="M35">
        <v>31</v>
      </c>
      <c r="N35">
        <v>100000</v>
      </c>
      <c r="O35" t="str">
        <f t="shared" si="3"/>
        <v>31_100000</v>
      </c>
      <c r="P35" s="20">
        <v>2.1560978612074791E-3</v>
      </c>
    </row>
    <row r="36" spans="1:16" x14ac:dyDescent="0.25">
      <c r="A36">
        <v>31</v>
      </c>
      <c r="B36">
        <v>250000</v>
      </c>
      <c r="C36" t="str">
        <f t="shared" si="0"/>
        <v>31_250000</v>
      </c>
      <c r="D36">
        <v>3.5290922926887552E-4</v>
      </c>
      <c r="E36">
        <v>31</v>
      </c>
      <c r="F36">
        <v>250000</v>
      </c>
      <c r="G36" t="str">
        <f t="shared" si="1"/>
        <v>31_250000</v>
      </c>
      <c r="H36">
        <v>3.575256756822953E-3</v>
      </c>
      <c r="I36" s="19">
        <v>31</v>
      </c>
      <c r="J36">
        <v>250000</v>
      </c>
      <c r="K36" t="str">
        <f t="shared" si="2"/>
        <v>31_250000</v>
      </c>
      <c r="L36">
        <v>7.1058218241632214E-4</v>
      </c>
      <c r="M36">
        <v>31</v>
      </c>
      <c r="N36">
        <v>250000</v>
      </c>
      <c r="O36" t="str">
        <f t="shared" si="3"/>
        <v>31_250000</v>
      </c>
      <c r="P36" s="20">
        <v>3.1512911205747768E-3</v>
      </c>
    </row>
    <row r="37" spans="1:16" x14ac:dyDescent="0.25">
      <c r="A37">
        <v>31</v>
      </c>
      <c r="B37">
        <v>500000</v>
      </c>
      <c r="C37" t="str">
        <f t="shared" si="0"/>
        <v>31_500000</v>
      </c>
      <c r="D37">
        <v>3.0144285524545331E-4</v>
      </c>
      <c r="E37">
        <v>31</v>
      </c>
      <c r="F37">
        <v>500000</v>
      </c>
      <c r="G37" t="str">
        <f t="shared" si="1"/>
        <v>31_500000</v>
      </c>
      <c r="H37">
        <v>3.6946342980066589E-3</v>
      </c>
      <c r="I37" s="19">
        <v>31</v>
      </c>
      <c r="J37">
        <v>500000</v>
      </c>
      <c r="K37" t="str">
        <f t="shared" si="2"/>
        <v>31_500000</v>
      </c>
      <c r="L37">
        <v>6.6577522982765036E-4</v>
      </c>
      <c r="M37">
        <v>31</v>
      </c>
      <c r="N37">
        <v>500000</v>
      </c>
      <c r="O37" t="str">
        <f t="shared" si="3"/>
        <v>31_500000</v>
      </c>
      <c r="P37" s="20">
        <v>3.276546177822446E-3</v>
      </c>
    </row>
    <row r="38" spans="1:16" x14ac:dyDescent="0.25">
      <c r="A38">
        <v>31</v>
      </c>
      <c r="B38">
        <v>1000000</v>
      </c>
      <c r="C38" t="str">
        <f t="shared" si="0"/>
        <v>31_1000000</v>
      </c>
      <c r="D38">
        <v>1.2452503313495369E-4</v>
      </c>
      <c r="E38">
        <v>31</v>
      </c>
      <c r="F38">
        <v>1000000</v>
      </c>
      <c r="G38" t="str">
        <f t="shared" si="1"/>
        <v>31_1000000</v>
      </c>
      <c r="H38">
        <v>2.2444215435326732E-3</v>
      </c>
      <c r="I38" s="19">
        <v>31</v>
      </c>
      <c r="J38">
        <v>1000000</v>
      </c>
      <c r="K38" t="str">
        <f t="shared" si="2"/>
        <v>31_1000000</v>
      </c>
      <c r="L38">
        <v>4.3331318341386808E-4</v>
      </c>
      <c r="M38">
        <v>31</v>
      </c>
      <c r="N38">
        <v>1000000</v>
      </c>
      <c r="O38" t="str">
        <f t="shared" si="3"/>
        <v>31_1000000</v>
      </c>
      <c r="P38" s="20">
        <v>2.5101717469670848E-3</v>
      </c>
    </row>
    <row r="39" spans="1:16" x14ac:dyDescent="0.25">
      <c r="A39">
        <v>31</v>
      </c>
      <c r="B39">
        <v>2000000</v>
      </c>
      <c r="C39" t="str">
        <f t="shared" si="0"/>
        <v>31_2000000</v>
      </c>
      <c r="D39">
        <v>5.0161546012972618E-5</v>
      </c>
      <c r="E39">
        <v>31</v>
      </c>
      <c r="F39">
        <v>2000000</v>
      </c>
      <c r="G39" t="str">
        <f t="shared" si="1"/>
        <v>31_2000000</v>
      </c>
      <c r="H39">
        <v>1.3149297973287779E-3</v>
      </c>
      <c r="I39" s="19">
        <v>31</v>
      </c>
      <c r="J39">
        <v>2000000</v>
      </c>
      <c r="K39" t="str">
        <f t="shared" si="2"/>
        <v>31_2000000</v>
      </c>
      <c r="L39">
        <v>2.4874109174650072E-4</v>
      </c>
      <c r="M39">
        <v>31</v>
      </c>
      <c r="N39">
        <v>2000000</v>
      </c>
      <c r="O39" t="str">
        <f t="shared" si="3"/>
        <v>31_2000000</v>
      </c>
      <c r="P39" s="20">
        <v>2.008686703854142E-3</v>
      </c>
    </row>
    <row r="40" spans="1:16" x14ac:dyDescent="0.25">
      <c r="A40">
        <v>32</v>
      </c>
      <c r="B40">
        <v>50000</v>
      </c>
      <c r="C40" t="str">
        <f t="shared" si="0"/>
        <v>32_50000</v>
      </c>
      <c r="D40">
        <v>1.8319876997542541E-4</v>
      </c>
      <c r="E40">
        <v>32</v>
      </c>
      <c r="F40">
        <v>50000</v>
      </c>
      <c r="G40" t="str">
        <f t="shared" si="1"/>
        <v>32_50000</v>
      </c>
      <c r="H40">
        <v>1.7443843796724921E-3</v>
      </c>
      <c r="I40" s="19">
        <v>32</v>
      </c>
      <c r="J40">
        <v>50000</v>
      </c>
      <c r="K40" t="str">
        <f t="shared" si="2"/>
        <v>32_50000</v>
      </c>
      <c r="L40">
        <v>4.9722399244518732E-4</v>
      </c>
      <c r="M40">
        <v>32</v>
      </c>
      <c r="N40">
        <v>50000</v>
      </c>
      <c r="O40" t="str">
        <f t="shared" si="3"/>
        <v>32_50000</v>
      </c>
      <c r="P40" s="20">
        <v>2.1325781888313061E-3</v>
      </c>
    </row>
    <row r="41" spans="1:16" x14ac:dyDescent="0.25">
      <c r="A41">
        <v>32</v>
      </c>
      <c r="B41">
        <v>100000</v>
      </c>
      <c r="C41" t="str">
        <f t="shared" si="0"/>
        <v>32_100000</v>
      </c>
      <c r="D41">
        <v>1.374094145435243E-4</v>
      </c>
      <c r="E41">
        <v>32</v>
      </c>
      <c r="F41">
        <v>100000</v>
      </c>
      <c r="G41" t="str">
        <f t="shared" si="1"/>
        <v>32_100000</v>
      </c>
      <c r="H41">
        <v>1.6018949407721069E-3</v>
      </c>
      <c r="I41" s="19">
        <v>32</v>
      </c>
      <c r="J41">
        <v>100000</v>
      </c>
      <c r="K41" t="str">
        <f t="shared" si="2"/>
        <v>32_100000</v>
      </c>
      <c r="L41">
        <v>5.4925559325815518E-4</v>
      </c>
      <c r="M41">
        <v>32</v>
      </c>
      <c r="N41">
        <v>100000</v>
      </c>
      <c r="O41" t="str">
        <f t="shared" si="3"/>
        <v>32_100000</v>
      </c>
      <c r="P41" s="20">
        <v>2.161890219209409E-3</v>
      </c>
    </row>
    <row r="42" spans="1:16" x14ac:dyDescent="0.25">
      <c r="A42">
        <v>32</v>
      </c>
      <c r="B42">
        <v>250000</v>
      </c>
      <c r="C42" t="str">
        <f t="shared" si="0"/>
        <v>32_250000</v>
      </c>
      <c r="D42">
        <v>2.7248369736618808E-4</v>
      </c>
      <c r="E42">
        <v>32</v>
      </c>
      <c r="F42">
        <v>250000</v>
      </c>
      <c r="G42" t="str">
        <f t="shared" si="1"/>
        <v>32_250000</v>
      </c>
      <c r="H42">
        <v>3.382443555777962E-3</v>
      </c>
      <c r="I42" s="19">
        <v>32</v>
      </c>
      <c r="J42">
        <v>250000</v>
      </c>
      <c r="K42" t="str">
        <f t="shared" si="2"/>
        <v>32_250000</v>
      </c>
      <c r="L42">
        <v>7.3240684418810571E-4</v>
      </c>
      <c r="M42">
        <v>32</v>
      </c>
      <c r="N42">
        <v>250000</v>
      </c>
      <c r="O42" t="str">
        <f t="shared" si="3"/>
        <v>32_250000</v>
      </c>
      <c r="P42" s="20">
        <v>3.222731520429057E-3</v>
      </c>
    </row>
    <row r="43" spans="1:16" x14ac:dyDescent="0.25">
      <c r="A43">
        <v>32</v>
      </c>
      <c r="B43">
        <v>500000</v>
      </c>
      <c r="C43" t="str">
        <f t="shared" si="0"/>
        <v>32_500000</v>
      </c>
      <c r="D43">
        <v>2.8123806675173051E-4</v>
      </c>
      <c r="E43">
        <v>32</v>
      </c>
      <c r="F43">
        <v>500000</v>
      </c>
      <c r="G43" t="str">
        <f t="shared" si="1"/>
        <v>32_500000</v>
      </c>
      <c r="H43">
        <v>3.3906493711150731E-3</v>
      </c>
      <c r="I43" s="19">
        <v>32</v>
      </c>
      <c r="J43">
        <v>500000</v>
      </c>
      <c r="K43" t="str">
        <f t="shared" si="2"/>
        <v>32_500000</v>
      </c>
      <c r="L43">
        <v>6.7242023639247847E-4</v>
      </c>
      <c r="M43">
        <v>32</v>
      </c>
      <c r="N43">
        <v>500000</v>
      </c>
      <c r="O43" t="str">
        <f t="shared" si="3"/>
        <v>32_500000</v>
      </c>
      <c r="P43" s="20">
        <v>3.238752302856997E-3</v>
      </c>
    </row>
    <row r="44" spans="1:16" x14ac:dyDescent="0.25">
      <c r="A44">
        <v>32</v>
      </c>
      <c r="B44">
        <v>1000000</v>
      </c>
      <c r="C44" t="str">
        <f t="shared" si="0"/>
        <v>32_1000000</v>
      </c>
      <c r="D44">
        <v>1.070357959875348E-4</v>
      </c>
      <c r="E44">
        <v>32</v>
      </c>
      <c r="F44">
        <v>1000000</v>
      </c>
      <c r="G44" t="str">
        <f t="shared" si="1"/>
        <v>32_1000000</v>
      </c>
      <c r="H44">
        <v>2.2055934456219968E-3</v>
      </c>
      <c r="I44" s="19">
        <v>32</v>
      </c>
      <c r="J44">
        <v>1000000</v>
      </c>
      <c r="K44" t="str">
        <f t="shared" si="2"/>
        <v>32_1000000</v>
      </c>
      <c r="L44">
        <v>3.8826677877564912E-4</v>
      </c>
      <c r="M44">
        <v>32</v>
      </c>
      <c r="N44">
        <v>1000000</v>
      </c>
      <c r="O44" t="str">
        <f t="shared" si="3"/>
        <v>32_1000000</v>
      </c>
      <c r="P44" s="20">
        <v>2.445256990110208E-3</v>
      </c>
    </row>
    <row r="45" spans="1:16" x14ac:dyDescent="0.25">
      <c r="A45">
        <v>32</v>
      </c>
      <c r="B45">
        <v>2000000</v>
      </c>
      <c r="C45" t="str">
        <f t="shared" si="0"/>
        <v>32_2000000</v>
      </c>
      <c r="D45">
        <v>5.0713764633453681E-5</v>
      </c>
      <c r="E45">
        <v>32</v>
      </c>
      <c r="F45">
        <v>2000000</v>
      </c>
      <c r="G45" t="str">
        <f t="shared" si="1"/>
        <v>32_2000000</v>
      </c>
      <c r="H45">
        <v>1.349029395811274E-3</v>
      </c>
      <c r="I45" s="19">
        <v>32</v>
      </c>
      <c r="J45">
        <v>2000000</v>
      </c>
      <c r="K45" t="str">
        <f t="shared" si="2"/>
        <v>32_2000000</v>
      </c>
      <c r="L45">
        <v>2.1016513936955689E-4</v>
      </c>
      <c r="M45">
        <v>32</v>
      </c>
      <c r="N45">
        <v>2000000</v>
      </c>
      <c r="O45" t="str">
        <f t="shared" si="3"/>
        <v>32_2000000</v>
      </c>
      <c r="P45" s="20">
        <v>2.166544463907068E-3</v>
      </c>
    </row>
    <row r="46" spans="1:16" x14ac:dyDescent="0.25">
      <c r="A46">
        <v>33</v>
      </c>
      <c r="B46">
        <v>50000</v>
      </c>
      <c r="C46" t="str">
        <f t="shared" si="0"/>
        <v>33_50000</v>
      </c>
      <c r="D46">
        <v>1.6135259605719191E-4</v>
      </c>
      <c r="E46">
        <v>33</v>
      </c>
      <c r="F46">
        <v>50000</v>
      </c>
      <c r="G46" t="str">
        <f t="shared" si="1"/>
        <v>33_50000</v>
      </c>
      <c r="H46">
        <v>1.76630849516955E-3</v>
      </c>
      <c r="I46" s="19">
        <v>33</v>
      </c>
      <c r="J46">
        <v>50000</v>
      </c>
      <c r="K46" t="str">
        <f t="shared" si="2"/>
        <v>33_50000</v>
      </c>
      <c r="L46">
        <v>4.3637711826118389E-4</v>
      </c>
      <c r="M46">
        <v>33</v>
      </c>
      <c r="N46">
        <v>50000</v>
      </c>
      <c r="O46" t="str">
        <f t="shared" si="3"/>
        <v>33_50000</v>
      </c>
      <c r="P46" s="20">
        <v>2.3051444291831138E-3</v>
      </c>
    </row>
    <row r="47" spans="1:16" x14ac:dyDescent="0.25">
      <c r="A47">
        <v>33</v>
      </c>
      <c r="B47">
        <v>100000</v>
      </c>
      <c r="C47" t="str">
        <f t="shared" si="0"/>
        <v>33_100000</v>
      </c>
      <c r="D47">
        <v>1.740110250577385E-4</v>
      </c>
      <c r="E47">
        <v>33</v>
      </c>
      <c r="F47">
        <v>100000</v>
      </c>
      <c r="G47" t="str">
        <f t="shared" si="1"/>
        <v>33_100000</v>
      </c>
      <c r="H47">
        <v>1.70107524063432E-3</v>
      </c>
      <c r="I47" s="19">
        <v>33</v>
      </c>
      <c r="J47">
        <v>100000</v>
      </c>
      <c r="K47" t="str">
        <f t="shared" si="2"/>
        <v>33_100000</v>
      </c>
      <c r="L47">
        <v>4.7604497877011472E-4</v>
      </c>
      <c r="M47">
        <v>33</v>
      </c>
      <c r="N47">
        <v>100000</v>
      </c>
      <c r="O47" t="str">
        <f t="shared" si="3"/>
        <v>33_100000</v>
      </c>
      <c r="P47" s="20">
        <v>2.1411116250348318E-3</v>
      </c>
    </row>
    <row r="48" spans="1:16" x14ac:dyDescent="0.25">
      <c r="A48">
        <v>33</v>
      </c>
      <c r="B48">
        <v>250000</v>
      </c>
      <c r="C48" t="str">
        <f t="shared" si="0"/>
        <v>33_250000</v>
      </c>
      <c r="D48">
        <v>2.572291745342629E-4</v>
      </c>
      <c r="E48">
        <v>33</v>
      </c>
      <c r="F48">
        <v>250000</v>
      </c>
      <c r="G48" t="str">
        <f t="shared" si="1"/>
        <v>33_250000</v>
      </c>
      <c r="H48">
        <v>3.3004835481876909E-3</v>
      </c>
      <c r="I48" s="19">
        <v>33</v>
      </c>
      <c r="J48">
        <v>250000</v>
      </c>
      <c r="K48" t="str">
        <f t="shared" si="2"/>
        <v>33_250000</v>
      </c>
      <c r="L48">
        <v>6.5372488375783856E-4</v>
      </c>
      <c r="M48">
        <v>33</v>
      </c>
      <c r="N48">
        <v>250000</v>
      </c>
      <c r="O48" t="str">
        <f t="shared" si="3"/>
        <v>33_250000</v>
      </c>
      <c r="P48" s="20">
        <v>3.056060727386554E-3</v>
      </c>
    </row>
    <row r="49" spans="1:16" x14ac:dyDescent="0.25">
      <c r="A49">
        <v>33</v>
      </c>
      <c r="B49">
        <v>500000</v>
      </c>
      <c r="C49" t="str">
        <f t="shared" si="0"/>
        <v>33_500000</v>
      </c>
      <c r="D49">
        <v>2.28528936537252E-4</v>
      </c>
      <c r="E49">
        <v>33</v>
      </c>
      <c r="F49">
        <v>500000</v>
      </c>
      <c r="G49" t="str">
        <f t="shared" si="1"/>
        <v>33_500000</v>
      </c>
      <c r="H49">
        <v>3.444907497431452E-3</v>
      </c>
      <c r="I49" s="19">
        <v>33</v>
      </c>
      <c r="J49">
        <v>500000</v>
      </c>
      <c r="K49" t="str">
        <f t="shared" si="2"/>
        <v>33_500000</v>
      </c>
      <c r="L49">
        <v>6.5832353459473224E-4</v>
      </c>
      <c r="M49">
        <v>33</v>
      </c>
      <c r="N49">
        <v>500000</v>
      </c>
      <c r="O49" t="str">
        <f t="shared" si="3"/>
        <v>33_500000</v>
      </c>
      <c r="P49" s="20">
        <v>3.0310993028828761E-3</v>
      </c>
    </row>
    <row r="50" spans="1:16" x14ac:dyDescent="0.25">
      <c r="A50">
        <v>33</v>
      </c>
      <c r="B50">
        <v>1000000</v>
      </c>
      <c r="C50" t="str">
        <f t="shared" si="0"/>
        <v>33_1000000</v>
      </c>
      <c r="D50">
        <v>1.0061564584240011E-4</v>
      </c>
      <c r="E50">
        <v>33</v>
      </c>
      <c r="F50">
        <v>1000000</v>
      </c>
      <c r="G50" t="str">
        <f t="shared" si="1"/>
        <v>33_1000000</v>
      </c>
      <c r="H50">
        <v>2.2418445842630418E-3</v>
      </c>
      <c r="I50" s="19">
        <v>33</v>
      </c>
      <c r="J50">
        <v>1000000</v>
      </c>
      <c r="K50" t="str">
        <f t="shared" si="2"/>
        <v>33_1000000</v>
      </c>
      <c r="L50">
        <v>4.0452621090279972E-4</v>
      </c>
      <c r="M50">
        <v>33</v>
      </c>
      <c r="N50">
        <v>1000000</v>
      </c>
      <c r="O50" t="str">
        <f t="shared" si="3"/>
        <v>33_1000000</v>
      </c>
      <c r="P50" s="20">
        <v>2.3751795944723778E-3</v>
      </c>
    </row>
    <row r="51" spans="1:16" x14ac:dyDescent="0.25">
      <c r="A51">
        <v>33</v>
      </c>
      <c r="B51">
        <v>2000000</v>
      </c>
      <c r="C51" t="str">
        <f t="shared" si="0"/>
        <v>33_2000000</v>
      </c>
      <c r="D51">
        <v>5.1196132060558509E-5</v>
      </c>
      <c r="E51">
        <v>33</v>
      </c>
      <c r="F51">
        <v>2000000</v>
      </c>
      <c r="G51" t="str">
        <f t="shared" si="1"/>
        <v>33_2000000</v>
      </c>
      <c r="H51">
        <v>1.487397295658364E-3</v>
      </c>
      <c r="I51" s="19">
        <v>33</v>
      </c>
      <c r="J51">
        <v>2000000</v>
      </c>
      <c r="K51" t="str">
        <f t="shared" si="2"/>
        <v>33_2000000</v>
      </c>
      <c r="L51">
        <v>2.4696053008300631E-4</v>
      </c>
      <c r="M51">
        <v>33</v>
      </c>
      <c r="N51">
        <v>2000000</v>
      </c>
      <c r="O51" t="str">
        <f t="shared" si="3"/>
        <v>33_2000000</v>
      </c>
      <c r="P51" s="20">
        <v>2.3074203700555939E-3</v>
      </c>
    </row>
    <row r="52" spans="1:16" x14ac:dyDescent="0.25">
      <c r="A52">
        <v>34</v>
      </c>
      <c r="B52">
        <v>50000</v>
      </c>
      <c r="C52" t="str">
        <f t="shared" si="0"/>
        <v>34_50000</v>
      </c>
      <c r="D52">
        <v>1.498969380299468E-4</v>
      </c>
      <c r="E52">
        <v>34</v>
      </c>
      <c r="F52">
        <v>50000</v>
      </c>
      <c r="G52" t="str">
        <f t="shared" si="1"/>
        <v>34_50000</v>
      </c>
      <c r="H52">
        <v>1.8443487014621781E-3</v>
      </c>
      <c r="I52" s="19">
        <v>34</v>
      </c>
      <c r="J52">
        <v>50000</v>
      </c>
      <c r="K52" t="str">
        <f t="shared" si="2"/>
        <v>34_50000</v>
      </c>
      <c r="L52">
        <v>5.1756546162460768E-4</v>
      </c>
      <c r="M52">
        <v>34</v>
      </c>
      <c r="N52">
        <v>50000</v>
      </c>
      <c r="O52" t="str">
        <f t="shared" si="3"/>
        <v>34_50000</v>
      </c>
      <c r="P52" s="20">
        <v>2.3176913117081248E-3</v>
      </c>
    </row>
    <row r="53" spans="1:16" x14ac:dyDescent="0.25">
      <c r="A53">
        <v>34</v>
      </c>
      <c r="B53">
        <v>100000</v>
      </c>
      <c r="C53" t="str">
        <f t="shared" si="0"/>
        <v>34_100000</v>
      </c>
      <c r="D53">
        <v>1.5611331924861161E-4</v>
      </c>
      <c r="E53">
        <v>34</v>
      </c>
      <c r="F53">
        <v>100000</v>
      </c>
      <c r="G53" t="str">
        <f t="shared" si="1"/>
        <v>34_100000</v>
      </c>
      <c r="H53">
        <v>1.8142045962926E-3</v>
      </c>
      <c r="I53" s="19">
        <v>34</v>
      </c>
      <c r="J53">
        <v>100000</v>
      </c>
      <c r="K53" t="str">
        <f t="shared" si="2"/>
        <v>34_100000</v>
      </c>
      <c r="L53">
        <v>4.7555418549890849E-4</v>
      </c>
      <c r="M53">
        <v>34</v>
      </c>
      <c r="N53">
        <v>100000</v>
      </c>
      <c r="O53" t="str">
        <f t="shared" si="3"/>
        <v>34_100000</v>
      </c>
      <c r="P53" s="20">
        <v>2.1407638039112292E-3</v>
      </c>
    </row>
    <row r="54" spans="1:16" x14ac:dyDescent="0.25">
      <c r="A54">
        <v>34</v>
      </c>
      <c r="B54">
        <v>250000</v>
      </c>
      <c r="C54" t="str">
        <f t="shared" si="0"/>
        <v>34_250000</v>
      </c>
      <c r="D54">
        <v>2.6128171708692492E-4</v>
      </c>
      <c r="E54">
        <v>34</v>
      </c>
      <c r="F54">
        <v>250000</v>
      </c>
      <c r="G54" t="str">
        <f t="shared" si="1"/>
        <v>34_250000</v>
      </c>
      <c r="H54">
        <v>3.3338815564212241E-3</v>
      </c>
      <c r="I54" s="19">
        <v>34</v>
      </c>
      <c r="J54">
        <v>250000</v>
      </c>
      <c r="K54" t="str">
        <f t="shared" si="2"/>
        <v>34_250000</v>
      </c>
      <c r="L54">
        <v>6.2298954930205134E-4</v>
      </c>
      <c r="M54">
        <v>34</v>
      </c>
      <c r="N54">
        <v>250000</v>
      </c>
      <c r="O54" t="str">
        <f t="shared" si="3"/>
        <v>34_250000</v>
      </c>
      <c r="P54" s="20">
        <v>3.1057980343826789E-3</v>
      </c>
    </row>
    <row r="55" spans="1:16" x14ac:dyDescent="0.25">
      <c r="A55">
        <v>34</v>
      </c>
      <c r="B55">
        <v>500000</v>
      </c>
      <c r="C55" t="str">
        <f t="shared" si="0"/>
        <v>34_500000</v>
      </c>
      <c r="D55">
        <v>2.150612035559859E-4</v>
      </c>
      <c r="E55">
        <v>34</v>
      </c>
      <c r="F55">
        <v>500000</v>
      </c>
      <c r="G55" t="str">
        <f t="shared" si="1"/>
        <v>34_500000</v>
      </c>
      <c r="H55">
        <v>3.2201174406570371E-3</v>
      </c>
      <c r="I55" s="19">
        <v>34</v>
      </c>
      <c r="J55">
        <v>500000</v>
      </c>
      <c r="K55" t="str">
        <f t="shared" si="2"/>
        <v>34_500000</v>
      </c>
      <c r="L55">
        <v>6.34712598223683E-4</v>
      </c>
      <c r="M55">
        <v>34</v>
      </c>
      <c r="N55">
        <v>500000</v>
      </c>
      <c r="O55" t="str">
        <f t="shared" si="3"/>
        <v>34_500000</v>
      </c>
      <c r="P55" s="20">
        <v>3.0530215043836169E-3</v>
      </c>
    </row>
    <row r="56" spans="1:16" x14ac:dyDescent="0.25">
      <c r="A56">
        <v>34</v>
      </c>
      <c r="B56">
        <v>1000000</v>
      </c>
      <c r="C56" t="str">
        <f t="shared" si="0"/>
        <v>34_1000000</v>
      </c>
      <c r="D56">
        <v>9.1325727280624217E-5</v>
      </c>
      <c r="E56">
        <v>34</v>
      </c>
      <c r="F56">
        <v>1000000</v>
      </c>
      <c r="G56" t="str">
        <f t="shared" si="1"/>
        <v>34_1000000</v>
      </c>
      <c r="H56">
        <v>2.3099789049892852E-3</v>
      </c>
      <c r="I56" s="19">
        <v>34</v>
      </c>
      <c r="J56">
        <v>1000000</v>
      </c>
      <c r="K56" t="str">
        <f t="shared" si="2"/>
        <v>34_1000000</v>
      </c>
      <c r="L56">
        <v>3.8724270271965112E-4</v>
      </c>
      <c r="M56">
        <v>34</v>
      </c>
      <c r="N56">
        <v>1000000</v>
      </c>
      <c r="O56" t="str">
        <f t="shared" si="3"/>
        <v>34_1000000</v>
      </c>
      <c r="P56" s="20">
        <v>2.529466770658296E-3</v>
      </c>
    </row>
    <row r="57" spans="1:16" x14ac:dyDescent="0.25">
      <c r="A57">
        <v>35</v>
      </c>
      <c r="B57">
        <v>50000</v>
      </c>
      <c r="C57" t="str">
        <f t="shared" si="0"/>
        <v>35_50000</v>
      </c>
      <c r="D57">
        <v>1.2036694153580071E-4</v>
      </c>
      <c r="E57">
        <v>34</v>
      </c>
      <c r="F57">
        <v>2000000</v>
      </c>
      <c r="G57" t="str">
        <f t="shared" si="1"/>
        <v>34_2000000</v>
      </c>
      <c r="H57">
        <v>1.5639866945555091E-3</v>
      </c>
      <c r="I57" s="19">
        <v>34</v>
      </c>
      <c r="J57">
        <v>2000000</v>
      </c>
      <c r="K57" t="str">
        <f t="shared" si="2"/>
        <v>34_2000000</v>
      </c>
      <c r="L57">
        <v>1.994622556945197E-4</v>
      </c>
      <c r="M57">
        <v>34</v>
      </c>
      <c r="N57">
        <v>2000000</v>
      </c>
      <c r="O57" t="str">
        <f t="shared" si="3"/>
        <v>34_2000000</v>
      </c>
      <c r="P57" s="20">
        <v>2.2753287673974889E-3</v>
      </c>
    </row>
    <row r="58" spans="1:16" x14ac:dyDescent="0.25">
      <c r="A58">
        <v>35</v>
      </c>
      <c r="B58">
        <v>100000</v>
      </c>
      <c r="C58" t="str">
        <f t="shared" si="0"/>
        <v>35_100000</v>
      </c>
      <c r="D58">
        <v>1.1297031112153959E-4</v>
      </c>
      <c r="E58">
        <v>35</v>
      </c>
      <c r="F58">
        <v>50000</v>
      </c>
      <c r="G58" t="str">
        <f t="shared" si="1"/>
        <v>35_50000</v>
      </c>
      <c r="H58">
        <v>1.808468847581743E-3</v>
      </c>
      <c r="I58" s="19">
        <v>35</v>
      </c>
      <c r="J58">
        <v>50000</v>
      </c>
      <c r="K58" t="str">
        <f t="shared" si="2"/>
        <v>35_50000</v>
      </c>
      <c r="L58">
        <v>4.701150918458069E-4</v>
      </c>
      <c r="M58">
        <v>35</v>
      </c>
      <c r="N58">
        <v>50000</v>
      </c>
      <c r="O58" t="str">
        <f t="shared" si="3"/>
        <v>35_50000</v>
      </c>
      <c r="P58" s="20">
        <v>2.3187283345615459E-3</v>
      </c>
    </row>
    <row r="59" spans="1:16" x14ac:dyDescent="0.25">
      <c r="A59">
        <v>35</v>
      </c>
      <c r="B59">
        <v>250000</v>
      </c>
      <c r="C59" t="str">
        <f t="shared" si="0"/>
        <v>35_250000</v>
      </c>
      <c r="D59">
        <v>1.941955200907575E-4</v>
      </c>
      <c r="E59">
        <v>35</v>
      </c>
      <c r="F59">
        <v>100000</v>
      </c>
      <c r="G59" t="str">
        <f t="shared" si="1"/>
        <v>35_100000</v>
      </c>
      <c r="H59">
        <v>1.8471591067602681E-3</v>
      </c>
      <c r="I59" s="19">
        <v>35</v>
      </c>
      <c r="J59">
        <v>100000</v>
      </c>
      <c r="K59" t="str">
        <f t="shared" si="2"/>
        <v>35_100000</v>
      </c>
      <c r="L59">
        <v>4.7974954648927789E-4</v>
      </c>
      <c r="M59">
        <v>35</v>
      </c>
      <c r="N59">
        <v>100000</v>
      </c>
      <c r="O59" t="str">
        <f t="shared" si="3"/>
        <v>35_100000</v>
      </c>
      <c r="P59" s="20">
        <v>2.22435560759286E-3</v>
      </c>
    </row>
    <row r="60" spans="1:16" x14ac:dyDescent="0.25">
      <c r="A60">
        <v>35</v>
      </c>
      <c r="B60">
        <v>500000</v>
      </c>
      <c r="C60" t="str">
        <f t="shared" si="0"/>
        <v>35_500000</v>
      </c>
      <c r="D60">
        <v>1.831585273701386E-4</v>
      </c>
      <c r="E60">
        <v>35</v>
      </c>
      <c r="F60">
        <v>250000</v>
      </c>
      <c r="G60" t="str">
        <f t="shared" si="1"/>
        <v>35_250000</v>
      </c>
      <c r="H60">
        <v>3.1562369240427991E-3</v>
      </c>
      <c r="I60" s="19">
        <v>35</v>
      </c>
      <c r="J60">
        <v>250000</v>
      </c>
      <c r="K60" t="str">
        <f t="shared" si="2"/>
        <v>35_250000</v>
      </c>
      <c r="L60">
        <v>6.0681457235013626E-4</v>
      </c>
      <c r="M60">
        <v>35</v>
      </c>
      <c r="N60">
        <v>250000</v>
      </c>
      <c r="O60" t="str">
        <f t="shared" si="3"/>
        <v>35_250000</v>
      </c>
      <c r="P60" s="20">
        <v>3.175710467379076E-3</v>
      </c>
    </row>
    <row r="61" spans="1:16" x14ac:dyDescent="0.25">
      <c r="A61">
        <v>35</v>
      </c>
      <c r="B61">
        <v>1000000</v>
      </c>
      <c r="C61" t="str">
        <f t="shared" si="0"/>
        <v>35_1000000</v>
      </c>
      <c r="D61">
        <v>8.7074217566055883E-5</v>
      </c>
      <c r="E61">
        <v>35</v>
      </c>
      <c r="F61">
        <v>500000</v>
      </c>
      <c r="G61" t="str">
        <f t="shared" si="1"/>
        <v>35_500000</v>
      </c>
      <c r="H61">
        <v>3.16390686285015E-3</v>
      </c>
      <c r="I61" s="19">
        <v>35</v>
      </c>
      <c r="J61">
        <v>500000</v>
      </c>
      <c r="K61" t="str">
        <f t="shared" si="2"/>
        <v>35_500000</v>
      </c>
      <c r="L61">
        <v>5.2648076913470803E-4</v>
      </c>
      <c r="M61">
        <v>35</v>
      </c>
      <c r="N61">
        <v>500000</v>
      </c>
      <c r="O61" t="str">
        <f t="shared" si="3"/>
        <v>35_500000</v>
      </c>
      <c r="P61" s="20">
        <v>3.0916773061944488E-3</v>
      </c>
    </row>
    <row r="62" spans="1:16" x14ac:dyDescent="0.25">
      <c r="A62">
        <v>36</v>
      </c>
      <c r="B62">
        <v>50000</v>
      </c>
      <c r="C62" t="str">
        <f t="shared" si="0"/>
        <v>36_50000</v>
      </c>
      <c r="D62">
        <v>1.2640883648554931E-4</v>
      </c>
      <c r="E62">
        <v>35</v>
      </c>
      <c r="F62">
        <v>1000000</v>
      </c>
      <c r="G62" t="str">
        <f t="shared" si="1"/>
        <v>35_1000000</v>
      </c>
      <c r="H62">
        <v>2.2942787554606609E-3</v>
      </c>
      <c r="I62" s="19">
        <v>35</v>
      </c>
      <c r="J62">
        <v>1000000</v>
      </c>
      <c r="K62" t="str">
        <f t="shared" si="2"/>
        <v>35_1000000</v>
      </c>
      <c r="L62">
        <v>3.3371143644274869E-4</v>
      </c>
      <c r="M62">
        <v>35</v>
      </c>
      <c r="N62">
        <v>1000000</v>
      </c>
      <c r="O62" t="str">
        <f t="shared" si="3"/>
        <v>35_1000000</v>
      </c>
      <c r="P62" s="20">
        <v>2.6397795264854278E-3</v>
      </c>
    </row>
    <row r="63" spans="1:16" x14ac:dyDescent="0.25">
      <c r="A63">
        <v>36</v>
      </c>
      <c r="B63">
        <v>100000</v>
      </c>
      <c r="C63" t="str">
        <f t="shared" si="0"/>
        <v>36_100000</v>
      </c>
      <c r="D63">
        <v>1.6559965251141819E-4</v>
      </c>
      <c r="E63">
        <v>35</v>
      </c>
      <c r="F63">
        <v>2000000</v>
      </c>
      <c r="G63" t="str">
        <f t="shared" si="1"/>
        <v>35_2000000</v>
      </c>
      <c r="H63">
        <v>1.63545519880009E-3</v>
      </c>
      <c r="I63" s="19">
        <v>35</v>
      </c>
      <c r="J63">
        <v>2000000</v>
      </c>
      <c r="K63" t="str">
        <f t="shared" si="2"/>
        <v>35_2000000</v>
      </c>
      <c r="L63">
        <v>2.14862637106722E-4</v>
      </c>
      <c r="M63">
        <v>35</v>
      </c>
      <c r="N63">
        <v>2000000</v>
      </c>
      <c r="O63" t="str">
        <f t="shared" si="3"/>
        <v>35_2000000</v>
      </c>
      <c r="P63" s="20">
        <v>2.326691525369423E-3</v>
      </c>
    </row>
    <row r="64" spans="1:16" x14ac:dyDescent="0.25">
      <c r="A64">
        <v>36</v>
      </c>
      <c r="B64">
        <v>250000</v>
      </c>
      <c r="C64" t="str">
        <f t="shared" si="0"/>
        <v>36_250000</v>
      </c>
      <c r="D64">
        <v>2.4178613207084159E-4</v>
      </c>
      <c r="E64">
        <v>36</v>
      </c>
      <c r="F64">
        <v>50000</v>
      </c>
      <c r="G64" t="str">
        <f t="shared" si="1"/>
        <v>36_50000</v>
      </c>
      <c r="H64">
        <v>1.879184768837036E-3</v>
      </c>
      <c r="I64" s="19">
        <v>36</v>
      </c>
      <c r="J64">
        <v>50000</v>
      </c>
      <c r="K64" t="str">
        <f t="shared" si="2"/>
        <v>36_50000</v>
      </c>
      <c r="L64">
        <v>4.499264366315365E-4</v>
      </c>
      <c r="M64">
        <v>36</v>
      </c>
      <c r="N64">
        <v>50000</v>
      </c>
      <c r="O64" t="str">
        <f t="shared" si="3"/>
        <v>36_50000</v>
      </c>
      <c r="P64" s="20">
        <v>2.3953095602858498E-3</v>
      </c>
    </row>
    <row r="65" spans="1:16" x14ac:dyDescent="0.25">
      <c r="A65">
        <v>36</v>
      </c>
      <c r="B65">
        <v>500000</v>
      </c>
      <c r="C65" t="str">
        <f t="shared" si="0"/>
        <v>36_500000</v>
      </c>
      <c r="D65">
        <v>1.9594619371337269E-4</v>
      </c>
      <c r="E65">
        <v>36</v>
      </c>
      <c r="F65">
        <v>100000</v>
      </c>
      <c r="G65" t="str">
        <f t="shared" si="1"/>
        <v>36_100000</v>
      </c>
      <c r="H65">
        <v>2.0454541460028191E-3</v>
      </c>
      <c r="I65" s="19">
        <v>36</v>
      </c>
      <c r="J65">
        <v>100000</v>
      </c>
      <c r="K65" t="str">
        <f t="shared" si="2"/>
        <v>36_100000</v>
      </c>
      <c r="L65">
        <v>4.7474992135346081E-4</v>
      </c>
      <c r="M65">
        <v>36</v>
      </c>
      <c r="N65">
        <v>100000</v>
      </c>
      <c r="O65" t="str">
        <f t="shared" si="3"/>
        <v>36_100000</v>
      </c>
      <c r="P65" s="20">
        <v>2.2398024584885331E-3</v>
      </c>
    </row>
    <row r="66" spans="1:16" x14ac:dyDescent="0.25">
      <c r="A66">
        <v>36</v>
      </c>
      <c r="B66">
        <v>1000000</v>
      </c>
      <c r="C66" t="str">
        <f t="shared" si="0"/>
        <v>36_1000000</v>
      </c>
      <c r="D66">
        <v>7.4109705636410067E-5</v>
      </c>
      <c r="E66">
        <v>36</v>
      </c>
      <c r="F66">
        <v>250000</v>
      </c>
      <c r="G66" t="str">
        <f t="shared" si="1"/>
        <v>36_250000</v>
      </c>
      <c r="H66">
        <v>3.199783063247896E-3</v>
      </c>
      <c r="I66" s="19">
        <v>36</v>
      </c>
      <c r="J66">
        <v>250000</v>
      </c>
      <c r="K66" t="str">
        <f t="shared" si="2"/>
        <v>36_250000</v>
      </c>
      <c r="L66">
        <v>5.3239339218670426E-4</v>
      </c>
      <c r="M66">
        <v>36</v>
      </c>
      <c r="N66">
        <v>250000</v>
      </c>
      <c r="O66" t="str">
        <f t="shared" si="3"/>
        <v>36_250000</v>
      </c>
      <c r="P66" s="20">
        <v>3.003563716806875E-3</v>
      </c>
    </row>
    <row r="67" spans="1:16" x14ac:dyDescent="0.25">
      <c r="A67">
        <v>37</v>
      </c>
      <c r="B67">
        <v>50000</v>
      </c>
      <c r="C67" t="str">
        <f t="shared" si="0"/>
        <v>37_50000</v>
      </c>
      <c r="D67">
        <v>1.2831178521556381E-4</v>
      </c>
      <c r="E67">
        <v>36</v>
      </c>
      <c r="F67">
        <v>500000</v>
      </c>
      <c r="G67" t="str">
        <f t="shared" si="1"/>
        <v>36_500000</v>
      </c>
      <c r="H67">
        <v>3.2554460928179429E-3</v>
      </c>
      <c r="I67" s="19">
        <v>36</v>
      </c>
      <c r="J67">
        <v>500000</v>
      </c>
      <c r="K67" t="str">
        <f t="shared" si="2"/>
        <v>36_500000</v>
      </c>
      <c r="L67">
        <v>5.2979527843542403E-4</v>
      </c>
      <c r="M67">
        <v>36</v>
      </c>
      <c r="N67">
        <v>500000</v>
      </c>
      <c r="O67" t="str">
        <f t="shared" si="3"/>
        <v>36_500000</v>
      </c>
      <c r="P67" s="20">
        <v>3.1663272479375022E-3</v>
      </c>
    </row>
    <row r="68" spans="1:16" x14ac:dyDescent="0.25">
      <c r="A68">
        <v>37</v>
      </c>
      <c r="B68">
        <v>100000</v>
      </c>
      <c r="C68" t="str">
        <f t="shared" si="0"/>
        <v>37_100000</v>
      </c>
      <c r="D68">
        <v>1.3598747419442969E-4</v>
      </c>
      <c r="E68">
        <v>36</v>
      </c>
      <c r="F68">
        <v>1000000</v>
      </c>
      <c r="G68" t="str">
        <f t="shared" si="1"/>
        <v>36_1000000</v>
      </c>
      <c r="H68">
        <v>2.422001237747203E-3</v>
      </c>
      <c r="I68" s="19">
        <v>36</v>
      </c>
      <c r="J68">
        <v>1000000</v>
      </c>
      <c r="K68" t="str">
        <f t="shared" si="2"/>
        <v>36_1000000</v>
      </c>
      <c r="L68">
        <v>3.5995077444365173E-4</v>
      </c>
      <c r="M68">
        <v>36</v>
      </c>
      <c r="N68">
        <v>1000000</v>
      </c>
      <c r="O68" t="str">
        <f t="shared" si="3"/>
        <v>36_1000000</v>
      </c>
      <c r="P68" s="20">
        <v>2.626550190803214E-3</v>
      </c>
    </row>
    <row r="69" spans="1:16" x14ac:dyDescent="0.25">
      <c r="A69">
        <v>37</v>
      </c>
      <c r="B69">
        <v>250000</v>
      </c>
      <c r="C69" t="str">
        <f t="shared" ref="C69:C132" si="4">A69&amp;"_"&amp;B69</f>
        <v>37_250000</v>
      </c>
      <c r="D69">
        <v>2.058314319368073E-4</v>
      </c>
      <c r="E69">
        <v>36</v>
      </c>
      <c r="F69">
        <v>2000000</v>
      </c>
      <c r="G69" t="str">
        <f t="shared" ref="G69:G132" si="5">E69&amp;"_"&amp;F69</f>
        <v>36_2000000</v>
      </c>
      <c r="H69">
        <v>1.74673300322603E-3</v>
      </c>
      <c r="I69" s="19">
        <v>36</v>
      </c>
      <c r="J69">
        <v>2000000</v>
      </c>
      <c r="K69" t="str">
        <f t="shared" ref="K69:K132" si="6">I69&amp;"_"&amp;J69</f>
        <v>36_2000000</v>
      </c>
      <c r="L69">
        <v>2.1301982003358051E-4</v>
      </c>
      <c r="M69">
        <v>36</v>
      </c>
      <c r="N69">
        <v>2000000</v>
      </c>
      <c r="O69" t="str">
        <f t="shared" ref="O69:O132" si="7">M69&amp;"_"&amp;N69</f>
        <v>36_2000000</v>
      </c>
      <c r="P69" s="20">
        <v>2.4046340147673441E-3</v>
      </c>
    </row>
    <row r="70" spans="1:16" x14ac:dyDescent="0.25">
      <c r="A70">
        <v>37</v>
      </c>
      <c r="B70">
        <v>500000</v>
      </c>
      <c r="C70" t="str">
        <f t="shared" si="4"/>
        <v>37_500000</v>
      </c>
      <c r="D70">
        <v>1.4559318847540489E-4</v>
      </c>
      <c r="E70">
        <v>37</v>
      </c>
      <c r="F70">
        <v>50000</v>
      </c>
      <c r="G70" t="str">
        <f t="shared" si="5"/>
        <v>37_50000</v>
      </c>
      <c r="H70">
        <v>1.85973158963207E-3</v>
      </c>
      <c r="I70" s="19">
        <v>37</v>
      </c>
      <c r="J70">
        <v>50000</v>
      </c>
      <c r="K70" t="str">
        <f t="shared" si="6"/>
        <v>37_50000</v>
      </c>
      <c r="L70">
        <v>4.202374967104634E-4</v>
      </c>
      <c r="M70">
        <v>37</v>
      </c>
      <c r="N70">
        <v>50000</v>
      </c>
      <c r="O70" t="str">
        <f t="shared" si="7"/>
        <v>37_50000</v>
      </c>
      <c r="P70" s="20">
        <v>2.3714382239489302E-3</v>
      </c>
    </row>
    <row r="71" spans="1:16" x14ac:dyDescent="0.25">
      <c r="A71">
        <v>37</v>
      </c>
      <c r="B71">
        <v>1000000</v>
      </c>
      <c r="C71" t="str">
        <f t="shared" si="4"/>
        <v>37_1000000</v>
      </c>
      <c r="D71">
        <v>6.7101934439938479E-5</v>
      </c>
      <c r="E71">
        <v>37</v>
      </c>
      <c r="F71">
        <v>100000</v>
      </c>
      <c r="G71" t="str">
        <f t="shared" si="5"/>
        <v>37_100000</v>
      </c>
      <c r="H71">
        <v>2.0987540146178191E-3</v>
      </c>
      <c r="I71" s="19">
        <v>37</v>
      </c>
      <c r="J71">
        <v>100000</v>
      </c>
      <c r="K71" t="str">
        <f t="shared" si="6"/>
        <v>37_100000</v>
      </c>
      <c r="L71">
        <v>5.399344575320171E-4</v>
      </c>
      <c r="M71">
        <v>37</v>
      </c>
      <c r="N71">
        <v>100000</v>
      </c>
      <c r="O71" t="str">
        <f t="shared" si="7"/>
        <v>37_100000</v>
      </c>
      <c r="P71" s="20">
        <v>2.4354790978046948E-3</v>
      </c>
    </row>
    <row r="72" spans="1:16" x14ac:dyDescent="0.25">
      <c r="A72">
        <v>38</v>
      </c>
      <c r="B72">
        <v>50000</v>
      </c>
      <c r="C72" t="str">
        <f t="shared" si="4"/>
        <v>38_50000</v>
      </c>
      <c r="D72">
        <v>1.3953090437203081E-4</v>
      </c>
      <c r="E72">
        <v>37</v>
      </c>
      <c r="F72">
        <v>250000</v>
      </c>
      <c r="G72" t="str">
        <f t="shared" si="5"/>
        <v>37_250000</v>
      </c>
      <c r="H72">
        <v>3.014085193137065E-3</v>
      </c>
      <c r="I72" s="19">
        <v>37</v>
      </c>
      <c r="J72">
        <v>250000</v>
      </c>
      <c r="K72" t="str">
        <f t="shared" si="6"/>
        <v>37_250000</v>
      </c>
      <c r="L72">
        <v>5.5615252842260903E-4</v>
      </c>
      <c r="M72">
        <v>37</v>
      </c>
      <c r="N72">
        <v>250000</v>
      </c>
      <c r="O72" t="str">
        <f t="shared" si="7"/>
        <v>37_250000</v>
      </c>
      <c r="P72" s="20">
        <v>3.1502979782668458E-3</v>
      </c>
    </row>
    <row r="73" spans="1:16" x14ac:dyDescent="0.25">
      <c r="A73">
        <v>38</v>
      </c>
      <c r="B73">
        <v>100000</v>
      </c>
      <c r="C73" t="str">
        <f t="shared" si="4"/>
        <v>38_100000</v>
      </c>
      <c r="D73">
        <v>1.238027889619938E-4</v>
      </c>
      <c r="E73">
        <v>37</v>
      </c>
      <c r="F73">
        <v>500000</v>
      </c>
      <c r="G73" t="str">
        <f t="shared" si="5"/>
        <v>37_500000</v>
      </c>
      <c r="H73">
        <v>3.143577640614272E-3</v>
      </c>
      <c r="I73" s="19">
        <v>37</v>
      </c>
      <c r="J73">
        <v>500000</v>
      </c>
      <c r="K73" t="str">
        <f t="shared" si="6"/>
        <v>37_500000</v>
      </c>
      <c r="L73">
        <v>5.3479279288061476E-4</v>
      </c>
      <c r="M73">
        <v>37</v>
      </c>
      <c r="N73">
        <v>500000</v>
      </c>
      <c r="O73" t="str">
        <f t="shared" si="7"/>
        <v>37_500000</v>
      </c>
      <c r="P73" s="20">
        <v>3.0111898510920571E-3</v>
      </c>
    </row>
    <row r="74" spans="1:16" x14ac:dyDescent="0.25">
      <c r="A74">
        <v>38</v>
      </c>
      <c r="B74">
        <v>250000</v>
      </c>
      <c r="C74" t="str">
        <f t="shared" si="4"/>
        <v>38_250000</v>
      </c>
      <c r="D74">
        <v>1.5593655136780771E-4</v>
      </c>
      <c r="E74">
        <v>37</v>
      </c>
      <c r="F74">
        <v>1000000</v>
      </c>
      <c r="G74" t="str">
        <f t="shared" si="5"/>
        <v>37_1000000</v>
      </c>
      <c r="H74">
        <v>2.3468830135156249E-3</v>
      </c>
      <c r="I74" s="19">
        <v>37</v>
      </c>
      <c r="J74">
        <v>1000000</v>
      </c>
      <c r="K74" t="str">
        <f t="shared" si="6"/>
        <v>37_1000000</v>
      </c>
      <c r="L74">
        <v>3.4960967175571222E-4</v>
      </c>
      <c r="M74">
        <v>37</v>
      </c>
      <c r="N74">
        <v>1000000</v>
      </c>
      <c r="O74" t="str">
        <f t="shared" si="7"/>
        <v>37_1000000</v>
      </c>
      <c r="P74" s="20">
        <v>2.6604066727121509E-3</v>
      </c>
    </row>
    <row r="75" spans="1:16" x14ac:dyDescent="0.25">
      <c r="A75">
        <v>38</v>
      </c>
      <c r="B75">
        <v>500000</v>
      </c>
      <c r="C75" t="str">
        <f t="shared" si="4"/>
        <v>38_500000</v>
      </c>
      <c r="D75">
        <v>1.170173580825844E-4</v>
      </c>
      <c r="E75">
        <v>37</v>
      </c>
      <c r="F75">
        <v>2000000</v>
      </c>
      <c r="G75" t="str">
        <f t="shared" si="5"/>
        <v>37_2000000</v>
      </c>
      <c r="H75">
        <v>1.8492204519046189E-3</v>
      </c>
      <c r="I75" s="19">
        <v>37</v>
      </c>
      <c r="J75">
        <v>2000000</v>
      </c>
      <c r="K75" t="str">
        <f t="shared" si="6"/>
        <v>37_2000000</v>
      </c>
      <c r="L75">
        <v>1.8842158541355309E-4</v>
      </c>
      <c r="M75">
        <v>37</v>
      </c>
      <c r="N75">
        <v>2000000</v>
      </c>
      <c r="O75" t="str">
        <f t="shared" si="7"/>
        <v>37_2000000</v>
      </c>
      <c r="P75" s="20">
        <v>2.476230352078597E-3</v>
      </c>
    </row>
    <row r="76" spans="1:16" x14ac:dyDescent="0.25">
      <c r="A76">
        <v>38</v>
      </c>
      <c r="B76">
        <v>1000000</v>
      </c>
      <c r="C76" t="str">
        <f t="shared" si="4"/>
        <v>38_1000000</v>
      </c>
      <c r="D76">
        <v>7.2473786826840629E-5</v>
      </c>
      <c r="E76">
        <v>38</v>
      </c>
      <c r="F76">
        <v>50000</v>
      </c>
      <c r="G76" t="str">
        <f t="shared" si="5"/>
        <v>38_50000</v>
      </c>
      <c r="H76">
        <v>2.027820584912137E-3</v>
      </c>
      <c r="I76" s="19">
        <v>38</v>
      </c>
      <c r="J76">
        <v>50000</v>
      </c>
      <c r="K76" t="str">
        <f t="shared" si="6"/>
        <v>38_50000</v>
      </c>
      <c r="L76">
        <v>4.5786523909007419E-4</v>
      </c>
      <c r="M76">
        <v>38</v>
      </c>
      <c r="N76">
        <v>50000</v>
      </c>
      <c r="O76" t="str">
        <f t="shared" si="7"/>
        <v>38_50000</v>
      </c>
      <c r="P76" s="20">
        <v>2.364277328674981E-3</v>
      </c>
    </row>
    <row r="77" spans="1:16" x14ac:dyDescent="0.25">
      <c r="A77">
        <v>39</v>
      </c>
      <c r="B77">
        <v>50000</v>
      </c>
      <c r="C77" t="str">
        <f t="shared" si="4"/>
        <v>39_50000</v>
      </c>
      <c r="D77">
        <v>1.3063070751182941E-4</v>
      </c>
      <c r="E77">
        <v>38</v>
      </c>
      <c r="F77">
        <v>100000</v>
      </c>
      <c r="G77" t="str">
        <f t="shared" si="5"/>
        <v>38_100000</v>
      </c>
      <c r="H77">
        <v>2.010540252564232E-3</v>
      </c>
      <c r="I77" s="19">
        <v>38</v>
      </c>
      <c r="J77">
        <v>100000</v>
      </c>
      <c r="K77" t="str">
        <f t="shared" si="6"/>
        <v>38_100000</v>
      </c>
      <c r="L77">
        <v>4.3843792481105469E-4</v>
      </c>
      <c r="M77">
        <v>38</v>
      </c>
      <c r="N77">
        <v>100000</v>
      </c>
      <c r="O77" t="str">
        <f t="shared" si="7"/>
        <v>38_100000</v>
      </c>
      <c r="P77" s="20">
        <v>2.392663787215235E-3</v>
      </c>
    </row>
    <row r="78" spans="1:16" x14ac:dyDescent="0.25">
      <c r="A78">
        <v>39</v>
      </c>
      <c r="B78">
        <v>100000</v>
      </c>
      <c r="C78" t="str">
        <f t="shared" si="4"/>
        <v>39_100000</v>
      </c>
      <c r="D78">
        <v>1.0604916232317521E-4</v>
      </c>
      <c r="E78">
        <v>38</v>
      </c>
      <c r="F78">
        <v>250000</v>
      </c>
      <c r="G78" t="str">
        <f t="shared" si="5"/>
        <v>38_250000</v>
      </c>
      <c r="H78">
        <v>3.0752335202841679E-3</v>
      </c>
      <c r="I78" s="19">
        <v>38</v>
      </c>
      <c r="J78">
        <v>250000</v>
      </c>
      <c r="K78" t="str">
        <f t="shared" si="6"/>
        <v>38_250000</v>
      </c>
      <c r="L78">
        <v>5.4775424998320906E-4</v>
      </c>
      <c r="M78">
        <v>38</v>
      </c>
      <c r="N78">
        <v>250000</v>
      </c>
      <c r="O78" t="str">
        <f t="shared" si="7"/>
        <v>38_250000</v>
      </c>
      <c r="P78" s="20">
        <v>3.0210487108944741E-3</v>
      </c>
    </row>
    <row r="79" spans="1:16" x14ac:dyDescent="0.25">
      <c r="A79">
        <v>39</v>
      </c>
      <c r="B79">
        <v>250000</v>
      </c>
      <c r="C79" t="str">
        <f t="shared" si="4"/>
        <v>39_250000</v>
      </c>
      <c r="D79">
        <v>1.2595491716482001E-4</v>
      </c>
      <c r="E79">
        <v>38</v>
      </c>
      <c r="F79">
        <v>500000</v>
      </c>
      <c r="G79" t="str">
        <f t="shared" si="5"/>
        <v>38_500000</v>
      </c>
      <c r="H79">
        <v>3.1937695413197459E-3</v>
      </c>
      <c r="I79" s="19">
        <v>38</v>
      </c>
      <c r="J79">
        <v>500000</v>
      </c>
      <c r="K79" t="str">
        <f t="shared" si="6"/>
        <v>38_500000</v>
      </c>
      <c r="L79">
        <v>5.1537995463574356E-4</v>
      </c>
      <c r="M79">
        <v>38</v>
      </c>
      <c r="N79">
        <v>500000</v>
      </c>
      <c r="O79" t="str">
        <f t="shared" si="7"/>
        <v>38_500000</v>
      </c>
      <c r="P79" s="20">
        <v>2.9486162570354401E-3</v>
      </c>
    </row>
    <row r="80" spans="1:16" x14ac:dyDescent="0.25">
      <c r="A80">
        <v>39</v>
      </c>
      <c r="B80">
        <v>500000</v>
      </c>
      <c r="C80" t="str">
        <f t="shared" si="4"/>
        <v>39_500000</v>
      </c>
      <c r="D80">
        <v>1.11940726772711E-4</v>
      </c>
      <c r="E80">
        <v>38</v>
      </c>
      <c r="F80">
        <v>1000000</v>
      </c>
      <c r="G80" t="str">
        <f t="shared" si="5"/>
        <v>38_1000000</v>
      </c>
      <c r="H80">
        <v>2.3412770398249742E-3</v>
      </c>
      <c r="I80" s="19">
        <v>38</v>
      </c>
      <c r="J80">
        <v>1000000</v>
      </c>
      <c r="K80" t="str">
        <f t="shared" si="6"/>
        <v>38_1000000</v>
      </c>
      <c r="L80">
        <v>3.4674259686256039E-4</v>
      </c>
      <c r="M80">
        <v>38</v>
      </c>
      <c r="N80">
        <v>1000000</v>
      </c>
      <c r="O80" t="str">
        <f t="shared" si="7"/>
        <v>38_1000000</v>
      </c>
      <c r="P80" s="20">
        <v>2.5717712988517541E-3</v>
      </c>
    </row>
    <row r="81" spans="1:16" x14ac:dyDescent="0.25">
      <c r="A81">
        <v>39</v>
      </c>
      <c r="B81">
        <v>1000000</v>
      </c>
      <c r="C81" t="str">
        <f t="shared" si="4"/>
        <v>39_1000000</v>
      </c>
      <c r="D81">
        <v>6.8319270144212699E-5</v>
      </c>
      <c r="E81">
        <v>38</v>
      </c>
      <c r="F81">
        <v>2000000</v>
      </c>
      <c r="G81" t="str">
        <f t="shared" si="5"/>
        <v>38_2000000</v>
      </c>
      <c r="H81">
        <v>1.8601410962519581E-3</v>
      </c>
      <c r="I81" s="19">
        <v>38</v>
      </c>
      <c r="J81">
        <v>2000000</v>
      </c>
      <c r="K81" t="str">
        <f t="shared" si="6"/>
        <v>38_2000000</v>
      </c>
      <c r="L81">
        <v>1.8381207639087661E-4</v>
      </c>
      <c r="M81">
        <v>38</v>
      </c>
      <c r="N81">
        <v>2000000</v>
      </c>
      <c r="O81" t="str">
        <f t="shared" si="7"/>
        <v>38_2000000</v>
      </c>
      <c r="P81" s="20">
        <v>2.5539595903329168E-3</v>
      </c>
    </row>
    <row r="82" spans="1:16" x14ac:dyDescent="0.25">
      <c r="A82">
        <v>40</v>
      </c>
      <c r="B82">
        <v>50000</v>
      </c>
      <c r="C82" t="str">
        <f t="shared" si="4"/>
        <v>40_50000</v>
      </c>
      <c r="D82">
        <v>1.1544466612158569E-4</v>
      </c>
      <c r="E82">
        <v>39</v>
      </c>
      <c r="F82">
        <v>50000</v>
      </c>
      <c r="G82" t="str">
        <f t="shared" si="5"/>
        <v>39_50000</v>
      </c>
      <c r="H82">
        <v>2.040005969604491E-3</v>
      </c>
      <c r="I82" s="19">
        <v>39</v>
      </c>
      <c r="J82">
        <v>50000</v>
      </c>
      <c r="K82" t="str">
        <f t="shared" si="6"/>
        <v>39_50000</v>
      </c>
      <c r="L82">
        <v>4.0781998029737899E-4</v>
      </c>
      <c r="M82">
        <v>39</v>
      </c>
      <c r="N82">
        <v>50000</v>
      </c>
      <c r="O82" t="str">
        <f t="shared" si="7"/>
        <v>39_50000</v>
      </c>
      <c r="P82" s="20">
        <v>2.4294391592515449E-3</v>
      </c>
    </row>
    <row r="83" spans="1:16" x14ac:dyDescent="0.25">
      <c r="A83">
        <v>40</v>
      </c>
      <c r="B83">
        <v>100000</v>
      </c>
      <c r="C83" t="str">
        <f t="shared" si="4"/>
        <v>40_100000</v>
      </c>
      <c r="D83">
        <v>1.198488441782253E-4</v>
      </c>
      <c r="E83">
        <v>39</v>
      </c>
      <c r="F83">
        <v>100000</v>
      </c>
      <c r="G83" t="str">
        <f t="shared" si="5"/>
        <v>39_100000</v>
      </c>
      <c r="H83">
        <v>2.1099158664930279E-3</v>
      </c>
      <c r="I83" s="19">
        <v>39</v>
      </c>
      <c r="J83">
        <v>100000</v>
      </c>
      <c r="K83" t="str">
        <f t="shared" si="6"/>
        <v>39_100000</v>
      </c>
      <c r="L83">
        <v>4.2912207780867881E-4</v>
      </c>
      <c r="M83">
        <v>39</v>
      </c>
      <c r="N83">
        <v>100000</v>
      </c>
      <c r="O83" t="str">
        <f t="shared" si="7"/>
        <v>39_100000</v>
      </c>
      <c r="P83" s="20">
        <v>2.405745691998112E-3</v>
      </c>
    </row>
    <row r="84" spans="1:16" x14ac:dyDescent="0.25">
      <c r="A84">
        <v>40</v>
      </c>
      <c r="B84">
        <v>250000</v>
      </c>
      <c r="C84" t="str">
        <f t="shared" si="4"/>
        <v>40_250000</v>
      </c>
      <c r="D84">
        <v>1.0997137195877991E-4</v>
      </c>
      <c r="E84">
        <v>39</v>
      </c>
      <c r="F84">
        <v>250000</v>
      </c>
      <c r="G84" t="str">
        <f t="shared" si="5"/>
        <v>39_250000</v>
      </c>
      <c r="H84">
        <v>3.101657642619899E-3</v>
      </c>
      <c r="I84" s="19">
        <v>39</v>
      </c>
      <c r="J84">
        <v>250000</v>
      </c>
      <c r="K84" t="str">
        <f t="shared" si="6"/>
        <v>39_250000</v>
      </c>
      <c r="L84">
        <v>4.8187739580741231E-4</v>
      </c>
      <c r="M84">
        <v>39</v>
      </c>
      <c r="N84">
        <v>250000</v>
      </c>
      <c r="O84" t="str">
        <f t="shared" si="7"/>
        <v>39_250000</v>
      </c>
      <c r="P84" s="20">
        <v>2.9602035665077602E-3</v>
      </c>
    </row>
    <row r="85" spans="1:16" x14ac:dyDescent="0.25">
      <c r="A85">
        <v>40</v>
      </c>
      <c r="B85">
        <v>500000</v>
      </c>
      <c r="C85" t="str">
        <f t="shared" si="4"/>
        <v>40_500000</v>
      </c>
      <c r="D85">
        <v>1.203690935820299E-4</v>
      </c>
      <c r="E85">
        <v>39</v>
      </c>
      <c r="F85">
        <v>500000</v>
      </c>
      <c r="G85" t="str">
        <f t="shared" si="5"/>
        <v>39_500000</v>
      </c>
      <c r="H85">
        <v>3.061671306919402E-3</v>
      </c>
      <c r="I85" s="19">
        <v>39</v>
      </c>
      <c r="J85">
        <v>500000</v>
      </c>
      <c r="K85" t="str">
        <f t="shared" si="6"/>
        <v>39_500000</v>
      </c>
      <c r="L85">
        <v>4.774445714205258E-4</v>
      </c>
      <c r="M85">
        <v>39</v>
      </c>
      <c r="N85">
        <v>500000</v>
      </c>
      <c r="O85" t="str">
        <f t="shared" si="7"/>
        <v>39_500000</v>
      </c>
      <c r="P85" s="20">
        <v>3.0151468203761492E-3</v>
      </c>
    </row>
    <row r="86" spans="1:16" x14ac:dyDescent="0.25">
      <c r="A86">
        <v>40</v>
      </c>
      <c r="B86">
        <v>1000000</v>
      </c>
      <c r="C86" t="str">
        <f t="shared" si="4"/>
        <v>40_1000000</v>
      </c>
      <c r="D86">
        <v>6.6876731625604191E-5</v>
      </c>
      <c r="E86">
        <v>39</v>
      </c>
      <c r="F86">
        <v>1000000</v>
      </c>
      <c r="G86" t="str">
        <f t="shared" si="5"/>
        <v>39_1000000</v>
      </c>
      <c r="H86">
        <v>2.345019136662897E-3</v>
      </c>
      <c r="I86" s="19">
        <v>39</v>
      </c>
      <c r="J86">
        <v>1000000</v>
      </c>
      <c r="K86" t="str">
        <f t="shared" si="6"/>
        <v>39_1000000</v>
      </c>
      <c r="L86">
        <v>3.3393337484175932E-4</v>
      </c>
      <c r="M86">
        <v>39</v>
      </c>
      <c r="N86">
        <v>1000000</v>
      </c>
      <c r="O86" t="str">
        <f t="shared" si="7"/>
        <v>39_1000000</v>
      </c>
      <c r="P86" s="20">
        <v>2.6055111882337511E-3</v>
      </c>
    </row>
    <row r="87" spans="1:16" x14ac:dyDescent="0.25">
      <c r="A87">
        <v>41</v>
      </c>
      <c r="B87">
        <v>50000</v>
      </c>
      <c r="C87" t="str">
        <f t="shared" si="4"/>
        <v>41_50000</v>
      </c>
      <c r="D87">
        <v>1.2207260436041949E-4</v>
      </c>
      <c r="E87">
        <v>39</v>
      </c>
      <c r="F87">
        <v>2000000</v>
      </c>
      <c r="G87" t="str">
        <f t="shared" si="5"/>
        <v>39_2000000</v>
      </c>
      <c r="H87">
        <v>1.928522250214769E-3</v>
      </c>
      <c r="I87" s="19">
        <v>39</v>
      </c>
      <c r="J87">
        <v>2000000</v>
      </c>
      <c r="K87" t="str">
        <f t="shared" si="6"/>
        <v>39_2000000</v>
      </c>
      <c r="L87">
        <v>1.341903373842996E-4</v>
      </c>
      <c r="M87">
        <v>39</v>
      </c>
      <c r="N87">
        <v>2000000</v>
      </c>
      <c r="O87" t="str">
        <f t="shared" si="7"/>
        <v>39_2000000</v>
      </c>
      <c r="P87" s="20">
        <v>2.5704879552716489E-3</v>
      </c>
    </row>
    <row r="88" spans="1:16" x14ac:dyDescent="0.25">
      <c r="A88">
        <v>41</v>
      </c>
      <c r="B88">
        <v>100000</v>
      </c>
      <c r="C88" t="str">
        <f t="shared" si="4"/>
        <v>41_100000</v>
      </c>
      <c r="D88">
        <v>9.848330375232551E-5</v>
      </c>
      <c r="E88">
        <v>40</v>
      </c>
      <c r="F88">
        <v>50000</v>
      </c>
      <c r="G88" t="str">
        <f t="shared" si="5"/>
        <v>40_50000</v>
      </c>
      <c r="H88">
        <v>2.1893802497501441E-3</v>
      </c>
      <c r="I88" s="19">
        <v>40</v>
      </c>
      <c r="J88">
        <v>50000</v>
      </c>
      <c r="K88" t="str">
        <f t="shared" si="6"/>
        <v>40_50000</v>
      </c>
      <c r="L88">
        <v>4.5292504785849968E-4</v>
      </c>
      <c r="M88">
        <v>40</v>
      </c>
      <c r="N88">
        <v>50000</v>
      </c>
      <c r="O88" t="str">
        <f t="shared" si="7"/>
        <v>40_50000</v>
      </c>
      <c r="P88" s="20">
        <v>2.3808117140563219E-3</v>
      </c>
    </row>
    <row r="89" spans="1:16" x14ac:dyDescent="0.25">
      <c r="A89">
        <v>41</v>
      </c>
      <c r="B89">
        <v>250000</v>
      </c>
      <c r="C89" t="str">
        <f t="shared" si="4"/>
        <v>41_250000</v>
      </c>
      <c r="D89">
        <v>1.1942059584847439E-4</v>
      </c>
      <c r="E89">
        <v>40</v>
      </c>
      <c r="F89">
        <v>100000</v>
      </c>
      <c r="G89" t="str">
        <f t="shared" si="5"/>
        <v>40_100000</v>
      </c>
      <c r="H89">
        <v>2.0173821412327831E-3</v>
      </c>
      <c r="I89" s="19">
        <v>40</v>
      </c>
      <c r="J89">
        <v>100000</v>
      </c>
      <c r="K89" t="str">
        <f t="shared" si="6"/>
        <v>40_100000</v>
      </c>
      <c r="L89">
        <v>4.0152550000488799E-4</v>
      </c>
      <c r="M89">
        <v>40</v>
      </c>
      <c r="N89">
        <v>100000</v>
      </c>
      <c r="O89" t="str">
        <f t="shared" si="7"/>
        <v>40_100000</v>
      </c>
      <c r="P89" s="20">
        <v>2.4313388158265139E-3</v>
      </c>
    </row>
    <row r="90" spans="1:16" x14ac:dyDescent="0.25">
      <c r="A90">
        <v>41</v>
      </c>
      <c r="B90">
        <v>500000</v>
      </c>
      <c r="C90" t="str">
        <f t="shared" si="4"/>
        <v>41_500000</v>
      </c>
      <c r="D90">
        <v>7.6026702659270267E-5</v>
      </c>
      <c r="E90">
        <v>40</v>
      </c>
      <c r="F90">
        <v>250000</v>
      </c>
      <c r="G90" t="str">
        <f t="shared" si="5"/>
        <v>40_250000</v>
      </c>
      <c r="H90">
        <v>3.0415582417153168E-3</v>
      </c>
      <c r="I90" s="19">
        <v>40</v>
      </c>
      <c r="J90">
        <v>250000</v>
      </c>
      <c r="K90" t="str">
        <f t="shared" si="6"/>
        <v>40_250000</v>
      </c>
      <c r="L90">
        <v>4.7940899222325063E-4</v>
      </c>
      <c r="M90">
        <v>40</v>
      </c>
      <c r="N90">
        <v>250000</v>
      </c>
      <c r="O90" t="str">
        <f t="shared" si="7"/>
        <v>40_250000</v>
      </c>
      <c r="P90" s="20">
        <v>3.0670499575278479E-3</v>
      </c>
    </row>
    <row r="91" spans="1:16" x14ac:dyDescent="0.25">
      <c r="A91">
        <v>41</v>
      </c>
      <c r="B91">
        <v>1000000</v>
      </c>
      <c r="C91" t="str">
        <f t="shared" si="4"/>
        <v>41_1000000</v>
      </c>
      <c r="D91">
        <v>6.2524072783411744E-5</v>
      </c>
      <c r="E91">
        <v>40</v>
      </c>
      <c r="F91">
        <v>500000</v>
      </c>
      <c r="G91" t="str">
        <f t="shared" si="5"/>
        <v>40_500000</v>
      </c>
      <c r="H91">
        <v>2.9954271324784021E-3</v>
      </c>
      <c r="I91" s="19">
        <v>40</v>
      </c>
      <c r="J91">
        <v>500000</v>
      </c>
      <c r="K91" t="str">
        <f t="shared" si="6"/>
        <v>40_500000</v>
      </c>
      <c r="L91">
        <v>4.9975786755244425E-4</v>
      </c>
      <c r="M91">
        <v>40</v>
      </c>
      <c r="N91">
        <v>500000</v>
      </c>
      <c r="O91" t="str">
        <f t="shared" si="7"/>
        <v>40_500000</v>
      </c>
      <c r="P91" s="20">
        <v>3.017536875506589E-3</v>
      </c>
    </row>
    <row r="92" spans="1:16" x14ac:dyDescent="0.25">
      <c r="A92">
        <v>41</v>
      </c>
      <c r="B92">
        <v>2000000</v>
      </c>
      <c r="C92" t="str">
        <f t="shared" si="4"/>
        <v>41_2000000</v>
      </c>
      <c r="D92">
        <v>6.4375135101912045E-5</v>
      </c>
      <c r="E92">
        <v>40</v>
      </c>
      <c r="F92">
        <v>1000000</v>
      </c>
      <c r="G92" t="str">
        <f t="shared" si="5"/>
        <v>40_1000000</v>
      </c>
      <c r="H92">
        <v>2.388886967649718E-3</v>
      </c>
      <c r="I92" s="19">
        <v>40</v>
      </c>
      <c r="J92">
        <v>1000000</v>
      </c>
      <c r="K92" t="str">
        <f t="shared" si="6"/>
        <v>40_1000000</v>
      </c>
      <c r="L92">
        <v>2.7122520225466012E-4</v>
      </c>
      <c r="M92">
        <v>40</v>
      </c>
      <c r="N92">
        <v>1000000</v>
      </c>
      <c r="O92" t="str">
        <f t="shared" si="7"/>
        <v>40_1000000</v>
      </c>
      <c r="P92" s="20">
        <v>2.5284313658465469E-3</v>
      </c>
    </row>
    <row r="93" spans="1:16" x14ac:dyDescent="0.25">
      <c r="A93">
        <v>42</v>
      </c>
      <c r="B93">
        <v>50000</v>
      </c>
      <c r="C93" t="str">
        <f t="shared" si="4"/>
        <v>42_50000</v>
      </c>
      <c r="D93">
        <v>1.125613495669961E-4</v>
      </c>
      <c r="E93">
        <v>40</v>
      </c>
      <c r="F93">
        <v>2000000</v>
      </c>
      <c r="G93" t="str">
        <f t="shared" si="5"/>
        <v>40_2000000</v>
      </c>
      <c r="H93">
        <v>1.9607502156627501E-3</v>
      </c>
      <c r="I93" s="19">
        <v>40</v>
      </c>
      <c r="J93">
        <v>2000000</v>
      </c>
      <c r="K93" t="str">
        <f t="shared" si="6"/>
        <v>40_2000000</v>
      </c>
      <c r="L93">
        <v>1.2265612823950681E-4</v>
      </c>
      <c r="M93">
        <v>40</v>
      </c>
      <c r="N93">
        <v>2000000</v>
      </c>
      <c r="O93" t="str">
        <f t="shared" si="7"/>
        <v>40_2000000</v>
      </c>
      <c r="P93" s="20">
        <v>2.5055753695685011E-3</v>
      </c>
    </row>
    <row r="94" spans="1:16" x14ac:dyDescent="0.25">
      <c r="A94">
        <v>42</v>
      </c>
      <c r="B94">
        <v>100000</v>
      </c>
      <c r="C94" t="str">
        <f t="shared" si="4"/>
        <v>42_100000</v>
      </c>
      <c r="D94">
        <v>8.7956254503265572E-5</v>
      </c>
      <c r="E94">
        <v>41</v>
      </c>
      <c r="F94">
        <v>50000</v>
      </c>
      <c r="G94" t="str">
        <f t="shared" si="5"/>
        <v>41_50000</v>
      </c>
      <c r="H94">
        <v>2.0313969324383279E-3</v>
      </c>
      <c r="I94" s="19">
        <v>41</v>
      </c>
      <c r="J94">
        <v>50000</v>
      </c>
      <c r="K94" t="str">
        <f t="shared" si="6"/>
        <v>41_50000</v>
      </c>
      <c r="L94">
        <v>4.326238853947673E-4</v>
      </c>
      <c r="M94">
        <v>41</v>
      </c>
      <c r="N94">
        <v>50000</v>
      </c>
      <c r="O94" t="str">
        <f t="shared" si="7"/>
        <v>41_50000</v>
      </c>
      <c r="P94" s="20">
        <v>2.376094817685661E-3</v>
      </c>
    </row>
    <row r="95" spans="1:16" x14ac:dyDescent="0.25">
      <c r="A95">
        <v>42</v>
      </c>
      <c r="B95">
        <v>250000</v>
      </c>
      <c r="C95" t="str">
        <f t="shared" si="4"/>
        <v>42_250000</v>
      </c>
      <c r="D95">
        <v>1.430453822234558E-4</v>
      </c>
      <c r="E95">
        <v>41</v>
      </c>
      <c r="F95">
        <v>100000</v>
      </c>
      <c r="G95" t="str">
        <f t="shared" si="5"/>
        <v>41_100000</v>
      </c>
      <c r="H95">
        <v>2.118462417637957E-3</v>
      </c>
      <c r="I95" s="19">
        <v>41</v>
      </c>
      <c r="J95">
        <v>100000</v>
      </c>
      <c r="K95" t="str">
        <f t="shared" si="6"/>
        <v>41_100000</v>
      </c>
      <c r="L95">
        <v>4.1455146561950263E-4</v>
      </c>
      <c r="M95">
        <v>41</v>
      </c>
      <c r="N95">
        <v>100000</v>
      </c>
      <c r="O95" t="str">
        <f t="shared" si="7"/>
        <v>41_100000</v>
      </c>
      <c r="P95" s="20">
        <v>2.4943678162847628E-3</v>
      </c>
    </row>
    <row r="96" spans="1:16" x14ac:dyDescent="0.25">
      <c r="A96">
        <v>42</v>
      </c>
      <c r="B96">
        <v>500000</v>
      </c>
      <c r="C96" t="str">
        <f t="shared" si="4"/>
        <v>42_500000</v>
      </c>
      <c r="D96">
        <v>8.9421505385830377E-5</v>
      </c>
      <c r="E96">
        <v>41</v>
      </c>
      <c r="F96">
        <v>250000</v>
      </c>
      <c r="G96" t="str">
        <f t="shared" si="5"/>
        <v>41_250000</v>
      </c>
      <c r="H96">
        <v>2.7463324921642778E-3</v>
      </c>
      <c r="I96" s="19">
        <v>41</v>
      </c>
      <c r="J96">
        <v>250000</v>
      </c>
      <c r="K96" t="str">
        <f t="shared" si="6"/>
        <v>41_250000</v>
      </c>
      <c r="L96">
        <v>4.5484829187209701E-4</v>
      </c>
      <c r="M96">
        <v>41</v>
      </c>
      <c r="N96">
        <v>250000</v>
      </c>
      <c r="O96" t="str">
        <f t="shared" si="7"/>
        <v>41_250000</v>
      </c>
      <c r="P96" s="20">
        <v>2.8346638810381282E-3</v>
      </c>
    </row>
    <row r="97" spans="1:16" x14ac:dyDescent="0.25">
      <c r="A97">
        <v>42</v>
      </c>
      <c r="B97">
        <v>1000000</v>
      </c>
      <c r="C97" t="str">
        <f t="shared" si="4"/>
        <v>42_1000000</v>
      </c>
      <c r="D97">
        <v>5.8419712795167323E-5</v>
      </c>
      <c r="E97">
        <v>41</v>
      </c>
      <c r="F97">
        <v>500000</v>
      </c>
      <c r="G97" t="str">
        <f t="shared" si="5"/>
        <v>41_500000</v>
      </c>
      <c r="H97">
        <v>2.9531879333392101E-3</v>
      </c>
      <c r="I97" s="19">
        <v>41</v>
      </c>
      <c r="J97">
        <v>500000</v>
      </c>
      <c r="K97" t="str">
        <f t="shared" si="6"/>
        <v>41_500000</v>
      </c>
      <c r="L97">
        <v>4.2592471119595098E-4</v>
      </c>
      <c r="M97">
        <v>41</v>
      </c>
      <c r="N97">
        <v>500000</v>
      </c>
      <c r="O97" t="str">
        <f t="shared" si="7"/>
        <v>41_500000</v>
      </c>
      <c r="P97" s="20">
        <v>2.948620785730236E-3</v>
      </c>
    </row>
    <row r="98" spans="1:16" x14ac:dyDescent="0.25">
      <c r="A98">
        <v>42</v>
      </c>
      <c r="B98">
        <v>2000000</v>
      </c>
      <c r="C98" t="str">
        <f t="shared" si="4"/>
        <v>42_2000000</v>
      </c>
      <c r="D98">
        <v>6.2777940797887022E-5</v>
      </c>
      <c r="E98">
        <v>41</v>
      </c>
      <c r="F98">
        <v>1000000</v>
      </c>
      <c r="G98" t="str">
        <f t="shared" si="5"/>
        <v>41_1000000</v>
      </c>
      <c r="H98">
        <v>2.3809878302377329E-3</v>
      </c>
      <c r="I98" s="19">
        <v>41</v>
      </c>
      <c r="J98">
        <v>1000000</v>
      </c>
      <c r="K98" t="str">
        <f t="shared" si="6"/>
        <v>41_1000000</v>
      </c>
      <c r="L98">
        <v>3.1231287372965761E-4</v>
      </c>
      <c r="M98">
        <v>41</v>
      </c>
      <c r="N98">
        <v>1000000</v>
      </c>
      <c r="O98" t="str">
        <f t="shared" si="7"/>
        <v>41_1000000</v>
      </c>
      <c r="P98" s="20">
        <v>2.7137085488062292E-3</v>
      </c>
    </row>
    <row r="99" spans="1:16" x14ac:dyDescent="0.25">
      <c r="A99">
        <v>43</v>
      </c>
      <c r="B99">
        <v>50000</v>
      </c>
      <c r="C99" t="str">
        <f t="shared" si="4"/>
        <v>43_50000</v>
      </c>
      <c r="D99">
        <v>7.5425776086990629E-5</v>
      </c>
      <c r="E99">
        <v>41</v>
      </c>
      <c r="F99">
        <v>2000000</v>
      </c>
      <c r="G99" t="str">
        <f t="shared" si="5"/>
        <v>41_2000000</v>
      </c>
      <c r="H99">
        <v>1.873570939819961E-3</v>
      </c>
      <c r="I99" s="19">
        <v>41</v>
      </c>
      <c r="J99">
        <v>2000000</v>
      </c>
      <c r="K99" t="str">
        <f t="shared" si="6"/>
        <v>41_2000000</v>
      </c>
      <c r="L99">
        <v>1.7674914661529461E-4</v>
      </c>
      <c r="M99">
        <v>41</v>
      </c>
      <c r="N99">
        <v>2000000</v>
      </c>
      <c r="O99" t="str">
        <f t="shared" si="7"/>
        <v>41_2000000</v>
      </c>
      <c r="P99" s="20">
        <v>2.5576001302199361E-3</v>
      </c>
    </row>
    <row r="100" spans="1:16" x14ac:dyDescent="0.25">
      <c r="A100">
        <v>43</v>
      </c>
      <c r="B100">
        <v>100000</v>
      </c>
      <c r="C100" t="str">
        <f t="shared" si="4"/>
        <v>43_100000</v>
      </c>
      <c r="D100">
        <v>1.188758334364933E-4</v>
      </c>
      <c r="E100">
        <v>42</v>
      </c>
      <c r="F100">
        <v>50000</v>
      </c>
      <c r="G100" t="str">
        <f t="shared" si="5"/>
        <v>42_50000</v>
      </c>
      <c r="H100">
        <v>2.059268027513929E-3</v>
      </c>
      <c r="I100" s="19">
        <v>42</v>
      </c>
      <c r="J100">
        <v>50000</v>
      </c>
      <c r="K100" t="str">
        <f t="shared" si="6"/>
        <v>42_50000</v>
      </c>
      <c r="L100">
        <v>4.6007741609395918E-4</v>
      </c>
      <c r="M100">
        <v>42</v>
      </c>
      <c r="N100">
        <v>50000</v>
      </c>
      <c r="O100" t="str">
        <f t="shared" si="7"/>
        <v>42_50000</v>
      </c>
      <c r="P100" s="20">
        <v>2.4590400115729969E-3</v>
      </c>
    </row>
    <row r="101" spans="1:16" x14ac:dyDescent="0.25">
      <c r="A101">
        <v>43</v>
      </c>
      <c r="B101">
        <v>250000</v>
      </c>
      <c r="C101" t="str">
        <f t="shared" si="4"/>
        <v>43_250000</v>
      </c>
      <c r="D101">
        <v>9.7185176790781191E-5</v>
      </c>
      <c r="E101">
        <v>42</v>
      </c>
      <c r="F101">
        <v>100000</v>
      </c>
      <c r="G101" t="str">
        <f t="shared" si="5"/>
        <v>42_100000</v>
      </c>
      <c r="H101">
        <v>2.16185801612851E-3</v>
      </c>
      <c r="I101" s="19">
        <v>42</v>
      </c>
      <c r="J101">
        <v>100000</v>
      </c>
      <c r="K101" t="str">
        <f t="shared" si="6"/>
        <v>42_100000</v>
      </c>
      <c r="L101">
        <v>3.8726176787839652E-4</v>
      </c>
      <c r="M101">
        <v>42</v>
      </c>
      <c r="N101">
        <v>100000</v>
      </c>
      <c r="O101" t="str">
        <f t="shared" si="7"/>
        <v>42_100000</v>
      </c>
      <c r="P101" s="20">
        <v>2.418903418604948E-3</v>
      </c>
    </row>
    <row r="102" spans="1:16" x14ac:dyDescent="0.25">
      <c r="A102">
        <v>43</v>
      </c>
      <c r="B102">
        <v>500000</v>
      </c>
      <c r="C102" t="str">
        <f t="shared" si="4"/>
        <v>43_500000</v>
      </c>
      <c r="D102">
        <v>8.3727519874023286E-5</v>
      </c>
      <c r="E102">
        <v>42</v>
      </c>
      <c r="F102">
        <v>250000</v>
      </c>
      <c r="G102" t="str">
        <f t="shared" si="5"/>
        <v>42_250000</v>
      </c>
      <c r="H102">
        <v>2.8039490795875562E-3</v>
      </c>
      <c r="I102" s="19">
        <v>42</v>
      </c>
      <c r="J102">
        <v>250000</v>
      </c>
      <c r="K102" t="str">
        <f t="shared" si="6"/>
        <v>42_250000</v>
      </c>
      <c r="L102">
        <v>5.0495198730051035E-4</v>
      </c>
      <c r="M102">
        <v>42</v>
      </c>
      <c r="N102">
        <v>250000</v>
      </c>
      <c r="O102" t="str">
        <f t="shared" si="7"/>
        <v>42_250000</v>
      </c>
      <c r="P102" s="20">
        <v>2.966140607886227E-3</v>
      </c>
    </row>
    <row r="103" spans="1:16" x14ac:dyDescent="0.25">
      <c r="A103">
        <v>43</v>
      </c>
      <c r="B103">
        <v>1000000</v>
      </c>
      <c r="C103" t="str">
        <f t="shared" si="4"/>
        <v>43_1000000</v>
      </c>
      <c r="D103">
        <v>5.1660005330289517E-5</v>
      </c>
      <c r="E103">
        <v>42</v>
      </c>
      <c r="F103">
        <v>500000</v>
      </c>
      <c r="G103" t="str">
        <f t="shared" si="5"/>
        <v>42_500000</v>
      </c>
      <c r="H103">
        <v>2.9933585344098751E-3</v>
      </c>
      <c r="I103" s="19">
        <v>42</v>
      </c>
      <c r="J103">
        <v>500000</v>
      </c>
      <c r="K103" t="str">
        <f t="shared" si="6"/>
        <v>42_500000</v>
      </c>
      <c r="L103">
        <v>4.0509326958923172E-4</v>
      </c>
      <c r="M103">
        <v>42</v>
      </c>
      <c r="N103">
        <v>500000</v>
      </c>
      <c r="O103" t="str">
        <f t="shared" si="7"/>
        <v>42_500000</v>
      </c>
      <c r="P103" s="20">
        <v>3.0605478100890278E-3</v>
      </c>
    </row>
    <row r="104" spans="1:16" x14ac:dyDescent="0.25">
      <c r="A104">
        <v>43</v>
      </c>
      <c r="B104">
        <v>2000000</v>
      </c>
      <c r="C104" t="str">
        <f t="shared" si="4"/>
        <v>43_2000000</v>
      </c>
      <c r="D104">
        <v>5.2219907589681262E-5</v>
      </c>
      <c r="E104">
        <v>42</v>
      </c>
      <c r="F104">
        <v>1000000</v>
      </c>
      <c r="G104" t="str">
        <f t="shared" si="5"/>
        <v>42_1000000</v>
      </c>
      <c r="H104">
        <v>2.3860277809175821E-3</v>
      </c>
      <c r="I104" s="19">
        <v>42</v>
      </c>
      <c r="J104">
        <v>1000000</v>
      </c>
      <c r="K104" t="str">
        <f t="shared" si="6"/>
        <v>42_1000000</v>
      </c>
      <c r="L104">
        <v>3.2909047942918291E-4</v>
      </c>
      <c r="M104">
        <v>42</v>
      </c>
      <c r="N104">
        <v>1000000</v>
      </c>
      <c r="O104" t="str">
        <f t="shared" si="7"/>
        <v>42_1000000</v>
      </c>
      <c r="P104" s="20">
        <v>2.623779802773132E-3</v>
      </c>
    </row>
    <row r="105" spans="1:16" x14ac:dyDescent="0.25">
      <c r="A105">
        <v>44</v>
      </c>
      <c r="B105">
        <v>50000</v>
      </c>
      <c r="C105" t="str">
        <f t="shared" si="4"/>
        <v>44_50000</v>
      </c>
      <c r="D105">
        <v>8.2158340674050529E-5</v>
      </c>
      <c r="E105">
        <v>42</v>
      </c>
      <c r="F105">
        <v>2000000</v>
      </c>
      <c r="G105" t="str">
        <f t="shared" si="5"/>
        <v>42_2000000</v>
      </c>
      <c r="H105">
        <v>1.9857173864215711E-3</v>
      </c>
      <c r="I105" s="19">
        <v>42</v>
      </c>
      <c r="J105">
        <v>2000000</v>
      </c>
      <c r="K105" t="str">
        <f t="shared" si="6"/>
        <v>42_2000000</v>
      </c>
      <c r="L105">
        <v>1.4989403975871601E-4</v>
      </c>
      <c r="M105">
        <v>42</v>
      </c>
      <c r="N105">
        <v>2000000</v>
      </c>
      <c r="O105" t="str">
        <f t="shared" si="7"/>
        <v>42_2000000</v>
      </c>
      <c r="P105" s="20">
        <v>2.6622233364380849E-3</v>
      </c>
    </row>
    <row r="106" spans="1:16" x14ac:dyDescent="0.25">
      <c r="A106">
        <v>44</v>
      </c>
      <c r="B106">
        <v>100000</v>
      </c>
      <c r="C106" t="str">
        <f t="shared" si="4"/>
        <v>44_100000</v>
      </c>
      <c r="D106">
        <v>8.1308356265686306E-5</v>
      </c>
      <c r="E106">
        <v>43</v>
      </c>
      <c r="F106">
        <v>50000</v>
      </c>
      <c r="G106" t="str">
        <f t="shared" si="5"/>
        <v>43_50000</v>
      </c>
      <c r="H106">
        <v>2.2355217031471051E-3</v>
      </c>
      <c r="I106" s="19">
        <v>43</v>
      </c>
      <c r="J106">
        <v>50000</v>
      </c>
      <c r="K106" t="str">
        <f t="shared" si="6"/>
        <v>43_50000</v>
      </c>
      <c r="L106">
        <v>4.5863508309304339E-4</v>
      </c>
      <c r="M106">
        <v>43</v>
      </c>
      <c r="N106">
        <v>50000</v>
      </c>
      <c r="O106" t="str">
        <f t="shared" si="7"/>
        <v>43_50000</v>
      </c>
      <c r="P106" s="20">
        <v>2.4459820189519569E-3</v>
      </c>
    </row>
    <row r="107" spans="1:16" x14ac:dyDescent="0.25">
      <c r="A107">
        <v>44</v>
      </c>
      <c r="B107">
        <v>250000</v>
      </c>
      <c r="C107" t="str">
        <f t="shared" si="4"/>
        <v>44_250000</v>
      </c>
      <c r="D107">
        <v>8.8779529707496723E-5</v>
      </c>
      <c r="E107">
        <v>43</v>
      </c>
      <c r="F107">
        <v>100000</v>
      </c>
      <c r="G107" t="str">
        <f t="shared" si="5"/>
        <v>43_100000</v>
      </c>
      <c r="H107">
        <v>2.2148050087603629E-3</v>
      </c>
      <c r="I107" s="19">
        <v>43</v>
      </c>
      <c r="J107">
        <v>100000</v>
      </c>
      <c r="K107" t="str">
        <f t="shared" si="6"/>
        <v>43_100000</v>
      </c>
      <c r="L107">
        <v>4.4270568558477439E-4</v>
      </c>
      <c r="M107">
        <v>43</v>
      </c>
      <c r="N107">
        <v>100000</v>
      </c>
      <c r="O107" t="str">
        <f t="shared" si="7"/>
        <v>43_100000</v>
      </c>
      <c r="P107" s="20">
        <v>2.4694085785480538E-3</v>
      </c>
    </row>
    <row r="108" spans="1:16" x14ac:dyDescent="0.25">
      <c r="A108">
        <v>44</v>
      </c>
      <c r="B108">
        <v>500000</v>
      </c>
      <c r="C108" t="str">
        <f t="shared" si="4"/>
        <v>44_500000</v>
      </c>
      <c r="D108">
        <v>1.068857264841884E-4</v>
      </c>
      <c r="E108">
        <v>43</v>
      </c>
      <c r="F108">
        <v>250000</v>
      </c>
      <c r="G108" t="str">
        <f t="shared" si="5"/>
        <v>43_250000</v>
      </c>
      <c r="H108">
        <v>2.9775373108923571E-3</v>
      </c>
      <c r="I108" s="19">
        <v>43</v>
      </c>
      <c r="J108">
        <v>250000</v>
      </c>
      <c r="K108" t="str">
        <f t="shared" si="6"/>
        <v>43_250000</v>
      </c>
      <c r="L108">
        <v>4.2244492475562788E-4</v>
      </c>
      <c r="M108">
        <v>43</v>
      </c>
      <c r="N108">
        <v>250000</v>
      </c>
      <c r="O108" t="str">
        <f t="shared" si="7"/>
        <v>43_250000</v>
      </c>
      <c r="P108" s="20">
        <v>2.9090451778964639E-3</v>
      </c>
    </row>
    <row r="109" spans="1:16" x14ac:dyDescent="0.25">
      <c r="A109">
        <v>44</v>
      </c>
      <c r="B109">
        <v>1000000</v>
      </c>
      <c r="C109" t="str">
        <f t="shared" si="4"/>
        <v>44_1000000</v>
      </c>
      <c r="D109">
        <v>5.9651542423216059E-5</v>
      </c>
      <c r="E109">
        <v>43</v>
      </c>
      <c r="F109">
        <v>500000</v>
      </c>
      <c r="G109" t="str">
        <f t="shared" si="5"/>
        <v>43_500000</v>
      </c>
      <c r="H109">
        <v>2.864279011156511E-3</v>
      </c>
      <c r="I109" s="19">
        <v>43</v>
      </c>
      <c r="J109">
        <v>500000</v>
      </c>
      <c r="K109" t="str">
        <f t="shared" si="6"/>
        <v>43_500000</v>
      </c>
      <c r="L109">
        <v>4.3555228167611268E-4</v>
      </c>
      <c r="M109">
        <v>43</v>
      </c>
      <c r="N109">
        <v>500000</v>
      </c>
      <c r="O109" t="str">
        <f t="shared" si="7"/>
        <v>43_500000</v>
      </c>
      <c r="P109" s="20">
        <v>2.986512404454307E-3</v>
      </c>
    </row>
    <row r="110" spans="1:16" x14ac:dyDescent="0.25">
      <c r="A110">
        <v>44</v>
      </c>
      <c r="B110">
        <v>2000000</v>
      </c>
      <c r="C110" t="str">
        <f t="shared" si="4"/>
        <v>44_2000000</v>
      </c>
      <c r="D110">
        <v>4.5616514491830553E-5</v>
      </c>
      <c r="E110">
        <v>43</v>
      </c>
      <c r="F110">
        <v>1000000</v>
      </c>
      <c r="G110" t="str">
        <f t="shared" si="5"/>
        <v>43_1000000</v>
      </c>
      <c r="H110">
        <v>2.4688538415170731E-3</v>
      </c>
      <c r="I110" s="19">
        <v>43</v>
      </c>
      <c r="J110">
        <v>1000000</v>
      </c>
      <c r="K110" t="str">
        <f t="shared" si="6"/>
        <v>43_1000000</v>
      </c>
      <c r="L110">
        <v>3.4054649484828518E-4</v>
      </c>
      <c r="M110">
        <v>43</v>
      </c>
      <c r="N110">
        <v>1000000</v>
      </c>
      <c r="O110" t="str">
        <f t="shared" si="7"/>
        <v>43_1000000</v>
      </c>
      <c r="P110" s="20">
        <v>2.6402128276934401E-3</v>
      </c>
    </row>
    <row r="111" spans="1:16" x14ac:dyDescent="0.25">
      <c r="A111">
        <v>45</v>
      </c>
      <c r="B111">
        <v>50000</v>
      </c>
      <c r="C111" t="str">
        <f t="shared" si="4"/>
        <v>45_50000</v>
      </c>
      <c r="D111">
        <v>8.9630047763438326E-5</v>
      </c>
      <c r="E111">
        <v>43</v>
      </c>
      <c r="F111">
        <v>2000000</v>
      </c>
      <c r="G111" t="str">
        <f t="shared" si="5"/>
        <v>43_2000000</v>
      </c>
      <c r="H111">
        <v>2.074851804336328E-3</v>
      </c>
      <c r="I111" s="19">
        <v>43</v>
      </c>
      <c r="J111">
        <v>2000000</v>
      </c>
      <c r="K111" t="str">
        <f t="shared" si="6"/>
        <v>43_2000000</v>
      </c>
      <c r="L111">
        <v>1.3894178272605279E-4</v>
      </c>
      <c r="M111">
        <v>43</v>
      </c>
      <c r="N111">
        <v>2000000</v>
      </c>
      <c r="O111" t="str">
        <f t="shared" si="7"/>
        <v>43_2000000</v>
      </c>
      <c r="P111" s="20">
        <v>2.587612721816845E-3</v>
      </c>
    </row>
    <row r="112" spans="1:16" x14ac:dyDescent="0.25">
      <c r="A112">
        <v>45</v>
      </c>
      <c r="B112">
        <v>100000</v>
      </c>
      <c r="C112" t="str">
        <f t="shared" si="4"/>
        <v>45_100000</v>
      </c>
      <c r="D112">
        <v>7.2799807441640695E-5</v>
      </c>
      <c r="E112">
        <v>44</v>
      </c>
      <c r="F112">
        <v>50000</v>
      </c>
      <c r="G112" t="str">
        <f t="shared" si="5"/>
        <v>44_50000</v>
      </c>
      <c r="H112">
        <v>2.117740507293775E-3</v>
      </c>
      <c r="I112" s="19">
        <v>44</v>
      </c>
      <c r="J112">
        <v>50000</v>
      </c>
      <c r="K112" t="str">
        <f t="shared" si="6"/>
        <v>44_50000</v>
      </c>
      <c r="L112">
        <v>4.221819202319972E-4</v>
      </c>
      <c r="M112">
        <v>44</v>
      </c>
      <c r="N112">
        <v>50000</v>
      </c>
      <c r="O112" t="str">
        <f t="shared" si="7"/>
        <v>44_50000</v>
      </c>
      <c r="P112" s="20">
        <v>2.4006292193111821E-3</v>
      </c>
    </row>
    <row r="113" spans="1:16" x14ac:dyDescent="0.25">
      <c r="A113">
        <v>45</v>
      </c>
      <c r="B113">
        <v>250000</v>
      </c>
      <c r="C113" t="str">
        <f t="shared" si="4"/>
        <v>45_250000</v>
      </c>
      <c r="D113">
        <v>8.7900423326665438E-5</v>
      </c>
      <c r="E113">
        <v>44</v>
      </c>
      <c r="F113">
        <v>100000</v>
      </c>
      <c r="G113" t="str">
        <f t="shared" si="5"/>
        <v>44_100000</v>
      </c>
      <c r="H113">
        <v>2.1138628093118009E-3</v>
      </c>
      <c r="I113" s="19">
        <v>44</v>
      </c>
      <c r="J113">
        <v>100000</v>
      </c>
      <c r="K113" t="str">
        <f t="shared" si="6"/>
        <v>44_100000</v>
      </c>
      <c r="L113">
        <v>4.1542557825903221E-4</v>
      </c>
      <c r="M113">
        <v>44</v>
      </c>
      <c r="N113">
        <v>100000</v>
      </c>
      <c r="O113" t="str">
        <f t="shared" si="7"/>
        <v>44_100000</v>
      </c>
      <c r="P113" s="20">
        <v>2.4669743549143798E-3</v>
      </c>
    </row>
    <row r="114" spans="1:16" x14ac:dyDescent="0.25">
      <c r="A114">
        <v>45</v>
      </c>
      <c r="B114">
        <v>500000</v>
      </c>
      <c r="C114" t="str">
        <f t="shared" si="4"/>
        <v>45_500000</v>
      </c>
      <c r="D114">
        <v>8.8238087636342063E-5</v>
      </c>
      <c r="E114">
        <v>44</v>
      </c>
      <c r="F114">
        <v>250000</v>
      </c>
      <c r="G114" t="str">
        <f t="shared" si="5"/>
        <v>44_250000</v>
      </c>
      <c r="H114">
        <v>2.874998742387308E-3</v>
      </c>
      <c r="I114" s="19">
        <v>44</v>
      </c>
      <c r="J114">
        <v>250000</v>
      </c>
      <c r="K114" t="str">
        <f t="shared" si="6"/>
        <v>44_250000</v>
      </c>
      <c r="L114">
        <v>4.3425802658104729E-4</v>
      </c>
      <c r="M114">
        <v>44</v>
      </c>
      <c r="N114">
        <v>250000</v>
      </c>
      <c r="O114" t="str">
        <f t="shared" si="7"/>
        <v>44_250000</v>
      </c>
      <c r="P114" s="20">
        <v>2.854982156209945E-3</v>
      </c>
    </row>
    <row r="115" spans="1:16" x14ac:dyDescent="0.25">
      <c r="A115">
        <v>45</v>
      </c>
      <c r="B115">
        <v>1000000</v>
      </c>
      <c r="C115" t="str">
        <f t="shared" si="4"/>
        <v>45_1000000</v>
      </c>
      <c r="D115">
        <v>5.5040882307373187E-5</v>
      </c>
      <c r="E115">
        <v>44</v>
      </c>
      <c r="F115">
        <v>500000</v>
      </c>
      <c r="G115" t="str">
        <f t="shared" si="5"/>
        <v>44_500000</v>
      </c>
      <c r="H115">
        <v>2.8546474761947248E-3</v>
      </c>
      <c r="I115" s="19">
        <v>44</v>
      </c>
      <c r="J115">
        <v>500000</v>
      </c>
      <c r="K115" t="str">
        <f t="shared" si="6"/>
        <v>44_500000</v>
      </c>
      <c r="L115">
        <v>4.0793954388191852E-4</v>
      </c>
      <c r="M115">
        <v>44</v>
      </c>
      <c r="N115">
        <v>500000</v>
      </c>
      <c r="O115" t="str">
        <f t="shared" si="7"/>
        <v>44_500000</v>
      </c>
      <c r="P115" s="20">
        <v>2.9013600234913009E-3</v>
      </c>
    </row>
    <row r="116" spans="1:16" x14ac:dyDescent="0.25">
      <c r="A116">
        <v>45</v>
      </c>
      <c r="B116">
        <v>2000000</v>
      </c>
      <c r="C116" t="str">
        <f t="shared" si="4"/>
        <v>45_2000000</v>
      </c>
      <c r="D116">
        <v>5.45475230738348E-5</v>
      </c>
      <c r="E116">
        <v>44</v>
      </c>
      <c r="F116">
        <v>1000000</v>
      </c>
      <c r="G116" t="str">
        <f t="shared" si="5"/>
        <v>44_1000000</v>
      </c>
      <c r="H116">
        <v>2.4391395078290591E-3</v>
      </c>
      <c r="I116" s="19">
        <v>44</v>
      </c>
      <c r="J116">
        <v>1000000</v>
      </c>
      <c r="K116" t="str">
        <f t="shared" si="6"/>
        <v>44_1000000</v>
      </c>
      <c r="L116">
        <v>3.0654786552692569E-4</v>
      </c>
      <c r="M116">
        <v>44</v>
      </c>
      <c r="N116">
        <v>1000000</v>
      </c>
      <c r="O116" t="str">
        <f t="shared" si="7"/>
        <v>44_1000000</v>
      </c>
      <c r="P116" s="20">
        <v>2.8125557939642212E-3</v>
      </c>
    </row>
    <row r="117" spans="1:16" x14ac:dyDescent="0.25">
      <c r="A117">
        <v>46</v>
      </c>
      <c r="B117">
        <v>50000</v>
      </c>
      <c r="C117" t="str">
        <f t="shared" si="4"/>
        <v>46_50000</v>
      </c>
      <c r="D117">
        <v>7.3527195961209515E-5</v>
      </c>
      <c r="E117">
        <v>44</v>
      </c>
      <c r="F117">
        <v>2000000</v>
      </c>
      <c r="G117" t="str">
        <f t="shared" si="5"/>
        <v>44_2000000</v>
      </c>
      <c r="H117">
        <v>2.140375059425559E-3</v>
      </c>
      <c r="I117" s="19">
        <v>44</v>
      </c>
      <c r="J117">
        <v>2000000</v>
      </c>
      <c r="K117" t="str">
        <f t="shared" si="6"/>
        <v>44_2000000</v>
      </c>
      <c r="L117">
        <v>1.4295255099765029E-4</v>
      </c>
      <c r="M117">
        <v>44</v>
      </c>
      <c r="N117">
        <v>2000000</v>
      </c>
      <c r="O117" t="str">
        <f t="shared" si="7"/>
        <v>44_2000000</v>
      </c>
      <c r="P117" s="20">
        <v>2.6862444296167349E-3</v>
      </c>
    </row>
    <row r="118" spans="1:16" x14ac:dyDescent="0.25">
      <c r="A118">
        <v>46</v>
      </c>
      <c r="B118">
        <v>100000</v>
      </c>
      <c r="C118" t="str">
        <f t="shared" si="4"/>
        <v>46_100000</v>
      </c>
      <c r="D118">
        <v>7.9546591917270407E-5</v>
      </c>
      <c r="E118">
        <v>45</v>
      </c>
      <c r="F118">
        <v>50000</v>
      </c>
      <c r="G118" t="str">
        <f t="shared" si="5"/>
        <v>45_50000</v>
      </c>
      <c r="H118">
        <v>2.157404802242894E-3</v>
      </c>
      <c r="I118" s="19">
        <v>45</v>
      </c>
      <c r="J118">
        <v>50000</v>
      </c>
      <c r="K118" t="str">
        <f t="shared" si="6"/>
        <v>45_50000</v>
      </c>
      <c r="L118">
        <v>4.3235639881775281E-4</v>
      </c>
      <c r="M118">
        <v>45</v>
      </c>
      <c r="N118">
        <v>50000</v>
      </c>
      <c r="O118" t="str">
        <f t="shared" si="7"/>
        <v>45_50000</v>
      </c>
      <c r="P118" s="20">
        <v>2.5899724824903999E-3</v>
      </c>
    </row>
    <row r="119" spans="1:16" x14ac:dyDescent="0.25">
      <c r="A119">
        <v>46</v>
      </c>
      <c r="B119">
        <v>250000</v>
      </c>
      <c r="C119" t="str">
        <f t="shared" si="4"/>
        <v>46_250000</v>
      </c>
      <c r="D119">
        <v>6.6115646731355128E-5</v>
      </c>
      <c r="E119">
        <v>45</v>
      </c>
      <c r="F119">
        <v>100000</v>
      </c>
      <c r="G119" t="str">
        <f t="shared" si="5"/>
        <v>45_100000</v>
      </c>
      <c r="H119">
        <v>2.1987573308182508E-3</v>
      </c>
      <c r="I119" s="19">
        <v>45</v>
      </c>
      <c r="J119">
        <v>100000</v>
      </c>
      <c r="K119" t="str">
        <f t="shared" si="6"/>
        <v>45_100000</v>
      </c>
      <c r="L119">
        <v>3.9735317075251101E-4</v>
      </c>
      <c r="M119">
        <v>45</v>
      </c>
      <c r="N119">
        <v>100000</v>
      </c>
      <c r="O119" t="str">
        <f t="shared" si="7"/>
        <v>45_100000</v>
      </c>
      <c r="P119" s="20">
        <v>2.615018071842837E-3</v>
      </c>
    </row>
    <row r="120" spans="1:16" x14ac:dyDescent="0.25">
      <c r="A120">
        <v>46</v>
      </c>
      <c r="B120">
        <v>500000</v>
      </c>
      <c r="C120" t="str">
        <f t="shared" si="4"/>
        <v>46_500000</v>
      </c>
      <c r="D120">
        <v>8.546284300402183E-5</v>
      </c>
      <c r="E120">
        <v>45</v>
      </c>
      <c r="F120">
        <v>250000</v>
      </c>
      <c r="G120" t="str">
        <f t="shared" si="5"/>
        <v>45_250000</v>
      </c>
      <c r="H120">
        <v>2.7074762112878469E-3</v>
      </c>
      <c r="I120" s="19">
        <v>45</v>
      </c>
      <c r="J120">
        <v>250000</v>
      </c>
      <c r="K120" t="str">
        <f t="shared" si="6"/>
        <v>45_250000</v>
      </c>
      <c r="L120">
        <v>4.0256477308173042E-4</v>
      </c>
      <c r="M120">
        <v>45</v>
      </c>
      <c r="N120">
        <v>250000</v>
      </c>
      <c r="O120" t="str">
        <f t="shared" si="7"/>
        <v>45_250000</v>
      </c>
      <c r="P120" s="20">
        <v>2.852429699966436E-3</v>
      </c>
    </row>
    <row r="121" spans="1:16" x14ac:dyDescent="0.25">
      <c r="A121">
        <v>46</v>
      </c>
      <c r="B121">
        <v>1000000</v>
      </c>
      <c r="C121" t="str">
        <f t="shared" si="4"/>
        <v>46_1000000</v>
      </c>
      <c r="D121">
        <v>4.0987046338758649E-5</v>
      </c>
      <c r="E121">
        <v>45</v>
      </c>
      <c r="F121">
        <v>500000</v>
      </c>
      <c r="G121" t="str">
        <f t="shared" si="5"/>
        <v>45_500000</v>
      </c>
      <c r="H121">
        <v>2.8565534407863011E-3</v>
      </c>
      <c r="I121" s="19">
        <v>45</v>
      </c>
      <c r="J121">
        <v>500000</v>
      </c>
      <c r="K121" t="str">
        <f t="shared" si="6"/>
        <v>45_500000</v>
      </c>
      <c r="L121">
        <v>3.6755536717501613E-4</v>
      </c>
      <c r="M121">
        <v>45</v>
      </c>
      <c r="N121">
        <v>500000</v>
      </c>
      <c r="O121" t="str">
        <f t="shared" si="7"/>
        <v>45_500000</v>
      </c>
      <c r="P121" s="20">
        <v>2.864652859393582E-3</v>
      </c>
    </row>
    <row r="122" spans="1:16" x14ac:dyDescent="0.25">
      <c r="A122">
        <v>46</v>
      </c>
      <c r="B122">
        <v>2000000</v>
      </c>
      <c r="C122" t="str">
        <f t="shared" si="4"/>
        <v>46_2000000</v>
      </c>
      <c r="D122">
        <v>3.7230355542406688E-5</v>
      </c>
      <c r="E122">
        <v>45</v>
      </c>
      <c r="F122">
        <v>1000000</v>
      </c>
      <c r="G122" t="str">
        <f t="shared" si="5"/>
        <v>45_1000000</v>
      </c>
      <c r="H122">
        <v>2.397972162385075E-3</v>
      </c>
      <c r="I122" s="19">
        <v>45</v>
      </c>
      <c r="J122">
        <v>1000000</v>
      </c>
      <c r="K122" t="str">
        <f t="shared" si="6"/>
        <v>45_1000000</v>
      </c>
      <c r="L122">
        <v>3.1299701924589012E-4</v>
      </c>
      <c r="M122">
        <v>45</v>
      </c>
      <c r="N122">
        <v>1000000</v>
      </c>
      <c r="O122" t="str">
        <f t="shared" si="7"/>
        <v>45_1000000</v>
      </c>
      <c r="P122" s="20">
        <v>2.718791081186449E-3</v>
      </c>
    </row>
    <row r="123" spans="1:16" x14ac:dyDescent="0.25">
      <c r="A123">
        <v>47</v>
      </c>
      <c r="B123">
        <v>50000</v>
      </c>
      <c r="C123" t="str">
        <f t="shared" si="4"/>
        <v>47_50000</v>
      </c>
      <c r="D123">
        <v>9.4051514331838063E-5</v>
      </c>
      <c r="E123">
        <v>45</v>
      </c>
      <c r="F123">
        <v>2000000</v>
      </c>
      <c r="G123" t="str">
        <f t="shared" si="5"/>
        <v>45_2000000</v>
      </c>
      <c r="H123">
        <v>2.146823178264326E-3</v>
      </c>
      <c r="I123" s="19">
        <v>45</v>
      </c>
      <c r="J123">
        <v>2000000</v>
      </c>
      <c r="K123" t="str">
        <f t="shared" si="6"/>
        <v>45_2000000</v>
      </c>
      <c r="L123">
        <v>1.5238883854106381E-4</v>
      </c>
      <c r="M123">
        <v>45</v>
      </c>
      <c r="N123">
        <v>2000000</v>
      </c>
      <c r="O123" t="str">
        <f t="shared" si="7"/>
        <v>45_2000000</v>
      </c>
      <c r="P123" s="20">
        <v>2.6640141068623412E-3</v>
      </c>
    </row>
    <row r="124" spans="1:16" x14ac:dyDescent="0.25">
      <c r="A124">
        <v>47</v>
      </c>
      <c r="B124">
        <v>100000</v>
      </c>
      <c r="C124" t="str">
        <f t="shared" si="4"/>
        <v>47_100000</v>
      </c>
      <c r="D124">
        <v>7.8815157144188907E-5</v>
      </c>
      <c r="E124">
        <v>46</v>
      </c>
      <c r="F124">
        <v>50000</v>
      </c>
      <c r="G124" t="str">
        <f t="shared" si="5"/>
        <v>46_50000</v>
      </c>
      <c r="H124">
        <v>2.2137079567868668E-3</v>
      </c>
      <c r="I124" s="19">
        <v>46</v>
      </c>
      <c r="J124">
        <v>50000</v>
      </c>
      <c r="K124" t="str">
        <f t="shared" si="6"/>
        <v>46_50000</v>
      </c>
      <c r="L124">
        <v>4.1488109936222968E-4</v>
      </c>
      <c r="M124">
        <v>46</v>
      </c>
      <c r="N124">
        <v>50000</v>
      </c>
      <c r="O124" t="str">
        <f t="shared" si="7"/>
        <v>46_50000</v>
      </c>
      <c r="P124" s="20">
        <v>2.545797815995655E-3</v>
      </c>
    </row>
    <row r="125" spans="1:16" x14ac:dyDescent="0.25">
      <c r="A125">
        <v>47</v>
      </c>
      <c r="B125">
        <v>250000</v>
      </c>
      <c r="C125" t="str">
        <f t="shared" si="4"/>
        <v>47_250000</v>
      </c>
      <c r="D125">
        <v>9.7347050430966344E-5</v>
      </c>
      <c r="E125">
        <v>46</v>
      </c>
      <c r="F125">
        <v>100000</v>
      </c>
      <c r="G125" t="str">
        <f t="shared" si="5"/>
        <v>46_100000</v>
      </c>
      <c r="H125">
        <v>2.2096087940284121E-3</v>
      </c>
      <c r="I125" s="19">
        <v>46</v>
      </c>
      <c r="J125">
        <v>100000</v>
      </c>
      <c r="K125" t="str">
        <f t="shared" si="6"/>
        <v>46_100000</v>
      </c>
      <c r="L125">
        <v>4.4550946059071831E-4</v>
      </c>
      <c r="M125">
        <v>46</v>
      </c>
      <c r="N125">
        <v>100000</v>
      </c>
      <c r="O125" t="str">
        <f t="shared" si="7"/>
        <v>46_100000</v>
      </c>
      <c r="P125" s="20">
        <v>2.3995011103426678E-3</v>
      </c>
    </row>
    <row r="126" spans="1:16" x14ac:dyDescent="0.25">
      <c r="A126">
        <v>47</v>
      </c>
      <c r="B126">
        <v>500000</v>
      </c>
      <c r="C126" t="str">
        <f t="shared" si="4"/>
        <v>47_500000</v>
      </c>
      <c r="D126">
        <v>5.9714257991969481E-5</v>
      </c>
      <c r="E126">
        <v>46</v>
      </c>
      <c r="F126">
        <v>250000</v>
      </c>
      <c r="G126" t="str">
        <f t="shared" si="5"/>
        <v>46_250000</v>
      </c>
      <c r="H126">
        <v>2.8259902966643979E-3</v>
      </c>
      <c r="I126" s="19">
        <v>46</v>
      </c>
      <c r="J126">
        <v>250000</v>
      </c>
      <c r="K126" t="str">
        <f t="shared" si="6"/>
        <v>46_250000</v>
      </c>
      <c r="L126">
        <v>4.468325877631754E-4</v>
      </c>
      <c r="M126">
        <v>46</v>
      </c>
      <c r="N126">
        <v>250000</v>
      </c>
      <c r="O126" t="str">
        <f t="shared" si="7"/>
        <v>46_250000</v>
      </c>
      <c r="P126" s="20">
        <v>2.8296674297152262E-3</v>
      </c>
    </row>
    <row r="127" spans="1:16" x14ac:dyDescent="0.25">
      <c r="A127">
        <v>47</v>
      </c>
      <c r="B127">
        <v>1000000</v>
      </c>
      <c r="C127" t="str">
        <f t="shared" si="4"/>
        <v>47_1000000</v>
      </c>
      <c r="D127">
        <v>7.6152622602362446E-5</v>
      </c>
      <c r="E127">
        <v>46</v>
      </c>
      <c r="F127">
        <v>500000</v>
      </c>
      <c r="G127" t="str">
        <f t="shared" si="5"/>
        <v>46_500000</v>
      </c>
      <c r="H127">
        <v>2.7040811613396431E-3</v>
      </c>
      <c r="I127" s="19">
        <v>46</v>
      </c>
      <c r="J127">
        <v>500000</v>
      </c>
      <c r="K127" t="str">
        <f t="shared" si="6"/>
        <v>46_500000</v>
      </c>
      <c r="L127">
        <v>3.6187981193700939E-4</v>
      </c>
      <c r="M127">
        <v>46</v>
      </c>
      <c r="N127">
        <v>500000</v>
      </c>
      <c r="O127" t="str">
        <f t="shared" si="7"/>
        <v>46_500000</v>
      </c>
      <c r="P127" s="20">
        <v>2.9300176653621049E-3</v>
      </c>
    </row>
    <row r="128" spans="1:16" x14ac:dyDescent="0.25">
      <c r="A128">
        <v>47</v>
      </c>
      <c r="B128">
        <v>2000000</v>
      </c>
      <c r="C128" t="str">
        <f t="shared" si="4"/>
        <v>47_2000000</v>
      </c>
      <c r="D128">
        <v>3.9997353311938601E-5</v>
      </c>
      <c r="E128">
        <v>46</v>
      </c>
      <c r="F128">
        <v>1000000</v>
      </c>
      <c r="G128" t="str">
        <f t="shared" si="5"/>
        <v>46_1000000</v>
      </c>
      <c r="H128">
        <v>2.2937849595587741E-3</v>
      </c>
      <c r="I128" s="19">
        <v>46</v>
      </c>
      <c r="J128">
        <v>1000000</v>
      </c>
      <c r="K128" t="str">
        <f t="shared" si="6"/>
        <v>46_1000000</v>
      </c>
      <c r="L128">
        <v>2.8637819687802208E-4</v>
      </c>
      <c r="M128">
        <v>46</v>
      </c>
      <c r="N128">
        <v>1000000</v>
      </c>
      <c r="O128" t="str">
        <f t="shared" si="7"/>
        <v>46_1000000</v>
      </c>
      <c r="P128" s="20">
        <v>2.694246676267862E-3</v>
      </c>
    </row>
    <row r="129" spans="1:16" x14ac:dyDescent="0.25">
      <c r="A129">
        <v>48</v>
      </c>
      <c r="B129">
        <v>50000</v>
      </c>
      <c r="C129" t="str">
        <f t="shared" si="4"/>
        <v>48_50000</v>
      </c>
      <c r="D129">
        <v>1.658252038025138E-4</v>
      </c>
      <c r="E129">
        <v>46</v>
      </c>
      <c r="F129">
        <v>2000000</v>
      </c>
      <c r="G129" t="str">
        <f t="shared" si="5"/>
        <v>46_2000000</v>
      </c>
      <c r="H129">
        <v>2.0814577334135778E-3</v>
      </c>
      <c r="I129" s="19">
        <v>46</v>
      </c>
      <c r="J129">
        <v>2000000</v>
      </c>
      <c r="K129" t="str">
        <f t="shared" si="6"/>
        <v>46_2000000</v>
      </c>
      <c r="L129">
        <v>1.138685558357634E-4</v>
      </c>
      <c r="M129">
        <v>46</v>
      </c>
      <c r="N129">
        <v>2000000</v>
      </c>
      <c r="O129" t="str">
        <f t="shared" si="7"/>
        <v>46_2000000</v>
      </c>
      <c r="P129" s="20">
        <v>2.7348623508958699E-3</v>
      </c>
    </row>
    <row r="130" spans="1:16" x14ac:dyDescent="0.25">
      <c r="A130">
        <v>48</v>
      </c>
      <c r="B130">
        <v>100000</v>
      </c>
      <c r="C130" t="str">
        <f t="shared" si="4"/>
        <v>48_100000</v>
      </c>
      <c r="D130">
        <v>6.5072457663261851E-5</v>
      </c>
      <c r="E130">
        <v>47</v>
      </c>
      <c r="F130">
        <v>50000</v>
      </c>
      <c r="G130" t="str">
        <f t="shared" si="5"/>
        <v>47_50000</v>
      </c>
      <c r="H130">
        <v>2.2910158166195649E-3</v>
      </c>
      <c r="I130" s="19">
        <v>47</v>
      </c>
      <c r="J130">
        <v>50000</v>
      </c>
      <c r="K130" t="str">
        <f t="shared" si="6"/>
        <v>47_50000</v>
      </c>
      <c r="L130">
        <v>3.5763963889864372E-4</v>
      </c>
      <c r="M130">
        <v>47</v>
      </c>
      <c r="N130">
        <v>50000</v>
      </c>
      <c r="O130" t="str">
        <f t="shared" si="7"/>
        <v>47_50000</v>
      </c>
      <c r="P130" s="20">
        <v>2.699054693122475E-3</v>
      </c>
    </row>
    <row r="131" spans="1:16" x14ac:dyDescent="0.25">
      <c r="A131">
        <v>48</v>
      </c>
      <c r="B131">
        <v>250000</v>
      </c>
      <c r="C131" t="str">
        <f t="shared" si="4"/>
        <v>48_250000</v>
      </c>
      <c r="D131">
        <v>8.5817844655260863E-5</v>
      </c>
      <c r="E131">
        <v>47</v>
      </c>
      <c r="F131">
        <v>100000</v>
      </c>
      <c r="G131" t="str">
        <f t="shared" si="5"/>
        <v>47_100000</v>
      </c>
      <c r="H131">
        <v>2.2907538615760531E-3</v>
      </c>
      <c r="I131" s="19">
        <v>47</v>
      </c>
      <c r="J131">
        <v>100000</v>
      </c>
      <c r="K131" t="str">
        <f t="shared" si="6"/>
        <v>47_100000</v>
      </c>
      <c r="L131">
        <v>4.2384591630671058E-4</v>
      </c>
      <c r="M131">
        <v>47</v>
      </c>
      <c r="N131">
        <v>100000</v>
      </c>
      <c r="O131" t="str">
        <f t="shared" si="7"/>
        <v>47_100000</v>
      </c>
      <c r="P131" s="20">
        <v>2.4559527697490188E-3</v>
      </c>
    </row>
    <row r="132" spans="1:16" x14ac:dyDescent="0.25">
      <c r="A132">
        <v>48</v>
      </c>
      <c r="B132">
        <v>500000</v>
      </c>
      <c r="C132" t="str">
        <f t="shared" si="4"/>
        <v>48_500000</v>
      </c>
      <c r="D132">
        <v>7.2429249624211527E-5</v>
      </c>
      <c r="E132">
        <v>47</v>
      </c>
      <c r="F132">
        <v>250000</v>
      </c>
      <c r="G132" t="str">
        <f t="shared" si="5"/>
        <v>47_250000</v>
      </c>
      <c r="H132">
        <v>2.7558094889331901E-3</v>
      </c>
      <c r="I132" s="19">
        <v>47</v>
      </c>
      <c r="J132">
        <v>250000</v>
      </c>
      <c r="K132" t="str">
        <f t="shared" si="6"/>
        <v>47_250000</v>
      </c>
      <c r="L132">
        <v>4.0128879649063091E-4</v>
      </c>
      <c r="M132">
        <v>47</v>
      </c>
      <c r="N132">
        <v>250000</v>
      </c>
      <c r="O132" t="str">
        <f t="shared" si="7"/>
        <v>47_250000</v>
      </c>
      <c r="P132" s="20">
        <v>2.7909428356948408E-3</v>
      </c>
    </row>
    <row r="133" spans="1:16" x14ac:dyDescent="0.25">
      <c r="A133">
        <v>48</v>
      </c>
      <c r="B133">
        <v>1000000</v>
      </c>
      <c r="C133" t="str">
        <f t="shared" ref="C133:C183" si="8">A133&amp;"_"&amp;B133</f>
        <v>48_1000000</v>
      </c>
      <c r="D133">
        <v>5.3866645836789873E-5</v>
      </c>
      <c r="E133">
        <v>47</v>
      </c>
      <c r="F133">
        <v>500000</v>
      </c>
      <c r="G133" t="str">
        <f t="shared" ref="G133:G183" si="9">E133&amp;"_"&amp;F133</f>
        <v>47_500000</v>
      </c>
      <c r="H133">
        <v>2.8652196027631918E-3</v>
      </c>
      <c r="I133" s="19">
        <v>47</v>
      </c>
      <c r="J133">
        <v>500000</v>
      </c>
      <c r="K133" t="str">
        <f t="shared" ref="K133:K183" si="10">I133&amp;"_"&amp;J133</f>
        <v>47_500000</v>
      </c>
      <c r="L133">
        <v>4.1174743282245232E-4</v>
      </c>
      <c r="M133">
        <v>47</v>
      </c>
      <c r="N133">
        <v>500000</v>
      </c>
      <c r="O133" t="str">
        <f t="shared" ref="O133:O183" si="11">M133&amp;"_"&amp;N133</f>
        <v>47_500000</v>
      </c>
      <c r="P133" s="20">
        <v>2.8656757735187281E-3</v>
      </c>
    </row>
    <row r="134" spans="1:16" x14ac:dyDescent="0.25">
      <c r="A134">
        <v>48</v>
      </c>
      <c r="B134">
        <v>2000000</v>
      </c>
      <c r="C134" t="str">
        <f t="shared" si="8"/>
        <v>48_2000000</v>
      </c>
      <c r="D134">
        <v>6.5460430564075862E-5</v>
      </c>
      <c r="E134">
        <v>47</v>
      </c>
      <c r="F134">
        <v>1000000</v>
      </c>
      <c r="G134" t="str">
        <f t="shared" si="9"/>
        <v>47_1000000</v>
      </c>
      <c r="H134">
        <v>2.4640502414295341E-3</v>
      </c>
      <c r="I134" s="19">
        <v>47</v>
      </c>
      <c r="J134">
        <v>1000000</v>
      </c>
      <c r="K134" t="str">
        <f t="shared" si="10"/>
        <v>47_1000000</v>
      </c>
      <c r="L134">
        <v>2.7577607176925421E-4</v>
      </c>
      <c r="M134">
        <v>47</v>
      </c>
      <c r="N134">
        <v>1000000</v>
      </c>
      <c r="O134" t="str">
        <f t="shared" si="11"/>
        <v>47_1000000</v>
      </c>
      <c r="P134" s="20">
        <v>2.7330296244005049E-3</v>
      </c>
    </row>
    <row r="135" spans="1:16" x14ac:dyDescent="0.25">
      <c r="A135">
        <v>49</v>
      </c>
      <c r="B135">
        <v>50000</v>
      </c>
      <c r="C135" t="str">
        <f t="shared" si="8"/>
        <v>49_50000</v>
      </c>
      <c r="D135">
        <v>7.0468185760599872E-5</v>
      </c>
      <c r="E135">
        <v>47</v>
      </c>
      <c r="F135">
        <v>2000000</v>
      </c>
      <c r="G135" t="str">
        <f t="shared" si="9"/>
        <v>47_2000000</v>
      </c>
      <c r="H135">
        <v>2.2408917567794239E-3</v>
      </c>
      <c r="I135" s="19">
        <v>47</v>
      </c>
      <c r="J135">
        <v>2000000</v>
      </c>
      <c r="K135" t="str">
        <f t="shared" si="10"/>
        <v>47_2000000</v>
      </c>
      <c r="L135">
        <v>1.6531019678359739E-4</v>
      </c>
      <c r="M135">
        <v>47</v>
      </c>
      <c r="N135">
        <v>2000000</v>
      </c>
      <c r="O135" t="str">
        <f t="shared" si="11"/>
        <v>47_2000000</v>
      </c>
      <c r="P135" s="20">
        <v>2.661740789581468E-3</v>
      </c>
    </row>
    <row r="136" spans="1:16" x14ac:dyDescent="0.25">
      <c r="A136">
        <v>49</v>
      </c>
      <c r="B136">
        <v>100000</v>
      </c>
      <c r="C136" t="str">
        <f t="shared" si="8"/>
        <v>49_100000</v>
      </c>
      <c r="D136">
        <v>8.7539769689283015E-5</v>
      </c>
      <c r="E136">
        <v>48</v>
      </c>
      <c r="F136">
        <v>50000</v>
      </c>
      <c r="G136" t="str">
        <f t="shared" si="9"/>
        <v>48_50000</v>
      </c>
      <c r="H136">
        <v>2.4454145493867829E-3</v>
      </c>
      <c r="I136" s="19">
        <v>48</v>
      </c>
      <c r="J136">
        <v>50000</v>
      </c>
      <c r="K136" t="str">
        <f t="shared" si="10"/>
        <v>48_50000</v>
      </c>
      <c r="L136">
        <v>3.4128666431088581E-4</v>
      </c>
      <c r="M136">
        <v>48</v>
      </c>
      <c r="N136">
        <v>50000</v>
      </c>
      <c r="O136" t="str">
        <f t="shared" si="11"/>
        <v>48_50000</v>
      </c>
      <c r="P136" s="20">
        <v>2.6171873719692991E-3</v>
      </c>
    </row>
    <row r="137" spans="1:16" x14ac:dyDescent="0.25">
      <c r="A137">
        <v>49</v>
      </c>
      <c r="B137">
        <v>250000</v>
      </c>
      <c r="C137" t="str">
        <f t="shared" si="8"/>
        <v>49_250000</v>
      </c>
      <c r="D137">
        <v>8.9352309913102675E-5</v>
      </c>
      <c r="E137">
        <v>48</v>
      </c>
      <c r="F137">
        <v>100000</v>
      </c>
      <c r="G137" t="str">
        <f t="shared" si="9"/>
        <v>48_100000</v>
      </c>
      <c r="H137">
        <v>2.2718926933174709E-3</v>
      </c>
      <c r="I137" s="19">
        <v>48</v>
      </c>
      <c r="J137">
        <v>100000</v>
      </c>
      <c r="K137" t="str">
        <f t="shared" si="10"/>
        <v>48_100000</v>
      </c>
      <c r="L137">
        <v>3.4337003440270412E-4</v>
      </c>
      <c r="M137">
        <v>48</v>
      </c>
      <c r="N137">
        <v>100000</v>
      </c>
      <c r="O137" t="str">
        <f t="shared" si="11"/>
        <v>48_100000</v>
      </c>
      <c r="P137" s="20">
        <v>2.456358409470612E-3</v>
      </c>
    </row>
    <row r="138" spans="1:16" x14ac:dyDescent="0.25">
      <c r="A138">
        <v>49</v>
      </c>
      <c r="B138">
        <v>500000</v>
      </c>
      <c r="C138" t="str">
        <f t="shared" si="8"/>
        <v>49_500000</v>
      </c>
      <c r="D138">
        <v>6.1586906895442304E-5</v>
      </c>
      <c r="E138">
        <v>48</v>
      </c>
      <c r="F138">
        <v>250000</v>
      </c>
      <c r="G138" t="str">
        <f t="shared" si="9"/>
        <v>48_250000</v>
      </c>
      <c r="H138">
        <v>2.72354897918504E-3</v>
      </c>
      <c r="I138" s="19">
        <v>48</v>
      </c>
      <c r="J138">
        <v>250000</v>
      </c>
      <c r="K138" t="str">
        <f t="shared" si="10"/>
        <v>48_250000</v>
      </c>
      <c r="L138">
        <v>3.7407683208964858E-4</v>
      </c>
      <c r="M138">
        <v>48</v>
      </c>
      <c r="N138">
        <v>250000</v>
      </c>
      <c r="O138" t="str">
        <f t="shared" si="11"/>
        <v>48_250000</v>
      </c>
      <c r="P138" s="20">
        <v>2.937448749335856E-3</v>
      </c>
    </row>
    <row r="139" spans="1:16" x14ac:dyDescent="0.25">
      <c r="A139">
        <v>49</v>
      </c>
      <c r="B139">
        <v>1000000</v>
      </c>
      <c r="C139" t="str">
        <f t="shared" si="8"/>
        <v>49_1000000</v>
      </c>
      <c r="D139">
        <v>7.9782398859715848E-5</v>
      </c>
      <c r="E139">
        <v>48</v>
      </c>
      <c r="F139">
        <v>500000</v>
      </c>
      <c r="G139" t="str">
        <f t="shared" si="9"/>
        <v>48_500000</v>
      </c>
      <c r="H139">
        <v>2.7847363881530729E-3</v>
      </c>
      <c r="I139" s="19">
        <v>48</v>
      </c>
      <c r="J139">
        <v>500000</v>
      </c>
      <c r="K139" t="str">
        <f t="shared" si="10"/>
        <v>48_500000</v>
      </c>
      <c r="L139">
        <v>3.4890175869340838E-4</v>
      </c>
      <c r="M139">
        <v>48</v>
      </c>
      <c r="N139">
        <v>500000</v>
      </c>
      <c r="O139" t="str">
        <f t="shared" si="11"/>
        <v>48_500000</v>
      </c>
      <c r="P139" s="20">
        <v>2.88534049584919E-3</v>
      </c>
    </row>
    <row r="140" spans="1:16" x14ac:dyDescent="0.25">
      <c r="A140">
        <v>49</v>
      </c>
      <c r="B140">
        <v>2000000</v>
      </c>
      <c r="C140" t="str">
        <f t="shared" si="8"/>
        <v>49_2000000</v>
      </c>
      <c r="D140">
        <v>5.0544356341358238E-5</v>
      </c>
      <c r="E140">
        <v>48</v>
      </c>
      <c r="F140">
        <v>1000000</v>
      </c>
      <c r="G140" t="str">
        <f t="shared" si="9"/>
        <v>48_1000000</v>
      </c>
      <c r="H140">
        <v>2.3322981744244419E-3</v>
      </c>
      <c r="I140" s="19">
        <v>48</v>
      </c>
      <c r="J140">
        <v>1000000</v>
      </c>
      <c r="K140" t="str">
        <f t="shared" si="10"/>
        <v>48_1000000</v>
      </c>
      <c r="L140">
        <v>2.3884537508358611E-4</v>
      </c>
      <c r="M140">
        <v>48</v>
      </c>
      <c r="N140">
        <v>1000000</v>
      </c>
      <c r="O140" t="str">
        <f t="shared" si="11"/>
        <v>48_1000000</v>
      </c>
      <c r="P140" s="20">
        <v>2.8506356224505978E-3</v>
      </c>
    </row>
    <row r="141" spans="1:16" x14ac:dyDescent="0.25">
      <c r="A141">
        <v>50</v>
      </c>
      <c r="B141">
        <v>50000</v>
      </c>
      <c r="C141" t="str">
        <f t="shared" si="8"/>
        <v>50_50000</v>
      </c>
      <c r="D141">
        <v>6.7643944044871901E-5</v>
      </c>
      <c r="E141">
        <v>48</v>
      </c>
      <c r="F141">
        <v>2000000</v>
      </c>
      <c r="G141" t="str">
        <f t="shared" si="9"/>
        <v>48_2000000</v>
      </c>
      <c r="H141">
        <v>2.191426142121328E-3</v>
      </c>
      <c r="I141" s="19">
        <v>48</v>
      </c>
      <c r="J141">
        <v>2000000</v>
      </c>
      <c r="K141" t="str">
        <f t="shared" si="10"/>
        <v>48_2000000</v>
      </c>
      <c r="L141">
        <v>1.2772848568235099E-4</v>
      </c>
      <c r="M141">
        <v>48</v>
      </c>
      <c r="N141">
        <v>2000000</v>
      </c>
      <c r="O141" t="str">
        <f t="shared" si="11"/>
        <v>48_2000000</v>
      </c>
      <c r="P141" s="20">
        <v>2.762924429929921E-3</v>
      </c>
    </row>
    <row r="142" spans="1:16" x14ac:dyDescent="0.25">
      <c r="A142">
        <v>50</v>
      </c>
      <c r="B142">
        <v>100000</v>
      </c>
      <c r="C142" t="str">
        <f t="shared" si="8"/>
        <v>50_100000</v>
      </c>
      <c r="D142">
        <v>8.0753497576663158E-5</v>
      </c>
      <c r="E142">
        <v>49</v>
      </c>
      <c r="F142">
        <v>50000</v>
      </c>
      <c r="G142" t="str">
        <f t="shared" si="9"/>
        <v>49_50000</v>
      </c>
      <c r="H142">
        <v>2.2154741823945771E-3</v>
      </c>
      <c r="I142" s="19">
        <v>49</v>
      </c>
      <c r="J142">
        <v>50000</v>
      </c>
      <c r="K142" t="str">
        <f t="shared" si="10"/>
        <v>49_50000</v>
      </c>
      <c r="L142">
        <v>3.597545028216161E-4</v>
      </c>
      <c r="M142">
        <v>49</v>
      </c>
      <c r="N142">
        <v>50000</v>
      </c>
      <c r="O142" t="str">
        <f t="shared" si="11"/>
        <v>49_50000</v>
      </c>
      <c r="P142" s="20">
        <v>2.5746728904772042E-3</v>
      </c>
    </row>
    <row r="143" spans="1:16" x14ac:dyDescent="0.25">
      <c r="A143">
        <v>50</v>
      </c>
      <c r="B143">
        <v>250000</v>
      </c>
      <c r="C143" t="str">
        <f t="shared" si="8"/>
        <v>50_250000</v>
      </c>
      <c r="D143">
        <v>7.4319311562310027E-5</v>
      </c>
      <c r="E143">
        <v>49</v>
      </c>
      <c r="F143">
        <v>100000</v>
      </c>
      <c r="G143" t="str">
        <f t="shared" si="9"/>
        <v>49_100000</v>
      </c>
      <c r="H143">
        <v>2.3846682383825871E-3</v>
      </c>
      <c r="I143" s="19">
        <v>49</v>
      </c>
      <c r="J143">
        <v>100000</v>
      </c>
      <c r="K143" t="str">
        <f t="shared" si="10"/>
        <v>49_100000</v>
      </c>
      <c r="L143">
        <v>4.1092860394346698E-4</v>
      </c>
      <c r="M143">
        <v>49</v>
      </c>
      <c r="N143">
        <v>100000</v>
      </c>
      <c r="O143" t="str">
        <f t="shared" si="11"/>
        <v>49_100000</v>
      </c>
      <c r="P143" s="20">
        <v>2.5270584181161298E-3</v>
      </c>
    </row>
    <row r="144" spans="1:16" x14ac:dyDescent="0.25">
      <c r="A144">
        <v>50</v>
      </c>
      <c r="B144">
        <v>500000</v>
      </c>
      <c r="C144" t="str">
        <f t="shared" si="8"/>
        <v>50_500000</v>
      </c>
      <c r="D144">
        <v>7.7673716243824246E-5</v>
      </c>
      <c r="E144">
        <v>49</v>
      </c>
      <c r="F144">
        <v>250000</v>
      </c>
      <c r="G144" t="str">
        <f t="shared" si="9"/>
        <v>49_250000</v>
      </c>
      <c r="H144">
        <v>2.702183325073596E-3</v>
      </c>
      <c r="I144" s="19">
        <v>49</v>
      </c>
      <c r="J144">
        <v>250000</v>
      </c>
      <c r="K144" t="str">
        <f t="shared" si="10"/>
        <v>49_250000</v>
      </c>
      <c r="L144">
        <v>3.5858929310398952E-4</v>
      </c>
      <c r="M144">
        <v>49</v>
      </c>
      <c r="N144">
        <v>250000</v>
      </c>
      <c r="O144" t="str">
        <f t="shared" si="11"/>
        <v>49_250000</v>
      </c>
      <c r="P144" s="20">
        <v>2.9309616442639449E-3</v>
      </c>
    </row>
    <row r="145" spans="1:16" x14ac:dyDescent="0.25">
      <c r="A145">
        <v>50</v>
      </c>
      <c r="B145">
        <v>1000000</v>
      </c>
      <c r="C145" t="str">
        <f t="shared" si="8"/>
        <v>50_1000000</v>
      </c>
      <c r="D145">
        <v>5.6033789668673181E-5</v>
      </c>
      <c r="E145">
        <v>49</v>
      </c>
      <c r="F145">
        <v>500000</v>
      </c>
      <c r="G145" t="str">
        <f t="shared" si="9"/>
        <v>49_500000</v>
      </c>
      <c r="H145">
        <v>2.5626061505264661E-3</v>
      </c>
      <c r="I145" s="19">
        <v>49</v>
      </c>
      <c r="J145">
        <v>500000</v>
      </c>
      <c r="K145" t="str">
        <f t="shared" si="10"/>
        <v>49_500000</v>
      </c>
      <c r="L145">
        <v>3.2992184619046199E-4</v>
      </c>
      <c r="M145">
        <v>49</v>
      </c>
      <c r="N145">
        <v>500000</v>
      </c>
      <c r="O145" t="str">
        <f t="shared" si="11"/>
        <v>49_500000</v>
      </c>
      <c r="P145" s="20">
        <v>2.889668576396318E-3</v>
      </c>
    </row>
    <row r="146" spans="1:16" x14ac:dyDescent="0.25">
      <c r="A146">
        <v>50</v>
      </c>
      <c r="B146">
        <v>2000000</v>
      </c>
      <c r="C146" t="str">
        <f t="shared" si="8"/>
        <v>50_2000000</v>
      </c>
      <c r="D146">
        <v>5.0508409893225127E-5</v>
      </c>
      <c r="E146">
        <v>49</v>
      </c>
      <c r="F146">
        <v>1000000</v>
      </c>
      <c r="G146" t="str">
        <f t="shared" si="9"/>
        <v>49_1000000</v>
      </c>
      <c r="H146">
        <v>2.4202825670278099E-3</v>
      </c>
      <c r="I146" s="19">
        <v>49</v>
      </c>
      <c r="J146">
        <v>1000000</v>
      </c>
      <c r="K146" t="str">
        <f t="shared" si="10"/>
        <v>49_1000000</v>
      </c>
      <c r="L146">
        <v>2.6410578909121852E-4</v>
      </c>
      <c r="M146">
        <v>49</v>
      </c>
      <c r="N146">
        <v>1000000</v>
      </c>
      <c r="O146" t="str">
        <f t="shared" si="11"/>
        <v>49_1000000</v>
      </c>
      <c r="P146" s="20">
        <v>2.722320114632876E-3</v>
      </c>
    </row>
    <row r="147" spans="1:16" x14ac:dyDescent="0.25">
      <c r="A147">
        <v>51</v>
      </c>
      <c r="B147">
        <v>50000</v>
      </c>
      <c r="C147" t="str">
        <f t="shared" si="8"/>
        <v>51_50000</v>
      </c>
      <c r="D147">
        <v>5.8078903047966987E-5</v>
      </c>
      <c r="E147">
        <v>49</v>
      </c>
      <c r="F147">
        <v>2000000</v>
      </c>
      <c r="G147" t="str">
        <f t="shared" si="9"/>
        <v>49_2000000</v>
      </c>
      <c r="H147">
        <v>2.2884336908866182E-3</v>
      </c>
      <c r="I147" s="19">
        <v>49</v>
      </c>
      <c r="J147">
        <v>2000000</v>
      </c>
      <c r="K147" t="str">
        <f t="shared" si="10"/>
        <v>49_2000000</v>
      </c>
      <c r="L147">
        <v>1.18166740226421E-4</v>
      </c>
      <c r="M147">
        <v>49</v>
      </c>
      <c r="N147">
        <v>2000000</v>
      </c>
      <c r="O147" t="str">
        <f t="shared" si="11"/>
        <v>49_2000000</v>
      </c>
      <c r="P147" s="20">
        <v>2.694372304401229E-3</v>
      </c>
    </row>
    <row r="148" spans="1:16" x14ac:dyDescent="0.25">
      <c r="A148">
        <v>51</v>
      </c>
      <c r="B148">
        <v>100000</v>
      </c>
      <c r="C148" t="str">
        <f t="shared" si="8"/>
        <v>51_100000</v>
      </c>
      <c r="D148">
        <v>5.7561466174422822E-5</v>
      </c>
      <c r="E148">
        <v>50</v>
      </c>
      <c r="F148">
        <v>50000</v>
      </c>
      <c r="G148" t="str">
        <f t="shared" si="9"/>
        <v>50_50000</v>
      </c>
      <c r="H148">
        <v>2.324692750723291E-3</v>
      </c>
      <c r="I148" s="19">
        <v>50</v>
      </c>
      <c r="J148">
        <v>50000</v>
      </c>
      <c r="K148" t="str">
        <f t="shared" si="10"/>
        <v>50_50000</v>
      </c>
      <c r="L148">
        <v>3.3615189514544429E-4</v>
      </c>
      <c r="M148">
        <v>50</v>
      </c>
      <c r="N148">
        <v>50000</v>
      </c>
      <c r="O148" t="str">
        <f t="shared" si="11"/>
        <v>50_50000</v>
      </c>
      <c r="P148" s="20">
        <v>2.555006386818175E-3</v>
      </c>
    </row>
    <row r="149" spans="1:16" x14ac:dyDescent="0.25">
      <c r="A149">
        <v>51</v>
      </c>
      <c r="B149">
        <v>250000</v>
      </c>
      <c r="C149" t="str">
        <f t="shared" si="8"/>
        <v>51_250000</v>
      </c>
      <c r="D149">
        <v>6.0641370180804688E-5</v>
      </c>
      <c r="E149">
        <v>50</v>
      </c>
      <c r="F149">
        <v>100000</v>
      </c>
      <c r="G149" t="str">
        <f t="shared" si="9"/>
        <v>50_100000</v>
      </c>
      <c r="H149">
        <v>2.308009074287042E-3</v>
      </c>
      <c r="I149" s="19">
        <v>50</v>
      </c>
      <c r="J149">
        <v>100000</v>
      </c>
      <c r="K149" t="str">
        <f t="shared" si="10"/>
        <v>50_100000</v>
      </c>
      <c r="L149">
        <v>3.2913055387776962E-4</v>
      </c>
      <c r="M149">
        <v>50</v>
      </c>
      <c r="N149">
        <v>100000</v>
      </c>
      <c r="O149" t="str">
        <f t="shared" si="11"/>
        <v>50_100000</v>
      </c>
      <c r="P149" s="20">
        <v>2.5984226624887392E-3</v>
      </c>
    </row>
    <row r="150" spans="1:16" x14ac:dyDescent="0.25">
      <c r="A150">
        <v>51</v>
      </c>
      <c r="B150">
        <v>500000</v>
      </c>
      <c r="C150" t="str">
        <f t="shared" si="8"/>
        <v>51_500000</v>
      </c>
      <c r="D150">
        <v>9.1501515858974071E-5</v>
      </c>
      <c r="E150">
        <v>50</v>
      </c>
      <c r="F150">
        <v>250000</v>
      </c>
      <c r="G150" t="str">
        <f t="shared" si="9"/>
        <v>50_250000</v>
      </c>
      <c r="H150">
        <v>2.7414025761090879E-3</v>
      </c>
      <c r="I150" s="19">
        <v>50</v>
      </c>
      <c r="J150">
        <v>250000</v>
      </c>
      <c r="K150" t="str">
        <f t="shared" si="10"/>
        <v>50_250000</v>
      </c>
      <c r="L150">
        <v>3.9708970403201589E-4</v>
      </c>
      <c r="M150">
        <v>50</v>
      </c>
      <c r="N150">
        <v>250000</v>
      </c>
      <c r="O150" t="str">
        <f t="shared" si="11"/>
        <v>50_250000</v>
      </c>
      <c r="P150" s="20">
        <v>2.867268255372887E-3</v>
      </c>
    </row>
    <row r="151" spans="1:16" x14ac:dyDescent="0.25">
      <c r="A151">
        <v>51</v>
      </c>
      <c r="B151">
        <v>1000000</v>
      </c>
      <c r="C151" t="str">
        <f t="shared" si="8"/>
        <v>51_1000000</v>
      </c>
      <c r="D151">
        <v>5.8607073975716669E-5</v>
      </c>
      <c r="E151">
        <v>50</v>
      </c>
      <c r="F151">
        <v>500000</v>
      </c>
      <c r="G151" t="str">
        <f t="shared" si="9"/>
        <v>50_500000</v>
      </c>
      <c r="H151">
        <v>2.7646012632298439E-3</v>
      </c>
      <c r="I151" s="19">
        <v>50</v>
      </c>
      <c r="J151">
        <v>500000</v>
      </c>
      <c r="K151" t="str">
        <f t="shared" si="10"/>
        <v>50_500000</v>
      </c>
      <c r="L151">
        <v>3.019026482194724E-4</v>
      </c>
      <c r="M151">
        <v>50</v>
      </c>
      <c r="N151">
        <v>500000</v>
      </c>
      <c r="O151" t="str">
        <f t="shared" si="11"/>
        <v>50_500000</v>
      </c>
      <c r="P151" s="20">
        <v>2.9580757526679871E-3</v>
      </c>
    </row>
    <row r="152" spans="1:16" x14ac:dyDescent="0.25">
      <c r="A152">
        <v>51</v>
      </c>
      <c r="B152">
        <v>2000000</v>
      </c>
      <c r="C152" t="str">
        <f t="shared" si="8"/>
        <v>51_2000000</v>
      </c>
      <c r="D152">
        <v>5.6747350638532529E-5</v>
      </c>
      <c r="E152">
        <v>50</v>
      </c>
      <c r="F152">
        <v>1000000</v>
      </c>
      <c r="G152" t="str">
        <f t="shared" si="9"/>
        <v>50_1000000</v>
      </c>
      <c r="H152">
        <v>2.5436755307836341E-3</v>
      </c>
      <c r="I152" s="19">
        <v>50</v>
      </c>
      <c r="J152">
        <v>1000000</v>
      </c>
      <c r="K152" t="str">
        <f t="shared" si="10"/>
        <v>50_1000000</v>
      </c>
      <c r="L152">
        <v>2.4869922374378181E-4</v>
      </c>
      <c r="M152">
        <v>50</v>
      </c>
      <c r="N152">
        <v>1000000</v>
      </c>
      <c r="O152" t="str">
        <f t="shared" si="11"/>
        <v>50_1000000</v>
      </c>
      <c r="P152" s="20">
        <v>2.657141890191591E-3</v>
      </c>
    </row>
    <row r="153" spans="1:16" x14ac:dyDescent="0.25">
      <c r="A153">
        <v>52</v>
      </c>
      <c r="B153">
        <v>50000</v>
      </c>
      <c r="C153" t="str">
        <f t="shared" si="8"/>
        <v>52_50000</v>
      </c>
      <c r="D153">
        <v>4.5103754136232077E-5</v>
      </c>
      <c r="E153">
        <v>50</v>
      </c>
      <c r="F153">
        <v>2000000</v>
      </c>
      <c r="G153" t="str">
        <f t="shared" si="9"/>
        <v>50_2000000</v>
      </c>
      <c r="H153">
        <v>2.3210172992030888E-3</v>
      </c>
      <c r="I153" s="19">
        <v>50</v>
      </c>
      <c r="J153">
        <v>2000000</v>
      </c>
      <c r="K153" t="str">
        <f t="shared" si="10"/>
        <v>50_2000000</v>
      </c>
      <c r="L153">
        <v>1.3376675273361679E-4</v>
      </c>
      <c r="M153">
        <v>50</v>
      </c>
      <c r="N153">
        <v>2000000</v>
      </c>
      <c r="O153" t="str">
        <f t="shared" si="11"/>
        <v>50_2000000</v>
      </c>
      <c r="P153" s="20">
        <v>2.8456096501783901E-3</v>
      </c>
    </row>
    <row r="154" spans="1:16" x14ac:dyDescent="0.25">
      <c r="A154">
        <v>52</v>
      </c>
      <c r="B154">
        <v>100000</v>
      </c>
      <c r="C154" t="str">
        <f t="shared" si="8"/>
        <v>52_100000</v>
      </c>
      <c r="D154">
        <v>5.1623954328562162E-5</v>
      </c>
      <c r="E154">
        <v>51</v>
      </c>
      <c r="F154">
        <v>50000</v>
      </c>
      <c r="G154" t="str">
        <f t="shared" si="9"/>
        <v>51_50000</v>
      </c>
      <c r="H154">
        <v>2.311361795018872E-3</v>
      </c>
      <c r="I154" s="19">
        <v>51</v>
      </c>
      <c r="J154">
        <v>50000</v>
      </c>
      <c r="K154" t="str">
        <f t="shared" si="10"/>
        <v>51_50000</v>
      </c>
      <c r="L154">
        <v>3.7435510452995499E-4</v>
      </c>
      <c r="M154">
        <v>51</v>
      </c>
      <c r="N154">
        <v>50000</v>
      </c>
      <c r="O154" t="str">
        <f t="shared" si="11"/>
        <v>51_50000</v>
      </c>
      <c r="P154" s="20">
        <v>2.6392986357449519E-3</v>
      </c>
    </row>
    <row r="155" spans="1:16" x14ac:dyDescent="0.25">
      <c r="A155">
        <v>52</v>
      </c>
      <c r="B155">
        <v>250000</v>
      </c>
      <c r="C155" t="str">
        <f t="shared" si="8"/>
        <v>52_250000</v>
      </c>
      <c r="D155">
        <v>6.4895977441148779E-5</v>
      </c>
      <c r="E155">
        <v>51</v>
      </c>
      <c r="F155">
        <v>100000</v>
      </c>
      <c r="G155" t="str">
        <f t="shared" si="9"/>
        <v>51_100000</v>
      </c>
      <c r="H155">
        <v>2.452621608890882E-3</v>
      </c>
      <c r="I155" s="19">
        <v>51</v>
      </c>
      <c r="J155">
        <v>100000</v>
      </c>
      <c r="K155" t="str">
        <f t="shared" si="10"/>
        <v>51_100000</v>
      </c>
      <c r="L155">
        <v>3.4658643326424958E-4</v>
      </c>
      <c r="M155">
        <v>51</v>
      </c>
      <c r="N155">
        <v>100000</v>
      </c>
      <c r="O155" t="str">
        <f t="shared" si="11"/>
        <v>51_100000</v>
      </c>
      <c r="P155" s="20">
        <v>2.501173578765174E-3</v>
      </c>
    </row>
    <row r="156" spans="1:16" x14ac:dyDescent="0.25">
      <c r="A156">
        <v>52</v>
      </c>
      <c r="B156">
        <v>500000</v>
      </c>
      <c r="C156" t="str">
        <f t="shared" si="8"/>
        <v>52_500000</v>
      </c>
      <c r="D156">
        <v>8.8533219890118091E-5</v>
      </c>
      <c r="E156">
        <v>51</v>
      </c>
      <c r="F156">
        <v>250000</v>
      </c>
      <c r="G156" t="str">
        <f t="shared" si="9"/>
        <v>51_250000</v>
      </c>
      <c r="H156">
        <v>2.7100789017787019E-3</v>
      </c>
      <c r="I156" s="19">
        <v>51</v>
      </c>
      <c r="J156">
        <v>250000</v>
      </c>
      <c r="K156" t="str">
        <f t="shared" si="10"/>
        <v>51_250000</v>
      </c>
      <c r="L156">
        <v>3.6559464460345098E-4</v>
      </c>
      <c r="M156">
        <v>51</v>
      </c>
      <c r="N156">
        <v>250000</v>
      </c>
      <c r="O156" t="str">
        <f t="shared" si="11"/>
        <v>51_250000</v>
      </c>
      <c r="P156" s="20">
        <v>2.868750393353089E-3</v>
      </c>
    </row>
    <row r="157" spans="1:16" x14ac:dyDescent="0.25">
      <c r="A157">
        <v>52</v>
      </c>
      <c r="B157">
        <v>1000000</v>
      </c>
      <c r="C157" t="str">
        <f t="shared" si="8"/>
        <v>52_1000000</v>
      </c>
      <c r="D157">
        <v>5.9887580030481041E-5</v>
      </c>
      <c r="E157">
        <v>51</v>
      </c>
      <c r="F157">
        <v>500000</v>
      </c>
      <c r="G157" t="str">
        <f t="shared" si="9"/>
        <v>51_500000</v>
      </c>
      <c r="H157">
        <v>2.5773510579298769E-3</v>
      </c>
      <c r="I157" s="19">
        <v>51</v>
      </c>
      <c r="J157">
        <v>500000</v>
      </c>
      <c r="K157" t="str">
        <f t="shared" si="10"/>
        <v>51_500000</v>
      </c>
      <c r="L157">
        <v>3.1411753621663868E-4</v>
      </c>
      <c r="M157">
        <v>51</v>
      </c>
      <c r="N157">
        <v>500000</v>
      </c>
      <c r="O157" t="str">
        <f t="shared" si="11"/>
        <v>51_500000</v>
      </c>
      <c r="P157" s="20">
        <v>2.8764229796780531E-3</v>
      </c>
    </row>
    <row r="158" spans="1:16" x14ac:dyDescent="0.25">
      <c r="A158">
        <v>52</v>
      </c>
      <c r="B158">
        <v>2000000</v>
      </c>
      <c r="C158" t="str">
        <f t="shared" si="8"/>
        <v>52_2000000</v>
      </c>
      <c r="D158">
        <v>7.0055935188313419E-5</v>
      </c>
      <c r="E158">
        <v>51</v>
      </c>
      <c r="F158">
        <v>1000000</v>
      </c>
      <c r="G158" t="str">
        <f t="shared" si="9"/>
        <v>51_1000000</v>
      </c>
      <c r="H158">
        <v>2.3899035969790019E-3</v>
      </c>
      <c r="I158" s="19">
        <v>51</v>
      </c>
      <c r="J158">
        <v>1000000</v>
      </c>
      <c r="K158" t="str">
        <f t="shared" si="10"/>
        <v>51_1000000</v>
      </c>
      <c r="L158">
        <v>2.1934547171040109E-4</v>
      </c>
      <c r="M158">
        <v>51</v>
      </c>
      <c r="N158">
        <v>1000000</v>
      </c>
      <c r="O158" t="str">
        <f t="shared" si="11"/>
        <v>51_1000000</v>
      </c>
      <c r="P158" s="20">
        <v>2.8696654480336661E-3</v>
      </c>
    </row>
    <row r="159" spans="1:16" x14ac:dyDescent="0.25">
      <c r="A159">
        <v>53</v>
      </c>
      <c r="B159">
        <v>50000</v>
      </c>
      <c r="C159" t="str">
        <f t="shared" si="8"/>
        <v>53_50000</v>
      </c>
      <c r="D159">
        <v>7.5054797196537966E-5</v>
      </c>
      <c r="E159">
        <v>51</v>
      </c>
      <c r="F159">
        <v>2000000</v>
      </c>
      <c r="G159" t="str">
        <f t="shared" si="9"/>
        <v>51_2000000</v>
      </c>
      <c r="H159">
        <v>2.2864785223627501E-3</v>
      </c>
      <c r="I159" s="19">
        <v>51</v>
      </c>
      <c r="J159">
        <v>2000000</v>
      </c>
      <c r="K159" t="str">
        <f t="shared" si="10"/>
        <v>51_2000000</v>
      </c>
      <c r="L159">
        <v>1.4347052403839659E-4</v>
      </c>
      <c r="M159">
        <v>51</v>
      </c>
      <c r="N159">
        <v>2000000</v>
      </c>
      <c r="O159" t="str">
        <f t="shared" si="11"/>
        <v>51_2000000</v>
      </c>
      <c r="P159" s="20">
        <v>2.8759993469705618E-3</v>
      </c>
    </row>
    <row r="160" spans="1:16" x14ac:dyDescent="0.25">
      <c r="A160">
        <v>53</v>
      </c>
      <c r="B160">
        <v>100000</v>
      </c>
      <c r="C160" t="str">
        <f t="shared" si="8"/>
        <v>53_100000</v>
      </c>
      <c r="D160">
        <v>6.8443155509399163E-5</v>
      </c>
      <c r="E160">
        <v>52</v>
      </c>
      <c r="F160">
        <v>50000</v>
      </c>
      <c r="G160" t="str">
        <f t="shared" si="9"/>
        <v>52_50000</v>
      </c>
      <c r="H160">
        <v>2.3178074763505448E-3</v>
      </c>
      <c r="I160" s="19">
        <v>52</v>
      </c>
      <c r="J160">
        <v>50000</v>
      </c>
      <c r="K160" t="str">
        <f t="shared" si="10"/>
        <v>52_50000</v>
      </c>
      <c r="L160">
        <v>3.3601254130224961E-4</v>
      </c>
      <c r="M160">
        <v>52</v>
      </c>
      <c r="N160">
        <v>50000</v>
      </c>
      <c r="O160" t="str">
        <f t="shared" si="11"/>
        <v>52_50000</v>
      </c>
      <c r="P160" s="20">
        <v>2.6318490911836309E-3</v>
      </c>
    </row>
    <row r="161" spans="1:16" x14ac:dyDescent="0.25">
      <c r="A161">
        <v>53</v>
      </c>
      <c r="B161">
        <v>250000</v>
      </c>
      <c r="C161" t="str">
        <f t="shared" si="8"/>
        <v>53_250000</v>
      </c>
      <c r="D161">
        <v>8.0230206409068178E-5</v>
      </c>
      <c r="E161">
        <v>52</v>
      </c>
      <c r="F161">
        <v>100000</v>
      </c>
      <c r="G161" t="str">
        <f t="shared" si="9"/>
        <v>52_100000</v>
      </c>
      <c r="H161">
        <v>2.388940249095594E-3</v>
      </c>
      <c r="I161" s="19">
        <v>52</v>
      </c>
      <c r="J161">
        <v>100000</v>
      </c>
      <c r="K161" t="str">
        <f t="shared" si="10"/>
        <v>52_100000</v>
      </c>
      <c r="L161">
        <v>2.931334524936497E-4</v>
      </c>
      <c r="M161">
        <v>52</v>
      </c>
      <c r="N161">
        <v>100000</v>
      </c>
      <c r="O161" t="str">
        <f t="shared" si="11"/>
        <v>52_100000</v>
      </c>
      <c r="P161" s="20">
        <v>2.5028898581420352E-3</v>
      </c>
    </row>
    <row r="162" spans="1:16" x14ac:dyDescent="0.25">
      <c r="A162">
        <v>53</v>
      </c>
      <c r="B162">
        <v>500000</v>
      </c>
      <c r="C162" t="str">
        <f t="shared" si="8"/>
        <v>53_500000</v>
      </c>
      <c r="D162">
        <v>9.9789637089150345E-5</v>
      </c>
      <c r="E162">
        <v>52</v>
      </c>
      <c r="F162">
        <v>250000</v>
      </c>
      <c r="G162" t="str">
        <f t="shared" si="9"/>
        <v>52_250000</v>
      </c>
      <c r="H162">
        <v>2.716769984394074E-3</v>
      </c>
      <c r="I162" s="19">
        <v>52</v>
      </c>
      <c r="J162">
        <v>250000</v>
      </c>
      <c r="K162" t="str">
        <f t="shared" si="10"/>
        <v>52_250000</v>
      </c>
      <c r="L162">
        <v>3.4591986619092832E-4</v>
      </c>
      <c r="M162">
        <v>52</v>
      </c>
      <c r="N162">
        <v>250000</v>
      </c>
      <c r="O162" t="str">
        <f t="shared" si="11"/>
        <v>52_250000</v>
      </c>
      <c r="P162" s="20">
        <v>2.8482131563243979E-3</v>
      </c>
    </row>
    <row r="163" spans="1:16" x14ac:dyDescent="0.25">
      <c r="A163">
        <v>53</v>
      </c>
      <c r="B163">
        <v>1000000</v>
      </c>
      <c r="C163" t="str">
        <f t="shared" si="8"/>
        <v>53_1000000</v>
      </c>
      <c r="D163">
        <v>9.3148459513946367E-5</v>
      </c>
      <c r="E163">
        <v>52</v>
      </c>
      <c r="F163">
        <v>500000</v>
      </c>
      <c r="G163" t="str">
        <f t="shared" si="9"/>
        <v>52_500000</v>
      </c>
      <c r="H163">
        <v>2.6876749293716961E-3</v>
      </c>
      <c r="I163" s="19">
        <v>52</v>
      </c>
      <c r="J163">
        <v>500000</v>
      </c>
      <c r="K163" t="str">
        <f t="shared" si="10"/>
        <v>52_500000</v>
      </c>
      <c r="L163">
        <v>2.6635066479570622E-4</v>
      </c>
      <c r="M163">
        <v>52</v>
      </c>
      <c r="N163">
        <v>500000</v>
      </c>
      <c r="O163" t="str">
        <f t="shared" si="11"/>
        <v>52_500000</v>
      </c>
      <c r="P163" s="20">
        <v>2.826813140882851E-3</v>
      </c>
    </row>
    <row r="164" spans="1:16" x14ac:dyDescent="0.25">
      <c r="A164">
        <v>53</v>
      </c>
      <c r="B164">
        <v>2000000</v>
      </c>
      <c r="C164" t="str">
        <f t="shared" si="8"/>
        <v>53_2000000</v>
      </c>
      <c r="D164">
        <v>6.4316167135307261E-5</v>
      </c>
      <c r="E164">
        <v>52</v>
      </c>
      <c r="F164">
        <v>1000000</v>
      </c>
      <c r="G164" t="str">
        <f t="shared" si="9"/>
        <v>52_1000000</v>
      </c>
      <c r="H164">
        <v>2.5027151330548692E-3</v>
      </c>
      <c r="I164" s="19">
        <v>52</v>
      </c>
      <c r="J164">
        <v>1000000</v>
      </c>
      <c r="K164" t="str">
        <f t="shared" si="10"/>
        <v>52_1000000</v>
      </c>
      <c r="L164">
        <v>2.2646450555211659E-4</v>
      </c>
      <c r="M164">
        <v>52</v>
      </c>
      <c r="N164">
        <v>1000000</v>
      </c>
      <c r="O164" t="str">
        <f t="shared" si="11"/>
        <v>52_1000000</v>
      </c>
      <c r="P164" s="20">
        <v>2.910798465739951E-3</v>
      </c>
    </row>
    <row r="165" spans="1:16" x14ac:dyDescent="0.25">
      <c r="A165">
        <v>54</v>
      </c>
      <c r="B165">
        <v>50000</v>
      </c>
      <c r="C165" t="str">
        <f t="shared" si="8"/>
        <v>54_50000</v>
      </c>
      <c r="D165">
        <v>9.4662626499852386E-5</v>
      </c>
      <c r="E165">
        <v>52</v>
      </c>
      <c r="F165">
        <v>2000000</v>
      </c>
      <c r="G165" t="str">
        <f t="shared" si="9"/>
        <v>52_2000000</v>
      </c>
      <c r="H165">
        <v>2.2832476638816961E-3</v>
      </c>
      <c r="I165" s="19">
        <v>52</v>
      </c>
      <c r="J165">
        <v>2000000</v>
      </c>
      <c r="K165" t="str">
        <f t="shared" si="10"/>
        <v>52_2000000</v>
      </c>
      <c r="L165">
        <v>1.2938396515076831E-4</v>
      </c>
      <c r="M165">
        <v>52</v>
      </c>
      <c r="N165">
        <v>2000000</v>
      </c>
      <c r="O165" t="str">
        <f t="shared" si="11"/>
        <v>52_2000000</v>
      </c>
      <c r="P165" s="20">
        <v>2.8835558290885559E-3</v>
      </c>
    </row>
    <row r="166" spans="1:16" x14ac:dyDescent="0.25">
      <c r="A166">
        <v>54</v>
      </c>
      <c r="B166">
        <v>100000</v>
      </c>
      <c r="C166" t="str">
        <f t="shared" si="8"/>
        <v>54_100000</v>
      </c>
      <c r="D166">
        <v>7.3993938694641285E-5</v>
      </c>
      <c r="E166">
        <v>53</v>
      </c>
      <c r="F166">
        <v>50000</v>
      </c>
      <c r="G166" t="str">
        <f t="shared" si="9"/>
        <v>53_50000</v>
      </c>
      <c r="H166">
        <v>2.334890572661931E-3</v>
      </c>
      <c r="I166" s="19">
        <v>53</v>
      </c>
      <c r="J166">
        <v>50000</v>
      </c>
      <c r="K166" t="str">
        <f t="shared" si="10"/>
        <v>53_50000</v>
      </c>
      <c r="L166">
        <v>3.7140499779842471E-4</v>
      </c>
      <c r="M166">
        <v>53</v>
      </c>
      <c r="N166">
        <v>50000</v>
      </c>
      <c r="O166" t="str">
        <f t="shared" si="11"/>
        <v>53_50000</v>
      </c>
      <c r="P166" s="20">
        <v>2.6044513264046839E-3</v>
      </c>
    </row>
    <row r="167" spans="1:16" x14ac:dyDescent="0.25">
      <c r="A167">
        <v>54</v>
      </c>
      <c r="B167">
        <v>250000</v>
      </c>
      <c r="C167" t="str">
        <f t="shared" si="8"/>
        <v>54_250000</v>
      </c>
      <c r="D167">
        <v>9.1762460579888268E-5</v>
      </c>
      <c r="E167">
        <v>53</v>
      </c>
      <c r="F167">
        <v>100000</v>
      </c>
      <c r="G167" t="str">
        <f t="shared" si="9"/>
        <v>53_100000</v>
      </c>
      <c r="H167">
        <v>2.346322825542993E-3</v>
      </c>
      <c r="I167" s="19">
        <v>53</v>
      </c>
      <c r="J167">
        <v>100000</v>
      </c>
      <c r="K167" t="str">
        <f t="shared" si="10"/>
        <v>53_100000</v>
      </c>
      <c r="L167">
        <v>3.8599002458435859E-4</v>
      </c>
      <c r="M167">
        <v>53</v>
      </c>
      <c r="N167">
        <v>100000</v>
      </c>
      <c r="O167" t="str">
        <f t="shared" si="11"/>
        <v>53_100000</v>
      </c>
      <c r="P167" s="20">
        <v>2.736180229924869E-3</v>
      </c>
    </row>
    <row r="168" spans="1:16" x14ac:dyDescent="0.25">
      <c r="A168">
        <v>54</v>
      </c>
      <c r="B168">
        <v>500000</v>
      </c>
      <c r="C168" t="str">
        <f t="shared" si="8"/>
        <v>54_500000</v>
      </c>
      <c r="D168">
        <v>1.046280457612599E-4</v>
      </c>
      <c r="E168">
        <v>53</v>
      </c>
      <c r="F168">
        <v>250000</v>
      </c>
      <c r="G168" t="str">
        <f t="shared" si="9"/>
        <v>53_250000</v>
      </c>
      <c r="H168">
        <v>2.5414992381168119E-3</v>
      </c>
      <c r="I168" s="19">
        <v>53</v>
      </c>
      <c r="J168">
        <v>250000</v>
      </c>
      <c r="K168" t="str">
        <f t="shared" si="10"/>
        <v>53_250000</v>
      </c>
      <c r="L168">
        <v>3.5098344668770481E-4</v>
      </c>
      <c r="M168">
        <v>53</v>
      </c>
      <c r="N168">
        <v>250000</v>
      </c>
      <c r="O168" t="str">
        <f t="shared" si="11"/>
        <v>53_250000</v>
      </c>
      <c r="P168" s="20">
        <v>2.9061564574206409E-3</v>
      </c>
    </row>
    <row r="169" spans="1:16" x14ac:dyDescent="0.25">
      <c r="A169">
        <v>54</v>
      </c>
      <c r="B169">
        <v>1000000</v>
      </c>
      <c r="C169" t="str">
        <f t="shared" si="8"/>
        <v>54_1000000</v>
      </c>
      <c r="D169">
        <v>9.6182043405536742E-5</v>
      </c>
      <c r="E169">
        <v>53</v>
      </c>
      <c r="F169">
        <v>500000</v>
      </c>
      <c r="G169" t="str">
        <f t="shared" si="9"/>
        <v>53_500000</v>
      </c>
      <c r="H169">
        <v>2.701492737263974E-3</v>
      </c>
      <c r="I169" s="19">
        <v>53</v>
      </c>
      <c r="J169">
        <v>500000</v>
      </c>
      <c r="K169" t="str">
        <f t="shared" si="10"/>
        <v>53_500000</v>
      </c>
      <c r="L169">
        <v>3.1957061018166131E-4</v>
      </c>
      <c r="M169">
        <v>53</v>
      </c>
      <c r="N169">
        <v>500000</v>
      </c>
      <c r="O169" t="str">
        <f t="shared" si="11"/>
        <v>53_500000</v>
      </c>
      <c r="P169" s="20">
        <v>2.8887507276710608E-3</v>
      </c>
    </row>
    <row r="170" spans="1:16" x14ac:dyDescent="0.25">
      <c r="A170">
        <v>54</v>
      </c>
      <c r="B170">
        <v>2000000</v>
      </c>
      <c r="C170" t="str">
        <f t="shared" si="8"/>
        <v>54_2000000</v>
      </c>
      <c r="D170">
        <v>8.8766575423727842E-5</v>
      </c>
      <c r="E170">
        <v>53</v>
      </c>
      <c r="F170">
        <v>1000000</v>
      </c>
      <c r="G170" t="str">
        <f t="shared" si="9"/>
        <v>53_1000000</v>
      </c>
      <c r="H170">
        <v>2.4216947719311842E-3</v>
      </c>
      <c r="I170" s="19">
        <v>53</v>
      </c>
      <c r="J170">
        <v>1000000</v>
      </c>
      <c r="K170" t="str">
        <f t="shared" si="10"/>
        <v>53_1000000</v>
      </c>
      <c r="L170">
        <v>2.0947981017433581E-4</v>
      </c>
      <c r="M170">
        <v>53</v>
      </c>
      <c r="N170">
        <v>1000000</v>
      </c>
      <c r="O170" t="str">
        <f t="shared" si="11"/>
        <v>53_1000000</v>
      </c>
      <c r="P170" s="20">
        <v>2.8292952537146828E-3</v>
      </c>
    </row>
    <row r="171" spans="1:16" x14ac:dyDescent="0.25">
      <c r="A171">
        <v>55</v>
      </c>
      <c r="B171">
        <v>50000</v>
      </c>
      <c r="C171" t="str">
        <f t="shared" si="8"/>
        <v>55_50000</v>
      </c>
      <c r="D171">
        <v>8.0653251019120476E-5</v>
      </c>
      <c r="E171">
        <v>53</v>
      </c>
      <c r="F171">
        <v>2000000</v>
      </c>
      <c r="G171" t="str">
        <f t="shared" si="9"/>
        <v>53_2000000</v>
      </c>
      <c r="H171">
        <v>2.281148232383057E-3</v>
      </c>
      <c r="I171" s="19">
        <v>53</v>
      </c>
      <c r="J171">
        <v>2000000</v>
      </c>
      <c r="K171" t="str">
        <f t="shared" si="10"/>
        <v>53_2000000</v>
      </c>
      <c r="L171">
        <v>1.169219851275576E-4</v>
      </c>
      <c r="M171">
        <v>53</v>
      </c>
      <c r="N171">
        <v>2000000</v>
      </c>
      <c r="O171" t="str">
        <f t="shared" si="11"/>
        <v>53_2000000</v>
      </c>
      <c r="P171" s="20">
        <v>2.8715493254569051E-3</v>
      </c>
    </row>
    <row r="172" spans="1:16" x14ac:dyDescent="0.25">
      <c r="A172">
        <v>55</v>
      </c>
      <c r="B172">
        <v>100000</v>
      </c>
      <c r="C172" t="str">
        <f t="shared" si="8"/>
        <v>55_100000</v>
      </c>
      <c r="D172">
        <v>8.7403427222202862E-5</v>
      </c>
      <c r="E172">
        <v>54</v>
      </c>
      <c r="F172">
        <v>50000</v>
      </c>
      <c r="G172" t="str">
        <f t="shared" si="9"/>
        <v>54_50000</v>
      </c>
      <c r="H172">
        <v>2.352255486189809E-3</v>
      </c>
      <c r="I172" s="19">
        <v>54</v>
      </c>
      <c r="J172">
        <v>50000</v>
      </c>
      <c r="K172" t="str">
        <f t="shared" si="10"/>
        <v>54_50000</v>
      </c>
      <c r="L172">
        <v>3.9925935880724141E-4</v>
      </c>
      <c r="M172">
        <v>54</v>
      </c>
      <c r="N172">
        <v>50000</v>
      </c>
      <c r="O172" t="str">
        <f t="shared" si="11"/>
        <v>54_50000</v>
      </c>
      <c r="P172" s="20">
        <v>2.7214905336963679E-3</v>
      </c>
    </row>
    <row r="173" spans="1:16" x14ac:dyDescent="0.25">
      <c r="A173">
        <v>55</v>
      </c>
      <c r="B173">
        <v>250000</v>
      </c>
      <c r="C173" t="str">
        <f t="shared" si="8"/>
        <v>55_250000</v>
      </c>
      <c r="D173">
        <v>1.1706032829468769E-4</v>
      </c>
      <c r="E173">
        <v>54</v>
      </c>
      <c r="F173">
        <v>100000</v>
      </c>
      <c r="G173" t="str">
        <f t="shared" si="9"/>
        <v>54_100000</v>
      </c>
      <c r="H173">
        <v>2.3109510768240691E-3</v>
      </c>
      <c r="I173" s="19">
        <v>54</v>
      </c>
      <c r="J173">
        <v>100000</v>
      </c>
      <c r="K173" t="str">
        <f t="shared" si="10"/>
        <v>54_100000</v>
      </c>
      <c r="L173">
        <v>3.3277017464190589E-4</v>
      </c>
      <c r="M173">
        <v>54</v>
      </c>
      <c r="N173">
        <v>100000</v>
      </c>
      <c r="O173" t="str">
        <f t="shared" si="11"/>
        <v>54_100000</v>
      </c>
      <c r="P173" s="20">
        <v>2.7330093728051182E-3</v>
      </c>
    </row>
    <row r="174" spans="1:16" x14ac:dyDescent="0.25">
      <c r="A174">
        <v>55</v>
      </c>
      <c r="B174">
        <v>500000</v>
      </c>
      <c r="C174" t="str">
        <f t="shared" si="8"/>
        <v>55_500000</v>
      </c>
      <c r="D174">
        <v>1.044460297150269E-4</v>
      </c>
      <c r="E174">
        <v>54</v>
      </c>
      <c r="F174">
        <v>250000</v>
      </c>
      <c r="G174" t="str">
        <f t="shared" si="9"/>
        <v>54_250000</v>
      </c>
      <c r="H174">
        <v>2.5158980634625711E-3</v>
      </c>
      <c r="I174" s="19">
        <v>54</v>
      </c>
      <c r="J174">
        <v>250000</v>
      </c>
      <c r="K174" t="str">
        <f t="shared" si="10"/>
        <v>54_250000</v>
      </c>
      <c r="L174">
        <v>3.1381933167592518E-4</v>
      </c>
      <c r="M174">
        <v>54</v>
      </c>
      <c r="N174">
        <v>250000</v>
      </c>
      <c r="O174" t="str">
        <f t="shared" si="11"/>
        <v>54_250000</v>
      </c>
      <c r="P174" s="20">
        <v>2.5665247435029039E-3</v>
      </c>
    </row>
    <row r="175" spans="1:16" x14ac:dyDescent="0.25">
      <c r="A175">
        <v>55</v>
      </c>
      <c r="B175">
        <v>1000000</v>
      </c>
      <c r="C175" t="str">
        <f t="shared" si="8"/>
        <v>55_1000000</v>
      </c>
      <c r="D175">
        <v>1.0358896199728011E-4</v>
      </c>
      <c r="E175">
        <v>54</v>
      </c>
      <c r="F175">
        <v>500000</v>
      </c>
      <c r="G175" t="str">
        <f t="shared" si="9"/>
        <v>54_500000</v>
      </c>
      <c r="H175">
        <v>2.5558147930998978E-3</v>
      </c>
      <c r="I175" s="19">
        <v>54</v>
      </c>
      <c r="J175">
        <v>500000</v>
      </c>
      <c r="K175" t="str">
        <f t="shared" si="10"/>
        <v>54_500000</v>
      </c>
      <c r="L175">
        <v>2.6623027749724508E-4</v>
      </c>
      <c r="M175">
        <v>54</v>
      </c>
      <c r="N175">
        <v>500000</v>
      </c>
      <c r="O175" t="str">
        <f t="shared" si="11"/>
        <v>54_500000</v>
      </c>
      <c r="P175" s="20">
        <v>2.7484867767891561E-3</v>
      </c>
    </row>
    <row r="176" spans="1:16" x14ac:dyDescent="0.25">
      <c r="A176">
        <v>55</v>
      </c>
      <c r="B176">
        <v>2000000</v>
      </c>
      <c r="C176" t="str">
        <f t="shared" si="8"/>
        <v>55_2000000</v>
      </c>
      <c r="D176">
        <v>9.8106329300778458E-5</v>
      </c>
      <c r="E176">
        <v>54</v>
      </c>
      <c r="F176">
        <v>1000000</v>
      </c>
      <c r="G176" t="str">
        <f t="shared" si="9"/>
        <v>54_1000000</v>
      </c>
      <c r="H176">
        <v>2.4217798907037662E-3</v>
      </c>
      <c r="I176" s="19">
        <v>54</v>
      </c>
      <c r="J176">
        <v>1000000</v>
      </c>
      <c r="K176" t="str">
        <f t="shared" si="10"/>
        <v>54_1000000</v>
      </c>
      <c r="L176">
        <v>1.8295308570298981E-4</v>
      </c>
      <c r="M176">
        <v>54</v>
      </c>
      <c r="N176">
        <v>1000000</v>
      </c>
      <c r="O176" t="str">
        <f t="shared" si="11"/>
        <v>54_1000000</v>
      </c>
      <c r="P176" s="20">
        <v>2.8912200257925568E-3</v>
      </c>
    </row>
    <row r="177" spans="1:16" x14ac:dyDescent="0.25">
      <c r="A177" s="21"/>
      <c r="B177" s="21"/>
      <c r="C177" t="str">
        <f t="shared" si="8"/>
        <v>_</v>
      </c>
      <c r="D177" s="21"/>
      <c r="E177">
        <v>54</v>
      </c>
      <c r="F177">
        <v>2000000</v>
      </c>
      <c r="G177" t="str">
        <f t="shared" si="9"/>
        <v>54_2000000</v>
      </c>
      <c r="H177">
        <v>2.2215175241031282E-3</v>
      </c>
      <c r="I177" s="19">
        <v>54</v>
      </c>
      <c r="J177">
        <v>2000000</v>
      </c>
      <c r="K177" t="str">
        <f t="shared" si="10"/>
        <v>54_2000000</v>
      </c>
      <c r="L177">
        <v>1.212648805595161E-4</v>
      </c>
      <c r="M177">
        <v>54</v>
      </c>
      <c r="N177">
        <v>2000000</v>
      </c>
      <c r="O177" t="str">
        <f t="shared" si="11"/>
        <v>54_2000000</v>
      </c>
      <c r="P177" s="20">
        <v>2.8781395172033531E-3</v>
      </c>
    </row>
    <row r="178" spans="1:16" x14ac:dyDescent="0.25">
      <c r="A178" s="21"/>
      <c r="B178" s="21"/>
      <c r="C178" t="str">
        <f t="shared" si="8"/>
        <v>_</v>
      </c>
      <c r="D178" s="21"/>
      <c r="E178">
        <v>55</v>
      </c>
      <c r="F178">
        <v>50000</v>
      </c>
      <c r="G178" t="str">
        <f t="shared" si="9"/>
        <v>55_50000</v>
      </c>
      <c r="H178">
        <v>2.3324499146583381E-3</v>
      </c>
      <c r="I178" s="19">
        <v>55</v>
      </c>
      <c r="J178">
        <v>50000</v>
      </c>
      <c r="K178" t="str">
        <f t="shared" si="10"/>
        <v>55_50000</v>
      </c>
      <c r="L178">
        <v>3.8051899813064789E-4</v>
      </c>
      <c r="M178">
        <v>55</v>
      </c>
      <c r="N178">
        <v>50000</v>
      </c>
      <c r="O178" t="str">
        <f t="shared" si="11"/>
        <v>55_50000</v>
      </c>
      <c r="P178" s="20">
        <v>2.6029096523355801E-3</v>
      </c>
    </row>
    <row r="179" spans="1:16" x14ac:dyDescent="0.25">
      <c r="A179" s="21"/>
      <c r="B179" s="21"/>
      <c r="C179" t="str">
        <f t="shared" si="8"/>
        <v>_</v>
      </c>
      <c r="D179" s="21"/>
      <c r="E179">
        <v>55</v>
      </c>
      <c r="F179">
        <v>100000</v>
      </c>
      <c r="G179" t="str">
        <f t="shared" si="9"/>
        <v>55_100000</v>
      </c>
      <c r="H179">
        <v>2.2253607854102308E-3</v>
      </c>
      <c r="I179" s="19">
        <v>55</v>
      </c>
      <c r="J179">
        <v>100000</v>
      </c>
      <c r="K179" t="str">
        <f t="shared" si="10"/>
        <v>55_100000</v>
      </c>
      <c r="L179">
        <v>3.4954043057952903E-4</v>
      </c>
      <c r="M179">
        <v>55</v>
      </c>
      <c r="N179">
        <v>100000</v>
      </c>
      <c r="O179" t="str">
        <f t="shared" si="11"/>
        <v>55_100000</v>
      </c>
      <c r="P179" s="20">
        <v>2.766428690157037E-3</v>
      </c>
    </row>
    <row r="180" spans="1:16" x14ac:dyDescent="0.25">
      <c r="A180" s="21"/>
      <c r="B180" s="21"/>
      <c r="C180" t="str">
        <f t="shared" si="8"/>
        <v>_</v>
      </c>
      <c r="D180" s="21"/>
      <c r="E180">
        <v>55</v>
      </c>
      <c r="F180">
        <v>250000</v>
      </c>
      <c r="G180" t="str">
        <f t="shared" si="9"/>
        <v>55_250000</v>
      </c>
      <c r="H180">
        <v>2.583722164008798E-3</v>
      </c>
      <c r="I180" s="19">
        <v>55</v>
      </c>
      <c r="J180">
        <v>250000</v>
      </c>
      <c r="K180" t="str">
        <f t="shared" si="10"/>
        <v>55_250000</v>
      </c>
      <c r="L180">
        <v>4.0044877914736959E-4</v>
      </c>
      <c r="M180">
        <v>55</v>
      </c>
      <c r="N180">
        <v>250000</v>
      </c>
      <c r="O180" t="str">
        <f t="shared" si="11"/>
        <v>55_250000</v>
      </c>
      <c r="P180" s="20">
        <v>2.7236885373570058E-3</v>
      </c>
    </row>
    <row r="181" spans="1:16" x14ac:dyDescent="0.25">
      <c r="A181" s="21"/>
      <c r="B181" s="21"/>
      <c r="C181" t="str">
        <f t="shared" si="8"/>
        <v>_</v>
      </c>
      <c r="D181" s="21"/>
      <c r="E181">
        <v>55</v>
      </c>
      <c r="F181">
        <v>500000</v>
      </c>
      <c r="G181" t="str">
        <f t="shared" si="9"/>
        <v>55_500000</v>
      </c>
      <c r="H181">
        <v>2.6002826889383302E-3</v>
      </c>
      <c r="I181" s="19">
        <v>55</v>
      </c>
      <c r="J181">
        <v>500000</v>
      </c>
      <c r="K181" t="str">
        <f t="shared" si="10"/>
        <v>55_500000</v>
      </c>
      <c r="L181">
        <v>2.9650532978349882E-4</v>
      </c>
      <c r="M181">
        <v>55</v>
      </c>
      <c r="N181">
        <v>500000</v>
      </c>
      <c r="O181" t="str">
        <f t="shared" si="11"/>
        <v>55_500000</v>
      </c>
      <c r="P181" s="20">
        <v>2.7603492780404119E-3</v>
      </c>
    </row>
    <row r="182" spans="1:16" x14ac:dyDescent="0.25">
      <c r="A182" s="21"/>
      <c r="B182" s="21"/>
      <c r="C182" t="str">
        <f t="shared" si="8"/>
        <v>_</v>
      </c>
      <c r="D182" s="21"/>
      <c r="E182">
        <v>55</v>
      </c>
      <c r="F182">
        <v>1000000</v>
      </c>
      <c r="G182" t="str">
        <f t="shared" si="9"/>
        <v>55_1000000</v>
      </c>
      <c r="H182">
        <v>2.4082576308682001E-3</v>
      </c>
      <c r="I182" s="19">
        <v>55</v>
      </c>
      <c r="J182">
        <v>1000000</v>
      </c>
      <c r="K182" t="str">
        <f t="shared" si="10"/>
        <v>55_1000000</v>
      </c>
      <c r="L182">
        <v>2.5374141175639372E-4</v>
      </c>
      <c r="M182">
        <v>55</v>
      </c>
      <c r="N182">
        <v>1000000</v>
      </c>
      <c r="O182" t="str">
        <f t="shared" si="11"/>
        <v>55_1000000</v>
      </c>
      <c r="P182" s="20">
        <v>2.8435790158310081E-3</v>
      </c>
    </row>
    <row r="183" spans="1:16" x14ac:dyDescent="0.25">
      <c r="A183" s="22"/>
      <c r="B183" s="22"/>
      <c r="C183" t="str">
        <f t="shared" si="8"/>
        <v>_</v>
      </c>
      <c r="D183" s="22"/>
      <c r="E183" s="23">
        <v>55</v>
      </c>
      <c r="F183" s="23">
        <v>2000000</v>
      </c>
      <c r="G183" t="str">
        <f t="shared" si="9"/>
        <v>55_2000000</v>
      </c>
      <c r="H183" s="23">
        <v>2.318247366748365E-3</v>
      </c>
      <c r="I183" s="24">
        <v>55</v>
      </c>
      <c r="J183" s="23">
        <v>2000000</v>
      </c>
      <c r="K183" t="str">
        <f t="shared" si="10"/>
        <v>55_2000000</v>
      </c>
      <c r="L183" s="23">
        <v>1.826123030581124E-4</v>
      </c>
      <c r="M183" s="23">
        <v>55</v>
      </c>
      <c r="N183" s="23">
        <v>2000000</v>
      </c>
      <c r="O183" t="str">
        <f t="shared" si="11"/>
        <v>55_2000000</v>
      </c>
      <c r="P183" s="25">
        <v>2.8773166060183648E-3</v>
      </c>
    </row>
  </sheetData>
  <mergeCells count="6">
    <mergeCell ref="A1:H1"/>
    <mergeCell ref="I1:P1"/>
    <mergeCell ref="A2:D2"/>
    <mergeCell ref="E2:H2"/>
    <mergeCell ref="I2:L2"/>
    <mergeCell ref="M2:P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5A85-C85F-4EA3-A366-EA14F0064355}">
  <sheetPr codeName="Sheet6">
    <tabColor theme="8" tint="0.79998168889431442"/>
  </sheetPr>
  <dimension ref="A1:R158"/>
  <sheetViews>
    <sheetView zoomScaleNormal="100" workbookViewId="0">
      <selection activeCell="N36" sqref="N36"/>
    </sheetView>
  </sheetViews>
  <sheetFormatPr defaultColWidth="8.85546875" defaultRowHeight="15" x14ac:dyDescent="0.25"/>
  <cols>
    <col min="2" max="2" width="11" bestFit="1" customWidth="1"/>
    <col min="3" max="3" width="11" customWidth="1"/>
    <col min="4" max="4" width="13.42578125" bestFit="1" customWidth="1"/>
    <col min="6" max="6" width="11" bestFit="1" customWidth="1"/>
    <col min="7" max="7" width="11" customWidth="1"/>
    <col min="10" max="10" width="11" bestFit="1" customWidth="1"/>
    <col min="11" max="11" width="11" customWidth="1"/>
    <col min="14" max="14" width="11" bestFit="1" customWidth="1"/>
    <col min="15" max="15" width="11" customWidth="1"/>
    <col min="18" max="18" width="10.42578125" customWidth="1"/>
  </cols>
  <sheetData>
    <row r="1" spans="1:18" x14ac:dyDescent="0.25">
      <c r="A1" s="82" t="s">
        <v>72</v>
      </c>
      <c r="B1" s="82"/>
      <c r="C1" s="82"/>
      <c r="D1" s="82"/>
      <c r="E1" s="82"/>
      <c r="F1" s="82"/>
      <c r="G1" s="82"/>
      <c r="H1" s="82"/>
      <c r="I1" s="83" t="s">
        <v>73</v>
      </c>
      <c r="J1" s="84"/>
      <c r="K1" s="84"/>
      <c r="L1" s="84"/>
      <c r="M1" s="84"/>
      <c r="N1" s="84"/>
      <c r="O1" s="84"/>
      <c r="P1" s="85"/>
    </row>
    <row r="2" spans="1:18" x14ac:dyDescent="0.25">
      <c r="A2" s="86" t="s">
        <v>51</v>
      </c>
      <c r="B2" s="86"/>
      <c r="C2" s="86"/>
      <c r="D2" s="86"/>
      <c r="E2" s="86" t="s">
        <v>74</v>
      </c>
      <c r="F2" s="86"/>
      <c r="G2" s="86"/>
      <c r="H2" s="86"/>
      <c r="I2" s="87" t="s">
        <v>51</v>
      </c>
      <c r="J2" s="86"/>
      <c r="K2" s="86"/>
      <c r="L2" s="86"/>
      <c r="M2" s="86" t="s">
        <v>74</v>
      </c>
      <c r="N2" s="86"/>
      <c r="O2" s="86"/>
      <c r="P2" s="88"/>
    </row>
    <row r="3" spans="1:18" x14ac:dyDescent="0.25">
      <c r="A3" s="14" t="s">
        <v>11</v>
      </c>
      <c r="B3" s="14" t="s">
        <v>75</v>
      </c>
      <c r="C3" s="14"/>
      <c r="D3" s="14" t="s">
        <v>76</v>
      </c>
      <c r="E3" s="15" t="s">
        <v>11</v>
      </c>
      <c r="F3" s="14" t="s">
        <v>75</v>
      </c>
      <c r="G3" s="14"/>
      <c r="H3" s="14" t="s">
        <v>76</v>
      </c>
      <c r="I3" s="15" t="s">
        <v>11</v>
      </c>
      <c r="J3" s="14" t="s">
        <v>75</v>
      </c>
      <c r="K3" s="14"/>
      <c r="L3" s="14" t="s">
        <v>76</v>
      </c>
      <c r="M3" s="15" t="s">
        <v>11</v>
      </c>
      <c r="N3" s="14" t="s">
        <v>75</v>
      </c>
      <c r="O3" s="14"/>
      <c r="P3" s="16" t="s">
        <v>76</v>
      </c>
      <c r="R3" s="17" t="s">
        <v>77</v>
      </c>
    </row>
    <row r="4" spans="1:18" x14ac:dyDescent="0.25">
      <c r="A4" s="18">
        <v>41</v>
      </c>
      <c r="B4" s="18">
        <v>1000000</v>
      </c>
      <c r="C4" s="18" t="str">
        <f>A4&amp;"_"&amp;B4</f>
        <v>41_1000000</v>
      </c>
      <c r="D4" s="18">
        <v>7.3631499610609299E-5</v>
      </c>
      <c r="E4">
        <v>35</v>
      </c>
      <c r="F4">
        <v>100000</v>
      </c>
      <c r="G4" t="str">
        <f>E4&amp;"_"&amp;F4</f>
        <v>35_100000</v>
      </c>
      <c r="H4">
        <v>1.8119445786157801E-3</v>
      </c>
      <c r="I4" s="19">
        <v>35</v>
      </c>
      <c r="J4">
        <v>100000</v>
      </c>
      <c r="K4" t="str">
        <f>I4&amp;"_"&amp;J4</f>
        <v>35_100000</v>
      </c>
      <c r="L4">
        <v>2.2591929504302361E-4</v>
      </c>
      <c r="M4">
        <v>35</v>
      </c>
      <c r="N4">
        <v>100000</v>
      </c>
      <c r="O4" t="str">
        <f>M4&amp;"_"&amp;N4</f>
        <v>35_100000</v>
      </c>
      <c r="P4" s="20">
        <v>2.9473657937598E-3</v>
      </c>
      <c r="R4" t="s">
        <v>79</v>
      </c>
    </row>
    <row r="5" spans="1:18" x14ac:dyDescent="0.25">
      <c r="A5">
        <v>41</v>
      </c>
      <c r="B5">
        <v>250000</v>
      </c>
      <c r="C5" s="18" t="str">
        <f t="shared" ref="C5:C68" si="0">A5&amp;"_"&amp;B5</f>
        <v>41_250000</v>
      </c>
      <c r="D5">
        <v>9.0391983303642119E-5</v>
      </c>
      <c r="E5">
        <v>35</v>
      </c>
      <c r="F5">
        <v>250000</v>
      </c>
      <c r="G5" t="str">
        <f t="shared" ref="G5:G68" si="1">E5&amp;"_"&amp;F5</f>
        <v>35_250000</v>
      </c>
      <c r="H5">
        <v>2.8059527158218879E-3</v>
      </c>
      <c r="I5" s="19">
        <v>35</v>
      </c>
      <c r="J5">
        <v>250000</v>
      </c>
      <c r="K5" t="str">
        <f t="shared" ref="K5:K68" si="2">I5&amp;"_"&amp;J5</f>
        <v>35_250000</v>
      </c>
      <c r="L5">
        <v>3.0469996605982439E-4</v>
      </c>
      <c r="M5">
        <v>35</v>
      </c>
      <c r="N5">
        <v>250000</v>
      </c>
      <c r="O5" t="str">
        <f t="shared" ref="O5:O68" si="3">M5&amp;"_"&amp;N5</f>
        <v>35_250000</v>
      </c>
      <c r="P5" s="20">
        <v>3.631784041716836E-3</v>
      </c>
    </row>
    <row r="6" spans="1:18" x14ac:dyDescent="0.25">
      <c r="A6">
        <v>41</v>
      </c>
      <c r="B6">
        <v>100000</v>
      </c>
      <c r="C6" s="18" t="str">
        <f t="shared" si="0"/>
        <v>41_100000</v>
      </c>
      <c r="D6">
        <v>1.3733727305977761E-4</v>
      </c>
      <c r="E6">
        <v>35</v>
      </c>
      <c r="F6">
        <v>500000</v>
      </c>
      <c r="G6" t="str">
        <f t="shared" si="1"/>
        <v>35_500000</v>
      </c>
      <c r="H6">
        <v>2.889813576965545E-3</v>
      </c>
      <c r="I6" s="19">
        <v>35</v>
      </c>
      <c r="J6">
        <v>500000</v>
      </c>
      <c r="K6" t="str">
        <f t="shared" si="2"/>
        <v>35_500000</v>
      </c>
      <c r="L6">
        <v>2.0239353189795701E-4</v>
      </c>
      <c r="M6">
        <v>35</v>
      </c>
      <c r="N6">
        <v>500000</v>
      </c>
      <c r="O6" t="str">
        <f t="shared" si="3"/>
        <v>35_500000</v>
      </c>
      <c r="P6" s="20">
        <v>3.8755554481790379E-3</v>
      </c>
    </row>
    <row r="7" spans="1:18" x14ac:dyDescent="0.25">
      <c r="A7">
        <v>41</v>
      </c>
      <c r="B7">
        <v>500000</v>
      </c>
      <c r="C7" s="18" t="str">
        <f t="shared" si="0"/>
        <v>41_500000</v>
      </c>
      <c r="D7">
        <v>1.431464468962904E-4</v>
      </c>
      <c r="E7">
        <v>35</v>
      </c>
      <c r="F7">
        <v>1000000</v>
      </c>
      <c r="G7" t="str">
        <f t="shared" si="1"/>
        <v>35_1000000</v>
      </c>
      <c r="H7">
        <v>2.9972368119914948E-3</v>
      </c>
      <c r="I7" s="19">
        <v>35</v>
      </c>
      <c r="J7">
        <v>1000000</v>
      </c>
      <c r="K7" t="str">
        <f t="shared" si="2"/>
        <v>35_1000000</v>
      </c>
      <c r="L7">
        <v>1.7216626705369889E-4</v>
      </c>
      <c r="M7">
        <v>35</v>
      </c>
      <c r="N7">
        <v>1000000</v>
      </c>
      <c r="O7" t="str">
        <f t="shared" si="3"/>
        <v>35_1000000</v>
      </c>
      <c r="P7" s="20">
        <v>4.14058241036417E-3</v>
      </c>
    </row>
    <row r="8" spans="1:18" x14ac:dyDescent="0.25">
      <c r="A8">
        <v>42</v>
      </c>
      <c r="B8">
        <v>100000</v>
      </c>
      <c r="C8" s="18" t="str">
        <f t="shared" si="0"/>
        <v>42_100000</v>
      </c>
      <c r="D8">
        <v>5.1761718649434423E-5</v>
      </c>
      <c r="E8">
        <v>35</v>
      </c>
      <c r="F8">
        <v>2000000</v>
      </c>
      <c r="G8" t="str">
        <f t="shared" si="1"/>
        <v>35_2000000</v>
      </c>
      <c r="H8">
        <v>2.1966871955686139E-3</v>
      </c>
      <c r="I8" s="19">
        <v>36</v>
      </c>
      <c r="J8">
        <v>100000</v>
      </c>
      <c r="K8" t="str">
        <f t="shared" si="2"/>
        <v>36_100000</v>
      </c>
      <c r="L8">
        <v>2.9365099414498981E-4</v>
      </c>
      <c r="M8">
        <v>35</v>
      </c>
      <c r="N8">
        <v>2000000</v>
      </c>
      <c r="O8" t="str">
        <f t="shared" si="3"/>
        <v>35_2000000</v>
      </c>
      <c r="P8" s="20">
        <v>3.675678496167793E-3</v>
      </c>
    </row>
    <row r="9" spans="1:18" x14ac:dyDescent="0.25">
      <c r="A9">
        <v>42</v>
      </c>
      <c r="B9">
        <v>500000</v>
      </c>
      <c r="C9" s="18" t="str">
        <f t="shared" si="0"/>
        <v>42_500000</v>
      </c>
      <c r="D9">
        <v>7.226345291779479E-5</v>
      </c>
      <c r="E9">
        <v>36</v>
      </c>
      <c r="F9">
        <v>100000</v>
      </c>
      <c r="G9" t="str">
        <f t="shared" si="1"/>
        <v>36_100000</v>
      </c>
      <c r="H9">
        <v>1.901130558631443E-3</v>
      </c>
      <c r="I9" s="19">
        <v>36</v>
      </c>
      <c r="J9">
        <v>250000</v>
      </c>
      <c r="K9" t="str">
        <f t="shared" si="2"/>
        <v>36_250000</v>
      </c>
      <c r="L9">
        <v>1.8954573930549161E-4</v>
      </c>
      <c r="M9">
        <v>36</v>
      </c>
      <c r="N9">
        <v>100000</v>
      </c>
      <c r="O9" t="str">
        <f t="shared" si="3"/>
        <v>36_100000</v>
      </c>
      <c r="P9" s="20">
        <v>3.1049607755499488E-3</v>
      </c>
    </row>
    <row r="10" spans="1:18" x14ac:dyDescent="0.25">
      <c r="A10">
        <v>42</v>
      </c>
      <c r="B10">
        <v>1000000</v>
      </c>
      <c r="C10" s="18" t="str">
        <f t="shared" si="0"/>
        <v>42_1000000</v>
      </c>
      <c r="D10">
        <v>9.198269315674381E-5</v>
      </c>
      <c r="E10">
        <v>36</v>
      </c>
      <c r="F10">
        <v>250000</v>
      </c>
      <c r="G10" t="str">
        <f t="shared" si="1"/>
        <v>36_250000</v>
      </c>
      <c r="H10">
        <v>2.846786099078155E-3</v>
      </c>
      <c r="I10" s="19">
        <v>36</v>
      </c>
      <c r="J10">
        <v>500000</v>
      </c>
      <c r="K10" t="str">
        <f t="shared" si="2"/>
        <v>36_500000</v>
      </c>
      <c r="L10">
        <v>2.3573632088555129E-4</v>
      </c>
      <c r="M10">
        <v>36</v>
      </c>
      <c r="N10">
        <v>250000</v>
      </c>
      <c r="O10" t="str">
        <f t="shared" si="3"/>
        <v>36_250000</v>
      </c>
      <c r="P10" s="20">
        <v>3.767906972798522E-3</v>
      </c>
    </row>
    <row r="11" spans="1:18" x14ac:dyDescent="0.25">
      <c r="A11">
        <v>42</v>
      </c>
      <c r="B11">
        <v>250000</v>
      </c>
      <c r="C11" s="18" t="str">
        <f t="shared" si="0"/>
        <v>42_250000</v>
      </c>
      <c r="D11">
        <v>1.8239910769528211E-4</v>
      </c>
      <c r="E11">
        <v>36</v>
      </c>
      <c r="F11">
        <v>500000</v>
      </c>
      <c r="G11" t="str">
        <f t="shared" si="1"/>
        <v>36_500000</v>
      </c>
      <c r="H11">
        <v>2.9361457882309192E-3</v>
      </c>
      <c r="I11" s="19">
        <v>36</v>
      </c>
      <c r="J11">
        <v>1000000</v>
      </c>
      <c r="K11" t="str">
        <f t="shared" si="2"/>
        <v>36_1000000</v>
      </c>
      <c r="L11">
        <v>1.18607625743587E-4</v>
      </c>
      <c r="M11">
        <v>36</v>
      </c>
      <c r="N11">
        <v>500000</v>
      </c>
      <c r="O11" t="str">
        <f t="shared" si="3"/>
        <v>36_500000</v>
      </c>
      <c r="P11" s="20">
        <v>3.730427088392657E-3</v>
      </c>
    </row>
    <row r="12" spans="1:18" x14ac:dyDescent="0.25">
      <c r="A12">
        <v>43</v>
      </c>
      <c r="B12">
        <v>250000</v>
      </c>
      <c r="C12" s="18" t="str">
        <f t="shared" si="0"/>
        <v>43_250000</v>
      </c>
      <c r="D12">
        <v>6.1273400898948446E-5</v>
      </c>
      <c r="E12">
        <v>36</v>
      </c>
      <c r="F12">
        <v>1000000</v>
      </c>
      <c r="G12" t="str">
        <f t="shared" si="1"/>
        <v>36_1000000</v>
      </c>
      <c r="H12">
        <v>2.8894305568023869E-3</v>
      </c>
      <c r="I12" s="19">
        <v>37</v>
      </c>
      <c r="J12">
        <v>100000</v>
      </c>
      <c r="K12" t="str">
        <f t="shared" si="2"/>
        <v>37_100000</v>
      </c>
      <c r="L12">
        <v>2.230300495455958E-4</v>
      </c>
      <c r="M12">
        <v>36</v>
      </c>
      <c r="N12">
        <v>1000000</v>
      </c>
      <c r="O12" t="str">
        <f t="shared" si="3"/>
        <v>36_1000000</v>
      </c>
      <c r="P12" s="20">
        <v>3.7904097954303368E-3</v>
      </c>
    </row>
    <row r="13" spans="1:18" x14ac:dyDescent="0.25">
      <c r="A13">
        <v>43</v>
      </c>
      <c r="B13">
        <v>100000</v>
      </c>
      <c r="C13" s="18" t="str">
        <f t="shared" si="0"/>
        <v>43_100000</v>
      </c>
      <c r="D13">
        <v>6.8592073721859926E-5</v>
      </c>
      <c r="E13">
        <v>36</v>
      </c>
      <c r="F13">
        <v>2000000</v>
      </c>
      <c r="G13" t="str">
        <f t="shared" si="1"/>
        <v>36_2000000</v>
      </c>
      <c r="H13">
        <v>2.3035439204314142E-3</v>
      </c>
      <c r="I13" s="19">
        <v>37</v>
      </c>
      <c r="J13">
        <v>250000</v>
      </c>
      <c r="K13" t="str">
        <f t="shared" si="2"/>
        <v>37_250000</v>
      </c>
      <c r="L13">
        <v>2.2793266695937179E-4</v>
      </c>
      <c r="M13">
        <v>36</v>
      </c>
      <c r="N13">
        <v>2000000</v>
      </c>
      <c r="O13" t="str">
        <f t="shared" si="3"/>
        <v>36_2000000</v>
      </c>
      <c r="P13" s="20">
        <v>3.6755522910284361E-3</v>
      </c>
    </row>
    <row r="14" spans="1:18" x14ac:dyDescent="0.25">
      <c r="A14">
        <v>43</v>
      </c>
      <c r="B14">
        <v>1000000</v>
      </c>
      <c r="C14" s="18" t="str">
        <f t="shared" si="0"/>
        <v>43_1000000</v>
      </c>
      <c r="D14">
        <v>6.9040250204945361E-5</v>
      </c>
      <c r="E14">
        <v>37</v>
      </c>
      <c r="F14">
        <v>100000</v>
      </c>
      <c r="G14" t="str">
        <f t="shared" si="1"/>
        <v>37_100000</v>
      </c>
      <c r="H14">
        <v>1.9792445353456799E-3</v>
      </c>
      <c r="I14" s="19">
        <v>37</v>
      </c>
      <c r="J14">
        <v>500000</v>
      </c>
      <c r="K14" t="str">
        <f t="shared" si="2"/>
        <v>37_500000</v>
      </c>
      <c r="L14">
        <v>1.832162100970669E-4</v>
      </c>
      <c r="M14">
        <v>37</v>
      </c>
      <c r="N14">
        <v>100000</v>
      </c>
      <c r="O14" t="str">
        <f t="shared" si="3"/>
        <v>37_100000</v>
      </c>
      <c r="P14" s="20">
        <v>3.1764792358987171E-3</v>
      </c>
    </row>
    <row r="15" spans="1:18" x14ac:dyDescent="0.25">
      <c r="A15">
        <v>43</v>
      </c>
      <c r="B15">
        <v>2000000</v>
      </c>
      <c r="C15" s="18" t="str">
        <f t="shared" si="0"/>
        <v>43_2000000</v>
      </c>
      <c r="D15">
        <v>7.4547678436143056E-5</v>
      </c>
      <c r="E15">
        <v>37</v>
      </c>
      <c r="F15">
        <v>250000</v>
      </c>
      <c r="G15" t="str">
        <f t="shared" si="1"/>
        <v>37_250000</v>
      </c>
      <c r="H15">
        <v>2.712086695521971E-3</v>
      </c>
      <c r="I15" s="19">
        <v>37</v>
      </c>
      <c r="J15">
        <v>1000000</v>
      </c>
      <c r="K15" t="str">
        <f t="shared" si="2"/>
        <v>37_1000000</v>
      </c>
      <c r="L15">
        <v>1.578387634224629E-4</v>
      </c>
      <c r="M15">
        <v>37</v>
      </c>
      <c r="N15">
        <v>250000</v>
      </c>
      <c r="O15" t="str">
        <f t="shared" si="3"/>
        <v>37_250000</v>
      </c>
      <c r="P15" s="20">
        <v>3.681707014055775E-3</v>
      </c>
    </row>
    <row r="16" spans="1:18" x14ac:dyDescent="0.25">
      <c r="A16">
        <v>43</v>
      </c>
      <c r="B16">
        <v>500000</v>
      </c>
      <c r="C16" s="18" t="str">
        <f t="shared" si="0"/>
        <v>43_500000</v>
      </c>
      <c r="D16">
        <v>1.868475246825866E-4</v>
      </c>
      <c r="E16">
        <v>37</v>
      </c>
      <c r="F16">
        <v>500000</v>
      </c>
      <c r="G16" t="str">
        <f t="shared" si="1"/>
        <v>37_500000</v>
      </c>
      <c r="H16">
        <v>2.8249280104553089E-3</v>
      </c>
      <c r="I16" s="19">
        <v>38</v>
      </c>
      <c r="J16">
        <v>100000</v>
      </c>
      <c r="K16" t="str">
        <f t="shared" si="2"/>
        <v>38_100000</v>
      </c>
      <c r="L16">
        <v>2.3279627947683321E-4</v>
      </c>
      <c r="M16">
        <v>37</v>
      </c>
      <c r="N16">
        <v>500000</v>
      </c>
      <c r="O16" t="str">
        <f t="shared" si="3"/>
        <v>37_500000</v>
      </c>
      <c r="P16" s="20">
        <v>3.680558460610077E-3</v>
      </c>
    </row>
    <row r="17" spans="1:16" x14ac:dyDescent="0.25">
      <c r="A17">
        <v>44</v>
      </c>
      <c r="B17">
        <v>250000</v>
      </c>
      <c r="C17" s="18" t="str">
        <f t="shared" si="0"/>
        <v>44_250000</v>
      </c>
      <c r="D17">
        <v>9.1764679755079113E-5</v>
      </c>
      <c r="E17">
        <v>37</v>
      </c>
      <c r="F17">
        <v>1000000</v>
      </c>
      <c r="G17" t="str">
        <f t="shared" si="1"/>
        <v>37_1000000</v>
      </c>
      <c r="H17">
        <v>2.689268081684439E-3</v>
      </c>
      <c r="I17" s="19">
        <v>38</v>
      </c>
      <c r="J17">
        <v>250000</v>
      </c>
      <c r="K17" t="str">
        <f t="shared" si="2"/>
        <v>38_250000</v>
      </c>
      <c r="L17">
        <v>2.4561816996632071E-4</v>
      </c>
      <c r="M17">
        <v>37</v>
      </c>
      <c r="N17">
        <v>1000000</v>
      </c>
      <c r="O17" t="str">
        <f t="shared" si="3"/>
        <v>37_1000000</v>
      </c>
      <c r="P17" s="20">
        <v>4.0399326301715846E-3</v>
      </c>
    </row>
    <row r="18" spans="1:16" x14ac:dyDescent="0.25">
      <c r="A18">
        <v>44</v>
      </c>
      <c r="B18">
        <v>500000</v>
      </c>
      <c r="C18" s="18" t="str">
        <f t="shared" si="0"/>
        <v>44_500000</v>
      </c>
      <c r="D18">
        <v>1.09961098536395E-4</v>
      </c>
      <c r="E18">
        <v>37</v>
      </c>
      <c r="F18">
        <v>2000000</v>
      </c>
      <c r="G18" t="str">
        <f t="shared" si="1"/>
        <v>37_2000000</v>
      </c>
      <c r="H18">
        <v>2.3005661159369618E-3</v>
      </c>
      <c r="I18" s="19">
        <v>38</v>
      </c>
      <c r="J18">
        <v>500000</v>
      </c>
      <c r="K18" t="str">
        <f t="shared" si="2"/>
        <v>38_500000</v>
      </c>
      <c r="L18">
        <v>1.6781354223920501E-4</v>
      </c>
      <c r="M18">
        <v>37</v>
      </c>
      <c r="N18">
        <v>2000000</v>
      </c>
      <c r="O18" t="str">
        <f t="shared" si="3"/>
        <v>37_2000000</v>
      </c>
      <c r="P18" s="20">
        <v>3.613244257342902E-3</v>
      </c>
    </row>
    <row r="19" spans="1:16" x14ac:dyDescent="0.25">
      <c r="A19">
        <v>44</v>
      </c>
      <c r="B19">
        <v>2000000</v>
      </c>
      <c r="C19" s="18" t="str">
        <f t="shared" si="0"/>
        <v>44_2000000</v>
      </c>
      <c r="D19">
        <v>1.207888100930713E-4</v>
      </c>
      <c r="E19">
        <v>38</v>
      </c>
      <c r="F19">
        <v>100000</v>
      </c>
      <c r="G19" t="str">
        <f t="shared" si="1"/>
        <v>38_100000</v>
      </c>
      <c r="H19">
        <v>2.0907540449446611E-3</v>
      </c>
      <c r="I19" s="19">
        <v>38</v>
      </c>
      <c r="J19">
        <v>1000000</v>
      </c>
      <c r="K19" t="str">
        <f t="shared" si="2"/>
        <v>38_1000000</v>
      </c>
      <c r="L19">
        <v>1.3993641277529749E-4</v>
      </c>
      <c r="M19">
        <v>38</v>
      </c>
      <c r="N19">
        <v>100000</v>
      </c>
      <c r="O19" t="str">
        <f t="shared" si="3"/>
        <v>38_100000</v>
      </c>
      <c r="P19" s="20">
        <v>3.0822540366527412E-3</v>
      </c>
    </row>
    <row r="20" spans="1:16" x14ac:dyDescent="0.25">
      <c r="A20">
        <v>44</v>
      </c>
      <c r="B20">
        <v>100000</v>
      </c>
      <c r="C20" s="18" t="str">
        <f t="shared" si="0"/>
        <v>44_100000</v>
      </c>
      <c r="D20">
        <v>2.1956513463367429E-4</v>
      </c>
      <c r="E20">
        <v>38</v>
      </c>
      <c r="F20">
        <v>250000</v>
      </c>
      <c r="G20" t="str">
        <f t="shared" si="1"/>
        <v>38_250000</v>
      </c>
      <c r="H20">
        <v>2.9804333563919609E-3</v>
      </c>
      <c r="I20" s="19">
        <v>39</v>
      </c>
      <c r="J20">
        <v>100000</v>
      </c>
      <c r="K20" t="str">
        <f t="shared" si="2"/>
        <v>39_100000</v>
      </c>
      <c r="L20">
        <v>1.8133874921327531E-4</v>
      </c>
      <c r="M20">
        <v>38</v>
      </c>
      <c r="N20">
        <v>250000</v>
      </c>
      <c r="O20" t="str">
        <f t="shared" si="3"/>
        <v>38_250000</v>
      </c>
      <c r="P20" s="20">
        <v>3.927638723433542E-3</v>
      </c>
    </row>
    <row r="21" spans="1:16" x14ac:dyDescent="0.25">
      <c r="A21">
        <v>44</v>
      </c>
      <c r="B21">
        <v>1000000</v>
      </c>
      <c r="C21" s="18" t="str">
        <f t="shared" si="0"/>
        <v>44_1000000</v>
      </c>
      <c r="D21">
        <v>2.961723985379118E-4</v>
      </c>
      <c r="E21">
        <v>38</v>
      </c>
      <c r="F21">
        <v>500000</v>
      </c>
      <c r="G21" t="str">
        <f t="shared" si="1"/>
        <v>38_500000</v>
      </c>
      <c r="H21">
        <v>2.8926558789913129E-3</v>
      </c>
      <c r="I21" s="19">
        <v>39</v>
      </c>
      <c r="J21">
        <v>250000</v>
      </c>
      <c r="K21" t="str">
        <f t="shared" si="2"/>
        <v>39_250000</v>
      </c>
      <c r="L21">
        <v>2.2127126244607159E-4</v>
      </c>
      <c r="M21">
        <v>38</v>
      </c>
      <c r="N21">
        <v>500000</v>
      </c>
      <c r="O21" t="str">
        <f t="shared" si="3"/>
        <v>38_500000</v>
      </c>
      <c r="P21" s="20">
        <v>4.0439761444505022E-3</v>
      </c>
    </row>
    <row r="22" spans="1:16" x14ac:dyDescent="0.25">
      <c r="A22">
        <v>45</v>
      </c>
      <c r="B22">
        <v>500000</v>
      </c>
      <c r="C22" s="18" t="str">
        <f t="shared" si="0"/>
        <v>45_500000</v>
      </c>
      <c r="D22">
        <v>1.048267626400295E-4</v>
      </c>
      <c r="E22">
        <v>38</v>
      </c>
      <c r="F22">
        <v>1000000</v>
      </c>
      <c r="G22" t="str">
        <f t="shared" si="1"/>
        <v>38_1000000</v>
      </c>
      <c r="H22">
        <v>2.521978631679184E-3</v>
      </c>
      <c r="I22" s="19">
        <v>39</v>
      </c>
      <c r="J22">
        <v>500000</v>
      </c>
      <c r="K22" t="str">
        <f t="shared" si="2"/>
        <v>39_500000</v>
      </c>
      <c r="L22">
        <v>1.547066465372637E-4</v>
      </c>
      <c r="M22">
        <v>38</v>
      </c>
      <c r="N22">
        <v>1000000</v>
      </c>
      <c r="O22" t="str">
        <f t="shared" si="3"/>
        <v>38_1000000</v>
      </c>
      <c r="P22" s="20">
        <v>3.9713345077559024E-3</v>
      </c>
    </row>
    <row r="23" spans="1:16" x14ac:dyDescent="0.25">
      <c r="A23">
        <v>45</v>
      </c>
      <c r="B23">
        <v>250000</v>
      </c>
      <c r="C23" s="18" t="str">
        <f t="shared" si="0"/>
        <v>45_250000</v>
      </c>
      <c r="D23">
        <v>1.196191495947601E-4</v>
      </c>
      <c r="E23">
        <v>38</v>
      </c>
      <c r="F23">
        <v>2000000</v>
      </c>
      <c r="G23" t="str">
        <f t="shared" si="1"/>
        <v>38_2000000</v>
      </c>
      <c r="H23">
        <v>2.189670863967842E-3</v>
      </c>
      <c r="I23" s="19">
        <v>39</v>
      </c>
      <c r="J23">
        <v>1000000</v>
      </c>
      <c r="K23" t="str">
        <f t="shared" si="2"/>
        <v>39_1000000</v>
      </c>
      <c r="L23">
        <v>1.099386253256538E-4</v>
      </c>
      <c r="M23">
        <v>38</v>
      </c>
      <c r="N23">
        <v>2000000</v>
      </c>
      <c r="O23" t="str">
        <f t="shared" si="3"/>
        <v>38_2000000</v>
      </c>
      <c r="P23" s="20">
        <v>3.6215162584222011E-3</v>
      </c>
    </row>
    <row r="24" spans="1:16" x14ac:dyDescent="0.25">
      <c r="A24">
        <v>45</v>
      </c>
      <c r="B24">
        <v>100000</v>
      </c>
      <c r="C24" s="18" t="str">
        <f t="shared" si="0"/>
        <v>45_100000</v>
      </c>
      <c r="D24">
        <v>1.2175639609603681E-4</v>
      </c>
      <c r="E24">
        <v>39</v>
      </c>
      <c r="F24">
        <v>100000</v>
      </c>
      <c r="G24" t="str">
        <f t="shared" si="1"/>
        <v>39_100000</v>
      </c>
      <c r="H24">
        <v>1.85247619867169E-3</v>
      </c>
      <c r="I24" s="19">
        <v>40</v>
      </c>
      <c r="J24">
        <v>100000</v>
      </c>
      <c r="K24" t="str">
        <f t="shared" si="2"/>
        <v>40_100000</v>
      </c>
      <c r="L24">
        <v>1.7134359053230141E-4</v>
      </c>
      <c r="M24">
        <v>39</v>
      </c>
      <c r="N24">
        <v>100000</v>
      </c>
      <c r="O24" t="str">
        <f t="shared" si="3"/>
        <v>39_100000</v>
      </c>
      <c r="P24" s="20">
        <v>3.0940508603292801E-3</v>
      </c>
    </row>
    <row r="25" spans="1:16" x14ac:dyDescent="0.25">
      <c r="A25">
        <v>45</v>
      </c>
      <c r="B25">
        <v>1000000</v>
      </c>
      <c r="C25" s="18" t="str">
        <f t="shared" si="0"/>
        <v>45_1000000</v>
      </c>
      <c r="D25">
        <v>1.993418270730377E-4</v>
      </c>
      <c r="E25">
        <v>39</v>
      </c>
      <c r="F25">
        <v>250000</v>
      </c>
      <c r="G25" t="str">
        <f t="shared" si="1"/>
        <v>39_250000</v>
      </c>
      <c r="H25">
        <v>2.9125009129043599E-3</v>
      </c>
      <c r="I25" s="19">
        <v>40</v>
      </c>
      <c r="J25">
        <v>250000</v>
      </c>
      <c r="K25" t="str">
        <f t="shared" si="2"/>
        <v>40_250000</v>
      </c>
      <c r="L25">
        <v>1.738185337947056E-4</v>
      </c>
      <c r="M25">
        <v>39</v>
      </c>
      <c r="N25">
        <v>250000</v>
      </c>
      <c r="O25" t="str">
        <f t="shared" si="3"/>
        <v>39_250000</v>
      </c>
      <c r="P25" s="20">
        <v>3.6462840282648558E-3</v>
      </c>
    </row>
    <row r="26" spans="1:16" x14ac:dyDescent="0.25">
      <c r="A26">
        <v>45</v>
      </c>
      <c r="B26">
        <v>2000000</v>
      </c>
      <c r="C26" s="18" t="str">
        <f t="shared" si="0"/>
        <v>45_2000000</v>
      </c>
      <c r="D26">
        <v>2.1200973477199009E-4</v>
      </c>
      <c r="E26">
        <v>39</v>
      </c>
      <c r="F26">
        <v>500000</v>
      </c>
      <c r="G26" t="str">
        <f t="shared" si="1"/>
        <v>39_500000</v>
      </c>
      <c r="H26">
        <v>2.8681613619892408E-3</v>
      </c>
      <c r="I26" s="19">
        <v>40</v>
      </c>
      <c r="J26">
        <v>500000</v>
      </c>
      <c r="K26" t="str">
        <f t="shared" si="2"/>
        <v>40_500000</v>
      </c>
      <c r="L26">
        <v>2.0156349529340639E-4</v>
      </c>
      <c r="M26">
        <v>39</v>
      </c>
      <c r="N26">
        <v>500000</v>
      </c>
      <c r="O26" t="str">
        <f t="shared" si="3"/>
        <v>39_500000</v>
      </c>
      <c r="P26" s="20">
        <v>3.9715392216199234E-3</v>
      </c>
    </row>
    <row r="27" spans="1:16" x14ac:dyDescent="0.25">
      <c r="A27">
        <v>46</v>
      </c>
      <c r="B27">
        <v>2000000</v>
      </c>
      <c r="C27" s="18" t="str">
        <f t="shared" si="0"/>
        <v>46_2000000</v>
      </c>
      <c r="D27">
        <v>7.5417045220004702E-5</v>
      </c>
      <c r="E27">
        <v>39</v>
      </c>
      <c r="F27">
        <v>1000000</v>
      </c>
      <c r="G27" t="str">
        <f t="shared" si="1"/>
        <v>39_1000000</v>
      </c>
      <c r="H27">
        <v>2.839217643599339E-3</v>
      </c>
      <c r="I27" s="19">
        <v>40</v>
      </c>
      <c r="J27">
        <v>1000000</v>
      </c>
      <c r="K27" t="str">
        <f t="shared" si="2"/>
        <v>40_1000000</v>
      </c>
      <c r="L27">
        <v>1.19592092869231E-4</v>
      </c>
      <c r="M27">
        <v>39</v>
      </c>
      <c r="N27">
        <v>1000000</v>
      </c>
      <c r="O27" t="str">
        <f t="shared" si="3"/>
        <v>39_1000000</v>
      </c>
      <c r="P27" s="20">
        <v>3.9839344057418557E-3</v>
      </c>
    </row>
    <row r="28" spans="1:16" x14ac:dyDescent="0.25">
      <c r="A28">
        <v>46</v>
      </c>
      <c r="B28">
        <v>250000</v>
      </c>
      <c r="C28" s="18" t="str">
        <f t="shared" si="0"/>
        <v>46_250000</v>
      </c>
      <c r="D28">
        <v>8.0720437337052369E-5</v>
      </c>
      <c r="E28">
        <v>39</v>
      </c>
      <c r="F28">
        <v>2000000</v>
      </c>
      <c r="G28" t="str">
        <f t="shared" si="1"/>
        <v>39_2000000</v>
      </c>
      <c r="H28">
        <v>2.2202824400108742E-3</v>
      </c>
      <c r="I28" s="19">
        <v>41</v>
      </c>
      <c r="J28">
        <v>100000</v>
      </c>
      <c r="K28" t="str">
        <f t="shared" si="2"/>
        <v>41_100000</v>
      </c>
      <c r="L28">
        <v>1.8672402535885931E-4</v>
      </c>
      <c r="M28">
        <v>39</v>
      </c>
      <c r="N28">
        <v>2000000</v>
      </c>
      <c r="O28" t="str">
        <f t="shared" si="3"/>
        <v>39_2000000</v>
      </c>
      <c r="P28" s="20">
        <v>3.623854063650114E-3</v>
      </c>
    </row>
    <row r="29" spans="1:16" x14ac:dyDescent="0.25">
      <c r="A29">
        <v>46</v>
      </c>
      <c r="B29">
        <v>100000</v>
      </c>
      <c r="C29" s="18" t="str">
        <f t="shared" si="0"/>
        <v>46_100000</v>
      </c>
      <c r="D29">
        <v>9.7330038017288107E-5</v>
      </c>
      <c r="E29">
        <v>40</v>
      </c>
      <c r="F29">
        <v>100000</v>
      </c>
      <c r="G29" t="str">
        <f t="shared" si="1"/>
        <v>40_100000</v>
      </c>
      <c r="H29">
        <v>2.2513901952150709E-3</v>
      </c>
      <c r="I29" s="19">
        <v>41</v>
      </c>
      <c r="J29">
        <v>250000</v>
      </c>
      <c r="K29" t="str">
        <f t="shared" si="2"/>
        <v>41_250000</v>
      </c>
      <c r="L29">
        <v>2.1365721176167511E-4</v>
      </c>
      <c r="M29">
        <v>40</v>
      </c>
      <c r="N29">
        <v>100000</v>
      </c>
      <c r="O29" t="str">
        <f t="shared" si="3"/>
        <v>40_100000</v>
      </c>
      <c r="P29" s="20">
        <v>3.398664841483605E-3</v>
      </c>
    </row>
    <row r="30" spans="1:16" x14ac:dyDescent="0.25">
      <c r="A30">
        <v>46</v>
      </c>
      <c r="B30">
        <v>1000000</v>
      </c>
      <c r="C30" s="18" t="str">
        <f t="shared" si="0"/>
        <v>46_1000000</v>
      </c>
      <c r="D30">
        <v>1.146187722597776E-4</v>
      </c>
      <c r="E30">
        <v>40</v>
      </c>
      <c r="F30">
        <v>250000</v>
      </c>
      <c r="G30" t="str">
        <f t="shared" si="1"/>
        <v>40_250000</v>
      </c>
      <c r="H30">
        <v>2.6219197383660761E-3</v>
      </c>
      <c r="I30" s="19">
        <v>41</v>
      </c>
      <c r="J30">
        <v>500000</v>
      </c>
      <c r="K30" t="str">
        <f t="shared" si="2"/>
        <v>41_500000</v>
      </c>
      <c r="L30">
        <v>1.5649128670826309E-4</v>
      </c>
      <c r="M30">
        <v>40</v>
      </c>
      <c r="N30">
        <v>250000</v>
      </c>
      <c r="O30" t="str">
        <f t="shared" si="3"/>
        <v>40_250000</v>
      </c>
      <c r="P30" s="20">
        <v>3.9067438658106426E-3</v>
      </c>
    </row>
    <row r="31" spans="1:16" x14ac:dyDescent="0.25">
      <c r="A31">
        <v>46</v>
      </c>
      <c r="B31">
        <v>500000</v>
      </c>
      <c r="C31" s="18" t="str">
        <f t="shared" si="0"/>
        <v>46_500000</v>
      </c>
      <c r="D31">
        <v>1.186302076237751E-4</v>
      </c>
      <c r="E31">
        <v>40</v>
      </c>
      <c r="F31">
        <v>500000</v>
      </c>
      <c r="G31" t="str">
        <f t="shared" si="1"/>
        <v>40_500000</v>
      </c>
      <c r="H31">
        <v>2.77278834273966E-3</v>
      </c>
      <c r="I31" s="19">
        <v>41</v>
      </c>
      <c r="J31">
        <v>1000000</v>
      </c>
      <c r="K31" t="str">
        <f t="shared" si="2"/>
        <v>41_1000000</v>
      </c>
      <c r="L31">
        <v>2.060212021347241E-4</v>
      </c>
      <c r="M31">
        <v>40</v>
      </c>
      <c r="N31">
        <v>500000</v>
      </c>
      <c r="O31" t="str">
        <f t="shared" si="3"/>
        <v>40_500000</v>
      </c>
      <c r="P31" s="20">
        <v>3.9447262057795184E-3</v>
      </c>
    </row>
    <row r="32" spans="1:16" x14ac:dyDescent="0.25">
      <c r="A32">
        <v>47</v>
      </c>
      <c r="B32">
        <v>500000</v>
      </c>
      <c r="C32" s="18" t="str">
        <f t="shared" si="0"/>
        <v>47_500000</v>
      </c>
      <c r="D32">
        <v>6.8898662956158181E-5</v>
      </c>
      <c r="E32">
        <v>40</v>
      </c>
      <c r="F32">
        <v>1000000</v>
      </c>
      <c r="G32" t="str">
        <f t="shared" si="1"/>
        <v>40_1000000</v>
      </c>
      <c r="H32">
        <v>2.8684673338805109E-3</v>
      </c>
      <c r="I32" s="19">
        <v>41</v>
      </c>
      <c r="J32">
        <v>2000000</v>
      </c>
      <c r="K32" t="str">
        <f t="shared" si="2"/>
        <v>41_2000000</v>
      </c>
      <c r="L32">
        <v>1.4257053069733849E-4</v>
      </c>
      <c r="M32">
        <v>40</v>
      </c>
      <c r="N32">
        <v>1000000</v>
      </c>
      <c r="O32" t="str">
        <f t="shared" si="3"/>
        <v>40_1000000</v>
      </c>
      <c r="P32" s="20">
        <v>3.847551360794981E-3</v>
      </c>
    </row>
    <row r="33" spans="1:16" x14ac:dyDescent="0.25">
      <c r="A33">
        <v>47</v>
      </c>
      <c r="B33">
        <v>100000</v>
      </c>
      <c r="C33" s="18" t="str">
        <f t="shared" si="0"/>
        <v>47_100000</v>
      </c>
      <c r="D33">
        <v>7.4323127211627842E-5</v>
      </c>
      <c r="E33">
        <v>40</v>
      </c>
      <c r="F33">
        <v>2000000</v>
      </c>
      <c r="G33" t="str">
        <f t="shared" si="1"/>
        <v>40_2000000</v>
      </c>
      <c r="H33">
        <v>2.24720080128076E-3</v>
      </c>
      <c r="I33" s="19">
        <v>42</v>
      </c>
      <c r="J33">
        <v>100000</v>
      </c>
      <c r="K33" t="str">
        <f t="shared" si="2"/>
        <v>42_100000</v>
      </c>
      <c r="L33">
        <v>2.3742543116577619E-4</v>
      </c>
      <c r="M33">
        <v>40</v>
      </c>
      <c r="N33">
        <v>2000000</v>
      </c>
      <c r="O33" t="str">
        <f t="shared" si="3"/>
        <v>40_2000000</v>
      </c>
      <c r="P33" s="20">
        <v>3.6372685597393008E-3</v>
      </c>
    </row>
    <row r="34" spans="1:16" x14ac:dyDescent="0.25">
      <c r="A34">
        <v>47</v>
      </c>
      <c r="B34">
        <v>250000</v>
      </c>
      <c r="C34" s="18" t="str">
        <f t="shared" si="0"/>
        <v>47_250000</v>
      </c>
      <c r="D34">
        <v>1.047981887157761E-4</v>
      </c>
      <c r="E34">
        <v>41</v>
      </c>
      <c r="F34">
        <v>100000</v>
      </c>
      <c r="G34" t="str">
        <f t="shared" si="1"/>
        <v>41_100000</v>
      </c>
      <c r="H34">
        <v>2.1877599365238789E-3</v>
      </c>
      <c r="I34" s="19">
        <v>42</v>
      </c>
      <c r="J34">
        <v>250000</v>
      </c>
      <c r="K34" t="str">
        <f t="shared" si="2"/>
        <v>42_250000</v>
      </c>
      <c r="L34">
        <v>2.000713884995779E-4</v>
      </c>
      <c r="M34">
        <v>41</v>
      </c>
      <c r="N34">
        <v>100000</v>
      </c>
      <c r="O34" t="str">
        <f t="shared" si="3"/>
        <v>41_100000</v>
      </c>
      <c r="P34" s="20">
        <v>3.1919332365364541E-3</v>
      </c>
    </row>
    <row r="35" spans="1:16" x14ac:dyDescent="0.25">
      <c r="A35">
        <v>47</v>
      </c>
      <c r="B35">
        <v>1000000</v>
      </c>
      <c r="C35" s="18" t="str">
        <f t="shared" si="0"/>
        <v>47_1000000</v>
      </c>
      <c r="D35">
        <v>1.052415781464607E-4</v>
      </c>
      <c r="E35">
        <v>41</v>
      </c>
      <c r="F35">
        <v>250000</v>
      </c>
      <c r="G35" t="str">
        <f t="shared" si="1"/>
        <v>41_250000</v>
      </c>
      <c r="H35">
        <v>2.8956831152526928E-3</v>
      </c>
      <c r="I35" s="19">
        <v>42</v>
      </c>
      <c r="J35">
        <v>500000</v>
      </c>
      <c r="K35" t="str">
        <f t="shared" si="2"/>
        <v>42_500000</v>
      </c>
      <c r="L35">
        <v>2.156626419708832E-4</v>
      </c>
      <c r="M35">
        <v>41</v>
      </c>
      <c r="N35">
        <v>250000</v>
      </c>
      <c r="O35" t="str">
        <f t="shared" si="3"/>
        <v>41_250000</v>
      </c>
      <c r="P35" s="20">
        <v>3.627709990026662E-3</v>
      </c>
    </row>
    <row r="36" spans="1:16" x14ac:dyDescent="0.25">
      <c r="A36">
        <v>47</v>
      </c>
      <c r="B36">
        <v>2000000</v>
      </c>
      <c r="C36" s="18" t="str">
        <f t="shared" si="0"/>
        <v>47_2000000</v>
      </c>
      <c r="D36">
        <v>1.466754738824363E-4</v>
      </c>
      <c r="E36">
        <v>41</v>
      </c>
      <c r="F36">
        <v>500000</v>
      </c>
      <c r="G36" t="str">
        <f t="shared" si="1"/>
        <v>41_500000</v>
      </c>
      <c r="H36">
        <v>2.6285688860597368E-3</v>
      </c>
      <c r="I36" s="19">
        <v>42</v>
      </c>
      <c r="J36">
        <v>1000000</v>
      </c>
      <c r="K36" t="str">
        <f t="shared" si="2"/>
        <v>42_1000000</v>
      </c>
      <c r="L36">
        <v>1.471571361118071E-4</v>
      </c>
      <c r="M36">
        <v>41</v>
      </c>
      <c r="N36">
        <v>500000</v>
      </c>
      <c r="O36" t="str">
        <f t="shared" si="3"/>
        <v>41_500000</v>
      </c>
      <c r="P36" s="20">
        <v>3.8188485653654629E-3</v>
      </c>
    </row>
    <row r="37" spans="1:16" x14ac:dyDescent="0.25">
      <c r="A37">
        <v>48</v>
      </c>
      <c r="B37">
        <v>250000</v>
      </c>
      <c r="C37" s="18" t="str">
        <f t="shared" si="0"/>
        <v>48_250000</v>
      </c>
      <c r="D37">
        <v>5.9583530492483663E-5</v>
      </c>
      <c r="E37">
        <v>41</v>
      </c>
      <c r="F37">
        <v>1000000</v>
      </c>
      <c r="G37" t="str">
        <f t="shared" si="1"/>
        <v>41_1000000</v>
      </c>
      <c r="H37">
        <v>2.6479867990935641E-3</v>
      </c>
      <c r="I37" s="19">
        <v>42</v>
      </c>
      <c r="J37">
        <v>2000000</v>
      </c>
      <c r="K37" t="str">
        <f t="shared" si="2"/>
        <v>42_2000000</v>
      </c>
      <c r="L37">
        <v>1.3401096461625669E-4</v>
      </c>
      <c r="M37">
        <v>41</v>
      </c>
      <c r="N37">
        <v>1000000</v>
      </c>
      <c r="O37" t="str">
        <f t="shared" si="3"/>
        <v>41_1000000</v>
      </c>
      <c r="P37" s="20">
        <v>4.0137594339553998E-3</v>
      </c>
    </row>
    <row r="38" spans="1:16" x14ac:dyDescent="0.25">
      <c r="A38">
        <v>48</v>
      </c>
      <c r="B38">
        <v>2000000</v>
      </c>
      <c r="C38" s="18" t="str">
        <f t="shared" si="0"/>
        <v>48_2000000</v>
      </c>
      <c r="D38">
        <v>8.3050838407801693E-5</v>
      </c>
      <c r="E38">
        <v>41</v>
      </c>
      <c r="F38">
        <v>2000000</v>
      </c>
      <c r="G38" t="str">
        <f t="shared" si="1"/>
        <v>41_2000000</v>
      </c>
      <c r="H38">
        <v>2.4220761489350132E-3</v>
      </c>
      <c r="I38" s="19">
        <v>43</v>
      </c>
      <c r="J38">
        <v>100000</v>
      </c>
      <c r="K38" t="str">
        <f t="shared" si="2"/>
        <v>43_100000</v>
      </c>
      <c r="L38">
        <v>1.5333446270523879E-4</v>
      </c>
      <c r="M38">
        <v>41</v>
      </c>
      <c r="N38">
        <v>2000000</v>
      </c>
      <c r="O38" t="str">
        <f t="shared" si="3"/>
        <v>41_2000000</v>
      </c>
      <c r="P38" s="20">
        <v>3.617422433025836E-3</v>
      </c>
    </row>
    <row r="39" spans="1:16" x14ac:dyDescent="0.25">
      <c r="A39">
        <v>48</v>
      </c>
      <c r="B39">
        <v>500000</v>
      </c>
      <c r="C39" s="18" t="str">
        <f t="shared" si="0"/>
        <v>48_500000</v>
      </c>
      <c r="D39">
        <v>1.201943072982593E-4</v>
      </c>
      <c r="E39">
        <v>42</v>
      </c>
      <c r="F39">
        <v>100000</v>
      </c>
      <c r="G39" t="str">
        <f t="shared" si="1"/>
        <v>42_100000</v>
      </c>
      <c r="H39">
        <v>2.1203983555607079E-3</v>
      </c>
      <c r="I39" s="19">
        <v>43</v>
      </c>
      <c r="J39">
        <v>250000</v>
      </c>
      <c r="K39" t="str">
        <f t="shared" si="2"/>
        <v>43_250000</v>
      </c>
      <c r="L39">
        <v>2.6233024808663101E-4</v>
      </c>
      <c r="M39">
        <v>42</v>
      </c>
      <c r="N39">
        <v>100000</v>
      </c>
      <c r="O39" t="str">
        <f t="shared" si="3"/>
        <v>42_100000</v>
      </c>
      <c r="P39" s="20">
        <v>3.0501698315374801E-3</v>
      </c>
    </row>
    <row r="40" spans="1:16" x14ac:dyDescent="0.25">
      <c r="A40">
        <v>48</v>
      </c>
      <c r="B40">
        <v>100000</v>
      </c>
      <c r="C40" s="18" t="str">
        <f t="shared" si="0"/>
        <v>48_100000</v>
      </c>
      <c r="D40">
        <v>1.2907355100317251E-4</v>
      </c>
      <c r="E40">
        <v>42</v>
      </c>
      <c r="F40">
        <v>250000</v>
      </c>
      <c r="G40" t="str">
        <f t="shared" si="1"/>
        <v>42_250000</v>
      </c>
      <c r="H40">
        <v>2.7879988818836948E-3</v>
      </c>
      <c r="I40" s="19">
        <v>43</v>
      </c>
      <c r="J40">
        <v>500000</v>
      </c>
      <c r="K40" t="str">
        <f t="shared" si="2"/>
        <v>43_500000</v>
      </c>
      <c r="L40">
        <v>1.5913511754111849E-4</v>
      </c>
      <c r="M40">
        <v>42</v>
      </c>
      <c r="N40">
        <v>250000</v>
      </c>
      <c r="O40" t="str">
        <f t="shared" si="3"/>
        <v>42_250000</v>
      </c>
      <c r="P40" s="20">
        <v>3.6896058644136382E-3</v>
      </c>
    </row>
    <row r="41" spans="1:16" x14ac:dyDescent="0.25">
      <c r="A41">
        <v>48</v>
      </c>
      <c r="B41">
        <v>1000000</v>
      </c>
      <c r="C41" s="18" t="str">
        <f t="shared" si="0"/>
        <v>48_1000000</v>
      </c>
      <c r="D41">
        <v>1.578907761212446E-4</v>
      </c>
      <c r="E41">
        <v>42</v>
      </c>
      <c r="F41">
        <v>500000</v>
      </c>
      <c r="G41" t="str">
        <f t="shared" si="1"/>
        <v>42_500000</v>
      </c>
      <c r="H41">
        <v>2.7194849349630379E-3</v>
      </c>
      <c r="I41" s="19">
        <v>43</v>
      </c>
      <c r="J41">
        <v>1000000</v>
      </c>
      <c r="K41" t="str">
        <f t="shared" si="2"/>
        <v>43_1000000</v>
      </c>
      <c r="L41">
        <v>1.3779791932630841E-4</v>
      </c>
      <c r="M41">
        <v>42</v>
      </c>
      <c r="N41">
        <v>500000</v>
      </c>
      <c r="O41" t="str">
        <f t="shared" si="3"/>
        <v>42_500000</v>
      </c>
      <c r="P41" s="20">
        <v>3.9319905472289694E-3</v>
      </c>
    </row>
    <row r="42" spans="1:16" x14ac:dyDescent="0.25">
      <c r="A42">
        <v>49</v>
      </c>
      <c r="B42">
        <v>100000</v>
      </c>
      <c r="C42" s="18" t="str">
        <f t="shared" si="0"/>
        <v>49_100000</v>
      </c>
      <c r="D42">
        <v>9.6099372591050694E-5</v>
      </c>
      <c r="E42">
        <v>42</v>
      </c>
      <c r="F42">
        <v>1000000</v>
      </c>
      <c r="G42" t="str">
        <f t="shared" si="1"/>
        <v>42_1000000</v>
      </c>
      <c r="H42">
        <v>2.717174609500164E-3</v>
      </c>
      <c r="I42" s="19">
        <v>43</v>
      </c>
      <c r="J42">
        <v>2000000</v>
      </c>
      <c r="K42" t="str">
        <f t="shared" si="2"/>
        <v>43_2000000</v>
      </c>
      <c r="L42">
        <v>1.1013951531447049E-4</v>
      </c>
      <c r="M42">
        <v>42</v>
      </c>
      <c r="N42">
        <v>1000000</v>
      </c>
      <c r="O42" t="str">
        <f t="shared" si="3"/>
        <v>42_1000000</v>
      </c>
      <c r="P42" s="20">
        <v>3.9556774568198548E-3</v>
      </c>
    </row>
    <row r="43" spans="1:16" x14ac:dyDescent="0.25">
      <c r="A43">
        <v>49</v>
      </c>
      <c r="B43">
        <v>1000000</v>
      </c>
      <c r="C43" s="18" t="str">
        <f t="shared" si="0"/>
        <v>49_1000000</v>
      </c>
      <c r="D43">
        <v>1.1210616343309999E-4</v>
      </c>
      <c r="E43">
        <v>42</v>
      </c>
      <c r="F43">
        <v>2000000</v>
      </c>
      <c r="G43" t="str">
        <f t="shared" si="1"/>
        <v>42_2000000</v>
      </c>
      <c r="H43">
        <v>2.4050586727890079E-3</v>
      </c>
      <c r="I43" s="19">
        <v>44</v>
      </c>
      <c r="J43">
        <v>100000</v>
      </c>
      <c r="K43" t="str">
        <f t="shared" si="2"/>
        <v>44_100000</v>
      </c>
      <c r="L43">
        <v>1.899244431785176E-4</v>
      </c>
      <c r="M43">
        <v>42</v>
      </c>
      <c r="N43">
        <v>2000000</v>
      </c>
      <c r="O43" t="str">
        <f t="shared" si="3"/>
        <v>42_2000000</v>
      </c>
      <c r="P43" s="20">
        <v>3.700551065640603E-3</v>
      </c>
    </row>
    <row r="44" spans="1:16" x14ac:dyDescent="0.25">
      <c r="A44">
        <v>49</v>
      </c>
      <c r="B44">
        <v>2000000</v>
      </c>
      <c r="C44" s="18" t="str">
        <f t="shared" si="0"/>
        <v>49_2000000</v>
      </c>
      <c r="D44">
        <v>1.2971801075558571E-4</v>
      </c>
      <c r="E44">
        <v>43</v>
      </c>
      <c r="F44">
        <v>100000</v>
      </c>
      <c r="G44" t="str">
        <f t="shared" si="1"/>
        <v>43_100000</v>
      </c>
      <c r="H44">
        <v>2.2150413412097112E-3</v>
      </c>
      <c r="I44" s="19">
        <v>44</v>
      </c>
      <c r="J44">
        <v>250000</v>
      </c>
      <c r="K44" t="str">
        <f t="shared" si="2"/>
        <v>44_250000</v>
      </c>
      <c r="L44">
        <v>2.3795237592329541E-4</v>
      </c>
      <c r="M44">
        <v>43</v>
      </c>
      <c r="N44">
        <v>100000</v>
      </c>
      <c r="O44" t="str">
        <f t="shared" si="3"/>
        <v>43_100000</v>
      </c>
      <c r="P44" s="20">
        <v>3.418940993330516E-3</v>
      </c>
    </row>
    <row r="45" spans="1:16" x14ac:dyDescent="0.25">
      <c r="A45">
        <v>49</v>
      </c>
      <c r="B45">
        <v>250000</v>
      </c>
      <c r="C45" s="18" t="str">
        <f t="shared" si="0"/>
        <v>49_250000</v>
      </c>
      <c r="D45">
        <v>1.385985627600402E-4</v>
      </c>
      <c r="E45">
        <v>43</v>
      </c>
      <c r="F45">
        <v>250000</v>
      </c>
      <c r="G45" t="str">
        <f t="shared" si="1"/>
        <v>43_250000</v>
      </c>
      <c r="H45">
        <v>2.7390164974481191E-3</v>
      </c>
      <c r="I45" s="19">
        <v>44</v>
      </c>
      <c r="J45">
        <v>500000</v>
      </c>
      <c r="K45" t="str">
        <f t="shared" si="2"/>
        <v>44_500000</v>
      </c>
      <c r="L45">
        <v>1.482941101808491E-4</v>
      </c>
      <c r="M45">
        <v>43</v>
      </c>
      <c r="N45">
        <v>250000</v>
      </c>
      <c r="O45" t="str">
        <f t="shared" si="3"/>
        <v>43_250000</v>
      </c>
      <c r="P45" s="20">
        <v>3.7170861213245759E-3</v>
      </c>
    </row>
    <row r="46" spans="1:16" x14ac:dyDescent="0.25">
      <c r="A46">
        <v>49</v>
      </c>
      <c r="B46">
        <v>500000</v>
      </c>
      <c r="C46" s="18" t="str">
        <f t="shared" si="0"/>
        <v>49_500000</v>
      </c>
      <c r="D46">
        <v>3.1834861757860651E-4</v>
      </c>
      <c r="E46">
        <v>43</v>
      </c>
      <c r="F46">
        <v>500000</v>
      </c>
      <c r="G46" t="str">
        <f t="shared" si="1"/>
        <v>43_500000</v>
      </c>
      <c r="H46">
        <v>2.580197633857468E-3</v>
      </c>
      <c r="I46" s="19">
        <v>44</v>
      </c>
      <c r="J46">
        <v>1000000</v>
      </c>
      <c r="K46" t="str">
        <f t="shared" si="2"/>
        <v>44_1000000</v>
      </c>
      <c r="L46">
        <v>1.3319603817978941E-4</v>
      </c>
      <c r="M46">
        <v>43</v>
      </c>
      <c r="N46">
        <v>500000</v>
      </c>
      <c r="O46" t="str">
        <f t="shared" si="3"/>
        <v>43_500000</v>
      </c>
      <c r="P46" s="20">
        <v>3.8030535661186201E-3</v>
      </c>
    </row>
    <row r="47" spans="1:16" x14ac:dyDescent="0.25">
      <c r="A47">
        <v>50</v>
      </c>
      <c r="B47">
        <v>250000</v>
      </c>
      <c r="C47" s="18" t="str">
        <f t="shared" si="0"/>
        <v>50_250000</v>
      </c>
      <c r="D47">
        <v>9.629425562300487E-5</v>
      </c>
      <c r="E47">
        <v>43</v>
      </c>
      <c r="F47">
        <v>1000000</v>
      </c>
      <c r="G47" t="str">
        <f t="shared" si="1"/>
        <v>43_1000000</v>
      </c>
      <c r="H47">
        <v>2.5864736505881451E-3</v>
      </c>
      <c r="I47" s="19">
        <v>44</v>
      </c>
      <c r="J47">
        <v>2000000</v>
      </c>
      <c r="K47" t="str">
        <f t="shared" si="2"/>
        <v>44_2000000</v>
      </c>
      <c r="L47">
        <v>1.3021243899413891E-4</v>
      </c>
      <c r="M47">
        <v>43</v>
      </c>
      <c r="N47">
        <v>1000000</v>
      </c>
      <c r="O47" t="str">
        <f t="shared" si="3"/>
        <v>43_1000000</v>
      </c>
      <c r="P47" s="20">
        <v>3.9835048810156282E-3</v>
      </c>
    </row>
    <row r="48" spans="1:16" x14ac:dyDescent="0.25">
      <c r="A48">
        <v>50</v>
      </c>
      <c r="B48">
        <v>2000000</v>
      </c>
      <c r="C48" s="18" t="str">
        <f t="shared" si="0"/>
        <v>50_2000000</v>
      </c>
      <c r="D48">
        <v>1.276480060950135E-4</v>
      </c>
      <c r="E48">
        <v>43</v>
      </c>
      <c r="F48">
        <v>2000000</v>
      </c>
      <c r="G48" t="str">
        <f t="shared" si="1"/>
        <v>43_2000000</v>
      </c>
      <c r="H48">
        <v>2.3369002818905788E-3</v>
      </c>
      <c r="I48" s="19">
        <v>45</v>
      </c>
      <c r="J48">
        <v>100000</v>
      </c>
      <c r="K48" t="str">
        <f t="shared" si="2"/>
        <v>45_100000</v>
      </c>
      <c r="L48">
        <v>2.018843343469388E-4</v>
      </c>
      <c r="M48">
        <v>43</v>
      </c>
      <c r="N48">
        <v>2000000</v>
      </c>
      <c r="O48" t="str">
        <f t="shared" si="3"/>
        <v>43_2000000</v>
      </c>
      <c r="P48" s="20">
        <v>3.7017182438524301E-3</v>
      </c>
    </row>
    <row r="49" spans="1:16" x14ac:dyDescent="0.25">
      <c r="A49">
        <v>50</v>
      </c>
      <c r="B49">
        <v>1000000</v>
      </c>
      <c r="C49" s="18" t="str">
        <f t="shared" si="0"/>
        <v>50_1000000</v>
      </c>
      <c r="D49">
        <v>1.3115269465582621E-4</v>
      </c>
      <c r="E49">
        <v>44</v>
      </c>
      <c r="F49">
        <v>100000</v>
      </c>
      <c r="G49" t="str">
        <f t="shared" si="1"/>
        <v>44_100000</v>
      </c>
      <c r="H49">
        <v>2.137787640512809E-3</v>
      </c>
      <c r="I49" s="19">
        <v>45</v>
      </c>
      <c r="J49">
        <v>250000</v>
      </c>
      <c r="K49" t="str">
        <f t="shared" si="2"/>
        <v>45_250000</v>
      </c>
      <c r="L49">
        <v>2.1207617388351339E-4</v>
      </c>
      <c r="M49">
        <v>44</v>
      </c>
      <c r="N49">
        <v>100000</v>
      </c>
      <c r="O49" t="str">
        <f t="shared" si="3"/>
        <v>44_100000</v>
      </c>
      <c r="P49" s="20">
        <v>3.43397389102918E-3</v>
      </c>
    </row>
    <row r="50" spans="1:16" x14ac:dyDescent="0.25">
      <c r="A50">
        <v>50</v>
      </c>
      <c r="B50">
        <v>100000</v>
      </c>
      <c r="C50" s="18" t="str">
        <f t="shared" si="0"/>
        <v>50_100000</v>
      </c>
      <c r="D50">
        <v>1.522306884661268E-4</v>
      </c>
      <c r="E50">
        <v>44</v>
      </c>
      <c r="F50">
        <v>250000</v>
      </c>
      <c r="G50" t="str">
        <f t="shared" si="1"/>
        <v>44_250000</v>
      </c>
      <c r="H50">
        <v>2.6821072651417809E-3</v>
      </c>
      <c r="I50" s="19">
        <v>45</v>
      </c>
      <c r="J50">
        <v>500000</v>
      </c>
      <c r="K50" t="str">
        <f t="shared" si="2"/>
        <v>45_500000</v>
      </c>
      <c r="L50">
        <v>2.218238343721276E-4</v>
      </c>
      <c r="M50">
        <v>44</v>
      </c>
      <c r="N50">
        <v>250000</v>
      </c>
      <c r="O50" t="str">
        <f t="shared" si="3"/>
        <v>44_250000</v>
      </c>
      <c r="P50" s="20">
        <v>3.6777959853387791E-3</v>
      </c>
    </row>
    <row r="51" spans="1:16" x14ac:dyDescent="0.25">
      <c r="A51">
        <v>50</v>
      </c>
      <c r="B51">
        <v>500000</v>
      </c>
      <c r="C51" s="18" t="str">
        <f t="shared" si="0"/>
        <v>50_500000</v>
      </c>
      <c r="D51">
        <v>1.7448388765348331E-4</v>
      </c>
      <c r="E51">
        <v>44</v>
      </c>
      <c r="F51">
        <v>500000</v>
      </c>
      <c r="G51" t="str">
        <f t="shared" si="1"/>
        <v>44_500000</v>
      </c>
      <c r="H51">
        <v>2.7311038235788292E-3</v>
      </c>
      <c r="I51" s="19">
        <v>45</v>
      </c>
      <c r="J51">
        <v>1000000</v>
      </c>
      <c r="K51" t="str">
        <f t="shared" si="2"/>
        <v>45_1000000</v>
      </c>
      <c r="L51">
        <v>1.5206143558329561E-4</v>
      </c>
      <c r="M51">
        <v>44</v>
      </c>
      <c r="N51">
        <v>500000</v>
      </c>
      <c r="O51" t="str">
        <f t="shared" si="3"/>
        <v>44_500000</v>
      </c>
      <c r="P51" s="20">
        <v>3.8711186512284728E-3</v>
      </c>
    </row>
    <row r="52" spans="1:16" x14ac:dyDescent="0.25">
      <c r="A52">
        <v>51</v>
      </c>
      <c r="B52">
        <v>250000</v>
      </c>
      <c r="C52" s="18" t="str">
        <f t="shared" si="0"/>
        <v>51_250000</v>
      </c>
      <c r="D52">
        <v>1.171141044801938E-4</v>
      </c>
      <c r="E52">
        <v>44</v>
      </c>
      <c r="F52">
        <v>1000000</v>
      </c>
      <c r="G52" t="str">
        <f t="shared" si="1"/>
        <v>44_1000000</v>
      </c>
      <c r="H52">
        <v>2.770520926550279E-3</v>
      </c>
      <c r="I52" s="19">
        <v>45</v>
      </c>
      <c r="J52">
        <v>2000000</v>
      </c>
      <c r="K52" t="str">
        <f t="shared" si="2"/>
        <v>45_2000000</v>
      </c>
      <c r="L52">
        <v>1.9817210142409871E-4</v>
      </c>
      <c r="M52">
        <v>44</v>
      </c>
      <c r="N52">
        <v>1000000</v>
      </c>
      <c r="O52" t="str">
        <f t="shared" si="3"/>
        <v>44_1000000</v>
      </c>
      <c r="P52" s="20">
        <v>3.9187671111332598E-3</v>
      </c>
    </row>
    <row r="53" spans="1:16" x14ac:dyDescent="0.25">
      <c r="A53">
        <v>51</v>
      </c>
      <c r="B53">
        <v>100000</v>
      </c>
      <c r="C53" s="18" t="str">
        <f t="shared" si="0"/>
        <v>51_100000</v>
      </c>
      <c r="D53">
        <v>1.2688548477057281E-4</v>
      </c>
      <c r="E53">
        <v>44</v>
      </c>
      <c r="F53">
        <v>2000000</v>
      </c>
      <c r="G53" t="str">
        <f t="shared" si="1"/>
        <v>44_2000000</v>
      </c>
      <c r="H53">
        <v>2.3728626035248142E-3</v>
      </c>
      <c r="I53" s="19">
        <v>46</v>
      </c>
      <c r="J53">
        <v>100000</v>
      </c>
      <c r="K53" t="str">
        <f t="shared" si="2"/>
        <v>46_100000</v>
      </c>
      <c r="L53">
        <v>2.5839584399575362E-4</v>
      </c>
      <c r="M53">
        <v>44</v>
      </c>
      <c r="N53">
        <v>2000000</v>
      </c>
      <c r="O53" t="str">
        <f t="shared" si="3"/>
        <v>44_2000000</v>
      </c>
      <c r="P53" s="20">
        <v>3.5994569695140329E-3</v>
      </c>
    </row>
    <row r="54" spans="1:16" x14ac:dyDescent="0.25">
      <c r="A54">
        <v>51</v>
      </c>
      <c r="B54">
        <v>2000000</v>
      </c>
      <c r="C54" s="18" t="str">
        <f t="shared" si="0"/>
        <v>51_2000000</v>
      </c>
      <c r="D54">
        <v>1.3300950958966849E-4</v>
      </c>
      <c r="E54">
        <v>45</v>
      </c>
      <c r="F54">
        <v>100000</v>
      </c>
      <c r="G54" t="str">
        <f t="shared" si="1"/>
        <v>45_100000</v>
      </c>
      <c r="H54">
        <v>2.116016938703039E-3</v>
      </c>
      <c r="I54" s="19">
        <v>46</v>
      </c>
      <c r="J54">
        <v>250000</v>
      </c>
      <c r="K54" t="str">
        <f t="shared" si="2"/>
        <v>46_250000</v>
      </c>
      <c r="L54">
        <v>1.3147599961830161E-4</v>
      </c>
      <c r="M54">
        <v>45</v>
      </c>
      <c r="N54">
        <v>100000</v>
      </c>
      <c r="O54" t="str">
        <f t="shared" si="3"/>
        <v>45_100000</v>
      </c>
      <c r="P54" s="20">
        <v>3.4772869437244042E-3</v>
      </c>
    </row>
    <row r="55" spans="1:16" x14ac:dyDescent="0.25">
      <c r="A55">
        <v>51</v>
      </c>
      <c r="B55">
        <v>500000</v>
      </c>
      <c r="C55" s="18" t="str">
        <f t="shared" si="0"/>
        <v>51_500000</v>
      </c>
      <c r="D55">
        <v>1.39940315033609E-4</v>
      </c>
      <c r="E55">
        <v>45</v>
      </c>
      <c r="F55">
        <v>250000</v>
      </c>
      <c r="G55" t="str">
        <f t="shared" si="1"/>
        <v>45_250000</v>
      </c>
      <c r="H55">
        <v>2.4742949538416859E-3</v>
      </c>
      <c r="I55" s="19">
        <v>46</v>
      </c>
      <c r="J55">
        <v>500000</v>
      </c>
      <c r="K55" t="str">
        <f t="shared" si="2"/>
        <v>46_500000</v>
      </c>
      <c r="L55">
        <v>1.5215122021664429E-4</v>
      </c>
      <c r="M55">
        <v>45</v>
      </c>
      <c r="N55">
        <v>250000</v>
      </c>
      <c r="O55" t="str">
        <f t="shared" si="3"/>
        <v>45_250000</v>
      </c>
      <c r="P55" s="20">
        <v>3.7140920290793249E-3</v>
      </c>
    </row>
    <row r="56" spans="1:16" x14ac:dyDescent="0.25">
      <c r="A56">
        <v>51</v>
      </c>
      <c r="B56">
        <v>1000000</v>
      </c>
      <c r="C56" s="18" t="str">
        <f t="shared" si="0"/>
        <v>51_1000000</v>
      </c>
      <c r="D56">
        <v>2.008104955241374E-4</v>
      </c>
      <c r="E56">
        <v>45</v>
      </c>
      <c r="F56">
        <v>500000</v>
      </c>
      <c r="G56" t="str">
        <f t="shared" si="1"/>
        <v>45_500000</v>
      </c>
      <c r="H56">
        <v>2.5387845866862561E-3</v>
      </c>
      <c r="I56" s="19">
        <v>46</v>
      </c>
      <c r="J56">
        <v>1000000</v>
      </c>
      <c r="K56" t="str">
        <f t="shared" si="2"/>
        <v>46_1000000</v>
      </c>
      <c r="L56">
        <v>1.415306844013352E-4</v>
      </c>
      <c r="M56">
        <v>45</v>
      </c>
      <c r="N56">
        <v>500000</v>
      </c>
      <c r="O56" t="str">
        <f t="shared" si="3"/>
        <v>45_500000</v>
      </c>
      <c r="P56" s="20">
        <v>3.780226923123456E-3</v>
      </c>
    </row>
    <row r="57" spans="1:16" x14ac:dyDescent="0.25">
      <c r="A57">
        <v>52</v>
      </c>
      <c r="B57">
        <v>100000</v>
      </c>
      <c r="C57" s="18" t="str">
        <f t="shared" si="0"/>
        <v>52_100000</v>
      </c>
      <c r="D57">
        <v>8.081335892424208E-5</v>
      </c>
      <c r="E57">
        <v>45</v>
      </c>
      <c r="F57">
        <v>1000000</v>
      </c>
      <c r="G57" t="str">
        <f t="shared" si="1"/>
        <v>45_1000000</v>
      </c>
      <c r="H57">
        <v>2.7056565227769019E-3</v>
      </c>
      <c r="I57" s="19">
        <v>46</v>
      </c>
      <c r="J57">
        <v>2000000</v>
      </c>
      <c r="K57" t="str">
        <f t="shared" si="2"/>
        <v>46_2000000</v>
      </c>
      <c r="L57">
        <v>1.3083426522156869E-4</v>
      </c>
      <c r="M57">
        <v>45</v>
      </c>
      <c r="N57">
        <v>1000000</v>
      </c>
      <c r="O57" t="str">
        <f t="shared" si="3"/>
        <v>45_1000000</v>
      </c>
      <c r="P57" s="20">
        <v>4.041740519415013E-3</v>
      </c>
    </row>
    <row r="58" spans="1:16" x14ac:dyDescent="0.25">
      <c r="A58">
        <v>52</v>
      </c>
      <c r="B58">
        <v>2000000</v>
      </c>
      <c r="C58" s="18" t="str">
        <f t="shared" si="0"/>
        <v>52_2000000</v>
      </c>
      <c r="D58">
        <v>8.8969253331862955E-5</v>
      </c>
      <c r="E58">
        <v>45</v>
      </c>
      <c r="F58">
        <v>2000000</v>
      </c>
      <c r="G58" t="str">
        <f t="shared" si="1"/>
        <v>45_2000000</v>
      </c>
      <c r="H58">
        <v>2.381760841092559E-3</v>
      </c>
      <c r="I58" s="19">
        <v>47</v>
      </c>
      <c r="J58">
        <v>100000</v>
      </c>
      <c r="K58" t="str">
        <f t="shared" si="2"/>
        <v>47_100000</v>
      </c>
      <c r="L58">
        <v>2.4911405372966171E-4</v>
      </c>
      <c r="M58">
        <v>45</v>
      </c>
      <c r="N58">
        <v>2000000</v>
      </c>
      <c r="O58" t="str">
        <f t="shared" si="3"/>
        <v>45_2000000</v>
      </c>
      <c r="P58" s="20">
        <v>3.683076449340288E-3</v>
      </c>
    </row>
    <row r="59" spans="1:16" x14ac:dyDescent="0.25">
      <c r="A59">
        <v>52</v>
      </c>
      <c r="B59">
        <v>1000000</v>
      </c>
      <c r="C59" s="18" t="str">
        <f t="shared" si="0"/>
        <v>52_1000000</v>
      </c>
      <c r="D59">
        <v>1.3077050769685631E-4</v>
      </c>
      <c r="E59">
        <v>46</v>
      </c>
      <c r="F59">
        <v>100000</v>
      </c>
      <c r="G59" t="str">
        <f t="shared" si="1"/>
        <v>46_100000</v>
      </c>
      <c r="H59">
        <v>2.3528760554782299E-3</v>
      </c>
      <c r="I59" s="19">
        <v>47</v>
      </c>
      <c r="J59">
        <v>250000</v>
      </c>
      <c r="K59" t="str">
        <f t="shared" si="2"/>
        <v>47_250000</v>
      </c>
      <c r="L59">
        <v>1.740565333259608E-4</v>
      </c>
      <c r="M59">
        <v>46</v>
      </c>
      <c r="N59">
        <v>100000</v>
      </c>
      <c r="O59" t="str">
        <f t="shared" si="3"/>
        <v>46_100000</v>
      </c>
      <c r="P59" s="20">
        <v>3.596178894986726E-3</v>
      </c>
    </row>
    <row r="60" spans="1:16" x14ac:dyDescent="0.25">
      <c r="A60">
        <v>52</v>
      </c>
      <c r="B60">
        <v>500000</v>
      </c>
      <c r="C60" s="18" t="str">
        <f t="shared" si="0"/>
        <v>52_500000</v>
      </c>
      <c r="D60">
        <v>1.3611233984975541E-4</v>
      </c>
      <c r="E60">
        <v>46</v>
      </c>
      <c r="F60">
        <v>250000</v>
      </c>
      <c r="G60" t="str">
        <f t="shared" si="1"/>
        <v>46_250000</v>
      </c>
      <c r="H60">
        <v>2.583984603317472E-3</v>
      </c>
      <c r="I60" s="19">
        <v>47</v>
      </c>
      <c r="J60">
        <v>500000</v>
      </c>
      <c r="K60" t="str">
        <f t="shared" si="2"/>
        <v>47_500000</v>
      </c>
      <c r="L60">
        <v>2.359968304791786E-4</v>
      </c>
      <c r="M60">
        <v>46</v>
      </c>
      <c r="N60">
        <v>250000</v>
      </c>
      <c r="O60" t="str">
        <f t="shared" si="3"/>
        <v>46_250000</v>
      </c>
      <c r="P60" s="20">
        <v>3.6553493949045301E-3</v>
      </c>
    </row>
    <row r="61" spans="1:16" x14ac:dyDescent="0.25">
      <c r="A61">
        <v>52</v>
      </c>
      <c r="B61">
        <v>250000</v>
      </c>
      <c r="C61" s="18" t="str">
        <f t="shared" si="0"/>
        <v>52_250000</v>
      </c>
      <c r="D61">
        <v>1.5301087290213651E-4</v>
      </c>
      <c r="E61">
        <v>46</v>
      </c>
      <c r="F61">
        <v>500000</v>
      </c>
      <c r="G61" t="str">
        <f t="shared" si="1"/>
        <v>46_500000</v>
      </c>
      <c r="H61">
        <v>2.567143362310789E-3</v>
      </c>
      <c r="I61" s="19">
        <v>47</v>
      </c>
      <c r="J61">
        <v>1000000</v>
      </c>
      <c r="K61" t="str">
        <f t="shared" si="2"/>
        <v>47_1000000</v>
      </c>
      <c r="L61">
        <v>1.5292376245204579E-4</v>
      </c>
      <c r="M61">
        <v>46</v>
      </c>
      <c r="N61">
        <v>500000</v>
      </c>
      <c r="O61" t="str">
        <f t="shared" si="3"/>
        <v>46_500000</v>
      </c>
      <c r="P61" s="20">
        <v>3.9533103070296524E-3</v>
      </c>
    </row>
    <row r="62" spans="1:16" x14ac:dyDescent="0.25">
      <c r="A62">
        <v>53</v>
      </c>
      <c r="B62">
        <v>2000000</v>
      </c>
      <c r="C62" s="18" t="str">
        <f t="shared" si="0"/>
        <v>53_2000000</v>
      </c>
      <c r="D62">
        <v>1.0347615055142409E-4</v>
      </c>
      <c r="E62">
        <v>46</v>
      </c>
      <c r="F62">
        <v>1000000</v>
      </c>
      <c r="G62" t="str">
        <f t="shared" si="1"/>
        <v>46_1000000</v>
      </c>
      <c r="H62">
        <v>2.624227114873538E-3</v>
      </c>
      <c r="I62" s="19">
        <v>47</v>
      </c>
      <c r="J62">
        <v>2000000</v>
      </c>
      <c r="K62" t="str">
        <f t="shared" si="2"/>
        <v>47_2000000</v>
      </c>
      <c r="L62">
        <v>1.400373546517359E-4</v>
      </c>
      <c r="M62">
        <v>46</v>
      </c>
      <c r="N62">
        <v>1000000</v>
      </c>
      <c r="O62" t="str">
        <f t="shared" si="3"/>
        <v>46_1000000</v>
      </c>
      <c r="P62" s="20">
        <v>3.7554232073031511E-3</v>
      </c>
    </row>
    <row r="63" spans="1:16" x14ac:dyDescent="0.25">
      <c r="A63">
        <v>53</v>
      </c>
      <c r="B63">
        <v>500000</v>
      </c>
      <c r="C63" s="18" t="str">
        <f t="shared" si="0"/>
        <v>53_500000</v>
      </c>
      <c r="D63">
        <v>1.2649704518662131E-4</v>
      </c>
      <c r="E63">
        <v>46</v>
      </c>
      <c r="F63">
        <v>2000000</v>
      </c>
      <c r="G63" t="str">
        <f t="shared" si="1"/>
        <v>46_2000000</v>
      </c>
      <c r="H63">
        <v>2.4038210517681748E-3</v>
      </c>
      <c r="I63" s="19">
        <v>48</v>
      </c>
      <c r="J63">
        <v>100000</v>
      </c>
      <c r="K63" t="str">
        <f t="shared" si="2"/>
        <v>48_100000</v>
      </c>
      <c r="L63">
        <v>2.2136256214364729E-4</v>
      </c>
      <c r="M63">
        <v>46</v>
      </c>
      <c r="N63">
        <v>2000000</v>
      </c>
      <c r="O63" t="str">
        <f t="shared" si="3"/>
        <v>46_2000000</v>
      </c>
      <c r="P63" s="20">
        <v>3.7091961772774068E-3</v>
      </c>
    </row>
    <row r="64" spans="1:16" x14ac:dyDescent="0.25">
      <c r="A64">
        <v>53</v>
      </c>
      <c r="B64">
        <v>250000</v>
      </c>
      <c r="C64" s="18" t="str">
        <f t="shared" si="0"/>
        <v>53_250000</v>
      </c>
      <c r="D64">
        <v>1.349817043772983E-4</v>
      </c>
      <c r="E64">
        <v>47</v>
      </c>
      <c r="F64">
        <v>100000</v>
      </c>
      <c r="G64" t="str">
        <f t="shared" si="1"/>
        <v>47_100000</v>
      </c>
      <c r="H64">
        <v>2.4279587028626448E-3</v>
      </c>
      <c r="I64" s="19">
        <v>48</v>
      </c>
      <c r="J64">
        <v>250000</v>
      </c>
      <c r="K64" t="str">
        <f t="shared" si="2"/>
        <v>48_250000</v>
      </c>
      <c r="L64">
        <v>1.9269770680697851E-4</v>
      </c>
      <c r="M64">
        <v>47</v>
      </c>
      <c r="N64">
        <v>100000</v>
      </c>
      <c r="O64" t="str">
        <f t="shared" si="3"/>
        <v>47_100000</v>
      </c>
      <c r="P64" s="20">
        <v>3.5849494524978912E-3</v>
      </c>
    </row>
    <row r="65" spans="1:16" x14ac:dyDescent="0.25">
      <c r="A65">
        <v>53</v>
      </c>
      <c r="B65">
        <v>1000000</v>
      </c>
      <c r="C65" s="18" t="str">
        <f t="shared" si="0"/>
        <v>53_1000000</v>
      </c>
      <c r="D65">
        <v>1.35833851968254E-4</v>
      </c>
      <c r="E65">
        <v>47</v>
      </c>
      <c r="F65">
        <v>250000</v>
      </c>
      <c r="G65" t="str">
        <f t="shared" si="1"/>
        <v>47_250000</v>
      </c>
      <c r="H65">
        <v>2.5618853787463731E-3</v>
      </c>
      <c r="I65" s="19">
        <v>48</v>
      </c>
      <c r="J65">
        <v>500000</v>
      </c>
      <c r="K65" t="str">
        <f t="shared" si="2"/>
        <v>48_500000</v>
      </c>
      <c r="L65">
        <v>1.7768105756076549E-4</v>
      </c>
      <c r="M65">
        <v>47</v>
      </c>
      <c r="N65">
        <v>250000</v>
      </c>
      <c r="O65" t="str">
        <f t="shared" si="3"/>
        <v>47_250000</v>
      </c>
      <c r="P65" s="20">
        <v>3.7780670983675211E-3</v>
      </c>
    </row>
    <row r="66" spans="1:16" x14ac:dyDescent="0.25">
      <c r="A66">
        <v>53</v>
      </c>
      <c r="B66">
        <v>100000</v>
      </c>
      <c r="C66" s="18" t="str">
        <f t="shared" si="0"/>
        <v>53_100000</v>
      </c>
      <c r="D66">
        <v>1.421780895666637E-4</v>
      </c>
      <c r="E66">
        <v>47</v>
      </c>
      <c r="F66">
        <v>500000</v>
      </c>
      <c r="G66" t="str">
        <f t="shared" si="1"/>
        <v>47_500000</v>
      </c>
      <c r="H66">
        <v>2.7039544705891139E-3</v>
      </c>
      <c r="I66" s="19">
        <v>48</v>
      </c>
      <c r="J66">
        <v>1000000</v>
      </c>
      <c r="K66" t="str">
        <f t="shared" si="2"/>
        <v>48_1000000</v>
      </c>
      <c r="L66">
        <v>1.5917174678074241E-4</v>
      </c>
      <c r="M66">
        <v>47</v>
      </c>
      <c r="N66">
        <v>500000</v>
      </c>
      <c r="O66" t="str">
        <f t="shared" si="3"/>
        <v>47_500000</v>
      </c>
      <c r="P66" s="20">
        <v>3.673006856730123E-3</v>
      </c>
    </row>
    <row r="67" spans="1:16" x14ac:dyDescent="0.25">
      <c r="A67">
        <v>54</v>
      </c>
      <c r="B67">
        <v>2000000</v>
      </c>
      <c r="C67" s="18" t="str">
        <f t="shared" si="0"/>
        <v>54_2000000</v>
      </c>
      <c r="D67">
        <v>8.7186673661905273E-5</v>
      </c>
      <c r="E67">
        <v>47</v>
      </c>
      <c r="F67">
        <v>1000000</v>
      </c>
      <c r="G67" t="str">
        <f t="shared" si="1"/>
        <v>47_1000000</v>
      </c>
      <c r="H67">
        <v>2.4769826098426611E-3</v>
      </c>
      <c r="I67" s="19">
        <v>48</v>
      </c>
      <c r="J67">
        <v>2000000</v>
      </c>
      <c r="K67" t="str">
        <f t="shared" si="2"/>
        <v>48_2000000</v>
      </c>
      <c r="L67">
        <v>1.7087278291955679E-4</v>
      </c>
      <c r="M67">
        <v>47</v>
      </c>
      <c r="N67">
        <v>1000000</v>
      </c>
      <c r="O67" t="str">
        <f t="shared" si="3"/>
        <v>47_1000000</v>
      </c>
      <c r="P67" s="20">
        <v>3.8991306016218081E-3</v>
      </c>
    </row>
    <row r="68" spans="1:16" x14ac:dyDescent="0.25">
      <c r="A68">
        <v>54</v>
      </c>
      <c r="B68">
        <v>250000</v>
      </c>
      <c r="C68" s="18" t="str">
        <f t="shared" si="0"/>
        <v>54_250000</v>
      </c>
      <c r="D68">
        <v>1.1506017634866299E-4</v>
      </c>
      <c r="E68">
        <v>47</v>
      </c>
      <c r="F68">
        <v>2000000</v>
      </c>
      <c r="G68" t="str">
        <f t="shared" si="1"/>
        <v>47_2000000</v>
      </c>
      <c r="H68">
        <v>2.5384021384272561E-3</v>
      </c>
      <c r="I68" s="19">
        <v>49</v>
      </c>
      <c r="J68">
        <v>100000</v>
      </c>
      <c r="K68" t="str">
        <f t="shared" si="2"/>
        <v>49_100000</v>
      </c>
      <c r="L68">
        <v>2.6472293524405712E-4</v>
      </c>
      <c r="M68">
        <v>47</v>
      </c>
      <c r="N68">
        <v>2000000</v>
      </c>
      <c r="O68" t="str">
        <f t="shared" si="3"/>
        <v>47_2000000</v>
      </c>
      <c r="P68" s="20">
        <v>3.5109341572153239E-3</v>
      </c>
    </row>
    <row r="69" spans="1:16" x14ac:dyDescent="0.25">
      <c r="A69">
        <v>54</v>
      </c>
      <c r="B69">
        <v>1000000</v>
      </c>
      <c r="C69" s="18" t="str">
        <f t="shared" ref="C69:C132" si="4">A69&amp;"_"&amp;B69</f>
        <v>54_1000000</v>
      </c>
      <c r="D69">
        <v>1.205976272338753E-4</v>
      </c>
      <c r="E69">
        <v>48</v>
      </c>
      <c r="F69">
        <v>100000</v>
      </c>
      <c r="G69" t="str">
        <f t="shared" ref="G69:G132" si="5">E69&amp;"_"&amp;F69</f>
        <v>48_100000</v>
      </c>
      <c r="H69">
        <v>2.2550687036390418E-3</v>
      </c>
      <c r="I69" s="19">
        <v>49</v>
      </c>
      <c r="J69">
        <v>250000</v>
      </c>
      <c r="K69" t="str">
        <f t="shared" ref="K69:K132" si="6">I69&amp;"_"&amp;J69</f>
        <v>49_250000</v>
      </c>
      <c r="L69">
        <v>2.3125541909731971E-4</v>
      </c>
      <c r="M69">
        <v>48</v>
      </c>
      <c r="N69">
        <v>100000</v>
      </c>
      <c r="O69" t="str">
        <f t="shared" ref="O69:O132" si="7">M69&amp;"_"&amp;N69</f>
        <v>48_100000</v>
      </c>
      <c r="P69" s="20">
        <v>3.3123605824399221E-3</v>
      </c>
    </row>
    <row r="70" spans="1:16" x14ac:dyDescent="0.25">
      <c r="A70">
        <v>54</v>
      </c>
      <c r="B70">
        <v>500000</v>
      </c>
      <c r="C70" s="18" t="str">
        <f t="shared" si="4"/>
        <v>54_500000</v>
      </c>
      <c r="D70">
        <v>1.568213479541152E-4</v>
      </c>
      <c r="E70">
        <v>48</v>
      </c>
      <c r="F70">
        <v>250000</v>
      </c>
      <c r="G70" t="str">
        <f t="shared" si="5"/>
        <v>48_250000</v>
      </c>
      <c r="H70">
        <v>2.6701948989419442E-3</v>
      </c>
      <c r="I70" s="19">
        <v>49</v>
      </c>
      <c r="J70">
        <v>500000</v>
      </c>
      <c r="K70" t="str">
        <f t="shared" si="6"/>
        <v>49_500000</v>
      </c>
      <c r="L70">
        <v>1.5421497995505041E-4</v>
      </c>
      <c r="M70">
        <v>48</v>
      </c>
      <c r="N70">
        <v>250000</v>
      </c>
      <c r="O70" t="str">
        <f t="shared" si="7"/>
        <v>48_250000</v>
      </c>
      <c r="P70" s="20">
        <v>3.7508205564086138E-3</v>
      </c>
    </row>
    <row r="71" spans="1:16" x14ac:dyDescent="0.25">
      <c r="A71">
        <v>54</v>
      </c>
      <c r="B71">
        <v>100000</v>
      </c>
      <c r="C71" s="18" t="str">
        <f t="shared" si="4"/>
        <v>54_100000</v>
      </c>
      <c r="D71">
        <v>1.5850364860004791E-4</v>
      </c>
      <c r="E71">
        <v>48</v>
      </c>
      <c r="F71">
        <v>500000</v>
      </c>
      <c r="G71" t="str">
        <f t="shared" si="5"/>
        <v>48_500000</v>
      </c>
      <c r="H71">
        <v>2.2915843415180939E-3</v>
      </c>
      <c r="I71" s="19">
        <v>49</v>
      </c>
      <c r="J71">
        <v>1000000</v>
      </c>
      <c r="K71" t="str">
        <f t="shared" si="6"/>
        <v>49_1000000</v>
      </c>
      <c r="L71">
        <v>1.8891869984761329E-4</v>
      </c>
      <c r="M71">
        <v>48</v>
      </c>
      <c r="N71">
        <v>500000</v>
      </c>
      <c r="O71" t="str">
        <f t="shared" si="7"/>
        <v>48_500000</v>
      </c>
      <c r="P71" s="20">
        <v>4.0776154964811519E-3</v>
      </c>
    </row>
    <row r="72" spans="1:16" x14ac:dyDescent="0.25">
      <c r="A72">
        <v>55</v>
      </c>
      <c r="B72">
        <v>100000</v>
      </c>
      <c r="C72" s="18" t="str">
        <f t="shared" si="4"/>
        <v>55_100000</v>
      </c>
      <c r="D72">
        <v>1.0156144406610171E-4</v>
      </c>
      <c r="E72">
        <v>48</v>
      </c>
      <c r="F72">
        <v>1000000</v>
      </c>
      <c r="G72" t="str">
        <f t="shared" si="5"/>
        <v>48_1000000</v>
      </c>
      <c r="H72">
        <v>2.6523174346423919E-3</v>
      </c>
      <c r="I72" s="19">
        <v>49</v>
      </c>
      <c r="J72">
        <v>2000000</v>
      </c>
      <c r="K72" t="str">
        <f t="shared" si="6"/>
        <v>49_2000000</v>
      </c>
      <c r="L72">
        <v>2.2197364278324339E-4</v>
      </c>
      <c r="M72">
        <v>48</v>
      </c>
      <c r="N72">
        <v>1000000</v>
      </c>
      <c r="O72" t="str">
        <f t="shared" si="7"/>
        <v>48_1000000</v>
      </c>
      <c r="P72" s="20">
        <v>3.8467999336264619E-3</v>
      </c>
    </row>
    <row r="73" spans="1:16" x14ac:dyDescent="0.25">
      <c r="A73">
        <v>55</v>
      </c>
      <c r="B73">
        <v>250000</v>
      </c>
      <c r="C73" s="18" t="str">
        <f t="shared" si="4"/>
        <v>55_250000</v>
      </c>
      <c r="D73">
        <v>1.3054639883595091E-4</v>
      </c>
      <c r="E73">
        <v>48</v>
      </c>
      <c r="F73">
        <v>2000000</v>
      </c>
      <c r="G73" t="str">
        <f t="shared" si="5"/>
        <v>48_2000000</v>
      </c>
      <c r="H73">
        <v>2.3124396874009412E-3</v>
      </c>
      <c r="I73" s="19">
        <v>50</v>
      </c>
      <c r="J73">
        <v>100000</v>
      </c>
      <c r="K73" t="str">
        <f t="shared" si="6"/>
        <v>50_100000</v>
      </c>
      <c r="L73">
        <v>1.5525673991508311E-4</v>
      </c>
      <c r="M73">
        <v>48</v>
      </c>
      <c r="N73">
        <v>2000000</v>
      </c>
      <c r="O73" t="str">
        <f t="shared" si="7"/>
        <v>48_2000000</v>
      </c>
      <c r="P73" s="20">
        <v>3.544032794925826E-3</v>
      </c>
    </row>
    <row r="74" spans="1:16" x14ac:dyDescent="0.25">
      <c r="A74">
        <v>55</v>
      </c>
      <c r="B74">
        <v>2000000</v>
      </c>
      <c r="C74" s="18" t="str">
        <f t="shared" si="4"/>
        <v>55_2000000</v>
      </c>
      <c r="D74">
        <v>1.3816511617934139E-4</v>
      </c>
      <c r="E74">
        <v>49</v>
      </c>
      <c r="F74">
        <v>100000</v>
      </c>
      <c r="G74" t="str">
        <f t="shared" si="5"/>
        <v>49_100000</v>
      </c>
      <c r="H74">
        <v>2.359277419066109E-3</v>
      </c>
      <c r="I74" s="19">
        <v>50</v>
      </c>
      <c r="J74">
        <v>250000</v>
      </c>
      <c r="K74" t="str">
        <f t="shared" si="6"/>
        <v>50_250000</v>
      </c>
      <c r="L74">
        <v>1.8023475350370481E-4</v>
      </c>
      <c r="M74">
        <v>49</v>
      </c>
      <c r="N74">
        <v>100000</v>
      </c>
      <c r="O74" t="str">
        <f t="shared" si="7"/>
        <v>49_100000</v>
      </c>
      <c r="P74" s="20">
        <v>3.5767602821352678E-3</v>
      </c>
    </row>
    <row r="75" spans="1:16" x14ac:dyDescent="0.25">
      <c r="A75">
        <v>55</v>
      </c>
      <c r="B75">
        <v>500000</v>
      </c>
      <c r="C75" s="18" t="str">
        <f t="shared" si="4"/>
        <v>55_500000</v>
      </c>
      <c r="D75">
        <v>1.4189522340407129E-4</v>
      </c>
      <c r="E75">
        <v>49</v>
      </c>
      <c r="F75">
        <v>250000</v>
      </c>
      <c r="G75" t="str">
        <f t="shared" si="5"/>
        <v>49_250000</v>
      </c>
      <c r="H75">
        <v>2.6081442610386939E-3</v>
      </c>
      <c r="I75" s="19">
        <v>50</v>
      </c>
      <c r="J75">
        <v>500000</v>
      </c>
      <c r="K75" t="str">
        <f t="shared" si="6"/>
        <v>50_500000</v>
      </c>
      <c r="L75">
        <v>1.5766631007118709E-4</v>
      </c>
      <c r="M75">
        <v>49</v>
      </c>
      <c r="N75">
        <v>250000</v>
      </c>
      <c r="O75" t="str">
        <f t="shared" si="7"/>
        <v>49_250000</v>
      </c>
      <c r="P75" s="20">
        <v>3.566950482751287E-3</v>
      </c>
    </row>
    <row r="76" spans="1:16" x14ac:dyDescent="0.25">
      <c r="A76">
        <v>55</v>
      </c>
      <c r="B76">
        <v>1000000</v>
      </c>
      <c r="C76" s="18" t="str">
        <f t="shared" si="4"/>
        <v>55_1000000</v>
      </c>
      <c r="D76">
        <v>1.6584497022388309E-4</v>
      </c>
      <c r="E76">
        <v>49</v>
      </c>
      <c r="F76">
        <v>500000</v>
      </c>
      <c r="G76" t="str">
        <f t="shared" si="5"/>
        <v>49_500000</v>
      </c>
      <c r="H76">
        <v>2.554348765636458E-3</v>
      </c>
      <c r="I76" s="19">
        <v>50</v>
      </c>
      <c r="J76">
        <v>1000000</v>
      </c>
      <c r="K76" t="str">
        <f t="shared" si="6"/>
        <v>50_1000000</v>
      </c>
      <c r="L76">
        <v>2.072110997029838E-4</v>
      </c>
      <c r="M76">
        <v>49</v>
      </c>
      <c r="N76">
        <v>500000</v>
      </c>
      <c r="O76" t="str">
        <f t="shared" si="7"/>
        <v>49_500000</v>
      </c>
      <c r="P76" s="20">
        <v>3.477639844569386E-3</v>
      </c>
    </row>
    <row r="77" spans="1:16" x14ac:dyDescent="0.25">
      <c r="A77">
        <v>56</v>
      </c>
      <c r="B77">
        <v>1000000</v>
      </c>
      <c r="C77" s="18" t="str">
        <f t="shared" si="4"/>
        <v>56_1000000</v>
      </c>
      <c r="D77">
        <v>1.141931342355661E-4</v>
      </c>
      <c r="E77">
        <v>49</v>
      </c>
      <c r="F77">
        <v>1000000</v>
      </c>
      <c r="G77" t="str">
        <f t="shared" si="5"/>
        <v>49_1000000</v>
      </c>
      <c r="H77">
        <v>2.6905471774067119E-3</v>
      </c>
      <c r="I77" s="19">
        <v>50</v>
      </c>
      <c r="J77">
        <v>2000000</v>
      </c>
      <c r="K77" t="str">
        <f t="shared" si="6"/>
        <v>50_2000000</v>
      </c>
      <c r="L77">
        <v>1.610985898561652E-4</v>
      </c>
      <c r="M77">
        <v>49</v>
      </c>
      <c r="N77">
        <v>1000000</v>
      </c>
      <c r="O77" t="str">
        <f t="shared" si="7"/>
        <v>49_1000000</v>
      </c>
      <c r="P77" s="20">
        <v>3.8170762255203151E-3</v>
      </c>
    </row>
    <row r="78" spans="1:16" x14ac:dyDescent="0.25">
      <c r="A78">
        <v>56</v>
      </c>
      <c r="B78">
        <v>100000</v>
      </c>
      <c r="C78" s="18" t="str">
        <f t="shared" si="4"/>
        <v>56_100000</v>
      </c>
      <c r="D78">
        <v>1.3529560607914839E-4</v>
      </c>
      <c r="E78">
        <v>49</v>
      </c>
      <c r="F78">
        <v>2000000</v>
      </c>
      <c r="G78" t="str">
        <f t="shared" si="5"/>
        <v>49_2000000</v>
      </c>
      <c r="H78">
        <v>2.483783125154604E-3</v>
      </c>
      <c r="I78" s="19">
        <v>51</v>
      </c>
      <c r="J78">
        <v>100000</v>
      </c>
      <c r="K78" t="str">
        <f t="shared" si="6"/>
        <v>51_100000</v>
      </c>
      <c r="L78">
        <v>2.161867090347148E-4</v>
      </c>
      <c r="M78">
        <v>49</v>
      </c>
      <c r="N78">
        <v>2000000</v>
      </c>
      <c r="O78" t="str">
        <f t="shared" si="7"/>
        <v>49_2000000</v>
      </c>
      <c r="P78" s="20">
        <v>3.5843025683784811E-3</v>
      </c>
    </row>
    <row r="79" spans="1:16" x14ac:dyDescent="0.25">
      <c r="A79">
        <v>56</v>
      </c>
      <c r="B79">
        <v>2000000</v>
      </c>
      <c r="C79" s="18" t="str">
        <f t="shared" si="4"/>
        <v>56_2000000</v>
      </c>
      <c r="D79">
        <v>1.3838406154036481E-4</v>
      </c>
      <c r="E79">
        <v>50</v>
      </c>
      <c r="F79">
        <v>100000</v>
      </c>
      <c r="G79" t="str">
        <f t="shared" si="5"/>
        <v>50_100000</v>
      </c>
      <c r="H79">
        <v>2.2219249687860801E-3</v>
      </c>
      <c r="I79" s="19">
        <v>51</v>
      </c>
      <c r="J79">
        <v>250000</v>
      </c>
      <c r="K79" t="str">
        <f t="shared" si="6"/>
        <v>51_250000</v>
      </c>
      <c r="L79">
        <v>1.4328918485866809E-4</v>
      </c>
      <c r="M79">
        <v>50</v>
      </c>
      <c r="N79">
        <v>100000</v>
      </c>
      <c r="O79" t="str">
        <f t="shared" si="7"/>
        <v>50_100000</v>
      </c>
      <c r="P79" s="20">
        <v>3.305745356119506E-3</v>
      </c>
    </row>
    <row r="80" spans="1:16" x14ac:dyDescent="0.25">
      <c r="A80">
        <v>56</v>
      </c>
      <c r="B80">
        <v>250000</v>
      </c>
      <c r="C80" s="18" t="str">
        <f t="shared" si="4"/>
        <v>56_250000</v>
      </c>
      <c r="D80">
        <v>1.5392956434946131E-4</v>
      </c>
      <c r="E80">
        <v>50</v>
      </c>
      <c r="F80">
        <v>250000</v>
      </c>
      <c r="G80" t="str">
        <f t="shared" si="5"/>
        <v>50_250000</v>
      </c>
      <c r="H80">
        <v>2.5567954125525539E-3</v>
      </c>
      <c r="I80" s="19">
        <v>51</v>
      </c>
      <c r="J80">
        <v>500000</v>
      </c>
      <c r="K80" t="str">
        <f t="shared" si="6"/>
        <v>51_500000</v>
      </c>
      <c r="L80">
        <v>1.332272415885229E-4</v>
      </c>
      <c r="M80">
        <v>50</v>
      </c>
      <c r="N80">
        <v>250000</v>
      </c>
      <c r="O80" t="str">
        <f t="shared" si="7"/>
        <v>50_250000</v>
      </c>
      <c r="P80" s="20">
        <v>3.6490520578737751E-3</v>
      </c>
    </row>
    <row r="81" spans="1:16" x14ac:dyDescent="0.25">
      <c r="A81">
        <v>56</v>
      </c>
      <c r="B81">
        <v>500000</v>
      </c>
      <c r="C81" s="18" t="str">
        <f t="shared" si="4"/>
        <v>56_500000</v>
      </c>
      <c r="D81">
        <v>1.665717584607191E-4</v>
      </c>
      <c r="E81">
        <v>50</v>
      </c>
      <c r="F81">
        <v>500000</v>
      </c>
      <c r="G81" t="str">
        <f t="shared" si="5"/>
        <v>50_500000</v>
      </c>
      <c r="H81">
        <v>2.6253513222927378E-3</v>
      </c>
      <c r="I81" s="19">
        <v>51</v>
      </c>
      <c r="J81">
        <v>1000000</v>
      </c>
      <c r="K81" t="str">
        <f t="shared" si="6"/>
        <v>51_1000000</v>
      </c>
      <c r="L81">
        <v>1.721909904046668E-4</v>
      </c>
      <c r="M81">
        <v>50</v>
      </c>
      <c r="N81">
        <v>500000</v>
      </c>
      <c r="O81" t="str">
        <f t="shared" si="7"/>
        <v>50_500000</v>
      </c>
      <c r="P81" s="20">
        <v>3.751687178065967E-3</v>
      </c>
    </row>
    <row r="82" spans="1:16" x14ac:dyDescent="0.25">
      <c r="A82">
        <v>57</v>
      </c>
      <c r="B82">
        <v>250000</v>
      </c>
      <c r="C82" s="18" t="str">
        <f t="shared" si="4"/>
        <v>57_250000</v>
      </c>
      <c r="D82">
        <v>1.125672048266388E-4</v>
      </c>
      <c r="E82">
        <v>50</v>
      </c>
      <c r="F82">
        <v>1000000</v>
      </c>
      <c r="G82" t="str">
        <f t="shared" si="5"/>
        <v>50_1000000</v>
      </c>
      <c r="H82">
        <v>2.7190474374278852E-3</v>
      </c>
      <c r="I82" s="19">
        <v>51</v>
      </c>
      <c r="J82">
        <v>2000000</v>
      </c>
      <c r="K82" t="str">
        <f t="shared" si="6"/>
        <v>51_2000000</v>
      </c>
      <c r="L82">
        <v>1.3269631666826479E-4</v>
      </c>
      <c r="M82">
        <v>50</v>
      </c>
      <c r="N82">
        <v>1000000</v>
      </c>
      <c r="O82" t="str">
        <f t="shared" si="7"/>
        <v>50_1000000</v>
      </c>
      <c r="P82" s="20">
        <v>3.706088444690427E-3</v>
      </c>
    </row>
    <row r="83" spans="1:16" x14ac:dyDescent="0.25">
      <c r="A83">
        <v>57</v>
      </c>
      <c r="B83">
        <v>1000000</v>
      </c>
      <c r="C83" s="18" t="str">
        <f t="shared" si="4"/>
        <v>57_1000000</v>
      </c>
      <c r="D83">
        <v>1.170304563893695E-4</v>
      </c>
      <c r="E83">
        <v>50</v>
      </c>
      <c r="F83">
        <v>2000000</v>
      </c>
      <c r="G83" t="str">
        <f t="shared" si="5"/>
        <v>50_2000000</v>
      </c>
      <c r="H83">
        <v>2.4491968829210638E-3</v>
      </c>
      <c r="I83" s="19">
        <v>52</v>
      </c>
      <c r="J83">
        <v>100000</v>
      </c>
      <c r="K83" t="str">
        <f t="shared" si="6"/>
        <v>52_100000</v>
      </c>
      <c r="L83">
        <v>2.1001519262908399E-4</v>
      </c>
      <c r="M83">
        <v>50</v>
      </c>
      <c r="N83">
        <v>2000000</v>
      </c>
      <c r="O83" t="str">
        <f t="shared" si="7"/>
        <v>50_2000000</v>
      </c>
      <c r="P83" s="20">
        <v>3.8751101464912581E-3</v>
      </c>
    </row>
    <row r="84" spans="1:16" x14ac:dyDescent="0.25">
      <c r="A84">
        <v>57</v>
      </c>
      <c r="B84">
        <v>2000000</v>
      </c>
      <c r="C84" s="18" t="str">
        <f t="shared" si="4"/>
        <v>57_2000000</v>
      </c>
      <c r="D84">
        <v>1.438818753139772E-4</v>
      </c>
      <c r="E84">
        <v>51</v>
      </c>
      <c r="F84">
        <v>100000</v>
      </c>
      <c r="G84" t="str">
        <f t="shared" si="5"/>
        <v>51_100000</v>
      </c>
      <c r="H84">
        <v>2.248279898047391E-3</v>
      </c>
      <c r="I84" s="19">
        <v>52</v>
      </c>
      <c r="J84">
        <v>250000</v>
      </c>
      <c r="K84" t="str">
        <f t="shared" si="6"/>
        <v>52_250000</v>
      </c>
      <c r="L84">
        <v>1.96397114135397E-4</v>
      </c>
      <c r="M84">
        <v>51</v>
      </c>
      <c r="N84">
        <v>100000</v>
      </c>
      <c r="O84" t="str">
        <f t="shared" si="7"/>
        <v>51_100000</v>
      </c>
      <c r="P84" s="20">
        <v>3.5824140395216081E-3</v>
      </c>
    </row>
    <row r="85" spans="1:16" x14ac:dyDescent="0.25">
      <c r="A85">
        <v>57</v>
      </c>
      <c r="B85">
        <v>500000</v>
      </c>
      <c r="C85" s="18" t="str">
        <f t="shared" si="4"/>
        <v>57_500000</v>
      </c>
      <c r="D85">
        <v>1.4556875168961539E-4</v>
      </c>
      <c r="E85">
        <v>51</v>
      </c>
      <c r="F85">
        <v>250000</v>
      </c>
      <c r="G85" t="str">
        <f t="shared" si="5"/>
        <v>51_250000</v>
      </c>
      <c r="H85">
        <v>2.5810619414651701E-3</v>
      </c>
      <c r="I85" s="19">
        <v>52</v>
      </c>
      <c r="J85">
        <v>500000</v>
      </c>
      <c r="K85" t="str">
        <f t="shared" si="6"/>
        <v>52_500000</v>
      </c>
      <c r="L85">
        <v>1.6451536317549359E-4</v>
      </c>
      <c r="M85">
        <v>51</v>
      </c>
      <c r="N85">
        <v>250000</v>
      </c>
      <c r="O85" t="str">
        <f t="shared" si="7"/>
        <v>51_250000</v>
      </c>
      <c r="P85" s="20">
        <v>3.7874366491630418E-3</v>
      </c>
    </row>
    <row r="86" spans="1:16" x14ac:dyDescent="0.25">
      <c r="A86">
        <v>57</v>
      </c>
      <c r="B86">
        <v>100000</v>
      </c>
      <c r="C86" s="18" t="str">
        <f t="shared" si="4"/>
        <v>57_100000</v>
      </c>
      <c r="D86">
        <v>1.49714605383318E-4</v>
      </c>
      <c r="E86">
        <v>51</v>
      </c>
      <c r="F86">
        <v>500000</v>
      </c>
      <c r="G86" t="str">
        <f t="shared" si="5"/>
        <v>51_500000</v>
      </c>
      <c r="H86">
        <v>2.3868367409805658E-3</v>
      </c>
      <c r="I86" s="19">
        <v>52</v>
      </c>
      <c r="J86">
        <v>1000000</v>
      </c>
      <c r="K86" t="str">
        <f t="shared" si="6"/>
        <v>52_1000000</v>
      </c>
      <c r="L86">
        <v>1.6573787058357629E-4</v>
      </c>
      <c r="M86">
        <v>51</v>
      </c>
      <c r="N86">
        <v>500000</v>
      </c>
      <c r="O86" t="str">
        <f t="shared" si="7"/>
        <v>51_500000</v>
      </c>
      <c r="P86" s="20">
        <v>3.790380704957489E-3</v>
      </c>
    </row>
    <row r="87" spans="1:16" x14ac:dyDescent="0.25">
      <c r="A87">
        <v>58</v>
      </c>
      <c r="B87">
        <v>2000000</v>
      </c>
      <c r="C87" s="18" t="str">
        <f t="shared" si="4"/>
        <v>58_2000000</v>
      </c>
      <c r="D87">
        <v>1.3173823761406751E-4</v>
      </c>
      <c r="E87">
        <v>51</v>
      </c>
      <c r="F87">
        <v>1000000</v>
      </c>
      <c r="G87" t="str">
        <f t="shared" si="5"/>
        <v>51_1000000</v>
      </c>
      <c r="H87">
        <v>2.4760794431299129E-3</v>
      </c>
      <c r="I87" s="19">
        <v>52</v>
      </c>
      <c r="J87">
        <v>2000000</v>
      </c>
      <c r="K87" t="str">
        <f t="shared" si="6"/>
        <v>52_2000000</v>
      </c>
      <c r="L87">
        <v>1.3108735337390121E-4</v>
      </c>
      <c r="M87">
        <v>51</v>
      </c>
      <c r="N87">
        <v>1000000</v>
      </c>
      <c r="O87" t="str">
        <f t="shared" si="7"/>
        <v>51_1000000</v>
      </c>
      <c r="P87" s="20">
        <v>3.824734718907295E-3</v>
      </c>
    </row>
    <row r="88" spans="1:16" x14ac:dyDescent="0.25">
      <c r="A88">
        <v>58</v>
      </c>
      <c r="B88">
        <v>1000000</v>
      </c>
      <c r="C88" s="18" t="str">
        <f t="shared" si="4"/>
        <v>58_1000000</v>
      </c>
      <c r="D88">
        <v>1.619317862978822E-4</v>
      </c>
      <c r="E88">
        <v>51</v>
      </c>
      <c r="F88">
        <v>2000000</v>
      </c>
      <c r="G88" t="str">
        <f t="shared" si="5"/>
        <v>51_2000000</v>
      </c>
      <c r="H88">
        <v>2.487167226569856E-3</v>
      </c>
      <c r="I88" s="19">
        <v>53</v>
      </c>
      <c r="J88">
        <v>100000</v>
      </c>
      <c r="K88" t="str">
        <f t="shared" si="6"/>
        <v>53_100000</v>
      </c>
      <c r="L88">
        <v>2.6009716862162408E-4</v>
      </c>
      <c r="M88">
        <v>51</v>
      </c>
      <c r="N88">
        <v>2000000</v>
      </c>
      <c r="O88" t="str">
        <f t="shared" si="7"/>
        <v>51_2000000</v>
      </c>
      <c r="P88" s="20">
        <v>3.5827766160244031E-3</v>
      </c>
    </row>
    <row r="89" spans="1:16" x14ac:dyDescent="0.25">
      <c r="A89">
        <v>58</v>
      </c>
      <c r="B89">
        <v>500000</v>
      </c>
      <c r="C89" s="18" t="str">
        <f t="shared" si="4"/>
        <v>58_500000</v>
      </c>
      <c r="D89">
        <v>1.622358938083851E-4</v>
      </c>
      <c r="E89">
        <v>52</v>
      </c>
      <c r="F89">
        <v>100000</v>
      </c>
      <c r="G89" t="str">
        <f t="shared" si="5"/>
        <v>52_100000</v>
      </c>
      <c r="H89">
        <v>2.301387066226861E-3</v>
      </c>
      <c r="I89" s="19">
        <v>53</v>
      </c>
      <c r="J89">
        <v>250000</v>
      </c>
      <c r="K89" t="str">
        <f t="shared" si="6"/>
        <v>53_250000</v>
      </c>
      <c r="L89">
        <v>2.6979096811205439E-4</v>
      </c>
      <c r="M89">
        <v>52</v>
      </c>
      <c r="N89">
        <v>100000</v>
      </c>
      <c r="O89" t="str">
        <f t="shared" si="7"/>
        <v>52_100000</v>
      </c>
      <c r="P89" s="20">
        <v>3.457820801624619E-3</v>
      </c>
    </row>
    <row r="90" spans="1:16" x14ac:dyDescent="0.25">
      <c r="A90">
        <v>58</v>
      </c>
      <c r="B90">
        <v>100000</v>
      </c>
      <c r="C90" s="18" t="str">
        <f t="shared" si="4"/>
        <v>58_100000</v>
      </c>
      <c r="D90">
        <v>1.6443688876613489E-4</v>
      </c>
      <c r="E90">
        <v>52</v>
      </c>
      <c r="F90">
        <v>250000</v>
      </c>
      <c r="G90" t="str">
        <f t="shared" si="5"/>
        <v>52_250000</v>
      </c>
      <c r="H90">
        <v>2.4809233669448108E-3</v>
      </c>
      <c r="I90" s="19">
        <v>53</v>
      </c>
      <c r="J90">
        <v>500000</v>
      </c>
      <c r="K90" t="str">
        <f t="shared" si="6"/>
        <v>53_500000</v>
      </c>
      <c r="L90">
        <v>2.0103934655158319E-4</v>
      </c>
      <c r="M90">
        <v>52</v>
      </c>
      <c r="N90">
        <v>250000</v>
      </c>
      <c r="O90" t="str">
        <f t="shared" si="7"/>
        <v>52_250000</v>
      </c>
      <c r="P90" s="20">
        <v>3.8629439587175179E-3</v>
      </c>
    </row>
    <row r="91" spans="1:16" x14ac:dyDescent="0.25">
      <c r="A91">
        <v>58</v>
      </c>
      <c r="B91">
        <v>250000</v>
      </c>
      <c r="C91" s="18" t="str">
        <f t="shared" si="4"/>
        <v>58_250000</v>
      </c>
      <c r="D91">
        <v>1.6654404868176489E-4</v>
      </c>
      <c r="E91">
        <v>52</v>
      </c>
      <c r="F91">
        <v>500000</v>
      </c>
      <c r="G91" t="str">
        <f t="shared" si="5"/>
        <v>52_500000</v>
      </c>
      <c r="H91">
        <v>2.7600540709329289E-3</v>
      </c>
      <c r="I91" s="19">
        <v>53</v>
      </c>
      <c r="J91">
        <v>1000000</v>
      </c>
      <c r="K91" t="str">
        <f t="shared" si="6"/>
        <v>53_1000000</v>
      </c>
      <c r="L91">
        <v>1.8005841222136219E-4</v>
      </c>
      <c r="M91">
        <v>52</v>
      </c>
      <c r="N91">
        <v>500000</v>
      </c>
      <c r="O91" t="str">
        <f t="shared" si="7"/>
        <v>52_500000</v>
      </c>
      <c r="P91" s="20">
        <v>3.828387469549964E-3</v>
      </c>
    </row>
    <row r="92" spans="1:16" x14ac:dyDescent="0.25">
      <c r="A92">
        <v>59</v>
      </c>
      <c r="B92">
        <v>500000</v>
      </c>
      <c r="C92" s="18" t="str">
        <f t="shared" si="4"/>
        <v>59_500000</v>
      </c>
      <c r="D92">
        <v>1.6391891576407011E-4</v>
      </c>
      <c r="E92">
        <v>52</v>
      </c>
      <c r="F92">
        <v>1000000</v>
      </c>
      <c r="G92" t="str">
        <f t="shared" si="5"/>
        <v>52_1000000</v>
      </c>
      <c r="H92">
        <v>2.578149073176759E-3</v>
      </c>
      <c r="I92" s="19">
        <v>53</v>
      </c>
      <c r="J92">
        <v>2000000</v>
      </c>
      <c r="K92" t="str">
        <f t="shared" si="6"/>
        <v>53_2000000</v>
      </c>
      <c r="L92">
        <v>2.1794010067028891E-4</v>
      </c>
      <c r="M92">
        <v>52</v>
      </c>
      <c r="N92">
        <v>1000000</v>
      </c>
      <c r="O92" t="str">
        <f t="shared" si="7"/>
        <v>52_1000000</v>
      </c>
      <c r="P92" s="20">
        <v>3.7589819069199599E-3</v>
      </c>
    </row>
    <row r="93" spans="1:16" x14ac:dyDescent="0.25">
      <c r="A93">
        <v>59</v>
      </c>
      <c r="B93">
        <v>100000</v>
      </c>
      <c r="C93" s="18" t="str">
        <f t="shared" si="4"/>
        <v>59_100000</v>
      </c>
      <c r="D93">
        <v>1.742284643502162E-4</v>
      </c>
      <c r="E93">
        <v>52</v>
      </c>
      <c r="F93">
        <v>2000000</v>
      </c>
      <c r="G93" t="str">
        <f t="shared" si="5"/>
        <v>52_2000000</v>
      </c>
      <c r="H93">
        <v>2.5271561375499979E-3</v>
      </c>
      <c r="I93" s="19">
        <v>54</v>
      </c>
      <c r="J93">
        <v>100000</v>
      </c>
      <c r="K93" t="str">
        <f t="shared" si="6"/>
        <v>54_100000</v>
      </c>
      <c r="L93">
        <v>2.4544847109400099E-4</v>
      </c>
      <c r="M93">
        <v>52</v>
      </c>
      <c r="N93">
        <v>2000000</v>
      </c>
      <c r="O93" t="str">
        <f t="shared" si="7"/>
        <v>52_2000000</v>
      </c>
      <c r="P93" s="20">
        <v>3.3592322082688889E-3</v>
      </c>
    </row>
    <row r="94" spans="1:16" x14ac:dyDescent="0.25">
      <c r="A94">
        <v>59</v>
      </c>
      <c r="B94">
        <v>250000</v>
      </c>
      <c r="C94" s="18" t="str">
        <f t="shared" si="4"/>
        <v>59_250000</v>
      </c>
      <c r="D94">
        <v>1.8836846598365109E-4</v>
      </c>
      <c r="E94">
        <v>53</v>
      </c>
      <c r="F94">
        <v>100000</v>
      </c>
      <c r="G94" t="str">
        <f t="shared" si="5"/>
        <v>53_100000</v>
      </c>
      <c r="H94">
        <v>2.2888398545869789E-3</v>
      </c>
      <c r="I94" s="19">
        <v>54</v>
      </c>
      <c r="J94">
        <v>250000</v>
      </c>
      <c r="K94" t="str">
        <f t="shared" si="6"/>
        <v>54_250000</v>
      </c>
      <c r="L94">
        <v>2.3085783527914349E-4</v>
      </c>
      <c r="M94">
        <v>53</v>
      </c>
      <c r="N94">
        <v>100000</v>
      </c>
      <c r="O94" t="str">
        <f t="shared" si="7"/>
        <v>53_100000</v>
      </c>
      <c r="P94" s="20">
        <v>3.6887447960942728E-3</v>
      </c>
    </row>
    <row r="95" spans="1:16" x14ac:dyDescent="0.25">
      <c r="A95">
        <v>59</v>
      </c>
      <c r="B95">
        <v>1000000</v>
      </c>
      <c r="C95" s="18" t="str">
        <f t="shared" si="4"/>
        <v>59_1000000</v>
      </c>
      <c r="D95">
        <v>1.9517282299590821E-4</v>
      </c>
      <c r="E95">
        <v>53</v>
      </c>
      <c r="F95">
        <v>250000</v>
      </c>
      <c r="G95" t="str">
        <f t="shared" si="5"/>
        <v>53_250000</v>
      </c>
      <c r="H95">
        <v>2.5088202760314639E-3</v>
      </c>
      <c r="I95" s="19">
        <v>54</v>
      </c>
      <c r="J95">
        <v>500000</v>
      </c>
      <c r="K95" t="str">
        <f t="shared" si="6"/>
        <v>54_500000</v>
      </c>
      <c r="L95">
        <v>1.8952795847673921E-4</v>
      </c>
      <c r="M95">
        <v>53</v>
      </c>
      <c r="N95">
        <v>250000</v>
      </c>
      <c r="O95" t="str">
        <f t="shared" si="7"/>
        <v>53_250000</v>
      </c>
      <c r="P95" s="20">
        <v>3.529767940136961E-3</v>
      </c>
    </row>
    <row r="96" spans="1:16" x14ac:dyDescent="0.25">
      <c r="A96">
        <v>59</v>
      </c>
      <c r="B96">
        <v>2000000</v>
      </c>
      <c r="C96" s="18" t="str">
        <f t="shared" si="4"/>
        <v>59_2000000</v>
      </c>
      <c r="D96">
        <v>2.1097423505584011E-4</v>
      </c>
      <c r="E96">
        <v>53</v>
      </c>
      <c r="F96">
        <v>500000</v>
      </c>
      <c r="G96" t="str">
        <f t="shared" si="5"/>
        <v>53_500000</v>
      </c>
      <c r="H96">
        <v>2.493360608927193E-3</v>
      </c>
      <c r="I96" s="19">
        <v>54</v>
      </c>
      <c r="J96">
        <v>1000000</v>
      </c>
      <c r="K96" t="str">
        <f t="shared" si="6"/>
        <v>54_1000000</v>
      </c>
      <c r="L96">
        <v>3.2314378378637068E-4</v>
      </c>
      <c r="M96">
        <v>53</v>
      </c>
      <c r="N96">
        <v>500000</v>
      </c>
      <c r="O96" t="str">
        <f t="shared" si="7"/>
        <v>53_500000</v>
      </c>
      <c r="P96" s="20">
        <v>3.7910418284283309E-3</v>
      </c>
    </row>
    <row r="97" spans="1:16" x14ac:dyDescent="0.25">
      <c r="A97">
        <v>60</v>
      </c>
      <c r="B97">
        <v>2000000</v>
      </c>
      <c r="C97" s="18" t="str">
        <f t="shared" si="4"/>
        <v>60_2000000</v>
      </c>
      <c r="D97">
        <v>1.5194449074994179E-4</v>
      </c>
      <c r="E97">
        <v>53</v>
      </c>
      <c r="F97">
        <v>1000000</v>
      </c>
      <c r="G97" t="str">
        <f t="shared" si="5"/>
        <v>53_1000000</v>
      </c>
      <c r="H97">
        <v>2.473656559555483E-3</v>
      </c>
      <c r="I97" s="19">
        <v>54</v>
      </c>
      <c r="J97">
        <v>2000000</v>
      </c>
      <c r="K97" t="str">
        <f t="shared" si="6"/>
        <v>54_2000000</v>
      </c>
      <c r="L97">
        <v>1.7009102482597359E-4</v>
      </c>
      <c r="M97">
        <v>53</v>
      </c>
      <c r="N97">
        <v>1000000</v>
      </c>
      <c r="O97" t="str">
        <f t="shared" si="7"/>
        <v>53_1000000</v>
      </c>
      <c r="P97" s="20">
        <v>3.4649751450587492E-3</v>
      </c>
    </row>
    <row r="98" spans="1:16" x14ac:dyDescent="0.25">
      <c r="A98">
        <v>60</v>
      </c>
      <c r="B98">
        <v>250000</v>
      </c>
      <c r="C98" s="18" t="str">
        <f t="shared" si="4"/>
        <v>60_250000</v>
      </c>
      <c r="D98">
        <v>1.5358036017743831E-4</v>
      </c>
      <c r="E98">
        <v>53</v>
      </c>
      <c r="F98">
        <v>2000000</v>
      </c>
      <c r="G98" t="str">
        <f t="shared" si="5"/>
        <v>53_2000000</v>
      </c>
      <c r="H98">
        <v>2.502910496185483E-3</v>
      </c>
      <c r="I98" s="19">
        <v>55</v>
      </c>
      <c r="J98">
        <v>100000</v>
      </c>
      <c r="K98" t="str">
        <f t="shared" si="6"/>
        <v>55_100000</v>
      </c>
      <c r="L98">
        <v>2.6661415461289061E-4</v>
      </c>
      <c r="M98">
        <v>53</v>
      </c>
      <c r="N98">
        <v>2000000</v>
      </c>
      <c r="O98" t="str">
        <f t="shared" si="7"/>
        <v>53_2000000</v>
      </c>
      <c r="P98" s="20">
        <v>3.5636635905467928E-3</v>
      </c>
    </row>
    <row r="99" spans="1:16" x14ac:dyDescent="0.25">
      <c r="A99">
        <v>60</v>
      </c>
      <c r="B99">
        <v>500000</v>
      </c>
      <c r="C99" s="18" t="str">
        <f t="shared" si="4"/>
        <v>60_500000</v>
      </c>
      <c r="D99">
        <v>1.6692312876660049E-4</v>
      </c>
      <c r="E99">
        <v>54</v>
      </c>
      <c r="F99">
        <v>100000</v>
      </c>
      <c r="G99" t="str">
        <f t="shared" si="5"/>
        <v>54_100000</v>
      </c>
      <c r="H99">
        <v>2.2169465212885679E-3</v>
      </c>
      <c r="I99" s="19">
        <v>55</v>
      </c>
      <c r="J99">
        <v>250000</v>
      </c>
      <c r="K99" t="str">
        <f t="shared" si="6"/>
        <v>55_250000</v>
      </c>
      <c r="L99">
        <v>2.152153997668573E-4</v>
      </c>
      <c r="M99">
        <v>54</v>
      </c>
      <c r="N99">
        <v>100000</v>
      </c>
      <c r="O99" t="str">
        <f t="shared" si="7"/>
        <v>54_100000</v>
      </c>
      <c r="P99" s="20">
        <v>3.577795954017264E-3</v>
      </c>
    </row>
    <row r="100" spans="1:16" x14ac:dyDescent="0.25">
      <c r="A100">
        <v>60</v>
      </c>
      <c r="B100">
        <v>1000000</v>
      </c>
      <c r="C100" s="18" t="str">
        <f t="shared" si="4"/>
        <v>60_1000000</v>
      </c>
      <c r="D100">
        <v>1.7267212707602149E-4</v>
      </c>
      <c r="E100">
        <v>54</v>
      </c>
      <c r="F100">
        <v>250000</v>
      </c>
      <c r="G100" t="str">
        <f t="shared" si="5"/>
        <v>54_250000</v>
      </c>
      <c r="H100">
        <v>2.4894596767831038E-3</v>
      </c>
      <c r="I100" s="19">
        <v>55</v>
      </c>
      <c r="J100">
        <v>500000</v>
      </c>
      <c r="K100" t="str">
        <f t="shared" si="6"/>
        <v>55_500000</v>
      </c>
      <c r="L100">
        <v>3.4174662153787529E-4</v>
      </c>
      <c r="M100">
        <v>54</v>
      </c>
      <c r="N100">
        <v>250000</v>
      </c>
      <c r="O100" t="str">
        <f t="shared" si="7"/>
        <v>54_250000</v>
      </c>
      <c r="P100" s="20">
        <v>3.3974410706161099E-3</v>
      </c>
    </row>
    <row r="101" spans="1:16" x14ac:dyDescent="0.25">
      <c r="A101">
        <v>60</v>
      </c>
      <c r="B101">
        <v>100000</v>
      </c>
      <c r="C101" s="18" t="str">
        <f t="shared" si="4"/>
        <v>60_100000</v>
      </c>
      <c r="D101">
        <v>2.1873721523746161E-4</v>
      </c>
      <c r="E101">
        <v>54</v>
      </c>
      <c r="F101">
        <v>500000</v>
      </c>
      <c r="G101" t="str">
        <f t="shared" si="5"/>
        <v>54_500000</v>
      </c>
      <c r="H101">
        <v>2.7293206605763132E-3</v>
      </c>
      <c r="I101" s="19">
        <v>55</v>
      </c>
      <c r="J101">
        <v>1000000</v>
      </c>
      <c r="K101" t="str">
        <f t="shared" si="6"/>
        <v>55_1000000</v>
      </c>
      <c r="L101">
        <v>3.0911674867021942E-4</v>
      </c>
      <c r="M101">
        <v>54</v>
      </c>
      <c r="N101">
        <v>500000</v>
      </c>
      <c r="O101" t="str">
        <f t="shared" si="7"/>
        <v>54_500000</v>
      </c>
      <c r="P101" s="20">
        <v>3.696432260237336E-3</v>
      </c>
    </row>
    <row r="102" spans="1:16" x14ac:dyDescent="0.25">
      <c r="A102">
        <v>61</v>
      </c>
      <c r="B102">
        <v>500000</v>
      </c>
      <c r="C102" s="18" t="str">
        <f t="shared" si="4"/>
        <v>61_500000</v>
      </c>
      <c r="D102">
        <v>1.410402304129156E-4</v>
      </c>
      <c r="E102">
        <v>54</v>
      </c>
      <c r="F102">
        <v>1000000</v>
      </c>
      <c r="G102" t="str">
        <f t="shared" si="5"/>
        <v>54_1000000</v>
      </c>
      <c r="H102">
        <v>2.5858080227566691E-3</v>
      </c>
      <c r="I102" s="19">
        <v>55</v>
      </c>
      <c r="J102">
        <v>2000000</v>
      </c>
      <c r="K102" t="str">
        <f t="shared" si="6"/>
        <v>55_2000000</v>
      </c>
      <c r="L102">
        <v>2.5164149914710612E-4</v>
      </c>
      <c r="M102">
        <v>54</v>
      </c>
      <c r="N102">
        <v>1000000</v>
      </c>
      <c r="O102" t="str">
        <f t="shared" si="7"/>
        <v>54_1000000</v>
      </c>
      <c r="P102" s="20">
        <v>3.720393212556045E-3</v>
      </c>
    </row>
    <row r="103" spans="1:16" x14ac:dyDescent="0.25">
      <c r="A103">
        <v>61</v>
      </c>
      <c r="B103">
        <v>250000</v>
      </c>
      <c r="C103" s="18" t="str">
        <f t="shared" si="4"/>
        <v>61_250000</v>
      </c>
      <c r="D103">
        <v>1.464663232635693E-4</v>
      </c>
      <c r="E103">
        <v>54</v>
      </c>
      <c r="F103">
        <v>2000000</v>
      </c>
      <c r="G103" t="str">
        <f t="shared" si="5"/>
        <v>54_2000000</v>
      </c>
      <c r="H103">
        <v>2.3663654995945988E-3</v>
      </c>
      <c r="I103" s="19">
        <v>56</v>
      </c>
      <c r="J103">
        <v>100000</v>
      </c>
      <c r="K103" t="str">
        <f t="shared" si="6"/>
        <v>56_100000</v>
      </c>
      <c r="L103">
        <v>2.7375711648522719E-4</v>
      </c>
      <c r="M103">
        <v>54</v>
      </c>
      <c r="N103">
        <v>2000000</v>
      </c>
      <c r="O103" t="str">
        <f t="shared" si="7"/>
        <v>54_2000000</v>
      </c>
      <c r="P103" s="20">
        <v>3.712737889309137E-3</v>
      </c>
    </row>
    <row r="104" spans="1:16" x14ac:dyDescent="0.25">
      <c r="A104">
        <v>61</v>
      </c>
      <c r="B104">
        <v>2000000</v>
      </c>
      <c r="C104" s="18" t="str">
        <f t="shared" si="4"/>
        <v>61_2000000</v>
      </c>
      <c r="D104">
        <v>1.6619831029977781E-4</v>
      </c>
      <c r="E104">
        <v>55</v>
      </c>
      <c r="F104">
        <v>100000</v>
      </c>
      <c r="G104" t="str">
        <f t="shared" si="5"/>
        <v>55_100000</v>
      </c>
      <c r="H104">
        <v>2.4582726309221288E-3</v>
      </c>
      <c r="I104" s="19">
        <v>56</v>
      </c>
      <c r="J104">
        <v>250000</v>
      </c>
      <c r="K104" t="str">
        <f t="shared" si="6"/>
        <v>56_250000</v>
      </c>
      <c r="L104">
        <v>2.8113786011803749E-4</v>
      </c>
      <c r="M104">
        <v>55</v>
      </c>
      <c r="N104">
        <v>100000</v>
      </c>
      <c r="O104" t="str">
        <f t="shared" si="7"/>
        <v>55_100000</v>
      </c>
      <c r="P104" s="20">
        <v>3.626708859265138E-3</v>
      </c>
    </row>
    <row r="105" spans="1:16" x14ac:dyDescent="0.25">
      <c r="A105">
        <v>61</v>
      </c>
      <c r="B105">
        <v>100000</v>
      </c>
      <c r="C105" s="18" t="str">
        <f t="shared" si="4"/>
        <v>61_100000</v>
      </c>
      <c r="D105">
        <v>1.8839755236740139E-4</v>
      </c>
      <c r="E105">
        <v>55</v>
      </c>
      <c r="F105">
        <v>250000</v>
      </c>
      <c r="G105" t="str">
        <f t="shared" si="5"/>
        <v>55_250000</v>
      </c>
      <c r="H105">
        <v>2.4501389329547821E-3</v>
      </c>
      <c r="I105" s="19">
        <v>56</v>
      </c>
      <c r="J105">
        <v>500000</v>
      </c>
      <c r="K105" t="str">
        <f t="shared" si="6"/>
        <v>56_500000</v>
      </c>
      <c r="L105">
        <v>1.804592327967409E-4</v>
      </c>
      <c r="M105">
        <v>55</v>
      </c>
      <c r="N105">
        <v>250000</v>
      </c>
      <c r="O105" t="str">
        <f t="shared" si="7"/>
        <v>55_250000</v>
      </c>
      <c r="P105" s="20">
        <v>3.874302556155364E-3</v>
      </c>
    </row>
    <row r="106" spans="1:16" x14ac:dyDescent="0.25">
      <c r="A106">
        <v>61</v>
      </c>
      <c r="B106">
        <v>1000000</v>
      </c>
      <c r="C106" s="18" t="str">
        <f t="shared" si="4"/>
        <v>61_1000000</v>
      </c>
      <c r="D106">
        <v>2.013557953092091E-4</v>
      </c>
      <c r="E106">
        <v>55</v>
      </c>
      <c r="F106">
        <v>500000</v>
      </c>
      <c r="G106" t="str">
        <f t="shared" si="5"/>
        <v>55_500000</v>
      </c>
      <c r="H106">
        <v>2.4408933459382008E-3</v>
      </c>
      <c r="I106" s="19">
        <v>56</v>
      </c>
      <c r="J106">
        <v>1000000</v>
      </c>
      <c r="K106" t="str">
        <f t="shared" si="6"/>
        <v>56_1000000</v>
      </c>
      <c r="L106">
        <v>2.9876029392480942E-4</v>
      </c>
      <c r="M106">
        <v>55</v>
      </c>
      <c r="N106">
        <v>500000</v>
      </c>
      <c r="O106" t="str">
        <f t="shared" si="7"/>
        <v>55_500000</v>
      </c>
      <c r="P106" s="20">
        <v>3.627384360376185E-3</v>
      </c>
    </row>
    <row r="107" spans="1:16" x14ac:dyDescent="0.25">
      <c r="A107">
        <v>62</v>
      </c>
      <c r="B107">
        <v>500000</v>
      </c>
      <c r="C107" s="18" t="str">
        <f t="shared" si="4"/>
        <v>62_500000</v>
      </c>
      <c r="D107">
        <v>1.436980476328233E-4</v>
      </c>
      <c r="E107">
        <v>55</v>
      </c>
      <c r="F107">
        <v>1000000</v>
      </c>
      <c r="G107" t="str">
        <f t="shared" si="5"/>
        <v>55_1000000</v>
      </c>
      <c r="H107">
        <v>2.5275369523213489E-3</v>
      </c>
      <c r="I107" s="19">
        <v>56</v>
      </c>
      <c r="J107">
        <v>2000000</v>
      </c>
      <c r="K107" t="str">
        <f t="shared" si="6"/>
        <v>56_2000000</v>
      </c>
      <c r="L107">
        <v>2.6167818800162381E-4</v>
      </c>
      <c r="M107">
        <v>55</v>
      </c>
      <c r="N107">
        <v>1000000</v>
      </c>
      <c r="O107" t="str">
        <f t="shared" si="7"/>
        <v>55_1000000</v>
      </c>
      <c r="P107" s="20">
        <v>3.4424803208450952E-3</v>
      </c>
    </row>
    <row r="108" spans="1:16" x14ac:dyDescent="0.25">
      <c r="A108">
        <v>62</v>
      </c>
      <c r="B108">
        <v>1000000</v>
      </c>
      <c r="C108" s="18" t="str">
        <f t="shared" si="4"/>
        <v>62_1000000</v>
      </c>
      <c r="D108">
        <v>1.474230196931547E-4</v>
      </c>
      <c r="E108">
        <v>55</v>
      </c>
      <c r="F108">
        <v>2000000</v>
      </c>
      <c r="G108" t="str">
        <f t="shared" si="5"/>
        <v>55_2000000</v>
      </c>
      <c r="H108">
        <v>2.580805752195763E-3</v>
      </c>
      <c r="I108" s="19">
        <v>57</v>
      </c>
      <c r="J108">
        <v>100000</v>
      </c>
      <c r="K108" t="str">
        <f t="shared" si="6"/>
        <v>57_100000</v>
      </c>
      <c r="L108">
        <v>2.6737140187416152E-4</v>
      </c>
      <c r="M108">
        <v>55</v>
      </c>
      <c r="N108">
        <v>2000000</v>
      </c>
      <c r="O108" t="str">
        <f t="shared" si="7"/>
        <v>55_2000000</v>
      </c>
      <c r="P108" s="20">
        <v>3.643334439143889E-3</v>
      </c>
    </row>
    <row r="109" spans="1:16" x14ac:dyDescent="0.25">
      <c r="A109">
        <v>62</v>
      </c>
      <c r="B109">
        <v>250000</v>
      </c>
      <c r="C109" s="18" t="str">
        <f t="shared" si="4"/>
        <v>62_250000</v>
      </c>
      <c r="D109">
        <v>1.774513410494337E-4</v>
      </c>
      <c r="E109">
        <v>56</v>
      </c>
      <c r="F109">
        <v>100000</v>
      </c>
      <c r="G109" t="str">
        <f t="shared" si="5"/>
        <v>56_100000</v>
      </c>
      <c r="H109">
        <v>2.2705040562475479E-3</v>
      </c>
      <c r="I109" s="19">
        <v>57</v>
      </c>
      <c r="J109">
        <v>250000</v>
      </c>
      <c r="K109" t="str">
        <f t="shared" si="6"/>
        <v>57_250000</v>
      </c>
      <c r="L109">
        <v>3.3266133164265452E-4</v>
      </c>
      <c r="M109">
        <v>56</v>
      </c>
      <c r="N109">
        <v>100000</v>
      </c>
      <c r="O109" t="str">
        <f t="shared" si="7"/>
        <v>56_100000</v>
      </c>
      <c r="P109" s="20">
        <v>3.55637081267974E-3</v>
      </c>
    </row>
    <row r="110" spans="1:16" x14ac:dyDescent="0.25">
      <c r="A110">
        <v>62</v>
      </c>
      <c r="B110">
        <v>2000000</v>
      </c>
      <c r="C110" s="18" t="str">
        <f t="shared" si="4"/>
        <v>62_2000000</v>
      </c>
      <c r="D110">
        <v>2.076970202035657E-4</v>
      </c>
      <c r="E110">
        <v>56</v>
      </c>
      <c r="F110">
        <v>250000</v>
      </c>
      <c r="G110" t="str">
        <f t="shared" si="5"/>
        <v>56_250000</v>
      </c>
      <c r="H110">
        <v>2.481825068123735E-3</v>
      </c>
      <c r="I110" s="19">
        <v>57</v>
      </c>
      <c r="J110">
        <v>500000</v>
      </c>
      <c r="K110" t="str">
        <f t="shared" si="6"/>
        <v>57_500000</v>
      </c>
      <c r="L110">
        <v>3.6899179559432148E-4</v>
      </c>
      <c r="M110">
        <v>56</v>
      </c>
      <c r="N110">
        <v>250000</v>
      </c>
      <c r="O110" t="str">
        <f t="shared" si="7"/>
        <v>56_250000</v>
      </c>
      <c r="P110" s="20">
        <v>3.5807149609259968E-3</v>
      </c>
    </row>
    <row r="111" spans="1:16" x14ac:dyDescent="0.25">
      <c r="A111">
        <v>62</v>
      </c>
      <c r="B111">
        <v>100000</v>
      </c>
      <c r="C111" s="18" t="str">
        <f t="shared" si="4"/>
        <v>62_100000</v>
      </c>
      <c r="D111">
        <v>2.0851531420921899E-4</v>
      </c>
      <c r="E111">
        <v>56</v>
      </c>
      <c r="F111">
        <v>500000</v>
      </c>
      <c r="G111" t="str">
        <f t="shared" si="5"/>
        <v>56_500000</v>
      </c>
      <c r="H111">
        <v>2.6071351201228539E-3</v>
      </c>
      <c r="I111" s="19">
        <v>57</v>
      </c>
      <c r="J111">
        <v>1000000</v>
      </c>
      <c r="K111" t="str">
        <f t="shared" si="6"/>
        <v>57_1000000</v>
      </c>
      <c r="L111">
        <v>3.7106356283289361E-4</v>
      </c>
      <c r="M111">
        <v>56</v>
      </c>
      <c r="N111">
        <v>500000</v>
      </c>
      <c r="O111" t="str">
        <f t="shared" si="7"/>
        <v>56_500000</v>
      </c>
      <c r="P111" s="20">
        <v>3.6266397329792759E-3</v>
      </c>
    </row>
    <row r="112" spans="1:16" x14ac:dyDescent="0.25">
      <c r="A112">
        <v>63</v>
      </c>
      <c r="B112">
        <v>250000</v>
      </c>
      <c r="C112" s="18" t="str">
        <f t="shared" si="4"/>
        <v>63_250000</v>
      </c>
      <c r="D112">
        <v>1.7840045431885841E-4</v>
      </c>
      <c r="E112">
        <v>56</v>
      </c>
      <c r="F112">
        <v>1000000</v>
      </c>
      <c r="G112" t="str">
        <f t="shared" si="5"/>
        <v>56_1000000</v>
      </c>
      <c r="H112">
        <v>2.391681019362536E-3</v>
      </c>
      <c r="I112" s="19">
        <v>57</v>
      </c>
      <c r="J112">
        <v>2000000</v>
      </c>
      <c r="K112" t="str">
        <f t="shared" si="6"/>
        <v>57_2000000</v>
      </c>
      <c r="L112">
        <v>2.5335960556480721E-4</v>
      </c>
      <c r="M112">
        <v>56</v>
      </c>
      <c r="N112">
        <v>1000000</v>
      </c>
      <c r="O112" t="str">
        <f t="shared" si="7"/>
        <v>56_1000000</v>
      </c>
      <c r="P112" s="20">
        <v>3.76443343276817E-3</v>
      </c>
    </row>
    <row r="113" spans="1:16" x14ac:dyDescent="0.25">
      <c r="A113">
        <v>63</v>
      </c>
      <c r="B113">
        <v>500000</v>
      </c>
      <c r="C113" s="18" t="str">
        <f t="shared" si="4"/>
        <v>63_500000</v>
      </c>
      <c r="D113">
        <v>2.0694727054623241E-4</v>
      </c>
      <c r="E113">
        <v>56</v>
      </c>
      <c r="F113">
        <v>2000000</v>
      </c>
      <c r="G113" t="str">
        <f t="shared" si="5"/>
        <v>56_2000000</v>
      </c>
      <c r="H113">
        <v>2.551804573564504E-3</v>
      </c>
      <c r="I113" s="19">
        <v>58</v>
      </c>
      <c r="J113">
        <v>100000</v>
      </c>
      <c r="K113" t="str">
        <f t="shared" si="6"/>
        <v>58_100000</v>
      </c>
      <c r="L113">
        <v>3.2969169749862652E-4</v>
      </c>
      <c r="M113">
        <v>56</v>
      </c>
      <c r="N113">
        <v>2000000</v>
      </c>
      <c r="O113" t="str">
        <f t="shared" si="7"/>
        <v>56_2000000</v>
      </c>
      <c r="P113" s="20">
        <v>3.641336548478057E-3</v>
      </c>
    </row>
    <row r="114" spans="1:16" x14ac:dyDescent="0.25">
      <c r="A114">
        <v>63</v>
      </c>
      <c r="B114">
        <v>1000000</v>
      </c>
      <c r="C114" s="18" t="str">
        <f t="shared" si="4"/>
        <v>63_1000000</v>
      </c>
      <c r="D114">
        <v>2.110724005748998E-4</v>
      </c>
      <c r="E114">
        <v>57</v>
      </c>
      <c r="F114">
        <v>100000</v>
      </c>
      <c r="G114" t="str">
        <f t="shared" si="5"/>
        <v>57_100000</v>
      </c>
      <c r="H114">
        <v>2.4852037791092429E-3</v>
      </c>
      <c r="I114" s="19">
        <v>58</v>
      </c>
      <c r="J114">
        <v>250000</v>
      </c>
      <c r="K114" t="str">
        <f t="shared" si="6"/>
        <v>58_250000</v>
      </c>
      <c r="L114">
        <v>2.6897943008349668E-4</v>
      </c>
      <c r="M114">
        <v>57</v>
      </c>
      <c r="N114">
        <v>100000</v>
      </c>
      <c r="O114" t="str">
        <f t="shared" si="7"/>
        <v>57_100000</v>
      </c>
      <c r="P114" s="20">
        <v>3.8334118086247549E-3</v>
      </c>
    </row>
    <row r="115" spans="1:16" x14ac:dyDescent="0.25">
      <c r="A115">
        <v>63</v>
      </c>
      <c r="B115">
        <v>2000000</v>
      </c>
      <c r="C115" s="18" t="str">
        <f t="shared" si="4"/>
        <v>63_2000000</v>
      </c>
      <c r="D115">
        <v>2.184887326063279E-4</v>
      </c>
      <c r="E115">
        <v>57</v>
      </c>
      <c r="F115">
        <v>250000</v>
      </c>
      <c r="G115" t="str">
        <f t="shared" si="5"/>
        <v>57_250000</v>
      </c>
      <c r="H115">
        <v>2.4909460787670319E-3</v>
      </c>
      <c r="I115" s="19">
        <v>58</v>
      </c>
      <c r="J115">
        <v>500000</v>
      </c>
      <c r="K115" t="str">
        <f t="shared" si="6"/>
        <v>58_500000</v>
      </c>
      <c r="L115">
        <v>2.2871238128373381E-4</v>
      </c>
      <c r="M115">
        <v>57</v>
      </c>
      <c r="N115">
        <v>250000</v>
      </c>
      <c r="O115" t="str">
        <f t="shared" si="7"/>
        <v>57_250000</v>
      </c>
      <c r="P115" s="20">
        <v>3.4331563030565019E-3</v>
      </c>
    </row>
    <row r="116" spans="1:16" x14ac:dyDescent="0.25">
      <c r="A116">
        <v>63</v>
      </c>
      <c r="B116">
        <v>100000</v>
      </c>
      <c r="C116" s="18" t="str">
        <f t="shared" si="4"/>
        <v>63_100000</v>
      </c>
      <c r="D116">
        <v>2.4100819945657129E-4</v>
      </c>
      <c r="E116">
        <v>57</v>
      </c>
      <c r="F116">
        <v>500000</v>
      </c>
      <c r="G116" t="str">
        <f t="shared" si="5"/>
        <v>57_500000</v>
      </c>
      <c r="H116">
        <v>2.486490875917847E-3</v>
      </c>
      <c r="I116" s="19">
        <v>58</v>
      </c>
      <c r="J116">
        <v>1000000</v>
      </c>
      <c r="K116" t="str">
        <f t="shared" si="6"/>
        <v>58_1000000</v>
      </c>
      <c r="L116">
        <v>3.0240784729240538E-4</v>
      </c>
      <c r="M116">
        <v>57</v>
      </c>
      <c r="N116">
        <v>500000</v>
      </c>
      <c r="O116" t="str">
        <f t="shared" si="7"/>
        <v>57_500000</v>
      </c>
      <c r="P116" s="20">
        <v>3.3852603152930692E-3</v>
      </c>
    </row>
    <row r="117" spans="1:16" x14ac:dyDescent="0.25">
      <c r="A117">
        <v>64</v>
      </c>
      <c r="B117">
        <v>2000000</v>
      </c>
      <c r="C117" s="18" t="str">
        <f t="shared" si="4"/>
        <v>64_2000000</v>
      </c>
      <c r="D117">
        <v>1.8505742837187001E-4</v>
      </c>
      <c r="E117">
        <v>57</v>
      </c>
      <c r="F117">
        <v>1000000</v>
      </c>
      <c r="G117" t="str">
        <f t="shared" si="5"/>
        <v>57_1000000</v>
      </c>
      <c r="H117">
        <v>2.6461382906581492E-3</v>
      </c>
      <c r="I117" s="19">
        <v>58</v>
      </c>
      <c r="J117">
        <v>2000000</v>
      </c>
      <c r="K117" t="str">
        <f t="shared" si="6"/>
        <v>58_2000000</v>
      </c>
      <c r="L117">
        <v>2.8315202979447922E-4</v>
      </c>
      <c r="M117">
        <v>57</v>
      </c>
      <c r="N117">
        <v>1000000</v>
      </c>
      <c r="O117" t="str">
        <f t="shared" si="7"/>
        <v>57_1000000</v>
      </c>
      <c r="P117" s="20">
        <v>3.6485479584997759E-3</v>
      </c>
    </row>
    <row r="118" spans="1:16" x14ac:dyDescent="0.25">
      <c r="A118">
        <v>64</v>
      </c>
      <c r="B118">
        <v>250000</v>
      </c>
      <c r="C118" s="18" t="str">
        <f t="shared" si="4"/>
        <v>64_250000</v>
      </c>
      <c r="D118">
        <v>2.0749564876106731E-4</v>
      </c>
      <c r="E118">
        <v>57</v>
      </c>
      <c r="F118">
        <v>2000000</v>
      </c>
      <c r="G118" t="str">
        <f t="shared" si="5"/>
        <v>57_2000000</v>
      </c>
      <c r="H118">
        <v>2.440689277604395E-3</v>
      </c>
      <c r="I118" s="19">
        <v>59</v>
      </c>
      <c r="J118">
        <v>100000</v>
      </c>
      <c r="K118" t="str">
        <f t="shared" si="6"/>
        <v>59_100000</v>
      </c>
      <c r="L118">
        <v>3.1070065459495291E-4</v>
      </c>
      <c r="M118">
        <v>57</v>
      </c>
      <c r="N118">
        <v>2000000</v>
      </c>
      <c r="O118" t="str">
        <f t="shared" si="7"/>
        <v>57_2000000</v>
      </c>
      <c r="P118" s="20">
        <v>3.4516006563516562E-3</v>
      </c>
    </row>
    <row r="119" spans="1:16" x14ac:dyDescent="0.25">
      <c r="A119">
        <v>64</v>
      </c>
      <c r="B119">
        <v>100000</v>
      </c>
      <c r="C119" s="18" t="str">
        <f t="shared" si="4"/>
        <v>64_100000</v>
      </c>
      <c r="D119">
        <v>2.1077975606286341E-4</v>
      </c>
      <c r="E119">
        <v>58</v>
      </c>
      <c r="F119">
        <v>100000</v>
      </c>
      <c r="G119" t="str">
        <f t="shared" si="5"/>
        <v>58_100000</v>
      </c>
      <c r="H119">
        <v>2.2983562748595992E-3</v>
      </c>
      <c r="I119" s="19">
        <v>59</v>
      </c>
      <c r="J119">
        <v>250000</v>
      </c>
      <c r="K119" t="str">
        <f t="shared" si="6"/>
        <v>59_250000</v>
      </c>
      <c r="L119">
        <v>3.8078747241913137E-4</v>
      </c>
      <c r="M119">
        <v>58</v>
      </c>
      <c r="N119">
        <v>100000</v>
      </c>
      <c r="O119" t="str">
        <f t="shared" si="7"/>
        <v>58_100000</v>
      </c>
      <c r="P119" s="20">
        <v>3.477684055665611E-3</v>
      </c>
    </row>
    <row r="120" spans="1:16" x14ac:dyDescent="0.25">
      <c r="A120">
        <v>64</v>
      </c>
      <c r="B120">
        <v>1000000</v>
      </c>
      <c r="C120" s="18" t="str">
        <f t="shared" si="4"/>
        <v>64_1000000</v>
      </c>
      <c r="D120">
        <v>2.214966247125508E-4</v>
      </c>
      <c r="E120">
        <v>58</v>
      </c>
      <c r="F120">
        <v>250000</v>
      </c>
      <c r="G120" t="str">
        <f t="shared" si="5"/>
        <v>58_250000</v>
      </c>
      <c r="H120">
        <v>2.6488813498024041E-3</v>
      </c>
      <c r="I120" s="19">
        <v>59</v>
      </c>
      <c r="J120">
        <v>500000</v>
      </c>
      <c r="K120" t="str">
        <f t="shared" si="6"/>
        <v>59_500000</v>
      </c>
      <c r="L120">
        <v>3.043011431449683E-4</v>
      </c>
      <c r="M120">
        <v>58</v>
      </c>
      <c r="N120">
        <v>250000</v>
      </c>
      <c r="O120" t="str">
        <f t="shared" si="7"/>
        <v>58_250000</v>
      </c>
      <c r="P120" s="20">
        <v>3.4577532143308899E-3</v>
      </c>
    </row>
    <row r="121" spans="1:16" x14ac:dyDescent="0.25">
      <c r="A121">
        <v>64</v>
      </c>
      <c r="B121">
        <v>500000</v>
      </c>
      <c r="C121" s="18" t="str">
        <f t="shared" si="4"/>
        <v>64_500000</v>
      </c>
      <c r="D121">
        <v>2.8530065410408811E-4</v>
      </c>
      <c r="E121">
        <v>58</v>
      </c>
      <c r="F121">
        <v>500000</v>
      </c>
      <c r="G121" t="str">
        <f t="shared" si="5"/>
        <v>58_500000</v>
      </c>
      <c r="H121">
        <v>2.545709438329101E-3</v>
      </c>
      <c r="I121" s="19">
        <v>59</v>
      </c>
      <c r="J121">
        <v>1000000</v>
      </c>
      <c r="K121" t="str">
        <f t="shared" si="6"/>
        <v>59_1000000</v>
      </c>
      <c r="L121">
        <v>3.7315755307767512E-4</v>
      </c>
      <c r="M121">
        <v>58</v>
      </c>
      <c r="N121">
        <v>500000</v>
      </c>
      <c r="O121" t="str">
        <f t="shared" si="7"/>
        <v>58_500000</v>
      </c>
      <c r="P121" s="20">
        <v>3.63411657606008E-3</v>
      </c>
    </row>
    <row r="122" spans="1:16" x14ac:dyDescent="0.25">
      <c r="A122">
        <v>65</v>
      </c>
      <c r="B122">
        <v>2000000</v>
      </c>
      <c r="C122" s="18" t="str">
        <f t="shared" si="4"/>
        <v>65_2000000</v>
      </c>
      <c r="D122">
        <v>1.8672744993572339E-4</v>
      </c>
      <c r="E122">
        <v>58</v>
      </c>
      <c r="F122">
        <v>1000000</v>
      </c>
      <c r="G122" t="str">
        <f t="shared" si="5"/>
        <v>58_1000000</v>
      </c>
      <c r="H122">
        <v>2.450337668910973E-3</v>
      </c>
      <c r="I122" s="19">
        <v>59</v>
      </c>
      <c r="J122">
        <v>2000000</v>
      </c>
      <c r="K122" t="str">
        <f t="shared" si="6"/>
        <v>59_2000000</v>
      </c>
      <c r="L122">
        <v>2.461350303942059E-4</v>
      </c>
      <c r="M122">
        <v>58</v>
      </c>
      <c r="N122">
        <v>1000000</v>
      </c>
      <c r="O122" t="str">
        <f t="shared" si="7"/>
        <v>58_1000000</v>
      </c>
      <c r="P122" s="20">
        <v>3.6563473537572899E-3</v>
      </c>
    </row>
    <row r="123" spans="1:16" x14ac:dyDescent="0.25">
      <c r="A123">
        <v>65</v>
      </c>
      <c r="B123">
        <v>1000000</v>
      </c>
      <c r="C123" s="18" t="str">
        <f t="shared" si="4"/>
        <v>65_1000000</v>
      </c>
      <c r="D123">
        <v>1.8760661296722791E-4</v>
      </c>
      <c r="E123">
        <v>58</v>
      </c>
      <c r="F123">
        <v>2000000</v>
      </c>
      <c r="G123" t="str">
        <f t="shared" si="5"/>
        <v>58_2000000</v>
      </c>
      <c r="H123">
        <v>2.5301823118351859E-3</v>
      </c>
      <c r="I123" s="19">
        <v>60</v>
      </c>
      <c r="J123">
        <v>100000</v>
      </c>
      <c r="K123" t="str">
        <f t="shared" si="6"/>
        <v>60_100000</v>
      </c>
      <c r="L123">
        <v>3.3892024859604272E-4</v>
      </c>
      <c r="M123">
        <v>58</v>
      </c>
      <c r="N123">
        <v>2000000</v>
      </c>
      <c r="O123" t="str">
        <f t="shared" si="7"/>
        <v>58_2000000</v>
      </c>
      <c r="P123" s="20">
        <v>3.542501430337781E-3</v>
      </c>
    </row>
    <row r="124" spans="1:16" x14ac:dyDescent="0.25">
      <c r="A124">
        <v>65</v>
      </c>
      <c r="B124">
        <v>250000</v>
      </c>
      <c r="C124" s="18" t="str">
        <f t="shared" si="4"/>
        <v>65_250000</v>
      </c>
      <c r="D124">
        <v>2.104712755247164E-4</v>
      </c>
      <c r="E124">
        <v>59</v>
      </c>
      <c r="F124">
        <v>100000</v>
      </c>
      <c r="G124" t="str">
        <f t="shared" si="5"/>
        <v>59_100000</v>
      </c>
      <c r="H124">
        <v>2.22769236016027E-3</v>
      </c>
      <c r="I124" s="19">
        <v>60</v>
      </c>
      <c r="J124">
        <v>250000</v>
      </c>
      <c r="K124" t="str">
        <f t="shared" si="6"/>
        <v>60_250000</v>
      </c>
      <c r="L124">
        <v>3.4847350014704289E-4</v>
      </c>
      <c r="M124">
        <v>59</v>
      </c>
      <c r="N124">
        <v>100000</v>
      </c>
      <c r="O124" t="str">
        <f t="shared" si="7"/>
        <v>59_100000</v>
      </c>
      <c r="P124" s="20">
        <v>3.579015484027781E-3</v>
      </c>
    </row>
    <row r="125" spans="1:16" x14ac:dyDescent="0.25">
      <c r="A125">
        <v>65</v>
      </c>
      <c r="B125">
        <v>500000</v>
      </c>
      <c r="C125" s="18" t="str">
        <f t="shared" si="4"/>
        <v>65_500000</v>
      </c>
      <c r="D125">
        <v>2.1553787572285721E-4</v>
      </c>
      <c r="E125">
        <v>59</v>
      </c>
      <c r="F125">
        <v>250000</v>
      </c>
      <c r="G125" t="str">
        <f t="shared" si="5"/>
        <v>59_250000</v>
      </c>
      <c r="H125">
        <v>2.546317234630383E-3</v>
      </c>
      <c r="I125" s="19">
        <v>60</v>
      </c>
      <c r="J125">
        <v>500000</v>
      </c>
      <c r="K125" t="str">
        <f t="shared" si="6"/>
        <v>60_500000</v>
      </c>
      <c r="L125">
        <v>3.1256969054345961E-4</v>
      </c>
      <c r="M125">
        <v>59</v>
      </c>
      <c r="N125">
        <v>250000</v>
      </c>
      <c r="O125" t="str">
        <f t="shared" si="7"/>
        <v>59_250000</v>
      </c>
      <c r="P125" s="20">
        <v>3.5081176646878441E-3</v>
      </c>
    </row>
    <row r="126" spans="1:16" x14ac:dyDescent="0.25">
      <c r="A126">
        <v>65</v>
      </c>
      <c r="B126">
        <v>100000</v>
      </c>
      <c r="C126" s="18" t="str">
        <f t="shared" si="4"/>
        <v>65_100000</v>
      </c>
      <c r="D126">
        <v>2.5100992538888039E-4</v>
      </c>
      <c r="E126">
        <v>59</v>
      </c>
      <c r="F126">
        <v>500000</v>
      </c>
      <c r="G126" t="str">
        <f t="shared" si="5"/>
        <v>59_500000</v>
      </c>
      <c r="H126">
        <v>2.5462514704080539E-3</v>
      </c>
      <c r="I126" s="19">
        <v>60</v>
      </c>
      <c r="J126">
        <v>1000000</v>
      </c>
      <c r="K126" t="str">
        <f t="shared" si="6"/>
        <v>60_1000000</v>
      </c>
      <c r="L126">
        <v>4.0068516580967363E-4</v>
      </c>
      <c r="M126">
        <v>59</v>
      </c>
      <c r="N126">
        <v>500000</v>
      </c>
      <c r="O126" t="str">
        <f t="shared" si="7"/>
        <v>59_500000</v>
      </c>
      <c r="P126" s="20">
        <v>3.6286585776486762E-3</v>
      </c>
    </row>
    <row r="127" spans="1:16" x14ac:dyDescent="0.25">
      <c r="A127" s="21"/>
      <c r="B127" s="21"/>
      <c r="C127" s="18" t="str">
        <f t="shared" si="4"/>
        <v>_</v>
      </c>
      <c r="D127" s="21"/>
      <c r="E127">
        <v>59</v>
      </c>
      <c r="F127">
        <v>1000000</v>
      </c>
      <c r="G127" t="str">
        <f t="shared" si="5"/>
        <v>59_1000000</v>
      </c>
      <c r="H127">
        <v>2.5250305464157249E-3</v>
      </c>
      <c r="I127" s="19">
        <v>60</v>
      </c>
      <c r="J127">
        <v>2000000</v>
      </c>
      <c r="K127" t="str">
        <f t="shared" si="6"/>
        <v>60_2000000</v>
      </c>
      <c r="L127">
        <v>2.8806819939655259E-4</v>
      </c>
      <c r="M127">
        <v>59</v>
      </c>
      <c r="N127">
        <v>1000000</v>
      </c>
      <c r="O127" t="str">
        <f t="shared" si="7"/>
        <v>59_1000000</v>
      </c>
      <c r="P127" s="20">
        <v>3.5043097167282758E-3</v>
      </c>
    </row>
    <row r="128" spans="1:16" x14ac:dyDescent="0.25">
      <c r="A128" s="21"/>
      <c r="B128" s="21"/>
      <c r="C128" s="18" t="str">
        <f t="shared" si="4"/>
        <v>_</v>
      </c>
      <c r="D128" s="21"/>
      <c r="E128">
        <v>59</v>
      </c>
      <c r="F128">
        <v>2000000</v>
      </c>
      <c r="G128" t="str">
        <f t="shared" si="5"/>
        <v>59_2000000</v>
      </c>
      <c r="H128">
        <v>2.440321792029142E-3</v>
      </c>
      <c r="I128" s="19">
        <v>61</v>
      </c>
      <c r="J128">
        <v>100000</v>
      </c>
      <c r="K128" t="str">
        <f t="shared" si="6"/>
        <v>61_100000</v>
      </c>
      <c r="L128">
        <v>3.6122976015549348E-4</v>
      </c>
      <c r="M128">
        <v>59</v>
      </c>
      <c r="N128">
        <v>2000000</v>
      </c>
      <c r="O128" t="str">
        <f t="shared" si="7"/>
        <v>59_2000000</v>
      </c>
      <c r="P128" s="20">
        <v>3.6132763771840729E-3</v>
      </c>
    </row>
    <row r="129" spans="1:16" x14ac:dyDescent="0.25">
      <c r="A129" s="21"/>
      <c r="B129" s="21"/>
      <c r="C129" s="18" t="str">
        <f t="shared" si="4"/>
        <v>_</v>
      </c>
      <c r="D129" s="21"/>
      <c r="E129">
        <v>60</v>
      </c>
      <c r="F129">
        <v>100000</v>
      </c>
      <c r="G129" t="str">
        <f t="shared" si="5"/>
        <v>60_100000</v>
      </c>
      <c r="H129">
        <v>2.424203870731687E-3</v>
      </c>
      <c r="I129" s="19">
        <v>61</v>
      </c>
      <c r="J129">
        <v>250000</v>
      </c>
      <c r="K129" t="str">
        <f t="shared" si="6"/>
        <v>61_250000</v>
      </c>
      <c r="L129">
        <v>4.5127831031437061E-4</v>
      </c>
      <c r="M129">
        <v>60</v>
      </c>
      <c r="N129">
        <v>100000</v>
      </c>
      <c r="O129" t="str">
        <f t="shared" si="7"/>
        <v>60_100000</v>
      </c>
      <c r="P129" s="20">
        <v>3.312019293446745E-3</v>
      </c>
    </row>
    <row r="130" spans="1:16" x14ac:dyDescent="0.25">
      <c r="A130" s="21"/>
      <c r="B130" s="21"/>
      <c r="C130" s="18" t="str">
        <f t="shared" si="4"/>
        <v>_</v>
      </c>
      <c r="D130" s="21"/>
      <c r="E130">
        <v>60</v>
      </c>
      <c r="F130">
        <v>250000</v>
      </c>
      <c r="G130" t="str">
        <f t="shared" si="5"/>
        <v>60_250000</v>
      </c>
      <c r="H130">
        <v>2.3400322461382158E-3</v>
      </c>
      <c r="I130" s="19">
        <v>61</v>
      </c>
      <c r="J130">
        <v>500000</v>
      </c>
      <c r="K130" t="str">
        <f t="shared" si="6"/>
        <v>61_500000</v>
      </c>
      <c r="L130">
        <v>3.47493233900978E-4</v>
      </c>
      <c r="M130">
        <v>60</v>
      </c>
      <c r="N130">
        <v>250000</v>
      </c>
      <c r="O130" t="str">
        <f t="shared" si="7"/>
        <v>60_250000</v>
      </c>
      <c r="P130" s="20">
        <v>3.5835292152099681E-3</v>
      </c>
    </row>
    <row r="131" spans="1:16" x14ac:dyDescent="0.25">
      <c r="A131" s="21"/>
      <c r="B131" s="21"/>
      <c r="C131" s="18" t="str">
        <f t="shared" si="4"/>
        <v>_</v>
      </c>
      <c r="D131" s="21"/>
      <c r="E131">
        <v>60</v>
      </c>
      <c r="F131">
        <v>500000</v>
      </c>
      <c r="G131" t="str">
        <f t="shared" si="5"/>
        <v>60_500000</v>
      </c>
      <c r="H131">
        <v>2.4160013880546961E-3</v>
      </c>
      <c r="I131" s="19">
        <v>61</v>
      </c>
      <c r="J131">
        <v>1000000</v>
      </c>
      <c r="K131" t="str">
        <f t="shared" si="6"/>
        <v>61_1000000</v>
      </c>
      <c r="L131">
        <v>3.3185733440149002E-4</v>
      </c>
      <c r="M131">
        <v>60</v>
      </c>
      <c r="N131">
        <v>500000</v>
      </c>
      <c r="O131" t="str">
        <f t="shared" si="7"/>
        <v>60_500000</v>
      </c>
      <c r="P131" s="20">
        <v>3.610170985428548E-3</v>
      </c>
    </row>
    <row r="132" spans="1:16" x14ac:dyDescent="0.25">
      <c r="A132" s="21"/>
      <c r="B132" s="21"/>
      <c r="C132" s="18" t="str">
        <f t="shared" si="4"/>
        <v>_</v>
      </c>
      <c r="D132" s="21"/>
      <c r="E132">
        <v>60</v>
      </c>
      <c r="F132">
        <v>1000000</v>
      </c>
      <c r="G132" t="str">
        <f t="shared" si="5"/>
        <v>60_1000000</v>
      </c>
      <c r="H132">
        <v>2.3941082683808751E-3</v>
      </c>
      <c r="I132" s="19">
        <v>61</v>
      </c>
      <c r="J132">
        <v>2000000</v>
      </c>
      <c r="K132" t="str">
        <f t="shared" si="6"/>
        <v>61_2000000</v>
      </c>
      <c r="L132">
        <v>3.4681852310064043E-4</v>
      </c>
      <c r="M132">
        <v>60</v>
      </c>
      <c r="N132">
        <v>1000000</v>
      </c>
      <c r="O132" t="str">
        <f t="shared" si="7"/>
        <v>60_1000000</v>
      </c>
      <c r="P132" s="20">
        <v>3.3900887815585521E-3</v>
      </c>
    </row>
    <row r="133" spans="1:16" x14ac:dyDescent="0.25">
      <c r="A133" s="21"/>
      <c r="B133" s="21"/>
      <c r="C133" s="18" t="str">
        <f t="shared" ref="C133:C158" si="8">A133&amp;"_"&amp;B133</f>
        <v>_</v>
      </c>
      <c r="D133" s="21"/>
      <c r="E133">
        <v>60</v>
      </c>
      <c r="F133">
        <v>2000000</v>
      </c>
      <c r="G133" t="str">
        <f t="shared" ref="G133:G158" si="9">E133&amp;"_"&amp;F133</f>
        <v>60_2000000</v>
      </c>
      <c r="H133">
        <v>2.577341598705108E-3</v>
      </c>
      <c r="I133" s="19">
        <v>62</v>
      </c>
      <c r="J133">
        <v>100000</v>
      </c>
      <c r="K133" t="str">
        <f t="shared" ref="K133:K158" si="10">I133&amp;"_"&amp;J133</f>
        <v>62_100000</v>
      </c>
      <c r="L133">
        <v>4.8985378613008209E-4</v>
      </c>
      <c r="M133">
        <v>60</v>
      </c>
      <c r="N133">
        <v>2000000</v>
      </c>
      <c r="O133" t="str">
        <f t="shared" ref="O133:O158" si="11">M133&amp;"_"&amp;N133</f>
        <v>60_2000000</v>
      </c>
      <c r="P133" s="20">
        <v>3.4172795774348682E-3</v>
      </c>
    </row>
    <row r="134" spans="1:16" x14ac:dyDescent="0.25">
      <c r="A134" s="21"/>
      <c r="B134" s="21"/>
      <c r="C134" s="18" t="str">
        <f t="shared" si="8"/>
        <v>_</v>
      </c>
      <c r="D134" s="21"/>
      <c r="E134">
        <v>61</v>
      </c>
      <c r="F134">
        <v>100000</v>
      </c>
      <c r="G134" t="str">
        <f t="shared" si="9"/>
        <v>61_100000</v>
      </c>
      <c r="H134">
        <v>2.499181699472833E-3</v>
      </c>
      <c r="I134" s="19">
        <v>62</v>
      </c>
      <c r="J134">
        <v>250000</v>
      </c>
      <c r="K134" t="str">
        <f t="shared" si="10"/>
        <v>62_250000</v>
      </c>
      <c r="L134">
        <v>3.9198180850523359E-4</v>
      </c>
      <c r="M134">
        <v>61</v>
      </c>
      <c r="N134">
        <v>100000</v>
      </c>
      <c r="O134" t="str">
        <f t="shared" si="11"/>
        <v>61_100000</v>
      </c>
      <c r="P134" s="20">
        <v>3.5569423634079461E-3</v>
      </c>
    </row>
    <row r="135" spans="1:16" x14ac:dyDescent="0.25">
      <c r="A135" s="21"/>
      <c r="B135" s="21"/>
      <c r="C135" s="18" t="str">
        <f t="shared" si="8"/>
        <v>_</v>
      </c>
      <c r="D135" s="21"/>
      <c r="E135">
        <v>61</v>
      </c>
      <c r="F135">
        <v>250000</v>
      </c>
      <c r="G135" t="str">
        <f t="shared" si="9"/>
        <v>61_250000</v>
      </c>
      <c r="H135">
        <v>2.4452220911055332E-3</v>
      </c>
      <c r="I135" s="19">
        <v>62</v>
      </c>
      <c r="J135">
        <v>500000</v>
      </c>
      <c r="K135" t="str">
        <f t="shared" si="10"/>
        <v>62_500000</v>
      </c>
      <c r="L135">
        <v>3.8647053157178109E-4</v>
      </c>
      <c r="M135">
        <v>61</v>
      </c>
      <c r="N135">
        <v>250000</v>
      </c>
      <c r="O135" t="str">
        <f t="shared" si="11"/>
        <v>61_250000</v>
      </c>
      <c r="P135" s="20">
        <v>3.5450566147439549E-3</v>
      </c>
    </row>
    <row r="136" spans="1:16" x14ac:dyDescent="0.25">
      <c r="A136" s="21"/>
      <c r="B136" s="21"/>
      <c r="C136" s="18" t="str">
        <f t="shared" si="8"/>
        <v>_</v>
      </c>
      <c r="D136" s="21"/>
      <c r="E136">
        <v>61</v>
      </c>
      <c r="F136">
        <v>500000</v>
      </c>
      <c r="G136" t="str">
        <f t="shared" si="9"/>
        <v>61_500000</v>
      </c>
      <c r="H136">
        <v>2.4823111937344201E-3</v>
      </c>
      <c r="I136" s="19">
        <v>62</v>
      </c>
      <c r="J136">
        <v>1000000</v>
      </c>
      <c r="K136" t="str">
        <f t="shared" si="10"/>
        <v>62_1000000</v>
      </c>
      <c r="L136">
        <v>3.9898827741083407E-4</v>
      </c>
      <c r="M136">
        <v>61</v>
      </c>
      <c r="N136">
        <v>500000</v>
      </c>
      <c r="O136" t="str">
        <f t="shared" si="11"/>
        <v>61_500000</v>
      </c>
      <c r="P136" s="20">
        <v>3.2445970492953309E-3</v>
      </c>
    </row>
    <row r="137" spans="1:16" x14ac:dyDescent="0.25">
      <c r="A137" s="21"/>
      <c r="B137" s="21"/>
      <c r="C137" s="18" t="str">
        <f t="shared" si="8"/>
        <v>_</v>
      </c>
      <c r="D137" s="21"/>
      <c r="E137">
        <v>61</v>
      </c>
      <c r="F137">
        <v>1000000</v>
      </c>
      <c r="G137" t="str">
        <f t="shared" si="9"/>
        <v>61_1000000</v>
      </c>
      <c r="H137">
        <v>2.3855710037688702E-3</v>
      </c>
      <c r="I137" s="19">
        <v>62</v>
      </c>
      <c r="J137">
        <v>2000000</v>
      </c>
      <c r="K137" t="str">
        <f t="shared" si="10"/>
        <v>62_2000000</v>
      </c>
      <c r="L137">
        <v>4.0849539437316247E-4</v>
      </c>
      <c r="M137">
        <v>61</v>
      </c>
      <c r="N137">
        <v>1000000</v>
      </c>
      <c r="O137" t="str">
        <f t="shared" si="11"/>
        <v>61_1000000</v>
      </c>
      <c r="P137" s="20">
        <v>3.3663229492434531E-3</v>
      </c>
    </row>
    <row r="138" spans="1:16" x14ac:dyDescent="0.25">
      <c r="A138" s="21"/>
      <c r="B138" s="21"/>
      <c r="C138" s="18" t="str">
        <f t="shared" si="8"/>
        <v>_</v>
      </c>
      <c r="D138" s="21"/>
      <c r="E138">
        <v>61</v>
      </c>
      <c r="F138">
        <v>2000000</v>
      </c>
      <c r="G138" t="str">
        <f t="shared" si="9"/>
        <v>61_2000000</v>
      </c>
      <c r="H138">
        <v>2.339401570492507E-3</v>
      </c>
      <c r="I138" s="19">
        <v>63</v>
      </c>
      <c r="J138">
        <v>100000</v>
      </c>
      <c r="K138" t="str">
        <f t="shared" si="10"/>
        <v>63_100000</v>
      </c>
      <c r="L138">
        <v>4.9342554176667311E-4</v>
      </c>
      <c r="M138">
        <v>61</v>
      </c>
      <c r="N138">
        <v>2000000</v>
      </c>
      <c r="O138" t="str">
        <f t="shared" si="11"/>
        <v>61_2000000</v>
      </c>
      <c r="P138" s="20">
        <v>3.570646355712651E-3</v>
      </c>
    </row>
    <row r="139" spans="1:16" x14ac:dyDescent="0.25">
      <c r="A139" s="21"/>
      <c r="B139" s="21"/>
      <c r="C139" s="18" t="str">
        <f t="shared" si="8"/>
        <v>_</v>
      </c>
      <c r="D139" s="21"/>
      <c r="E139">
        <v>62</v>
      </c>
      <c r="F139">
        <v>100000</v>
      </c>
      <c r="G139" t="str">
        <f t="shared" si="9"/>
        <v>62_100000</v>
      </c>
      <c r="H139">
        <v>2.249810485925631E-3</v>
      </c>
      <c r="I139" s="19">
        <v>63</v>
      </c>
      <c r="J139">
        <v>250000</v>
      </c>
      <c r="K139" t="str">
        <f t="shared" si="10"/>
        <v>63_250000</v>
      </c>
      <c r="L139">
        <v>4.2929589484829459E-4</v>
      </c>
      <c r="M139">
        <v>62</v>
      </c>
      <c r="N139">
        <v>100000</v>
      </c>
      <c r="O139" t="str">
        <f t="shared" si="11"/>
        <v>62_100000</v>
      </c>
      <c r="P139" s="20">
        <v>3.2278249664701021E-3</v>
      </c>
    </row>
    <row r="140" spans="1:16" x14ac:dyDescent="0.25">
      <c r="A140" s="21"/>
      <c r="B140" s="21"/>
      <c r="C140" s="18" t="str">
        <f t="shared" si="8"/>
        <v>_</v>
      </c>
      <c r="D140" s="21"/>
      <c r="E140">
        <v>62</v>
      </c>
      <c r="F140">
        <v>250000</v>
      </c>
      <c r="G140" t="str">
        <f t="shared" si="9"/>
        <v>62_250000</v>
      </c>
      <c r="H140">
        <v>2.5726041205275741E-3</v>
      </c>
      <c r="I140" s="19">
        <v>63</v>
      </c>
      <c r="J140">
        <v>500000</v>
      </c>
      <c r="K140" t="str">
        <f t="shared" si="10"/>
        <v>63_500000</v>
      </c>
      <c r="L140">
        <v>4.2691290562692739E-4</v>
      </c>
      <c r="M140">
        <v>62</v>
      </c>
      <c r="N140">
        <v>250000</v>
      </c>
      <c r="O140" t="str">
        <f t="shared" si="11"/>
        <v>62_250000</v>
      </c>
      <c r="P140" s="20">
        <v>3.537537677704265E-3</v>
      </c>
    </row>
    <row r="141" spans="1:16" x14ac:dyDescent="0.25">
      <c r="A141" s="21"/>
      <c r="B141" s="21"/>
      <c r="C141" s="18" t="str">
        <f t="shared" si="8"/>
        <v>_</v>
      </c>
      <c r="D141" s="21"/>
      <c r="E141">
        <v>62</v>
      </c>
      <c r="F141">
        <v>500000</v>
      </c>
      <c r="G141" t="str">
        <f t="shared" si="9"/>
        <v>62_500000</v>
      </c>
      <c r="H141">
        <v>2.3440290654051081E-3</v>
      </c>
      <c r="I141" s="19">
        <v>63</v>
      </c>
      <c r="J141">
        <v>1000000</v>
      </c>
      <c r="K141" t="str">
        <f t="shared" si="10"/>
        <v>63_1000000</v>
      </c>
      <c r="L141">
        <v>4.7683511324550948E-4</v>
      </c>
      <c r="M141">
        <v>62</v>
      </c>
      <c r="N141">
        <v>500000</v>
      </c>
      <c r="O141" t="str">
        <f t="shared" si="11"/>
        <v>62_500000</v>
      </c>
      <c r="P141" s="20">
        <v>3.3212115118506878E-3</v>
      </c>
    </row>
    <row r="142" spans="1:16" x14ac:dyDescent="0.25">
      <c r="A142" s="21"/>
      <c r="B142" s="21"/>
      <c r="C142" s="18" t="str">
        <f t="shared" si="8"/>
        <v>_</v>
      </c>
      <c r="D142" s="21"/>
      <c r="E142">
        <v>62</v>
      </c>
      <c r="F142">
        <v>1000000</v>
      </c>
      <c r="G142" t="str">
        <f t="shared" si="9"/>
        <v>62_1000000</v>
      </c>
      <c r="H142">
        <v>2.3680766253665049E-3</v>
      </c>
      <c r="I142" s="19">
        <v>63</v>
      </c>
      <c r="J142">
        <v>2000000</v>
      </c>
      <c r="K142" t="str">
        <f t="shared" si="10"/>
        <v>63_2000000</v>
      </c>
      <c r="L142">
        <v>4.5127862286153692E-4</v>
      </c>
      <c r="M142">
        <v>62</v>
      </c>
      <c r="N142">
        <v>1000000</v>
      </c>
      <c r="O142" t="str">
        <f t="shared" si="11"/>
        <v>62_1000000</v>
      </c>
      <c r="P142" s="20">
        <v>3.5182191470294701E-3</v>
      </c>
    </row>
    <row r="143" spans="1:16" x14ac:dyDescent="0.25">
      <c r="A143" s="21"/>
      <c r="B143" s="21"/>
      <c r="C143" s="18" t="str">
        <f t="shared" si="8"/>
        <v>_</v>
      </c>
      <c r="D143" s="21"/>
      <c r="E143">
        <v>62</v>
      </c>
      <c r="F143">
        <v>2000000</v>
      </c>
      <c r="G143" t="str">
        <f t="shared" si="9"/>
        <v>62_2000000</v>
      </c>
      <c r="H143">
        <v>2.2709854966500059E-3</v>
      </c>
      <c r="I143" s="19">
        <v>64</v>
      </c>
      <c r="J143">
        <v>100000</v>
      </c>
      <c r="K143" t="str">
        <f t="shared" si="10"/>
        <v>64_100000</v>
      </c>
      <c r="L143">
        <v>5.3283084778555983E-4</v>
      </c>
      <c r="M143">
        <v>62</v>
      </c>
      <c r="N143">
        <v>2000000</v>
      </c>
      <c r="O143" t="str">
        <f t="shared" si="11"/>
        <v>62_2000000</v>
      </c>
      <c r="P143" s="20">
        <v>3.4596600083600581E-3</v>
      </c>
    </row>
    <row r="144" spans="1:16" x14ac:dyDescent="0.25">
      <c r="A144" s="21"/>
      <c r="B144" s="21"/>
      <c r="C144" s="18" t="str">
        <f t="shared" si="8"/>
        <v>_</v>
      </c>
      <c r="D144" s="21"/>
      <c r="E144">
        <v>63</v>
      </c>
      <c r="F144">
        <v>100000</v>
      </c>
      <c r="G144" t="str">
        <f t="shared" si="9"/>
        <v>63_100000</v>
      </c>
      <c r="H144">
        <v>2.4249624852793359E-3</v>
      </c>
      <c r="I144" s="19">
        <v>64</v>
      </c>
      <c r="J144">
        <v>250000</v>
      </c>
      <c r="K144" t="str">
        <f t="shared" si="10"/>
        <v>64_250000</v>
      </c>
      <c r="L144">
        <v>5.8117395272096759E-4</v>
      </c>
      <c r="M144">
        <v>63</v>
      </c>
      <c r="N144">
        <v>100000</v>
      </c>
      <c r="O144" t="str">
        <f t="shared" si="11"/>
        <v>63_100000</v>
      </c>
      <c r="P144" s="20">
        <v>3.3808073163810151E-3</v>
      </c>
    </row>
    <row r="145" spans="1:16" x14ac:dyDescent="0.25">
      <c r="A145" s="21"/>
      <c r="B145" s="21"/>
      <c r="C145" s="18" t="str">
        <f t="shared" si="8"/>
        <v>_</v>
      </c>
      <c r="D145" s="21"/>
      <c r="E145">
        <v>63</v>
      </c>
      <c r="F145">
        <v>250000</v>
      </c>
      <c r="G145" t="str">
        <f t="shared" si="9"/>
        <v>63_250000</v>
      </c>
      <c r="H145">
        <v>2.359839471704758E-3</v>
      </c>
      <c r="I145" s="19">
        <v>64</v>
      </c>
      <c r="J145">
        <v>500000</v>
      </c>
      <c r="K145" t="str">
        <f t="shared" si="10"/>
        <v>64_500000</v>
      </c>
      <c r="L145">
        <v>4.6590680195099642E-4</v>
      </c>
      <c r="M145">
        <v>63</v>
      </c>
      <c r="N145">
        <v>250000</v>
      </c>
      <c r="O145" t="str">
        <f t="shared" si="11"/>
        <v>63_250000</v>
      </c>
      <c r="P145" s="20">
        <v>3.455942549513819E-3</v>
      </c>
    </row>
    <row r="146" spans="1:16" x14ac:dyDescent="0.25">
      <c r="A146" s="21"/>
      <c r="B146" s="21"/>
      <c r="C146" s="18" t="str">
        <f t="shared" si="8"/>
        <v>_</v>
      </c>
      <c r="D146" s="21"/>
      <c r="E146">
        <v>63</v>
      </c>
      <c r="F146">
        <v>500000</v>
      </c>
      <c r="G146" t="str">
        <f t="shared" si="9"/>
        <v>63_500000</v>
      </c>
      <c r="H146">
        <v>2.4263403714120538E-3</v>
      </c>
      <c r="I146" s="19">
        <v>64</v>
      </c>
      <c r="J146">
        <v>1000000</v>
      </c>
      <c r="K146" t="str">
        <f t="shared" si="10"/>
        <v>64_1000000</v>
      </c>
      <c r="L146">
        <v>5.2962785974555423E-4</v>
      </c>
      <c r="M146">
        <v>63</v>
      </c>
      <c r="N146">
        <v>500000</v>
      </c>
      <c r="O146" t="str">
        <f t="shared" si="11"/>
        <v>63_500000</v>
      </c>
      <c r="P146" s="20">
        <v>3.3791488057517889E-3</v>
      </c>
    </row>
    <row r="147" spans="1:16" x14ac:dyDescent="0.25">
      <c r="A147" s="21"/>
      <c r="B147" s="21"/>
      <c r="C147" s="18" t="str">
        <f t="shared" si="8"/>
        <v>_</v>
      </c>
      <c r="D147" s="21"/>
      <c r="E147">
        <v>63</v>
      </c>
      <c r="F147">
        <v>1000000</v>
      </c>
      <c r="G147" t="str">
        <f t="shared" si="9"/>
        <v>63_1000000</v>
      </c>
      <c r="H147">
        <v>2.4537598636354581E-3</v>
      </c>
      <c r="I147" s="19">
        <v>64</v>
      </c>
      <c r="J147">
        <v>2000000</v>
      </c>
      <c r="K147" t="str">
        <f t="shared" si="10"/>
        <v>64_2000000</v>
      </c>
      <c r="L147">
        <v>4.3323938943309941E-4</v>
      </c>
      <c r="M147">
        <v>63</v>
      </c>
      <c r="N147">
        <v>1000000</v>
      </c>
      <c r="O147" t="str">
        <f t="shared" si="11"/>
        <v>63_1000000</v>
      </c>
      <c r="P147" s="20">
        <v>3.4317035494280169E-3</v>
      </c>
    </row>
    <row r="148" spans="1:16" x14ac:dyDescent="0.25">
      <c r="A148" s="21"/>
      <c r="B148" s="21"/>
      <c r="C148" s="18" t="str">
        <f t="shared" si="8"/>
        <v>_</v>
      </c>
      <c r="D148" s="21"/>
      <c r="E148">
        <v>63</v>
      </c>
      <c r="F148">
        <v>2000000</v>
      </c>
      <c r="G148" t="str">
        <f t="shared" si="9"/>
        <v>63_2000000</v>
      </c>
      <c r="H148">
        <v>2.4799234222159039E-3</v>
      </c>
      <c r="I148" s="19">
        <v>65</v>
      </c>
      <c r="J148">
        <v>100000</v>
      </c>
      <c r="K148" t="str">
        <f t="shared" si="10"/>
        <v>65_100000</v>
      </c>
      <c r="L148">
        <v>4.7192073880500678E-4</v>
      </c>
      <c r="M148">
        <v>63</v>
      </c>
      <c r="N148">
        <v>2000000</v>
      </c>
      <c r="O148" t="str">
        <f t="shared" si="11"/>
        <v>63_2000000</v>
      </c>
      <c r="P148" s="20">
        <v>3.3795543741429309E-3</v>
      </c>
    </row>
    <row r="149" spans="1:16" x14ac:dyDescent="0.25">
      <c r="A149" s="21"/>
      <c r="B149" s="21"/>
      <c r="C149" s="18" t="str">
        <f t="shared" si="8"/>
        <v>_</v>
      </c>
      <c r="D149" s="21"/>
      <c r="E149">
        <v>64</v>
      </c>
      <c r="F149">
        <v>100000</v>
      </c>
      <c r="G149" t="str">
        <f t="shared" si="9"/>
        <v>64_100000</v>
      </c>
      <c r="H149">
        <v>2.3390789119967048E-3</v>
      </c>
      <c r="I149" s="19">
        <v>65</v>
      </c>
      <c r="J149">
        <v>250000</v>
      </c>
      <c r="K149" t="str">
        <f t="shared" si="10"/>
        <v>65_250000</v>
      </c>
      <c r="L149">
        <v>4.6369665529855949E-4</v>
      </c>
      <c r="M149">
        <v>64</v>
      </c>
      <c r="N149">
        <v>100000</v>
      </c>
      <c r="O149" t="str">
        <f t="shared" si="11"/>
        <v>64_100000</v>
      </c>
      <c r="P149" s="20">
        <v>3.216468593911326E-3</v>
      </c>
    </row>
    <row r="150" spans="1:16" x14ac:dyDescent="0.25">
      <c r="A150" s="21"/>
      <c r="B150" s="21"/>
      <c r="C150" s="18" t="str">
        <f t="shared" si="8"/>
        <v>_</v>
      </c>
      <c r="D150" s="21"/>
      <c r="E150">
        <v>64</v>
      </c>
      <c r="F150">
        <v>250000</v>
      </c>
      <c r="G150" t="str">
        <f t="shared" si="9"/>
        <v>64_250000</v>
      </c>
      <c r="H150">
        <v>2.4984602700816949E-3</v>
      </c>
      <c r="I150" s="19">
        <v>65</v>
      </c>
      <c r="J150">
        <v>500000</v>
      </c>
      <c r="K150" t="str">
        <f t="shared" si="10"/>
        <v>65_500000</v>
      </c>
      <c r="L150">
        <v>5.3761209809652193E-4</v>
      </c>
      <c r="M150">
        <v>64</v>
      </c>
      <c r="N150">
        <v>250000</v>
      </c>
      <c r="O150" t="str">
        <f t="shared" si="11"/>
        <v>64_250000</v>
      </c>
      <c r="P150" s="20">
        <v>3.3675104584443699E-3</v>
      </c>
    </row>
    <row r="151" spans="1:16" x14ac:dyDescent="0.25">
      <c r="A151" s="21"/>
      <c r="B151" s="21"/>
      <c r="C151" s="18" t="str">
        <f t="shared" si="8"/>
        <v>_</v>
      </c>
      <c r="D151" s="21"/>
      <c r="E151">
        <v>64</v>
      </c>
      <c r="F151">
        <v>500000</v>
      </c>
      <c r="G151" t="str">
        <f t="shared" si="9"/>
        <v>64_500000</v>
      </c>
      <c r="H151">
        <v>2.460370832739998E-3</v>
      </c>
      <c r="I151" s="19">
        <v>65</v>
      </c>
      <c r="J151">
        <v>1000000</v>
      </c>
      <c r="K151" t="str">
        <f t="shared" si="10"/>
        <v>65_1000000</v>
      </c>
      <c r="L151">
        <v>5.0507829341691788E-4</v>
      </c>
      <c r="M151">
        <v>64</v>
      </c>
      <c r="N151">
        <v>500000</v>
      </c>
      <c r="O151" t="str">
        <f t="shared" si="11"/>
        <v>64_500000</v>
      </c>
      <c r="P151" s="20">
        <v>3.234306285275598E-3</v>
      </c>
    </row>
    <row r="152" spans="1:16" x14ac:dyDescent="0.25">
      <c r="A152" s="21"/>
      <c r="B152" s="21"/>
      <c r="C152" s="18" t="str">
        <f t="shared" si="8"/>
        <v>_</v>
      </c>
      <c r="D152" s="21"/>
      <c r="E152">
        <v>64</v>
      </c>
      <c r="F152">
        <v>1000000</v>
      </c>
      <c r="G152" t="str">
        <f t="shared" si="9"/>
        <v>64_1000000</v>
      </c>
      <c r="H152">
        <v>2.50956137384128E-3</v>
      </c>
      <c r="I152" s="19">
        <v>65</v>
      </c>
      <c r="J152">
        <v>2000000</v>
      </c>
      <c r="K152" t="str">
        <f t="shared" si="10"/>
        <v>65_2000000</v>
      </c>
      <c r="L152">
        <v>3.8413879460167018E-4</v>
      </c>
      <c r="M152">
        <v>64</v>
      </c>
      <c r="N152">
        <v>1000000</v>
      </c>
      <c r="O152" t="str">
        <f t="shared" si="11"/>
        <v>64_1000000</v>
      </c>
      <c r="P152" s="20">
        <v>3.4375699313587589E-3</v>
      </c>
    </row>
    <row r="153" spans="1:16" x14ac:dyDescent="0.25">
      <c r="A153" s="21"/>
      <c r="B153" s="21"/>
      <c r="C153" s="18" t="str">
        <f t="shared" si="8"/>
        <v>_</v>
      </c>
      <c r="D153" s="21"/>
      <c r="E153">
        <v>64</v>
      </c>
      <c r="F153">
        <v>2000000</v>
      </c>
      <c r="G153" t="str">
        <f t="shared" si="9"/>
        <v>64_2000000</v>
      </c>
      <c r="H153">
        <v>2.4605305795809742E-3</v>
      </c>
      <c r="I153" s="26"/>
      <c r="J153" s="21"/>
      <c r="K153" t="str">
        <f t="shared" si="10"/>
        <v>_</v>
      </c>
      <c r="L153" s="21"/>
      <c r="M153">
        <v>64</v>
      </c>
      <c r="N153">
        <v>2000000</v>
      </c>
      <c r="O153" t="str">
        <f t="shared" si="11"/>
        <v>64_2000000</v>
      </c>
      <c r="P153" s="20">
        <v>3.420938671600279E-3</v>
      </c>
    </row>
    <row r="154" spans="1:16" x14ac:dyDescent="0.25">
      <c r="A154" s="21"/>
      <c r="B154" s="21"/>
      <c r="C154" s="18" t="str">
        <f t="shared" si="8"/>
        <v>_</v>
      </c>
      <c r="D154" s="21"/>
      <c r="E154">
        <v>65</v>
      </c>
      <c r="F154">
        <v>100000</v>
      </c>
      <c r="G154" t="str">
        <f t="shared" si="9"/>
        <v>65_100000</v>
      </c>
      <c r="H154">
        <v>2.2052572106197048E-3</v>
      </c>
      <c r="I154" s="26"/>
      <c r="J154" s="21"/>
      <c r="K154" t="str">
        <f t="shared" si="10"/>
        <v>_</v>
      </c>
      <c r="L154" s="21"/>
      <c r="M154">
        <v>65</v>
      </c>
      <c r="N154">
        <v>100000</v>
      </c>
      <c r="O154" t="str">
        <f t="shared" si="11"/>
        <v>65_100000</v>
      </c>
      <c r="P154" s="20">
        <v>3.2669363398632359E-3</v>
      </c>
    </row>
    <row r="155" spans="1:16" x14ac:dyDescent="0.25">
      <c r="A155" s="21"/>
      <c r="B155" s="21"/>
      <c r="C155" s="18" t="str">
        <f t="shared" si="8"/>
        <v>_</v>
      </c>
      <c r="D155" s="21"/>
      <c r="E155">
        <v>65</v>
      </c>
      <c r="F155">
        <v>250000</v>
      </c>
      <c r="G155" t="str">
        <f t="shared" si="9"/>
        <v>65_250000</v>
      </c>
      <c r="H155">
        <v>2.234507610549801E-3</v>
      </c>
      <c r="I155" s="26"/>
      <c r="J155" s="21"/>
      <c r="K155" t="str">
        <f t="shared" si="10"/>
        <v>_</v>
      </c>
      <c r="L155" s="21"/>
      <c r="M155">
        <v>65</v>
      </c>
      <c r="N155">
        <v>250000</v>
      </c>
      <c r="O155" t="str">
        <f t="shared" si="11"/>
        <v>65_250000</v>
      </c>
      <c r="P155" s="20">
        <v>3.1924296938408811E-3</v>
      </c>
    </row>
    <row r="156" spans="1:16" x14ac:dyDescent="0.25">
      <c r="A156" s="21"/>
      <c r="B156" s="21"/>
      <c r="C156" s="18" t="str">
        <f t="shared" si="8"/>
        <v>_</v>
      </c>
      <c r="D156" s="21"/>
      <c r="E156">
        <v>65</v>
      </c>
      <c r="F156">
        <v>500000</v>
      </c>
      <c r="G156" t="str">
        <f t="shared" si="9"/>
        <v>65_500000</v>
      </c>
      <c r="H156">
        <v>2.435498679307761E-3</v>
      </c>
      <c r="I156" s="26"/>
      <c r="J156" s="21"/>
      <c r="K156" t="str">
        <f t="shared" si="10"/>
        <v>_</v>
      </c>
      <c r="L156" s="21"/>
      <c r="M156">
        <v>65</v>
      </c>
      <c r="N156">
        <v>500000</v>
      </c>
      <c r="O156" t="str">
        <f t="shared" si="11"/>
        <v>65_500000</v>
      </c>
      <c r="P156" s="20">
        <v>3.1137791108820962E-3</v>
      </c>
    </row>
    <row r="157" spans="1:16" x14ac:dyDescent="0.25">
      <c r="A157" s="21"/>
      <c r="B157" s="21"/>
      <c r="C157" s="18" t="str">
        <f t="shared" si="8"/>
        <v>_</v>
      </c>
      <c r="D157" s="21"/>
      <c r="E157">
        <v>65</v>
      </c>
      <c r="F157">
        <v>1000000</v>
      </c>
      <c r="G157" t="str">
        <f t="shared" si="9"/>
        <v>65_1000000</v>
      </c>
      <c r="H157">
        <v>2.0919583787672429E-3</v>
      </c>
      <c r="I157" s="26"/>
      <c r="J157" s="21"/>
      <c r="K157" t="str">
        <f t="shared" si="10"/>
        <v>_</v>
      </c>
      <c r="L157" s="21"/>
      <c r="M157">
        <v>65</v>
      </c>
      <c r="N157">
        <v>1000000</v>
      </c>
      <c r="O157" t="str">
        <f t="shared" si="11"/>
        <v>65_1000000</v>
      </c>
      <c r="P157" s="20">
        <v>3.2197577532129969E-3</v>
      </c>
    </row>
    <row r="158" spans="1:16" x14ac:dyDescent="0.25">
      <c r="A158" s="22"/>
      <c r="B158" s="22"/>
      <c r="C158" s="18" t="str">
        <f t="shared" si="8"/>
        <v>_</v>
      </c>
      <c r="D158" s="22"/>
      <c r="E158" s="23">
        <v>65</v>
      </c>
      <c r="F158" s="23">
        <v>2000000</v>
      </c>
      <c r="G158" t="str">
        <f t="shared" si="9"/>
        <v>65_2000000</v>
      </c>
      <c r="H158" s="25">
        <v>2.3972470533248549E-3</v>
      </c>
      <c r="I158" s="27"/>
      <c r="J158" s="22"/>
      <c r="K158" t="str">
        <f t="shared" si="10"/>
        <v>_</v>
      </c>
      <c r="L158" s="22"/>
      <c r="M158" s="23">
        <v>65</v>
      </c>
      <c r="N158" s="23">
        <v>2000000</v>
      </c>
      <c r="O158" t="str">
        <f t="shared" si="11"/>
        <v>65_2000000</v>
      </c>
      <c r="P158" s="25">
        <v>3.391879985303518E-3</v>
      </c>
    </row>
  </sheetData>
  <autoFilter ref="A3:P3" xr:uid="{166753C6-972E-4DB1-AA25-B858CB19325E}">
    <sortState xmlns:xlrd2="http://schemas.microsoft.com/office/spreadsheetml/2017/richdata2" ref="A4:P126">
      <sortCondition ref="A3"/>
    </sortState>
  </autoFilter>
  <mergeCells count="6">
    <mergeCell ref="A1:H1"/>
    <mergeCell ref="I1:P1"/>
    <mergeCell ref="A2:D2"/>
    <mergeCell ref="E2:H2"/>
    <mergeCell ref="I2:L2"/>
    <mergeCell ref="M2:P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D2C5817942D84986A865BE4DF46265" ma:contentTypeVersion="16" ma:contentTypeDescription="Create a new document." ma:contentTypeScope="" ma:versionID="0d201e13c4895fc4d3c2b56a00ebda0b">
  <xsd:schema xmlns:xsd="http://www.w3.org/2001/XMLSchema" xmlns:xs="http://www.w3.org/2001/XMLSchema" xmlns:p="http://schemas.microsoft.com/office/2006/metadata/properties" xmlns:ns3="b90c9f9d-8783-46ee-a8cc-06cc8fdd8a8a" xmlns:ns4="c26b9414-c257-448c-8bb2-d008a56a1e04" targetNamespace="http://schemas.microsoft.com/office/2006/metadata/properties" ma:root="true" ma:fieldsID="1378abf113b1eadd9d7925377ef36fab" ns3:_="" ns4:_="">
    <xsd:import namespace="b90c9f9d-8783-46ee-a8cc-06cc8fdd8a8a"/>
    <xsd:import namespace="c26b9414-c257-448c-8bb2-d008a56a1e0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0c9f9d-8783-46ee-a8cc-06cc8fdd8a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6b9414-c257-448c-8bb2-d008a56a1e0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90c9f9d-8783-46ee-a8cc-06cc8fdd8a8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55B833B-F0C1-4D22-8821-F60C5BDE56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0c9f9d-8783-46ee-a8cc-06cc8fdd8a8a"/>
    <ds:schemaRef ds:uri="c26b9414-c257-448c-8bb2-d008a56a1e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BC6FF6-3EB3-4C59-B71C-034A2BA4A8F8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b90c9f9d-8783-46ee-a8cc-06cc8fdd8a8a"/>
    <ds:schemaRef ds:uri="http://schemas.openxmlformats.org/package/2006/metadata/core-properties"/>
    <ds:schemaRef ds:uri="c26b9414-c257-448c-8bb2-d008a56a1e04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8ABD1F2-5D76-40C1-A801-5B15F5F916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Total Mortality Savings</vt:lpstr>
      <vt:lpstr>T20_Savings</vt:lpstr>
      <vt:lpstr>SPWL_Savings</vt:lpstr>
      <vt:lpstr>Mortality Table</vt:lpstr>
      <vt:lpstr>T20</vt:lpstr>
      <vt:lpstr>SPWL</vt:lpstr>
      <vt:lpstr>Output_1_0_0</vt:lpstr>
      <vt:lpstr>Output_1_0_1</vt:lpstr>
      <vt:lpstr>Output_1_1_0</vt:lpstr>
      <vt:lpstr>Output_1_1_1</vt:lpstr>
      <vt:lpstr>T20_Demographic Split</vt:lpstr>
      <vt:lpstr>SPWL_Demographic Split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Yang</dc:creator>
  <cp:lastModifiedBy>Oliver Yang</cp:lastModifiedBy>
  <dcterms:created xsi:type="dcterms:W3CDTF">2024-03-17T00:06:14Z</dcterms:created>
  <dcterms:modified xsi:type="dcterms:W3CDTF">2024-04-04T12:15:29Z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0x01010033D2C5817942D84986A865BE4DF46265</vt:lpwstr>
  </property>
</Properties>
</file>